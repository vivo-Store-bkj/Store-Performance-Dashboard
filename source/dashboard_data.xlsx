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27E3830D-8B08-324E-99E2-09A49703F60A}" xr6:coauthVersionLast="47" xr6:coauthVersionMax="47" xr10:uidLastSave="{00000000-0000-0000-0000-000000000000}"/>
  <bookViews>
    <workbookView xWindow="0" yWindow="600" windowWidth="32740" windowHeight="19880" activeTab="3" xr2:uid="{00000000-000D-0000-FFFF-FFFF00000000}"/>
  </bookViews>
  <sheets>
    <sheet name="Sheet1" sheetId="1" r:id="rId1"/>
    <sheet name="SALES VALUE PER TYPE" sheetId="3" r:id="rId2"/>
    <sheet name="Sheet3" sheetId="5" r:id="rId3"/>
    <sheet name="Sheet2" sheetId="6" r:id="rId4"/>
  </sheets>
  <externalReferences>
    <externalReference r:id="rId5"/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0" i="5" l="1"/>
  <c r="D120" i="5"/>
  <c r="Y119" i="5"/>
  <c r="V119" i="5"/>
  <c r="S119" i="5"/>
  <c r="T119" i="5" s="1"/>
  <c r="U119" i="5" s="1"/>
  <c r="R119" i="5"/>
  <c r="P119" i="5"/>
  <c r="Q119" i="5" s="1"/>
  <c r="N119" i="5"/>
  <c r="L119" i="5"/>
  <c r="W119" i="5" s="1"/>
  <c r="X119" i="5" s="1"/>
  <c r="H119" i="5"/>
  <c r="O119" i="5" s="1"/>
  <c r="G119" i="5"/>
  <c r="I119" i="5" s="1"/>
  <c r="Y118" i="5"/>
  <c r="V118" i="5"/>
  <c r="S118" i="5"/>
  <c r="R118" i="5"/>
  <c r="P118" i="5"/>
  <c r="N118" i="5"/>
  <c r="L118" i="5"/>
  <c r="W118" i="5" s="1"/>
  <c r="X118" i="5" s="1"/>
  <c r="I118" i="5"/>
  <c r="H118" i="5"/>
  <c r="J118" i="5" s="1"/>
  <c r="G118" i="5"/>
  <c r="V117" i="5"/>
  <c r="X117" i="5" s="1"/>
  <c r="Y117" i="5" s="1"/>
  <c r="R117" i="5"/>
  <c r="P117" i="5"/>
  <c r="Q117" i="5" s="1"/>
  <c r="N117" i="5"/>
  <c r="M117" i="5"/>
  <c r="L117" i="5"/>
  <c r="W117" i="5" s="1"/>
  <c r="H117" i="5"/>
  <c r="G117" i="5"/>
  <c r="V116" i="5"/>
  <c r="S116" i="5"/>
  <c r="T116" i="5" s="1"/>
  <c r="U116" i="5" s="1"/>
  <c r="R116" i="5"/>
  <c r="P116" i="5"/>
  <c r="L116" i="5"/>
  <c r="I116" i="5"/>
  <c r="H116" i="5"/>
  <c r="J116" i="5" s="1"/>
  <c r="G116" i="5"/>
  <c r="V115" i="5"/>
  <c r="X115" i="5" s="1"/>
  <c r="Y115" i="5" s="1"/>
  <c r="R115" i="5"/>
  <c r="P115" i="5"/>
  <c r="Q115" i="5" s="1"/>
  <c r="O115" i="5"/>
  <c r="N115" i="5"/>
  <c r="M115" i="5"/>
  <c r="L115" i="5"/>
  <c r="W115" i="5" s="1"/>
  <c r="I115" i="5"/>
  <c r="H115" i="5"/>
  <c r="G115" i="5"/>
  <c r="V114" i="5"/>
  <c r="U114" i="5"/>
  <c r="T114" i="5"/>
  <c r="S114" i="5"/>
  <c r="R114" i="5"/>
  <c r="P114" i="5"/>
  <c r="N114" i="5"/>
  <c r="M114" i="5"/>
  <c r="L114" i="5"/>
  <c r="W114" i="5" s="1"/>
  <c r="X114" i="5" s="1"/>
  <c r="Y114" i="5" s="1"/>
  <c r="I114" i="5"/>
  <c r="H114" i="5"/>
  <c r="J114" i="5" s="1"/>
  <c r="G114" i="5"/>
  <c r="X113" i="5"/>
  <c r="Y113" i="5" s="1"/>
  <c r="V113" i="5"/>
  <c r="R113" i="5"/>
  <c r="P113" i="5"/>
  <c r="Q113" i="5" s="1"/>
  <c r="N113" i="5"/>
  <c r="M113" i="5"/>
  <c r="L113" i="5"/>
  <c r="W113" i="5" s="1"/>
  <c r="H113" i="5"/>
  <c r="G113" i="5"/>
  <c r="Y112" i="5"/>
  <c r="V112" i="5"/>
  <c r="S112" i="5"/>
  <c r="T112" i="5" s="1"/>
  <c r="U112" i="5" s="1"/>
  <c r="R112" i="5"/>
  <c r="P112" i="5"/>
  <c r="N112" i="5"/>
  <c r="L112" i="5"/>
  <c r="W112" i="5" s="1"/>
  <c r="X112" i="5" s="1"/>
  <c r="I112" i="5"/>
  <c r="H112" i="5"/>
  <c r="J112" i="5" s="1"/>
  <c r="G112" i="5"/>
  <c r="V111" i="5"/>
  <c r="X111" i="5" s="1"/>
  <c r="Y111" i="5" s="1"/>
  <c r="R111" i="5"/>
  <c r="P111" i="5"/>
  <c r="Q111" i="5" s="1"/>
  <c r="N111" i="5"/>
  <c r="M111" i="5"/>
  <c r="L111" i="5"/>
  <c r="W111" i="5" s="1"/>
  <c r="H111" i="5"/>
  <c r="O111" i="5" s="1"/>
  <c r="G111" i="5"/>
  <c r="V110" i="5"/>
  <c r="S110" i="5"/>
  <c r="T110" i="5" s="1"/>
  <c r="U110" i="5" s="1"/>
  <c r="R110" i="5"/>
  <c r="P110" i="5"/>
  <c r="L110" i="5"/>
  <c r="I110" i="5"/>
  <c r="H110" i="5"/>
  <c r="J110" i="5" s="1"/>
  <c r="G110" i="5"/>
  <c r="V109" i="5"/>
  <c r="X109" i="5" s="1"/>
  <c r="Y109" i="5" s="1"/>
  <c r="R109" i="5"/>
  <c r="P109" i="5"/>
  <c r="Q109" i="5" s="1"/>
  <c r="O109" i="5"/>
  <c r="N109" i="5"/>
  <c r="M109" i="5"/>
  <c r="L109" i="5"/>
  <c r="W109" i="5" s="1"/>
  <c r="I109" i="5"/>
  <c r="H109" i="5"/>
  <c r="G109" i="5"/>
  <c r="Y108" i="5"/>
  <c r="V108" i="5"/>
  <c r="U108" i="5"/>
  <c r="T108" i="5"/>
  <c r="S108" i="5"/>
  <c r="R108" i="5"/>
  <c r="P108" i="5"/>
  <c r="N108" i="5"/>
  <c r="M108" i="5"/>
  <c r="L108" i="5"/>
  <c r="W108" i="5" s="1"/>
  <c r="X108" i="5" s="1"/>
  <c r="I108" i="5"/>
  <c r="H108" i="5"/>
  <c r="J108" i="5" s="1"/>
  <c r="G108" i="5"/>
  <c r="X107" i="5"/>
  <c r="Y107" i="5" s="1"/>
  <c r="V107" i="5"/>
  <c r="R107" i="5"/>
  <c r="P107" i="5"/>
  <c r="Q107" i="5" s="1"/>
  <c r="N107" i="5"/>
  <c r="M107" i="5"/>
  <c r="L107" i="5"/>
  <c r="W107" i="5" s="1"/>
  <c r="H107" i="5"/>
  <c r="O107" i="5" s="1"/>
  <c r="G107" i="5"/>
  <c r="Y106" i="5"/>
  <c r="V106" i="5"/>
  <c r="S106" i="5"/>
  <c r="T106" i="5" s="1"/>
  <c r="U106" i="5" s="1"/>
  <c r="R106" i="5"/>
  <c r="P106" i="5"/>
  <c r="N106" i="5"/>
  <c r="L106" i="5"/>
  <c r="W106" i="5" s="1"/>
  <c r="X106" i="5" s="1"/>
  <c r="I106" i="5"/>
  <c r="H106" i="5"/>
  <c r="J106" i="5" s="1"/>
  <c r="G106" i="5"/>
  <c r="V105" i="5"/>
  <c r="X105" i="5" s="1"/>
  <c r="Y105" i="5" s="1"/>
  <c r="R105" i="5"/>
  <c r="P105" i="5"/>
  <c r="Q105" i="5" s="1"/>
  <c r="N105" i="5"/>
  <c r="L105" i="5"/>
  <c r="W105" i="5" s="1"/>
  <c r="H105" i="5"/>
  <c r="G105" i="5"/>
  <c r="V104" i="5"/>
  <c r="S104" i="5"/>
  <c r="R104" i="5"/>
  <c r="T104" i="5" s="1"/>
  <c r="U104" i="5" s="1"/>
  <c r="P104" i="5"/>
  <c r="L104" i="5"/>
  <c r="I104" i="5"/>
  <c r="H104" i="5"/>
  <c r="J104" i="5" s="1"/>
  <c r="G104" i="5"/>
  <c r="V103" i="5"/>
  <c r="X103" i="5" s="1"/>
  <c r="Y103" i="5" s="1"/>
  <c r="R103" i="5"/>
  <c r="P103" i="5"/>
  <c r="Q103" i="5" s="1"/>
  <c r="N103" i="5"/>
  <c r="L103" i="5"/>
  <c r="W103" i="5" s="1"/>
  <c r="H103" i="5"/>
  <c r="G103" i="5"/>
  <c r="V102" i="5"/>
  <c r="S102" i="5"/>
  <c r="T102" i="5" s="1"/>
  <c r="U102" i="5" s="1"/>
  <c r="R102" i="5"/>
  <c r="P102" i="5"/>
  <c r="L102" i="5"/>
  <c r="I102" i="5"/>
  <c r="H102" i="5"/>
  <c r="J102" i="5" s="1"/>
  <c r="G102" i="5"/>
  <c r="V101" i="5"/>
  <c r="X101" i="5" s="1"/>
  <c r="Y101" i="5" s="1"/>
  <c r="R101" i="5"/>
  <c r="P101" i="5"/>
  <c r="Q101" i="5" s="1"/>
  <c r="N101" i="5"/>
  <c r="L101" i="5"/>
  <c r="W101" i="5" s="1"/>
  <c r="H101" i="5"/>
  <c r="G101" i="5"/>
  <c r="V100" i="5"/>
  <c r="U100" i="5"/>
  <c r="S100" i="5"/>
  <c r="T100" i="5" s="1"/>
  <c r="R100" i="5"/>
  <c r="P100" i="5"/>
  <c r="N100" i="5"/>
  <c r="M100" i="5"/>
  <c r="L100" i="5"/>
  <c r="W100" i="5" s="1"/>
  <c r="X100" i="5" s="1"/>
  <c r="Y100" i="5" s="1"/>
  <c r="I100" i="5"/>
  <c r="H100" i="5"/>
  <c r="J100" i="5" s="1"/>
  <c r="G100" i="5"/>
  <c r="X99" i="5"/>
  <c r="Y99" i="5" s="1"/>
  <c r="V99" i="5"/>
  <c r="R99" i="5"/>
  <c r="P99" i="5"/>
  <c r="Q99" i="5" s="1"/>
  <c r="O99" i="5"/>
  <c r="N99" i="5"/>
  <c r="M99" i="5"/>
  <c r="L99" i="5"/>
  <c r="W99" i="5" s="1"/>
  <c r="H99" i="5"/>
  <c r="G99" i="5"/>
  <c r="Y98" i="5"/>
  <c r="V98" i="5"/>
  <c r="S98" i="5"/>
  <c r="R98" i="5"/>
  <c r="P98" i="5"/>
  <c r="N98" i="5"/>
  <c r="M98" i="5"/>
  <c r="L98" i="5"/>
  <c r="W98" i="5" s="1"/>
  <c r="X98" i="5" s="1"/>
  <c r="I98" i="5"/>
  <c r="H98" i="5"/>
  <c r="J98" i="5" s="1"/>
  <c r="G98" i="5"/>
  <c r="X97" i="5"/>
  <c r="Y97" i="5" s="1"/>
  <c r="V97" i="5"/>
  <c r="R97" i="5"/>
  <c r="P97" i="5"/>
  <c r="Q97" i="5" s="1"/>
  <c r="O97" i="5"/>
  <c r="N97" i="5"/>
  <c r="M97" i="5"/>
  <c r="L97" i="5"/>
  <c r="W97" i="5" s="1"/>
  <c r="H97" i="5"/>
  <c r="G97" i="5"/>
  <c r="I97" i="5" s="1"/>
  <c r="V96" i="5"/>
  <c r="S96" i="5"/>
  <c r="R96" i="5"/>
  <c r="T96" i="5" s="1"/>
  <c r="U96" i="5" s="1"/>
  <c r="P96" i="5"/>
  <c r="L96" i="5"/>
  <c r="I96" i="5"/>
  <c r="H96" i="5"/>
  <c r="J96" i="5" s="1"/>
  <c r="G96" i="5"/>
  <c r="X95" i="5"/>
  <c r="Y95" i="5" s="1"/>
  <c r="V95" i="5"/>
  <c r="R95" i="5"/>
  <c r="P95" i="5"/>
  <c r="Q95" i="5" s="1"/>
  <c r="N95" i="5"/>
  <c r="M95" i="5"/>
  <c r="L95" i="5"/>
  <c r="W95" i="5" s="1"/>
  <c r="H95" i="5"/>
  <c r="G95" i="5"/>
  <c r="Y94" i="5"/>
  <c r="V94" i="5"/>
  <c r="S94" i="5"/>
  <c r="T94" i="5" s="1"/>
  <c r="U94" i="5" s="1"/>
  <c r="R94" i="5"/>
  <c r="P94" i="5"/>
  <c r="N94" i="5"/>
  <c r="L94" i="5"/>
  <c r="W94" i="5" s="1"/>
  <c r="X94" i="5" s="1"/>
  <c r="I94" i="5"/>
  <c r="H94" i="5"/>
  <c r="J94" i="5" s="1"/>
  <c r="G94" i="5"/>
  <c r="Y93" i="5"/>
  <c r="V93" i="5"/>
  <c r="X93" i="5" s="1"/>
  <c r="R93" i="5"/>
  <c r="P93" i="5"/>
  <c r="Q93" i="5" s="1"/>
  <c r="O93" i="5"/>
  <c r="N93" i="5"/>
  <c r="M93" i="5"/>
  <c r="L93" i="5"/>
  <c r="W93" i="5" s="1"/>
  <c r="H93" i="5"/>
  <c r="G93" i="5"/>
  <c r="V92" i="5"/>
  <c r="R92" i="5"/>
  <c r="P92" i="5"/>
  <c r="L92" i="5"/>
  <c r="H92" i="5"/>
  <c r="S92" i="5" s="1"/>
  <c r="T92" i="5" s="1"/>
  <c r="U92" i="5" s="1"/>
  <c r="G92" i="5"/>
  <c r="V91" i="5"/>
  <c r="R91" i="5"/>
  <c r="P91" i="5"/>
  <c r="L91" i="5"/>
  <c r="H91" i="5"/>
  <c r="G91" i="5"/>
  <c r="X90" i="5"/>
  <c r="Y90" i="5" s="1"/>
  <c r="V90" i="5"/>
  <c r="R90" i="5"/>
  <c r="P90" i="5"/>
  <c r="Q90" i="5" s="1"/>
  <c r="N90" i="5"/>
  <c r="M90" i="5"/>
  <c r="L90" i="5"/>
  <c r="W90" i="5" s="1"/>
  <c r="H90" i="5"/>
  <c r="G90" i="5"/>
  <c r="V89" i="5"/>
  <c r="R89" i="5"/>
  <c r="P89" i="5"/>
  <c r="M89" i="5"/>
  <c r="L89" i="5"/>
  <c r="H89" i="5"/>
  <c r="G89" i="5"/>
  <c r="V88" i="5"/>
  <c r="S88" i="5"/>
  <c r="T88" i="5" s="1"/>
  <c r="U88" i="5" s="1"/>
  <c r="R88" i="5"/>
  <c r="P88" i="5"/>
  <c r="Q88" i="5" s="1"/>
  <c r="O88" i="5"/>
  <c r="M88" i="5"/>
  <c r="L88" i="5"/>
  <c r="H88" i="5"/>
  <c r="G88" i="5"/>
  <c r="V87" i="5"/>
  <c r="R87" i="5"/>
  <c r="P87" i="5"/>
  <c r="Q87" i="5" s="1"/>
  <c r="L87" i="5"/>
  <c r="H87" i="5"/>
  <c r="G87" i="5"/>
  <c r="V86" i="5"/>
  <c r="R86" i="5"/>
  <c r="P86" i="5"/>
  <c r="O86" i="5"/>
  <c r="L86" i="5"/>
  <c r="H86" i="5"/>
  <c r="G86" i="5"/>
  <c r="V85" i="5"/>
  <c r="T85" i="5"/>
  <c r="U85" i="5" s="1"/>
  <c r="S85" i="5"/>
  <c r="R85" i="5"/>
  <c r="P85" i="5"/>
  <c r="Q85" i="5" s="1"/>
  <c r="O85" i="5"/>
  <c r="L85" i="5"/>
  <c r="I85" i="5"/>
  <c r="H85" i="5"/>
  <c r="J85" i="5" s="1"/>
  <c r="G85" i="5"/>
  <c r="X84" i="5"/>
  <c r="Y84" i="5" s="1"/>
  <c r="V84" i="5"/>
  <c r="R84" i="5"/>
  <c r="P84" i="5"/>
  <c r="Q84" i="5" s="1"/>
  <c r="N84" i="5"/>
  <c r="M84" i="5"/>
  <c r="L84" i="5"/>
  <c r="W84" i="5" s="1"/>
  <c r="H84" i="5"/>
  <c r="G84" i="5"/>
  <c r="V83" i="5"/>
  <c r="S83" i="5"/>
  <c r="T83" i="5" s="1"/>
  <c r="U83" i="5" s="1"/>
  <c r="R83" i="5"/>
  <c r="P83" i="5"/>
  <c r="M83" i="5"/>
  <c r="L83" i="5"/>
  <c r="I83" i="5"/>
  <c r="H83" i="5"/>
  <c r="J83" i="5" s="1"/>
  <c r="G83" i="5"/>
  <c r="V82" i="5"/>
  <c r="S82" i="5"/>
  <c r="T82" i="5" s="1"/>
  <c r="U82" i="5" s="1"/>
  <c r="R82" i="5"/>
  <c r="P82" i="5"/>
  <c r="Q82" i="5" s="1"/>
  <c r="L82" i="5"/>
  <c r="H82" i="5"/>
  <c r="G82" i="5"/>
  <c r="V81" i="5"/>
  <c r="R81" i="5"/>
  <c r="P81" i="5"/>
  <c r="Q81" i="5" s="1"/>
  <c r="L81" i="5"/>
  <c r="H81" i="5"/>
  <c r="G81" i="5"/>
  <c r="V80" i="5"/>
  <c r="R80" i="5"/>
  <c r="P80" i="5"/>
  <c r="L80" i="5"/>
  <c r="H80" i="5"/>
  <c r="G80" i="5"/>
  <c r="V79" i="5"/>
  <c r="R79" i="5"/>
  <c r="P79" i="5"/>
  <c r="L79" i="5"/>
  <c r="J79" i="5"/>
  <c r="H79" i="5"/>
  <c r="I79" i="5" s="1"/>
  <c r="G79" i="5"/>
  <c r="V78" i="5"/>
  <c r="R78" i="5"/>
  <c r="P78" i="5"/>
  <c r="L78" i="5"/>
  <c r="H78" i="5"/>
  <c r="G78" i="5"/>
  <c r="V77" i="5"/>
  <c r="S77" i="5"/>
  <c r="R77" i="5"/>
  <c r="Q77" i="5"/>
  <c r="P77" i="5"/>
  <c r="O77" i="5"/>
  <c r="M77" i="5"/>
  <c r="L77" i="5"/>
  <c r="N77" i="5" s="1"/>
  <c r="J77" i="5"/>
  <c r="I77" i="5"/>
  <c r="H77" i="5"/>
  <c r="G77" i="5"/>
  <c r="V76" i="5"/>
  <c r="R76" i="5"/>
  <c r="P76" i="5"/>
  <c r="Q76" i="5" s="1"/>
  <c r="L76" i="5"/>
  <c r="H76" i="5"/>
  <c r="I76" i="5" s="1"/>
  <c r="G76" i="5"/>
  <c r="X75" i="5"/>
  <c r="Y75" i="5" s="1"/>
  <c r="W75" i="5"/>
  <c r="V75" i="5"/>
  <c r="R75" i="5"/>
  <c r="Q75" i="5"/>
  <c r="P75" i="5"/>
  <c r="M75" i="5"/>
  <c r="L75" i="5"/>
  <c r="N75" i="5" s="1"/>
  <c r="H75" i="5"/>
  <c r="G75" i="5"/>
  <c r="V74" i="5"/>
  <c r="S74" i="5"/>
  <c r="R74" i="5"/>
  <c r="Q74" i="5"/>
  <c r="P74" i="5"/>
  <c r="O74" i="5"/>
  <c r="M74" i="5"/>
  <c r="L74" i="5"/>
  <c r="N74" i="5" s="1"/>
  <c r="J74" i="5"/>
  <c r="I74" i="5"/>
  <c r="H74" i="5"/>
  <c r="G74" i="5"/>
  <c r="V73" i="5"/>
  <c r="R73" i="5"/>
  <c r="P73" i="5"/>
  <c r="L73" i="5"/>
  <c r="J73" i="5"/>
  <c r="H73" i="5"/>
  <c r="I73" i="5" s="1"/>
  <c r="G73" i="5"/>
  <c r="V72" i="5"/>
  <c r="R72" i="5"/>
  <c r="P72" i="5"/>
  <c r="L72" i="5"/>
  <c r="H72" i="5"/>
  <c r="G72" i="5"/>
  <c r="V71" i="5"/>
  <c r="S71" i="5"/>
  <c r="R71" i="5"/>
  <c r="Q71" i="5"/>
  <c r="P71" i="5"/>
  <c r="O71" i="5"/>
  <c r="M71" i="5"/>
  <c r="L71" i="5"/>
  <c r="N71" i="5" s="1"/>
  <c r="J71" i="5"/>
  <c r="I71" i="5"/>
  <c r="H71" i="5"/>
  <c r="G71" i="5"/>
  <c r="V70" i="5"/>
  <c r="R70" i="5"/>
  <c r="P70" i="5"/>
  <c r="Q70" i="5" s="1"/>
  <c r="L70" i="5"/>
  <c r="H70" i="5"/>
  <c r="I70" i="5" s="1"/>
  <c r="G70" i="5"/>
  <c r="X69" i="5"/>
  <c r="Y69" i="5" s="1"/>
  <c r="W69" i="5"/>
  <c r="V69" i="5"/>
  <c r="R69" i="5"/>
  <c r="Q69" i="5"/>
  <c r="P69" i="5"/>
  <c r="M69" i="5"/>
  <c r="L69" i="5"/>
  <c r="N69" i="5" s="1"/>
  <c r="H69" i="5"/>
  <c r="G69" i="5"/>
  <c r="V68" i="5"/>
  <c r="S68" i="5"/>
  <c r="R68" i="5"/>
  <c r="Q68" i="5"/>
  <c r="P68" i="5"/>
  <c r="O68" i="5"/>
  <c r="M68" i="5"/>
  <c r="L68" i="5"/>
  <c r="N68" i="5" s="1"/>
  <c r="J68" i="5"/>
  <c r="I68" i="5"/>
  <c r="H68" i="5"/>
  <c r="G68" i="5"/>
  <c r="V67" i="5"/>
  <c r="R67" i="5"/>
  <c r="P67" i="5"/>
  <c r="L67" i="5"/>
  <c r="J67" i="5"/>
  <c r="H67" i="5"/>
  <c r="I67" i="5" s="1"/>
  <c r="G67" i="5"/>
  <c r="V66" i="5"/>
  <c r="R66" i="5"/>
  <c r="P66" i="5"/>
  <c r="L66" i="5"/>
  <c r="H66" i="5"/>
  <c r="G66" i="5"/>
  <c r="V65" i="5"/>
  <c r="S65" i="5"/>
  <c r="R65" i="5"/>
  <c r="Q65" i="5"/>
  <c r="P65" i="5"/>
  <c r="O65" i="5"/>
  <c r="M65" i="5"/>
  <c r="L65" i="5"/>
  <c r="N65" i="5" s="1"/>
  <c r="J65" i="5"/>
  <c r="I65" i="5"/>
  <c r="H65" i="5"/>
  <c r="G65" i="5"/>
  <c r="W64" i="5"/>
  <c r="X64" i="5" s="1"/>
  <c r="Y64" i="5" s="1"/>
  <c r="V64" i="5"/>
  <c r="R64" i="5"/>
  <c r="P64" i="5"/>
  <c r="Q64" i="5" s="1"/>
  <c r="L64" i="5"/>
  <c r="H64" i="5"/>
  <c r="I64" i="5" s="1"/>
  <c r="G64" i="5"/>
  <c r="X63" i="5"/>
  <c r="Y63" i="5" s="1"/>
  <c r="W63" i="5"/>
  <c r="V63" i="5"/>
  <c r="R63" i="5"/>
  <c r="Q63" i="5"/>
  <c r="P63" i="5"/>
  <c r="M63" i="5"/>
  <c r="L63" i="5"/>
  <c r="N63" i="5" s="1"/>
  <c r="H63" i="5"/>
  <c r="G63" i="5"/>
  <c r="V62" i="5"/>
  <c r="R62" i="5"/>
  <c r="Q62" i="5"/>
  <c r="P62" i="5"/>
  <c r="L62" i="5"/>
  <c r="H62" i="5"/>
  <c r="G62" i="5"/>
  <c r="V61" i="5"/>
  <c r="R61" i="5"/>
  <c r="Q61" i="5"/>
  <c r="P61" i="5"/>
  <c r="L61" i="5"/>
  <c r="H61" i="5"/>
  <c r="G61" i="5"/>
  <c r="V60" i="5"/>
  <c r="R60" i="5"/>
  <c r="P60" i="5"/>
  <c r="O60" i="5"/>
  <c r="L60" i="5"/>
  <c r="H60" i="5"/>
  <c r="G60" i="5"/>
  <c r="V59" i="5"/>
  <c r="R59" i="5"/>
  <c r="Q59" i="5"/>
  <c r="P59" i="5"/>
  <c r="O59" i="5"/>
  <c r="L59" i="5"/>
  <c r="M59" i="5" s="1"/>
  <c r="H59" i="5"/>
  <c r="G59" i="5"/>
  <c r="V58" i="5"/>
  <c r="T58" i="5"/>
  <c r="U58" i="5" s="1"/>
  <c r="R58" i="5"/>
  <c r="Q58" i="5"/>
  <c r="P58" i="5"/>
  <c r="L58" i="5"/>
  <c r="J58" i="5"/>
  <c r="I58" i="5"/>
  <c r="H58" i="5"/>
  <c r="S58" i="5" s="1"/>
  <c r="G58" i="5"/>
  <c r="W57" i="5"/>
  <c r="X57" i="5" s="1"/>
  <c r="Y57" i="5" s="1"/>
  <c r="V57" i="5"/>
  <c r="R57" i="5"/>
  <c r="P57" i="5"/>
  <c r="Q57" i="5" s="1"/>
  <c r="N57" i="5"/>
  <c r="L57" i="5"/>
  <c r="M57" i="5" s="1"/>
  <c r="H57" i="5"/>
  <c r="G57" i="5"/>
  <c r="V56" i="5"/>
  <c r="T56" i="5"/>
  <c r="U56" i="5" s="1"/>
  <c r="R56" i="5"/>
  <c r="P56" i="5"/>
  <c r="L56" i="5"/>
  <c r="J56" i="5"/>
  <c r="I56" i="5"/>
  <c r="H56" i="5"/>
  <c r="S56" i="5" s="1"/>
  <c r="G56" i="5"/>
  <c r="W55" i="5"/>
  <c r="X55" i="5" s="1"/>
  <c r="Y55" i="5" s="1"/>
  <c r="V55" i="5"/>
  <c r="R55" i="5"/>
  <c r="P55" i="5"/>
  <c r="Q55" i="5" s="1"/>
  <c r="N55" i="5"/>
  <c r="L55" i="5"/>
  <c r="M55" i="5" s="1"/>
  <c r="J55" i="5"/>
  <c r="H55" i="5"/>
  <c r="G55" i="5"/>
  <c r="V54" i="5"/>
  <c r="T54" i="5"/>
  <c r="U54" i="5" s="1"/>
  <c r="R54" i="5"/>
  <c r="Q54" i="5"/>
  <c r="P54" i="5"/>
  <c r="O54" i="5"/>
  <c r="L54" i="5"/>
  <c r="J54" i="5"/>
  <c r="I54" i="5"/>
  <c r="H54" i="5"/>
  <c r="S54" i="5" s="1"/>
  <c r="G54" i="5"/>
  <c r="W53" i="5"/>
  <c r="X53" i="5" s="1"/>
  <c r="Y53" i="5" s="1"/>
  <c r="V53" i="5"/>
  <c r="R53" i="5"/>
  <c r="P53" i="5"/>
  <c r="Q53" i="5" s="1"/>
  <c r="N53" i="5"/>
  <c r="L53" i="5"/>
  <c r="M53" i="5" s="1"/>
  <c r="J53" i="5"/>
  <c r="H53" i="5"/>
  <c r="G53" i="5"/>
  <c r="V52" i="5"/>
  <c r="T52" i="5"/>
  <c r="U52" i="5" s="1"/>
  <c r="R52" i="5"/>
  <c r="P52" i="5"/>
  <c r="L52" i="5"/>
  <c r="J52" i="5"/>
  <c r="H52" i="5"/>
  <c r="S52" i="5" s="1"/>
  <c r="G52" i="5"/>
  <c r="I52" i="5" s="1"/>
  <c r="W51" i="5"/>
  <c r="X51" i="5" s="1"/>
  <c r="Y51" i="5" s="1"/>
  <c r="V51" i="5"/>
  <c r="S51" i="5"/>
  <c r="R51" i="5"/>
  <c r="T51" i="5" s="1"/>
  <c r="U51" i="5" s="1"/>
  <c r="Q51" i="5"/>
  <c r="P51" i="5"/>
  <c r="N51" i="5"/>
  <c r="L51" i="5"/>
  <c r="M51" i="5" s="1"/>
  <c r="J51" i="5"/>
  <c r="H51" i="5"/>
  <c r="O51" i="5" s="1"/>
  <c r="G51" i="5"/>
  <c r="I51" i="5" s="1"/>
  <c r="V50" i="5"/>
  <c r="S50" i="5"/>
  <c r="R50" i="5"/>
  <c r="T50" i="5" s="1"/>
  <c r="U50" i="5" s="1"/>
  <c r="P50" i="5"/>
  <c r="L50" i="5"/>
  <c r="J50" i="5"/>
  <c r="I50" i="5"/>
  <c r="H50" i="5"/>
  <c r="O50" i="5" s="1"/>
  <c r="G50" i="5"/>
  <c r="V49" i="5"/>
  <c r="T49" i="5"/>
  <c r="U49" i="5" s="1"/>
  <c r="S49" i="5"/>
  <c r="R49" i="5"/>
  <c r="P49" i="5"/>
  <c r="L49" i="5"/>
  <c r="M49" i="5" s="1"/>
  <c r="J49" i="5"/>
  <c r="H49" i="5"/>
  <c r="G49" i="5"/>
  <c r="I49" i="5" s="1"/>
  <c r="W48" i="5"/>
  <c r="V48" i="5"/>
  <c r="X48" i="5" s="1"/>
  <c r="Y48" i="5" s="1"/>
  <c r="S48" i="5"/>
  <c r="R48" i="5"/>
  <c r="T48" i="5" s="1"/>
  <c r="U48" i="5" s="1"/>
  <c r="Q48" i="5"/>
  <c r="P48" i="5"/>
  <c r="N48" i="5"/>
  <c r="L48" i="5"/>
  <c r="M48" i="5" s="1"/>
  <c r="J48" i="5"/>
  <c r="H48" i="5"/>
  <c r="O48" i="5" s="1"/>
  <c r="G48" i="5"/>
  <c r="I48" i="5" s="1"/>
  <c r="V47" i="5"/>
  <c r="S47" i="5"/>
  <c r="R47" i="5"/>
  <c r="T47" i="5" s="1"/>
  <c r="U47" i="5" s="1"/>
  <c r="P47" i="5"/>
  <c r="L47" i="5"/>
  <c r="J47" i="5"/>
  <c r="I47" i="5"/>
  <c r="H47" i="5"/>
  <c r="O47" i="5" s="1"/>
  <c r="G47" i="5"/>
  <c r="V46" i="5"/>
  <c r="T46" i="5"/>
  <c r="U46" i="5" s="1"/>
  <c r="S46" i="5"/>
  <c r="R46" i="5"/>
  <c r="P46" i="5"/>
  <c r="L46" i="5"/>
  <c r="M46" i="5" s="1"/>
  <c r="J46" i="5"/>
  <c r="H46" i="5"/>
  <c r="G46" i="5"/>
  <c r="I46" i="5" s="1"/>
  <c r="W45" i="5"/>
  <c r="V45" i="5"/>
  <c r="X45" i="5" s="1"/>
  <c r="Y45" i="5" s="1"/>
  <c r="S45" i="5"/>
  <c r="R45" i="5"/>
  <c r="T45" i="5" s="1"/>
  <c r="U45" i="5" s="1"/>
  <c r="Q45" i="5"/>
  <c r="P45" i="5"/>
  <c r="N45" i="5"/>
  <c r="L45" i="5"/>
  <c r="M45" i="5" s="1"/>
  <c r="J45" i="5"/>
  <c r="H45" i="5"/>
  <c r="O45" i="5" s="1"/>
  <c r="G45" i="5"/>
  <c r="I45" i="5" s="1"/>
  <c r="W44" i="5"/>
  <c r="X44" i="5" s="1"/>
  <c r="Y44" i="5" s="1"/>
  <c r="V44" i="5"/>
  <c r="S44" i="5"/>
  <c r="R44" i="5"/>
  <c r="T44" i="5" s="1"/>
  <c r="U44" i="5" s="1"/>
  <c r="P44" i="5"/>
  <c r="Q44" i="5" s="1"/>
  <c r="L44" i="5"/>
  <c r="J44" i="5"/>
  <c r="I44" i="5"/>
  <c r="H44" i="5"/>
  <c r="O44" i="5" s="1"/>
  <c r="G44" i="5"/>
  <c r="W43" i="5"/>
  <c r="X43" i="5" s="1"/>
  <c r="Y43" i="5" s="1"/>
  <c r="V43" i="5"/>
  <c r="S43" i="5"/>
  <c r="R43" i="5"/>
  <c r="T43" i="5" s="1"/>
  <c r="U43" i="5" s="1"/>
  <c r="P43" i="5"/>
  <c r="Q43" i="5" s="1"/>
  <c r="N43" i="5"/>
  <c r="L43" i="5"/>
  <c r="M43" i="5" s="1"/>
  <c r="J43" i="5"/>
  <c r="I43" i="5"/>
  <c r="H43" i="5"/>
  <c r="G43" i="5"/>
  <c r="V42" i="5"/>
  <c r="T42" i="5"/>
  <c r="U42" i="5" s="1"/>
  <c r="S42" i="5"/>
  <c r="R42" i="5"/>
  <c r="P42" i="5"/>
  <c r="L42" i="5"/>
  <c r="M42" i="5" s="1"/>
  <c r="J42" i="5"/>
  <c r="I42" i="5"/>
  <c r="H42" i="5"/>
  <c r="G42" i="5"/>
  <c r="W41" i="5"/>
  <c r="X41" i="5" s="1"/>
  <c r="Y41" i="5" s="1"/>
  <c r="V41" i="5"/>
  <c r="T41" i="5"/>
  <c r="U41" i="5" s="1"/>
  <c r="S41" i="5"/>
  <c r="R41" i="5"/>
  <c r="P41" i="5"/>
  <c r="Q41" i="5" s="1"/>
  <c r="L41" i="5"/>
  <c r="J41" i="5"/>
  <c r="I41" i="5"/>
  <c r="H41" i="5"/>
  <c r="G41" i="5"/>
  <c r="W40" i="5"/>
  <c r="X40" i="5" s="1"/>
  <c r="Y40" i="5" s="1"/>
  <c r="V40" i="5"/>
  <c r="T40" i="5"/>
  <c r="U40" i="5" s="1"/>
  <c r="S40" i="5"/>
  <c r="R40" i="5"/>
  <c r="P40" i="5"/>
  <c r="N40" i="5"/>
  <c r="L40" i="5"/>
  <c r="M40" i="5" s="1"/>
  <c r="J40" i="5"/>
  <c r="I40" i="5"/>
  <c r="H40" i="5"/>
  <c r="G40" i="5"/>
  <c r="V39" i="5"/>
  <c r="T39" i="5"/>
  <c r="U39" i="5" s="1"/>
  <c r="S39" i="5"/>
  <c r="R39" i="5"/>
  <c r="Q39" i="5"/>
  <c r="P39" i="5"/>
  <c r="L39" i="5"/>
  <c r="M39" i="5" s="1"/>
  <c r="J39" i="5"/>
  <c r="H39" i="5"/>
  <c r="O39" i="5" s="1"/>
  <c r="G39" i="5"/>
  <c r="I39" i="5" s="1"/>
  <c r="W38" i="5"/>
  <c r="X38" i="5" s="1"/>
  <c r="Y38" i="5" s="1"/>
  <c r="V38" i="5"/>
  <c r="S38" i="5"/>
  <c r="R38" i="5"/>
  <c r="T38" i="5" s="1"/>
  <c r="U38" i="5" s="1"/>
  <c r="P38" i="5"/>
  <c r="Q38" i="5" s="1"/>
  <c r="L38" i="5"/>
  <c r="J38" i="5"/>
  <c r="I38" i="5"/>
  <c r="H38" i="5"/>
  <c r="O38" i="5" s="1"/>
  <c r="G38" i="5"/>
  <c r="W37" i="5"/>
  <c r="X37" i="5" s="1"/>
  <c r="Y37" i="5" s="1"/>
  <c r="V37" i="5"/>
  <c r="S37" i="5"/>
  <c r="R37" i="5"/>
  <c r="T37" i="5" s="1"/>
  <c r="U37" i="5" s="1"/>
  <c r="P37" i="5"/>
  <c r="Q37" i="5" s="1"/>
  <c r="N37" i="5"/>
  <c r="L37" i="5"/>
  <c r="M37" i="5" s="1"/>
  <c r="J37" i="5"/>
  <c r="I37" i="5"/>
  <c r="H37" i="5"/>
  <c r="G37" i="5"/>
  <c r="V36" i="5"/>
  <c r="T36" i="5"/>
  <c r="U36" i="5" s="1"/>
  <c r="S36" i="5"/>
  <c r="R36" i="5"/>
  <c r="P36" i="5"/>
  <c r="L36" i="5"/>
  <c r="M36" i="5" s="1"/>
  <c r="J36" i="5"/>
  <c r="I36" i="5"/>
  <c r="H36" i="5"/>
  <c r="G36" i="5"/>
  <c r="W35" i="5"/>
  <c r="X35" i="5" s="1"/>
  <c r="Y35" i="5" s="1"/>
  <c r="V35" i="5"/>
  <c r="T35" i="5"/>
  <c r="U35" i="5" s="1"/>
  <c r="S35" i="5"/>
  <c r="R35" i="5"/>
  <c r="P35" i="5"/>
  <c r="Q35" i="5" s="1"/>
  <c r="L35" i="5"/>
  <c r="J35" i="5"/>
  <c r="I35" i="5"/>
  <c r="H35" i="5"/>
  <c r="G35" i="5"/>
  <c r="W34" i="5"/>
  <c r="X34" i="5" s="1"/>
  <c r="Y34" i="5" s="1"/>
  <c r="V34" i="5"/>
  <c r="T34" i="5"/>
  <c r="U34" i="5" s="1"/>
  <c r="S34" i="5"/>
  <c r="R34" i="5"/>
  <c r="P34" i="5"/>
  <c r="N34" i="5"/>
  <c r="L34" i="5"/>
  <c r="M34" i="5" s="1"/>
  <c r="J34" i="5"/>
  <c r="I34" i="5"/>
  <c r="H34" i="5"/>
  <c r="G34" i="5"/>
  <c r="V33" i="5"/>
  <c r="T33" i="5"/>
  <c r="U33" i="5" s="1"/>
  <c r="S33" i="5"/>
  <c r="R33" i="5"/>
  <c r="Q33" i="5"/>
  <c r="P33" i="5"/>
  <c r="L33" i="5"/>
  <c r="M33" i="5" s="1"/>
  <c r="J33" i="5"/>
  <c r="H33" i="5"/>
  <c r="O33" i="5" s="1"/>
  <c r="G33" i="5"/>
  <c r="I33" i="5" s="1"/>
  <c r="W32" i="5"/>
  <c r="X32" i="5" s="1"/>
  <c r="Y32" i="5" s="1"/>
  <c r="V32" i="5"/>
  <c r="S32" i="5"/>
  <c r="R32" i="5"/>
  <c r="T32" i="5" s="1"/>
  <c r="U32" i="5" s="1"/>
  <c r="P32" i="5"/>
  <c r="Q32" i="5" s="1"/>
  <c r="L32" i="5"/>
  <c r="J32" i="5"/>
  <c r="I32" i="5"/>
  <c r="H32" i="5"/>
  <c r="O32" i="5" s="1"/>
  <c r="G32" i="5"/>
  <c r="W31" i="5"/>
  <c r="X31" i="5" s="1"/>
  <c r="Y31" i="5" s="1"/>
  <c r="V31" i="5"/>
  <c r="S31" i="5"/>
  <c r="R31" i="5"/>
  <c r="T31" i="5" s="1"/>
  <c r="U31" i="5" s="1"/>
  <c r="P31" i="5"/>
  <c r="Q31" i="5" s="1"/>
  <c r="N31" i="5"/>
  <c r="L31" i="5"/>
  <c r="M31" i="5" s="1"/>
  <c r="J31" i="5"/>
  <c r="I31" i="5"/>
  <c r="H31" i="5"/>
  <c r="G31" i="5"/>
  <c r="V30" i="5"/>
  <c r="T30" i="5"/>
  <c r="U30" i="5" s="1"/>
  <c r="S30" i="5"/>
  <c r="R30" i="5"/>
  <c r="Q30" i="5"/>
  <c r="P30" i="5"/>
  <c r="L30" i="5"/>
  <c r="M30" i="5" s="1"/>
  <c r="J30" i="5"/>
  <c r="I30" i="5"/>
  <c r="H30" i="5"/>
  <c r="O30" i="5" s="1"/>
  <c r="G30" i="5"/>
  <c r="W29" i="5"/>
  <c r="X29" i="5" s="1"/>
  <c r="Y29" i="5" s="1"/>
  <c r="V29" i="5"/>
  <c r="T29" i="5"/>
  <c r="U29" i="5" s="1"/>
  <c r="S29" i="5"/>
  <c r="R29" i="5"/>
  <c r="P29" i="5"/>
  <c r="Q29" i="5" s="1"/>
  <c r="L29" i="5"/>
  <c r="J29" i="5"/>
  <c r="I29" i="5"/>
  <c r="H29" i="5"/>
  <c r="G29" i="5"/>
  <c r="X28" i="5"/>
  <c r="Y28" i="5" s="1"/>
  <c r="W28" i="5"/>
  <c r="V28" i="5"/>
  <c r="T28" i="5"/>
  <c r="U28" i="5" s="1"/>
  <c r="S28" i="5"/>
  <c r="R28" i="5"/>
  <c r="Q28" i="5"/>
  <c r="P28" i="5"/>
  <c r="N28" i="5"/>
  <c r="M28" i="5"/>
  <c r="L28" i="5"/>
  <c r="J28" i="5"/>
  <c r="I28" i="5"/>
  <c r="H28" i="5"/>
  <c r="O28" i="5" s="1"/>
  <c r="G28" i="5"/>
  <c r="V27" i="5"/>
  <c r="T27" i="5"/>
  <c r="U27" i="5" s="1"/>
  <c r="S27" i="5"/>
  <c r="R27" i="5"/>
  <c r="P27" i="5"/>
  <c r="L27" i="5"/>
  <c r="W27" i="5" s="1"/>
  <c r="X27" i="5" s="1"/>
  <c r="Y27" i="5" s="1"/>
  <c r="J27" i="5"/>
  <c r="I27" i="5"/>
  <c r="H27" i="5"/>
  <c r="G27" i="5"/>
  <c r="V26" i="5"/>
  <c r="S26" i="5"/>
  <c r="T26" i="5" s="1"/>
  <c r="U26" i="5" s="1"/>
  <c r="R26" i="5"/>
  <c r="P26" i="5"/>
  <c r="Q26" i="5" s="1"/>
  <c r="L26" i="5"/>
  <c r="M26" i="5" s="1"/>
  <c r="J26" i="5"/>
  <c r="H26" i="5"/>
  <c r="G26" i="5"/>
  <c r="I26" i="5" s="1"/>
  <c r="W25" i="5"/>
  <c r="X25" i="5" s="1"/>
  <c r="Y25" i="5" s="1"/>
  <c r="V25" i="5"/>
  <c r="S25" i="5"/>
  <c r="T25" i="5" s="1"/>
  <c r="U25" i="5" s="1"/>
  <c r="R25" i="5"/>
  <c r="P25" i="5"/>
  <c r="Q25" i="5" s="1"/>
  <c r="L25" i="5"/>
  <c r="N25" i="5" s="1"/>
  <c r="J25" i="5"/>
  <c r="I25" i="5"/>
  <c r="H25" i="5"/>
  <c r="O25" i="5" s="1"/>
  <c r="G25" i="5"/>
  <c r="V24" i="5"/>
  <c r="S24" i="5"/>
  <c r="T24" i="5" s="1"/>
  <c r="U24" i="5" s="1"/>
  <c r="R24" i="5"/>
  <c r="P24" i="5"/>
  <c r="L24" i="5"/>
  <c r="W24" i="5" s="1"/>
  <c r="X24" i="5" s="1"/>
  <c r="Y24" i="5" s="1"/>
  <c r="J24" i="5"/>
  <c r="H24" i="5"/>
  <c r="G24" i="5"/>
  <c r="I24" i="5" s="1"/>
  <c r="X23" i="5"/>
  <c r="Y23" i="5" s="1"/>
  <c r="W23" i="5"/>
  <c r="V23" i="5"/>
  <c r="S23" i="5"/>
  <c r="R23" i="5"/>
  <c r="P23" i="5"/>
  <c r="Q23" i="5" s="1"/>
  <c r="N23" i="5"/>
  <c r="L23" i="5"/>
  <c r="M23" i="5" s="1"/>
  <c r="J23" i="5"/>
  <c r="H23" i="5"/>
  <c r="O23" i="5" s="1"/>
  <c r="G23" i="5"/>
  <c r="I23" i="5" s="1"/>
  <c r="V22" i="5"/>
  <c r="T22" i="5"/>
  <c r="U22" i="5" s="1"/>
  <c r="S22" i="5"/>
  <c r="R22" i="5"/>
  <c r="P22" i="5"/>
  <c r="N22" i="5"/>
  <c r="M22" i="5"/>
  <c r="L22" i="5"/>
  <c r="Q22" i="5" s="1"/>
  <c r="J22" i="5"/>
  <c r="H22" i="5"/>
  <c r="G22" i="5"/>
  <c r="I22" i="5" s="1"/>
  <c r="V21" i="5"/>
  <c r="R21" i="5"/>
  <c r="P21" i="5"/>
  <c r="Q21" i="5" s="1"/>
  <c r="L21" i="5"/>
  <c r="W21" i="5" s="1"/>
  <c r="X21" i="5" s="1"/>
  <c r="Y21" i="5" s="1"/>
  <c r="H21" i="5"/>
  <c r="J21" i="5" s="1"/>
  <c r="G21" i="5"/>
  <c r="V20" i="5"/>
  <c r="T20" i="5"/>
  <c r="U20" i="5" s="1"/>
  <c r="S20" i="5"/>
  <c r="R20" i="5"/>
  <c r="P20" i="5"/>
  <c r="L20" i="5"/>
  <c r="W20" i="5" s="1"/>
  <c r="X20" i="5" s="1"/>
  <c r="Y20" i="5" s="1"/>
  <c r="H20" i="5"/>
  <c r="J20" i="5" s="1"/>
  <c r="G20" i="5"/>
  <c r="V19" i="5"/>
  <c r="X19" i="5" s="1"/>
  <c r="Y19" i="5" s="1"/>
  <c r="R19" i="5"/>
  <c r="P19" i="5"/>
  <c r="Q19" i="5" s="1"/>
  <c r="O19" i="5"/>
  <c r="L19" i="5"/>
  <c r="W19" i="5" s="1"/>
  <c r="H19" i="5"/>
  <c r="J19" i="5" s="1"/>
  <c r="G19" i="5"/>
  <c r="V18" i="5"/>
  <c r="S18" i="5"/>
  <c r="T18" i="5" s="1"/>
  <c r="U18" i="5" s="1"/>
  <c r="R18" i="5"/>
  <c r="P18" i="5"/>
  <c r="L18" i="5"/>
  <c r="W18" i="5" s="1"/>
  <c r="X18" i="5" s="1"/>
  <c r="Y18" i="5" s="1"/>
  <c r="H18" i="5"/>
  <c r="J18" i="5" s="1"/>
  <c r="G18" i="5"/>
  <c r="V17" i="5"/>
  <c r="X17" i="5" s="1"/>
  <c r="Y17" i="5" s="1"/>
  <c r="R17" i="5"/>
  <c r="P17" i="5"/>
  <c r="Q17" i="5" s="1"/>
  <c r="O17" i="5"/>
  <c r="L17" i="5"/>
  <c r="W17" i="5" s="1"/>
  <c r="H17" i="5"/>
  <c r="J17" i="5" s="1"/>
  <c r="G17" i="5"/>
  <c r="V16" i="5"/>
  <c r="S16" i="5"/>
  <c r="T16" i="5" s="1"/>
  <c r="U16" i="5" s="1"/>
  <c r="R16" i="5"/>
  <c r="P16" i="5"/>
  <c r="L16" i="5"/>
  <c r="W16" i="5" s="1"/>
  <c r="X16" i="5" s="1"/>
  <c r="Y16" i="5" s="1"/>
  <c r="H16" i="5"/>
  <c r="J16" i="5" s="1"/>
  <c r="G16" i="5"/>
  <c r="V15" i="5"/>
  <c r="X15" i="5" s="1"/>
  <c r="Y15" i="5" s="1"/>
  <c r="R15" i="5"/>
  <c r="P15" i="5"/>
  <c r="Q15" i="5" s="1"/>
  <c r="O15" i="5"/>
  <c r="L15" i="5"/>
  <c r="W15" i="5" s="1"/>
  <c r="H15" i="5"/>
  <c r="J15" i="5" s="1"/>
  <c r="G15" i="5"/>
  <c r="V14" i="5"/>
  <c r="S14" i="5"/>
  <c r="T14" i="5" s="1"/>
  <c r="U14" i="5" s="1"/>
  <c r="R14" i="5"/>
  <c r="P14" i="5"/>
  <c r="L14" i="5"/>
  <c r="W14" i="5" s="1"/>
  <c r="X14" i="5" s="1"/>
  <c r="Y14" i="5" s="1"/>
  <c r="H14" i="5"/>
  <c r="J14" i="5" s="1"/>
  <c r="G14" i="5"/>
  <c r="V13" i="5"/>
  <c r="X13" i="5" s="1"/>
  <c r="Y13" i="5" s="1"/>
  <c r="R13" i="5"/>
  <c r="P13" i="5"/>
  <c r="Q13" i="5" s="1"/>
  <c r="O13" i="5"/>
  <c r="L13" i="5"/>
  <c r="W13" i="5" s="1"/>
  <c r="H13" i="5"/>
  <c r="J13" i="5" s="1"/>
  <c r="G13" i="5"/>
  <c r="V12" i="5"/>
  <c r="S12" i="5"/>
  <c r="T12" i="5" s="1"/>
  <c r="U12" i="5" s="1"/>
  <c r="R12" i="5"/>
  <c r="P12" i="5"/>
  <c r="L12" i="5"/>
  <c r="W12" i="5" s="1"/>
  <c r="X12" i="5" s="1"/>
  <c r="Y12" i="5" s="1"/>
  <c r="H12" i="5"/>
  <c r="J12" i="5" s="1"/>
  <c r="G12" i="5"/>
  <c r="V11" i="5"/>
  <c r="X11" i="5" s="1"/>
  <c r="Y11" i="5" s="1"/>
  <c r="R11" i="5"/>
  <c r="P11" i="5"/>
  <c r="Q11" i="5" s="1"/>
  <c r="O11" i="5"/>
  <c r="L11" i="5"/>
  <c r="W11" i="5" s="1"/>
  <c r="H11" i="5"/>
  <c r="J11" i="5" s="1"/>
  <c r="G11" i="5"/>
  <c r="V10" i="5"/>
  <c r="S10" i="5"/>
  <c r="T10" i="5" s="1"/>
  <c r="U10" i="5" s="1"/>
  <c r="R10" i="5"/>
  <c r="P10" i="5"/>
  <c r="L10" i="5"/>
  <c r="W10" i="5" s="1"/>
  <c r="X10" i="5" s="1"/>
  <c r="Y10" i="5" s="1"/>
  <c r="H10" i="5"/>
  <c r="J10" i="5" s="1"/>
  <c r="G10" i="5"/>
  <c r="V9" i="5"/>
  <c r="X9" i="5" s="1"/>
  <c r="Y9" i="5" s="1"/>
  <c r="R9" i="5"/>
  <c r="P9" i="5"/>
  <c r="Q9" i="5" s="1"/>
  <c r="L9" i="5"/>
  <c r="W9" i="5" s="1"/>
  <c r="H9" i="5"/>
  <c r="S9" i="5" s="1"/>
  <c r="T9" i="5" s="1"/>
  <c r="U9" i="5" s="1"/>
  <c r="G9" i="5"/>
  <c r="W8" i="5"/>
  <c r="X8" i="5" s="1"/>
  <c r="Y8" i="5" s="1"/>
  <c r="V8" i="5"/>
  <c r="R8" i="5"/>
  <c r="P8" i="5"/>
  <c r="Q8" i="5" s="1"/>
  <c r="L8" i="5"/>
  <c r="N8" i="5" s="1"/>
  <c r="H8" i="5"/>
  <c r="I8" i="5" s="1"/>
  <c r="G8" i="5"/>
  <c r="W7" i="5"/>
  <c r="X7" i="5" s="1"/>
  <c r="Y7" i="5" s="1"/>
  <c r="V7" i="5"/>
  <c r="R7" i="5"/>
  <c r="P7" i="5"/>
  <c r="Q7" i="5" s="1"/>
  <c r="L7" i="5"/>
  <c r="N7" i="5" s="1"/>
  <c r="H7" i="5"/>
  <c r="S7" i="5" s="1"/>
  <c r="T7" i="5" s="1"/>
  <c r="U7" i="5" s="1"/>
  <c r="G7" i="5"/>
  <c r="V6" i="5"/>
  <c r="R6" i="5"/>
  <c r="P6" i="5"/>
  <c r="Q6" i="5" s="1"/>
  <c r="L6" i="5"/>
  <c r="N6" i="5" s="1"/>
  <c r="H6" i="5"/>
  <c r="S6" i="5" s="1"/>
  <c r="T6" i="5" s="1"/>
  <c r="U6" i="5" s="1"/>
  <c r="G6" i="5"/>
  <c r="W5" i="5"/>
  <c r="V5" i="5"/>
  <c r="R5" i="5"/>
  <c r="P5" i="5"/>
  <c r="Q5" i="5" s="1"/>
  <c r="L5" i="5"/>
  <c r="M5" i="5" s="1"/>
  <c r="H5" i="5"/>
  <c r="S5" i="5" s="1"/>
  <c r="G5" i="5"/>
  <c r="F2" i="5"/>
  <c r="EW48" i="3"/>
  <c r="ET48" i="3"/>
  <c r="EQ48" i="3"/>
  <c r="EN48" i="3"/>
  <c r="EK48" i="3"/>
  <c r="EH48" i="3"/>
  <c r="EE48" i="3"/>
  <c r="EB48" i="3"/>
  <c r="DY48" i="3"/>
  <c r="DV48" i="3"/>
  <c r="DS48" i="3"/>
  <c r="DP48" i="3"/>
  <c r="DM48" i="3"/>
  <c r="DJ48" i="3"/>
  <c r="DG48" i="3"/>
  <c r="DD48" i="3"/>
  <c r="EX47" i="3" a="1"/>
  <c r="EX47" i="3" s="1"/>
  <c r="EY47" i="3" s="1"/>
  <c r="EU47" i="3"/>
  <c r="EV47" i="3" s="1"/>
  <c r="ER47" i="3" a="1"/>
  <c r="ER47" i="3" s="1"/>
  <c r="ES47" i="3" s="1"/>
  <c r="EO47" i="3"/>
  <c r="EP47" i="3" s="1"/>
  <c r="EI47" i="3"/>
  <c r="EJ47" i="3" s="1"/>
  <c r="EF47" i="3"/>
  <c r="EG47" i="3" s="1"/>
  <c r="EF47" i="3" a="1"/>
  <c r="EC47" i="3"/>
  <c r="ED47" i="3" s="1"/>
  <c r="DZ47" i="3"/>
  <c r="EA47" i="3" s="1"/>
  <c r="DZ47" i="3" a="1"/>
  <c r="DT47" i="3" a="1"/>
  <c r="DT47" i="3" s="1"/>
  <c r="DU47" i="3" s="1"/>
  <c r="DR47" i="3"/>
  <c r="DQ47" i="3"/>
  <c r="DN47" i="3"/>
  <c r="DO47" i="3" s="1"/>
  <c r="DN47" i="3" a="1"/>
  <c r="DK47" i="3"/>
  <c r="DL47" i="3" s="1"/>
  <c r="DI47" i="3"/>
  <c r="DH47" i="3" a="1"/>
  <c r="DH47" i="3" s="1"/>
  <c r="DF47" i="3"/>
  <c r="DE47" i="3"/>
  <c r="DA47" i="3"/>
  <c r="CY47" i="3"/>
  <c r="CZ47" i="3" s="1"/>
  <c r="CX47" i="3"/>
  <c r="CV47" i="3" a="1"/>
  <c r="CV47" i="3" s="1"/>
  <c r="CU47" i="3"/>
  <c r="CW47" i="3" s="1"/>
  <c r="CS47" i="3"/>
  <c r="CT47" i="3" s="1"/>
  <c r="CR47" i="3"/>
  <c r="CP47" i="3" a="1"/>
  <c r="CP47" i="3" s="1"/>
  <c r="CO47" i="3"/>
  <c r="CQ47" i="3" s="1"/>
  <c r="CM47" i="3"/>
  <c r="CJ47" i="3" a="1"/>
  <c r="CJ47" i="3" s="1"/>
  <c r="CI47" i="3"/>
  <c r="CF47" i="3"/>
  <c r="CD47" i="3" a="1"/>
  <c r="CD47" i="3" s="1"/>
  <c r="CC47" i="3"/>
  <c r="CE47" i="3" s="1"/>
  <c r="CA47" i="3"/>
  <c r="BZ47" i="3"/>
  <c r="CB47" i="3" s="1"/>
  <c r="BX47" i="3" a="1"/>
  <c r="BX47" i="3" s="1"/>
  <c r="BU47" i="3"/>
  <c r="BT47" i="3"/>
  <c r="BV47" i="3" s="1"/>
  <c r="BQ47" i="3"/>
  <c r="BP47" i="3"/>
  <c r="BO47" i="3"/>
  <c r="BN47" i="3"/>
  <c r="BL47" i="3" a="1"/>
  <c r="BL47" i="3" s="1"/>
  <c r="BK47" i="3"/>
  <c r="BM47" i="3" s="1"/>
  <c r="BI47" i="3"/>
  <c r="BJ47" i="3" s="1"/>
  <c r="BH47" i="3"/>
  <c r="BF47" i="3"/>
  <c r="BF47" i="3" a="1"/>
  <c r="BE47" i="3"/>
  <c r="BG47" i="3" s="1"/>
  <c r="BC47" i="3"/>
  <c r="AZ47" i="3"/>
  <c r="AZ47" i="3" a="1"/>
  <c r="AY47" i="3"/>
  <c r="BA47" i="3" s="1"/>
  <c r="AV47" i="3"/>
  <c r="AS47" i="3"/>
  <c r="AP47" i="3"/>
  <c r="AM47" i="3"/>
  <c r="AK47" i="3"/>
  <c r="AJ47" i="3"/>
  <c r="AH47" i="3" a="1"/>
  <c r="AH47" i="3" s="1"/>
  <c r="AG47" i="3"/>
  <c r="AI47" i="3" s="1"/>
  <c r="AE47" i="3"/>
  <c r="AD47" i="3"/>
  <c r="AF47" i="3" s="1"/>
  <c r="AB47" i="3"/>
  <c r="AB47" i="3" a="1"/>
  <c r="AA47" i="3"/>
  <c r="AC47" i="3" s="1"/>
  <c r="Y47" i="3"/>
  <c r="W47" i="3"/>
  <c r="V47" i="3"/>
  <c r="V47" i="3" a="1"/>
  <c r="U47" i="3"/>
  <c r="R47" i="3"/>
  <c r="Q47" i="3"/>
  <c r="P47" i="3"/>
  <c r="P47" i="3" a="1"/>
  <c r="O47" i="3"/>
  <c r="M47" i="3"/>
  <c r="L47" i="3"/>
  <c r="N47" i="3" s="1"/>
  <c r="J47" i="3"/>
  <c r="J47" i="3" a="1"/>
  <c r="G47" i="3"/>
  <c r="F47" i="3"/>
  <c r="H47" i="3" s="1"/>
  <c r="E47" i="3"/>
  <c r="D47" i="3"/>
  <c r="C47" i="3"/>
  <c r="EL47" i="3" s="1" a="1"/>
  <c r="EL47" i="3" s="1"/>
  <c r="EM47" i="3" s="1"/>
  <c r="B47" i="3"/>
  <c r="A47" i="3"/>
  <c r="EY46" i="3"/>
  <c r="EX46" i="3"/>
  <c r="EX46" i="3" a="1"/>
  <c r="ER46" i="3" a="1"/>
  <c r="ER46" i="3" s="1"/>
  <c r="ES46" i="3" s="1"/>
  <c r="EJ46" i="3"/>
  <c r="EI46" i="3"/>
  <c r="EF46" i="3" a="1"/>
  <c r="EF46" i="3" s="1"/>
  <c r="EG46" i="3" s="1"/>
  <c r="EA46" i="3"/>
  <c r="DZ46" i="3" a="1"/>
  <c r="DZ46" i="3" s="1"/>
  <c r="DW46" i="3"/>
  <c r="DX46" i="3" s="1"/>
  <c r="DQ46" i="3"/>
  <c r="DR46" i="3" s="1"/>
  <c r="DH46" i="3" a="1"/>
  <c r="DH46" i="3" s="1"/>
  <c r="DI46" i="3" s="1"/>
  <c r="DB46" i="3" a="1"/>
  <c r="DB46" i="3" s="1"/>
  <c r="DA46" i="3"/>
  <c r="DC46" i="3" s="1"/>
  <c r="CX46" i="3"/>
  <c r="CV46" i="3" a="1"/>
  <c r="CV46" i="3" s="1"/>
  <c r="CU46" i="3"/>
  <c r="CW46" i="3" s="1"/>
  <c r="CS46" i="3"/>
  <c r="CR46" i="3"/>
  <c r="CP46" i="3" a="1"/>
  <c r="CP46" i="3" s="1"/>
  <c r="CM46" i="3"/>
  <c r="CL46" i="3"/>
  <c r="CN46" i="3" s="1"/>
  <c r="CI46" i="3"/>
  <c r="CH46" i="3"/>
  <c r="CG46" i="3"/>
  <c r="CF46" i="3"/>
  <c r="CC46" i="3"/>
  <c r="CA46" i="3"/>
  <c r="CB46" i="3" s="1"/>
  <c r="BZ46" i="3"/>
  <c r="BW46" i="3"/>
  <c r="BU46" i="3"/>
  <c r="BQ46" i="3"/>
  <c r="BN46" i="3"/>
  <c r="BK46" i="3"/>
  <c r="BI46" i="3"/>
  <c r="BH46" i="3"/>
  <c r="BJ46" i="3" s="1"/>
  <c r="BC46" i="3"/>
  <c r="BB46" i="3"/>
  <c r="BD46" i="3" s="1"/>
  <c r="AW46" i="3"/>
  <c r="AX46" i="3" s="1"/>
  <c r="AV46" i="3"/>
  <c r="AM46" i="3"/>
  <c r="AJ46" i="3"/>
  <c r="AG46" i="3"/>
  <c r="AE46" i="3"/>
  <c r="AD46" i="3"/>
  <c r="Y46" i="3"/>
  <c r="X46" i="3"/>
  <c r="Z46" i="3" s="1"/>
  <c r="S46" i="3"/>
  <c r="R46" i="3"/>
  <c r="T46" i="3" s="1"/>
  <c r="N46" i="3"/>
  <c r="M46" i="3"/>
  <c r="L46" i="3"/>
  <c r="G46" i="3"/>
  <c r="E46" i="3"/>
  <c r="D46" i="3"/>
  <c r="C46" i="3"/>
  <c r="B46" i="3"/>
  <c r="A46" i="3"/>
  <c r="EX45" i="3" a="1"/>
  <c r="EX45" i="3" s="1"/>
  <c r="EY45" i="3" s="1"/>
  <c r="EU45" i="3"/>
  <c r="EV45" i="3" s="1"/>
  <c r="EO45" i="3"/>
  <c r="EP45" i="3" s="1"/>
  <c r="EI45" i="3"/>
  <c r="EJ45" i="3" s="1"/>
  <c r="EF45" i="3" a="1"/>
  <c r="EF45" i="3" s="1"/>
  <c r="EG45" i="3" s="1"/>
  <c r="DZ45" i="3" a="1"/>
  <c r="DZ45" i="3" s="1"/>
  <c r="EA45" i="3" s="1"/>
  <c r="DT45" i="3" a="1"/>
  <c r="DT45" i="3" s="1"/>
  <c r="DU45" i="3" s="1"/>
  <c r="DQ45" i="3"/>
  <c r="DR45" i="3" s="1"/>
  <c r="DN45" i="3" a="1"/>
  <c r="DN45" i="3" s="1"/>
  <c r="DO45" i="3" s="1"/>
  <c r="DK45" i="3"/>
  <c r="DL45" i="3" s="1"/>
  <c r="DE45" i="3"/>
  <c r="DF45" i="3" s="1"/>
  <c r="CY45" i="3"/>
  <c r="CZ45" i="3" s="1"/>
  <c r="CX45" i="3"/>
  <c r="CU45" i="3"/>
  <c r="CS45" i="3"/>
  <c r="CR45" i="3"/>
  <c r="CT45" i="3" s="1"/>
  <c r="CP45" i="3" a="1"/>
  <c r="CP45" i="3" s="1"/>
  <c r="CO45" i="3"/>
  <c r="CM45" i="3"/>
  <c r="CJ45" i="3" a="1"/>
  <c r="CJ45" i="3" s="1"/>
  <c r="CI45" i="3"/>
  <c r="CD45" i="3"/>
  <c r="CE45" i="3" s="1"/>
  <c r="CD45" i="3" a="1"/>
  <c r="CC45" i="3"/>
  <c r="BZ45" i="3"/>
  <c r="BX45" i="3"/>
  <c r="BX45" i="3" a="1"/>
  <c r="BU45" i="3"/>
  <c r="BT45" i="3"/>
  <c r="BO45" i="3"/>
  <c r="BN45" i="3"/>
  <c r="BP45" i="3" s="1"/>
  <c r="BK45" i="3"/>
  <c r="BI45" i="3"/>
  <c r="BH45" i="3"/>
  <c r="BJ45" i="3" s="1"/>
  <c r="BF45" i="3" a="1"/>
  <c r="BF45" i="3" s="1"/>
  <c r="BE45" i="3"/>
  <c r="BG45" i="3" s="1"/>
  <c r="BC45" i="3"/>
  <c r="AZ45" i="3"/>
  <c r="AZ45" i="3" a="1"/>
  <c r="AY45" i="3"/>
  <c r="AS45" i="3"/>
  <c r="AP45" i="3"/>
  <c r="AK45" i="3"/>
  <c r="AJ45" i="3"/>
  <c r="AL45" i="3" s="1"/>
  <c r="AG45" i="3"/>
  <c r="AE45" i="3"/>
  <c r="AD45" i="3"/>
  <c r="AF45" i="3" s="1"/>
  <c r="AB45" i="3" a="1"/>
  <c r="AB45" i="3" s="1"/>
  <c r="AA45" i="3"/>
  <c r="AC45" i="3" s="1"/>
  <c r="Y45" i="3"/>
  <c r="V45" i="3"/>
  <c r="V45" i="3" a="1"/>
  <c r="U45" i="3"/>
  <c r="P45" i="3" a="1"/>
  <c r="P45" i="3" s="1"/>
  <c r="O45" i="3"/>
  <c r="L45" i="3"/>
  <c r="J45" i="3" a="1"/>
  <c r="J45" i="3" s="1"/>
  <c r="G45" i="3"/>
  <c r="F45" i="3"/>
  <c r="E45" i="3"/>
  <c r="D45" i="3"/>
  <c r="C45" i="3"/>
  <c r="ER45" i="3" s="1" a="1"/>
  <c r="ER45" i="3" s="1"/>
  <c r="ES45" i="3" s="1"/>
  <c r="B45" i="3"/>
  <c r="A45" i="3"/>
  <c r="EX44" i="3" a="1"/>
  <c r="EX44" i="3" s="1"/>
  <c r="EY44" i="3" s="1"/>
  <c r="ER44" i="3"/>
  <c r="ES44" i="3" s="1"/>
  <c r="EL44" i="3"/>
  <c r="EM44" i="3" s="1"/>
  <c r="EL44" i="3" a="1"/>
  <c r="EI44" i="3"/>
  <c r="EJ44" i="3" s="1"/>
  <c r="EC44" i="3"/>
  <c r="ED44" i="3" s="1"/>
  <c r="DW44" i="3"/>
  <c r="DX44" i="3" s="1"/>
  <c r="DT44" i="3" a="1"/>
  <c r="DT44" i="3" s="1"/>
  <c r="DU44" i="3" s="1"/>
  <c r="DQ44" i="3"/>
  <c r="DR44" i="3" s="1"/>
  <c r="DI44" i="3"/>
  <c r="DH44" i="3"/>
  <c r="DH44" i="3" a="1"/>
  <c r="DB44" i="3" a="1"/>
  <c r="DB44" i="3" s="1"/>
  <c r="DA44" i="3"/>
  <c r="CY44" i="3"/>
  <c r="CV44" i="3" a="1"/>
  <c r="CV44" i="3" s="1"/>
  <c r="CU44" i="3"/>
  <c r="CW44" i="3" s="1"/>
  <c r="CR44" i="3"/>
  <c r="CP44" i="3" a="1"/>
  <c r="CP44" i="3" s="1"/>
  <c r="CO44" i="3"/>
  <c r="CQ44" i="3" s="1"/>
  <c r="CM44" i="3"/>
  <c r="CL44" i="3"/>
  <c r="CN44" i="3" s="1"/>
  <c r="CJ44" i="3" a="1"/>
  <c r="CJ44" i="3" s="1"/>
  <c r="CG44" i="3"/>
  <c r="CF44" i="3"/>
  <c r="CC44" i="3"/>
  <c r="CA44" i="3"/>
  <c r="BZ44" i="3"/>
  <c r="CB44" i="3" s="1"/>
  <c r="BW44" i="3"/>
  <c r="BV44" i="3"/>
  <c r="BU44" i="3"/>
  <c r="BT44" i="3"/>
  <c r="BQ44" i="3"/>
  <c r="BO44" i="3"/>
  <c r="BK44" i="3"/>
  <c r="BH44" i="3"/>
  <c r="BE44" i="3"/>
  <c r="BC44" i="3"/>
  <c r="BB44" i="3"/>
  <c r="AW44" i="3"/>
  <c r="AX44" i="3" s="1"/>
  <c r="AV44" i="3"/>
  <c r="AP44" i="3"/>
  <c r="AM44" i="3"/>
  <c r="AK44" i="3"/>
  <c r="AG44" i="3"/>
  <c r="AD44" i="3"/>
  <c r="AA44" i="3"/>
  <c r="Y44" i="3"/>
  <c r="X44" i="3"/>
  <c r="Z44" i="3" s="1"/>
  <c r="S44" i="3"/>
  <c r="T44" i="3" s="1"/>
  <c r="R44" i="3"/>
  <c r="M44" i="3"/>
  <c r="N44" i="3" s="1"/>
  <c r="L44" i="3"/>
  <c r="J44" i="3" a="1"/>
  <c r="J44" i="3" s="1"/>
  <c r="G44" i="3"/>
  <c r="F44" i="3"/>
  <c r="E44" i="3"/>
  <c r="D44" i="3"/>
  <c r="C44" i="3"/>
  <c r="ER44" i="3" s="1" a="1"/>
  <c r="B44" i="3"/>
  <c r="A44" i="3"/>
  <c r="EU43" i="3"/>
  <c r="EV43" i="3" s="1"/>
  <c r="ES43" i="3"/>
  <c r="ER43" i="3"/>
  <c r="ER43" i="3" a="1"/>
  <c r="EL43" i="3" a="1"/>
  <c r="EL43" i="3" s="1"/>
  <c r="EM43" i="3" s="1"/>
  <c r="EF43" i="3"/>
  <c r="EG43" i="3" s="1"/>
  <c r="EF43" i="3" a="1"/>
  <c r="EC43" i="3"/>
  <c r="ED43" i="3" s="1"/>
  <c r="DZ43" i="3" a="1"/>
  <c r="DZ43" i="3" s="1"/>
  <c r="EA43" i="3" s="1"/>
  <c r="DW43" i="3"/>
  <c r="DX43" i="3" s="1"/>
  <c r="DQ43" i="3"/>
  <c r="DR43" i="3" s="1"/>
  <c r="DK43" i="3"/>
  <c r="DL43" i="3" s="1"/>
  <c r="DH43" i="3" a="1"/>
  <c r="DH43" i="3" s="1"/>
  <c r="DI43" i="3" s="1"/>
  <c r="DB43" i="3"/>
  <c r="DC43" i="3" s="1"/>
  <c r="DB43" i="3" a="1"/>
  <c r="DA43" i="3"/>
  <c r="CV43" i="3" a="1"/>
  <c r="CV43" i="3" s="1"/>
  <c r="CS43" i="3"/>
  <c r="CR43" i="3"/>
  <c r="CM43" i="3"/>
  <c r="CL43" i="3"/>
  <c r="CG43" i="3"/>
  <c r="CF43" i="3"/>
  <c r="CH43" i="3" s="1"/>
  <c r="CD43" i="3" a="1"/>
  <c r="CD43" i="3" s="1"/>
  <c r="CC43" i="3"/>
  <c r="CA43" i="3"/>
  <c r="BX43" i="3"/>
  <c r="BX43" i="3" a="1"/>
  <c r="BW43" i="3"/>
  <c r="BY43" i="3" s="1"/>
  <c r="BR43" i="3" a="1"/>
  <c r="BR43" i="3" s="1"/>
  <c r="BQ43" i="3"/>
  <c r="BN43" i="3"/>
  <c r="BL43" i="3" a="1"/>
  <c r="BL43" i="3" s="1"/>
  <c r="BI43" i="3"/>
  <c r="BH43" i="3"/>
  <c r="BC43" i="3"/>
  <c r="BB43" i="3"/>
  <c r="AY43" i="3"/>
  <c r="AV43" i="3"/>
  <c r="AS43" i="3"/>
  <c r="AN43" i="3" a="1"/>
  <c r="AN43" i="3" s="1"/>
  <c r="AM43" i="3"/>
  <c r="AJ43" i="3"/>
  <c r="AH43" i="3" a="1"/>
  <c r="AH43" i="3" s="1"/>
  <c r="AE43" i="3"/>
  <c r="AD43" i="3"/>
  <c r="Y43" i="3"/>
  <c r="X43" i="3"/>
  <c r="Z43" i="3" s="1"/>
  <c r="U43" i="3"/>
  <c r="R43" i="3"/>
  <c r="P43" i="3" a="1"/>
  <c r="P43" i="3" s="1"/>
  <c r="O43" i="3"/>
  <c r="M43" i="3"/>
  <c r="J43" i="3" a="1"/>
  <c r="J43" i="3" s="1"/>
  <c r="I43" i="3"/>
  <c r="E43" i="3"/>
  <c r="D43" i="3"/>
  <c r="C43" i="3"/>
  <c r="B43" i="3"/>
  <c r="A43" i="3"/>
  <c r="EX42" i="3" a="1"/>
  <c r="EX42" i="3" s="1"/>
  <c r="EY42" i="3" s="1"/>
  <c r="EV42" i="3"/>
  <c r="EU42" i="3"/>
  <c r="ER42" i="3" a="1"/>
  <c r="ER42" i="3" s="1"/>
  <c r="ES42" i="3" s="1"/>
  <c r="EO42" i="3"/>
  <c r="EP42" i="3" s="1"/>
  <c r="EM42" i="3"/>
  <c r="EI42" i="3"/>
  <c r="EJ42" i="3" s="1"/>
  <c r="EC42" i="3"/>
  <c r="ED42" i="3" s="1"/>
  <c r="EA42" i="3"/>
  <c r="DZ42" i="3" a="1"/>
  <c r="DZ42" i="3" s="1"/>
  <c r="DT42" i="3" a="1"/>
  <c r="DT42" i="3" s="1"/>
  <c r="DU42" i="3" s="1"/>
  <c r="DR42" i="3"/>
  <c r="DQ42" i="3"/>
  <c r="DN42" i="3"/>
  <c r="DO42" i="3" s="1"/>
  <c r="DN42" i="3" a="1"/>
  <c r="DK42" i="3"/>
  <c r="DL42" i="3" s="1"/>
  <c r="DH42" i="3" a="1"/>
  <c r="DH42" i="3" s="1"/>
  <c r="DI42" i="3" s="1"/>
  <c r="DF42" i="3"/>
  <c r="DE42" i="3"/>
  <c r="DA42" i="3"/>
  <c r="CY42" i="3"/>
  <c r="CX42" i="3"/>
  <c r="CV42" i="3" a="1"/>
  <c r="CV42" i="3" s="1"/>
  <c r="CU42" i="3"/>
  <c r="CS42" i="3"/>
  <c r="CT42" i="3" s="1"/>
  <c r="CR42" i="3"/>
  <c r="CP42" i="3"/>
  <c r="CP42" i="3" a="1"/>
  <c r="CO42" i="3"/>
  <c r="CM42" i="3"/>
  <c r="CJ42" i="3" a="1"/>
  <c r="CJ42" i="3" s="1"/>
  <c r="CK42" i="3" s="1"/>
  <c r="CI42" i="3"/>
  <c r="CF42" i="3"/>
  <c r="CD42" i="3"/>
  <c r="CE42" i="3" s="1"/>
  <c r="CD42" i="3" a="1"/>
  <c r="CC42" i="3"/>
  <c r="CA42" i="3"/>
  <c r="BZ42" i="3"/>
  <c r="BX42" i="3"/>
  <c r="BX42" i="3" a="1"/>
  <c r="BV42" i="3"/>
  <c r="BU42" i="3"/>
  <c r="BT42" i="3"/>
  <c r="BQ42" i="3"/>
  <c r="BO42" i="3"/>
  <c r="BP42" i="3" s="1"/>
  <c r="BN42" i="3"/>
  <c r="BL42" i="3" a="1"/>
  <c r="BL42" i="3" s="1"/>
  <c r="BK42" i="3"/>
  <c r="BM42" i="3" s="1"/>
  <c r="BJ42" i="3"/>
  <c r="BI42" i="3"/>
  <c r="BH42" i="3"/>
  <c r="BF42" i="3"/>
  <c r="BF42" i="3" a="1"/>
  <c r="BE42" i="3"/>
  <c r="BG42" i="3" s="1"/>
  <c r="BC42" i="3"/>
  <c r="BA42" i="3"/>
  <c r="AZ42" i="3"/>
  <c r="AZ42" i="3" a="1"/>
  <c r="AY42" i="3"/>
  <c r="AV42" i="3"/>
  <c r="AS42" i="3"/>
  <c r="AP42" i="3"/>
  <c r="AM42" i="3"/>
  <c r="AK42" i="3"/>
  <c r="AJ42" i="3"/>
  <c r="AL42" i="3" s="1"/>
  <c r="AH42" i="3" a="1"/>
  <c r="AH42" i="3" s="1"/>
  <c r="AG42" i="3"/>
  <c r="AI42" i="3" s="1"/>
  <c r="AE42" i="3"/>
  <c r="AF42" i="3" s="1"/>
  <c r="AD42" i="3"/>
  <c r="AB42" i="3"/>
  <c r="AB42" i="3" a="1"/>
  <c r="AA42" i="3"/>
  <c r="AC42" i="3" s="1"/>
  <c r="Y42" i="3"/>
  <c r="V42" i="3"/>
  <c r="V42" i="3" a="1"/>
  <c r="U42" i="3"/>
  <c r="W42" i="3" s="1"/>
  <c r="R42" i="3"/>
  <c r="P42" i="3"/>
  <c r="P42" i="3" a="1"/>
  <c r="O42" i="3"/>
  <c r="Q42" i="3" s="1"/>
  <c r="M42" i="3"/>
  <c r="L42" i="3"/>
  <c r="J42" i="3"/>
  <c r="J42" i="3" a="1"/>
  <c r="H42" i="3"/>
  <c r="G42" i="3"/>
  <c r="F42" i="3"/>
  <c r="E42" i="3"/>
  <c r="D42" i="3"/>
  <c r="C42" i="3"/>
  <c r="EL42" i="3" s="1" a="1"/>
  <c r="EL42" i="3" s="1"/>
  <c r="B42" i="3"/>
  <c r="A42" i="3"/>
  <c r="EX41" i="3" a="1"/>
  <c r="EX41" i="3" s="1"/>
  <c r="EY41" i="3" s="1"/>
  <c r="ER41" i="3"/>
  <c r="ES41" i="3" s="1"/>
  <c r="ER41" i="3" a="1"/>
  <c r="EI41" i="3"/>
  <c r="EJ41" i="3" s="1"/>
  <c r="EF41" i="3"/>
  <c r="EG41" i="3" s="1"/>
  <c r="EF41" i="3" a="1"/>
  <c r="EA41" i="3"/>
  <c r="DZ41" i="3" a="1"/>
  <c r="DZ41" i="3" s="1"/>
  <c r="DW41" i="3"/>
  <c r="DX41" i="3" s="1"/>
  <c r="DR41" i="3"/>
  <c r="DQ41" i="3"/>
  <c r="DH41" i="3" a="1"/>
  <c r="DH41" i="3" s="1"/>
  <c r="DI41" i="3" s="1"/>
  <c r="DB41" i="3" a="1"/>
  <c r="DB41" i="3" s="1"/>
  <c r="DA41" i="3"/>
  <c r="CX41" i="3"/>
  <c r="CV41" i="3" a="1"/>
  <c r="CV41" i="3" s="1"/>
  <c r="CU41" i="3"/>
  <c r="CS41" i="3"/>
  <c r="CR41" i="3"/>
  <c r="CP41" i="3" a="1"/>
  <c r="CP41" i="3" s="1"/>
  <c r="CN41" i="3"/>
  <c r="CM41" i="3"/>
  <c r="CL41" i="3"/>
  <c r="CI41" i="3"/>
  <c r="CG41" i="3"/>
  <c r="CF41" i="3"/>
  <c r="CC41" i="3"/>
  <c r="CA41" i="3"/>
  <c r="CB41" i="3" s="1"/>
  <c r="BZ41" i="3"/>
  <c r="BW41" i="3"/>
  <c r="BU41" i="3"/>
  <c r="BQ41" i="3"/>
  <c r="BN41" i="3"/>
  <c r="BK41" i="3"/>
  <c r="BI41" i="3"/>
  <c r="BH41" i="3"/>
  <c r="BJ41" i="3" s="1"/>
  <c r="BD41" i="3"/>
  <c r="BC41" i="3"/>
  <c r="BB41" i="3"/>
  <c r="AW41" i="3"/>
  <c r="AV41" i="3"/>
  <c r="AX41" i="3" s="1"/>
  <c r="AM41" i="3"/>
  <c r="AJ41" i="3"/>
  <c r="AG41" i="3"/>
  <c r="AE41" i="3"/>
  <c r="AD41" i="3"/>
  <c r="AF41" i="3" s="1"/>
  <c r="Y41" i="3"/>
  <c r="X41" i="3"/>
  <c r="Z41" i="3" s="1"/>
  <c r="S41" i="3"/>
  <c r="R41" i="3"/>
  <c r="T41" i="3" s="1"/>
  <c r="M41" i="3"/>
  <c r="L41" i="3"/>
  <c r="N41" i="3" s="1"/>
  <c r="G41" i="3"/>
  <c r="E41" i="3"/>
  <c r="D41" i="3"/>
  <c r="C41" i="3"/>
  <c r="B41" i="3"/>
  <c r="A41" i="3"/>
  <c r="EX40" i="3"/>
  <c r="EY40" i="3" s="1"/>
  <c r="EX40" i="3" a="1"/>
  <c r="EV40" i="3"/>
  <c r="EU40" i="3"/>
  <c r="ES40" i="3"/>
  <c r="ER40" i="3" a="1"/>
  <c r="ER40" i="3" s="1"/>
  <c r="EO40" i="3"/>
  <c r="EP40" i="3" s="1"/>
  <c r="EM40" i="3"/>
  <c r="EL40" i="3"/>
  <c r="EJ40" i="3"/>
  <c r="EI40" i="3"/>
  <c r="EF40" i="3" a="1"/>
  <c r="EF40" i="3" s="1"/>
  <c r="EG40" i="3" s="1"/>
  <c r="EC40" i="3"/>
  <c r="ED40" i="3" s="1"/>
  <c r="DZ40" i="3" a="1"/>
  <c r="DZ40" i="3" s="1"/>
  <c r="EA40" i="3" s="1"/>
  <c r="DU40" i="3"/>
  <c r="DT40" i="3"/>
  <c r="DT40" i="3" a="1"/>
  <c r="DQ40" i="3"/>
  <c r="DR40" i="3" s="1"/>
  <c r="DN40" i="3"/>
  <c r="DO40" i="3" s="1"/>
  <c r="DN40" i="3" a="1"/>
  <c r="DL40" i="3"/>
  <c r="DK40" i="3"/>
  <c r="DH40" i="3" a="1"/>
  <c r="DH40" i="3" s="1"/>
  <c r="DI40" i="3" s="1"/>
  <c r="DE40" i="3"/>
  <c r="DF40" i="3" s="1"/>
  <c r="DA40" i="3"/>
  <c r="CY40" i="3"/>
  <c r="CZ40" i="3" s="1"/>
  <c r="CX40" i="3"/>
  <c r="CW40" i="3"/>
  <c r="CV40" i="3" a="1"/>
  <c r="CV40" i="3" s="1"/>
  <c r="CU40" i="3"/>
  <c r="CS40" i="3"/>
  <c r="CT40" i="3" s="1"/>
  <c r="CR40" i="3"/>
  <c r="CP40" i="3"/>
  <c r="CP40" i="3" a="1"/>
  <c r="CO40" i="3"/>
  <c r="CM40" i="3"/>
  <c r="CJ40" i="3"/>
  <c r="CK40" i="3" s="1"/>
  <c r="CJ40" i="3" a="1"/>
  <c r="CI40" i="3"/>
  <c r="CF40" i="3"/>
  <c r="CD40" i="3"/>
  <c r="CE40" i="3" s="1"/>
  <c r="CD40" i="3" a="1"/>
  <c r="CC40" i="3"/>
  <c r="CA40" i="3"/>
  <c r="BZ40" i="3"/>
  <c r="BX40" i="3"/>
  <c r="BX40" i="3" a="1"/>
  <c r="BU40" i="3"/>
  <c r="BT40" i="3"/>
  <c r="BV40" i="3" s="1"/>
  <c r="BQ40" i="3"/>
  <c r="BO40" i="3"/>
  <c r="BN40" i="3"/>
  <c r="BP40" i="3" s="1"/>
  <c r="BL40" i="3" a="1"/>
  <c r="BL40" i="3" s="1"/>
  <c r="BM40" i="3" s="1"/>
  <c r="BK40" i="3"/>
  <c r="BI40" i="3"/>
  <c r="BH40" i="3"/>
  <c r="BF40" i="3" a="1"/>
  <c r="BF40" i="3" s="1"/>
  <c r="BE40" i="3"/>
  <c r="BC40" i="3"/>
  <c r="AZ40" i="3" a="1"/>
  <c r="AZ40" i="3" s="1"/>
  <c r="BA40" i="3" s="1"/>
  <c r="AY40" i="3"/>
  <c r="AV40" i="3"/>
  <c r="AS40" i="3"/>
  <c r="AP40" i="3"/>
  <c r="AM40" i="3"/>
  <c r="AK40" i="3"/>
  <c r="AJ40" i="3"/>
  <c r="AI40" i="3"/>
  <c r="AH40" i="3" a="1"/>
  <c r="AH40" i="3" s="1"/>
  <c r="AG40" i="3"/>
  <c r="AE40" i="3"/>
  <c r="AD40" i="3"/>
  <c r="AF40" i="3" s="1"/>
  <c r="AB40" i="3" a="1"/>
  <c r="AB40" i="3" s="1"/>
  <c r="AA40" i="3"/>
  <c r="Y40" i="3"/>
  <c r="V40" i="3" a="1"/>
  <c r="V40" i="3" s="1"/>
  <c r="W40" i="3" s="1"/>
  <c r="U40" i="3"/>
  <c r="R40" i="3"/>
  <c r="Q40" i="3"/>
  <c r="P40" i="3" a="1"/>
  <c r="P40" i="3" s="1"/>
  <c r="O40" i="3"/>
  <c r="M40" i="3"/>
  <c r="L40" i="3"/>
  <c r="N40" i="3" s="1"/>
  <c r="J40" i="3" a="1"/>
  <c r="J40" i="3" s="1"/>
  <c r="G40" i="3"/>
  <c r="F40" i="3"/>
  <c r="E40" i="3"/>
  <c r="D40" i="3"/>
  <c r="C40" i="3"/>
  <c r="EL40" i="3" s="1" a="1"/>
  <c r="B40" i="3"/>
  <c r="A40" i="3"/>
  <c r="EX39" i="3" a="1"/>
  <c r="EX39" i="3" s="1"/>
  <c r="EY39" i="3" s="1"/>
  <c r="EU39" i="3"/>
  <c r="EV39" i="3" s="1"/>
  <c r="EL39" i="3"/>
  <c r="EM39" i="3" s="1"/>
  <c r="EL39" i="3" a="1"/>
  <c r="EF39" i="3"/>
  <c r="EG39" i="3" s="1"/>
  <c r="EF39" i="3" a="1"/>
  <c r="ED39" i="3"/>
  <c r="EC39" i="3"/>
  <c r="DX39" i="3"/>
  <c r="DW39" i="3"/>
  <c r="DN39" i="3" a="1"/>
  <c r="DN39" i="3" s="1"/>
  <c r="DO39" i="3" s="1"/>
  <c r="DK39" i="3"/>
  <c r="DL39" i="3" s="1"/>
  <c r="DH39" i="3" a="1"/>
  <c r="DH39" i="3" s="1"/>
  <c r="DI39" i="3" s="1"/>
  <c r="CY39" i="3"/>
  <c r="CX39" i="3"/>
  <c r="CZ39" i="3" s="1"/>
  <c r="CU39" i="3"/>
  <c r="CS39" i="3"/>
  <c r="CR39" i="3"/>
  <c r="CT39" i="3" s="1"/>
  <c r="CP39" i="3" a="1"/>
  <c r="CP39" i="3" s="1"/>
  <c r="CO39" i="3"/>
  <c r="CM39" i="3"/>
  <c r="CJ39" i="3" a="1"/>
  <c r="CJ39" i="3" s="1"/>
  <c r="CI39" i="3"/>
  <c r="CD39" i="3" a="1"/>
  <c r="CD39" i="3" s="1"/>
  <c r="CC39" i="3"/>
  <c r="BZ39" i="3"/>
  <c r="BX39" i="3"/>
  <c r="BX39" i="3" a="1"/>
  <c r="BU39" i="3"/>
  <c r="BT39" i="3"/>
  <c r="BV39" i="3" s="1"/>
  <c r="BP39" i="3"/>
  <c r="BO39" i="3"/>
  <c r="BN39" i="3"/>
  <c r="BK39" i="3"/>
  <c r="BI39" i="3"/>
  <c r="BJ39" i="3" s="1"/>
  <c r="BH39" i="3"/>
  <c r="BF39" i="3" a="1"/>
  <c r="BF39" i="3" s="1"/>
  <c r="BE39" i="3"/>
  <c r="BC39" i="3"/>
  <c r="AZ39" i="3"/>
  <c r="AZ39" i="3" a="1"/>
  <c r="AY39" i="3"/>
  <c r="AS39" i="3"/>
  <c r="AP39" i="3"/>
  <c r="AK39" i="3"/>
  <c r="AJ39" i="3"/>
  <c r="AL39" i="3" s="1"/>
  <c r="AG39" i="3"/>
  <c r="AE39" i="3"/>
  <c r="AF39" i="3" s="1"/>
  <c r="AD39" i="3"/>
  <c r="AB39" i="3" a="1"/>
  <c r="AB39" i="3" s="1"/>
  <c r="AA39" i="3"/>
  <c r="Y39" i="3"/>
  <c r="V39" i="3"/>
  <c r="V39" i="3" a="1"/>
  <c r="U39" i="3"/>
  <c r="W39" i="3" s="1"/>
  <c r="P39" i="3" a="1"/>
  <c r="P39" i="3" s="1"/>
  <c r="Q39" i="3" s="1"/>
  <c r="O39" i="3"/>
  <c r="L39" i="3"/>
  <c r="J39" i="3"/>
  <c r="J39" i="3" a="1"/>
  <c r="G39" i="3"/>
  <c r="F39" i="3"/>
  <c r="E39" i="3"/>
  <c r="D39" i="3"/>
  <c r="C39" i="3"/>
  <c r="B39" i="3"/>
  <c r="A39" i="3"/>
  <c r="EI38" i="3"/>
  <c r="EJ38" i="3" s="1"/>
  <c r="EC38" i="3"/>
  <c r="ED38" i="3" s="1"/>
  <c r="DN38" i="3" a="1"/>
  <c r="DN38" i="3" s="1"/>
  <c r="DO38" i="3" s="1"/>
  <c r="DB38" i="3" a="1"/>
  <c r="DB38" i="3" s="1"/>
  <c r="CM38" i="3"/>
  <c r="CL38" i="3"/>
  <c r="CF38" i="3"/>
  <c r="CA38" i="3"/>
  <c r="BQ38" i="3"/>
  <c r="BC38" i="3"/>
  <c r="AM38" i="3"/>
  <c r="Y38" i="3"/>
  <c r="O38" i="3"/>
  <c r="J38" i="3" a="1"/>
  <c r="J38" i="3" s="1"/>
  <c r="E38" i="3"/>
  <c r="D38" i="3"/>
  <c r="C38" i="3"/>
  <c r="B38" i="3"/>
  <c r="A38" i="3"/>
  <c r="EX37" i="3" a="1"/>
  <c r="EX37" i="3" s="1"/>
  <c r="EY37" i="3" s="1"/>
  <c r="EV37" i="3"/>
  <c r="EU37" i="3"/>
  <c r="ES37" i="3"/>
  <c r="EO37" i="3"/>
  <c r="EP37" i="3" s="1"/>
  <c r="EI37" i="3"/>
  <c r="EJ37" i="3" s="1"/>
  <c r="EG37" i="3"/>
  <c r="EF37" i="3" a="1"/>
  <c r="EF37" i="3" s="1"/>
  <c r="DZ37" i="3" a="1"/>
  <c r="DZ37" i="3" s="1"/>
  <c r="EA37" i="3" s="1"/>
  <c r="DT37" i="3" a="1"/>
  <c r="DT37" i="3" s="1"/>
  <c r="DU37" i="3" s="1"/>
  <c r="DQ37" i="3"/>
  <c r="DR37" i="3" s="1"/>
  <c r="DN37" i="3" a="1"/>
  <c r="DN37" i="3" s="1"/>
  <c r="DO37" i="3" s="1"/>
  <c r="DL37" i="3"/>
  <c r="DK37" i="3"/>
  <c r="DE37" i="3"/>
  <c r="DF37" i="3" s="1"/>
  <c r="CY37" i="3"/>
  <c r="CZ37" i="3" s="1"/>
  <c r="CX37" i="3"/>
  <c r="CU37" i="3"/>
  <c r="CT37" i="3"/>
  <c r="CS37" i="3"/>
  <c r="CR37" i="3"/>
  <c r="CP37" i="3" a="1"/>
  <c r="CP37" i="3" s="1"/>
  <c r="CO37" i="3"/>
  <c r="CQ37" i="3" s="1"/>
  <c r="CM37" i="3"/>
  <c r="CJ37" i="3" a="1"/>
  <c r="CJ37" i="3" s="1"/>
  <c r="CI37" i="3"/>
  <c r="CD37" i="3"/>
  <c r="CE37" i="3" s="1"/>
  <c r="CD37" i="3" a="1"/>
  <c r="CC37" i="3"/>
  <c r="BZ37" i="3"/>
  <c r="BX37" i="3" a="1"/>
  <c r="BX37" i="3" s="1"/>
  <c r="BU37" i="3"/>
  <c r="BT37" i="3"/>
  <c r="BV37" i="3" s="1"/>
  <c r="BP37" i="3"/>
  <c r="BO37" i="3"/>
  <c r="BN37" i="3"/>
  <c r="BK37" i="3"/>
  <c r="BI37" i="3"/>
  <c r="BH37" i="3"/>
  <c r="BJ37" i="3" s="1"/>
  <c r="BF37" i="3" a="1"/>
  <c r="BF37" i="3" s="1"/>
  <c r="BE37" i="3"/>
  <c r="BG37" i="3" s="1"/>
  <c r="BC37" i="3"/>
  <c r="AZ37" i="3" a="1"/>
  <c r="AZ37" i="3" s="1"/>
  <c r="AY37" i="3"/>
  <c r="AS37" i="3"/>
  <c r="AP37" i="3"/>
  <c r="AL37" i="3"/>
  <c r="AK37" i="3"/>
  <c r="AJ37" i="3"/>
  <c r="AG37" i="3"/>
  <c r="AF37" i="3"/>
  <c r="AE37" i="3"/>
  <c r="AD37" i="3"/>
  <c r="AB37" i="3" a="1"/>
  <c r="AB37" i="3" s="1"/>
  <c r="AA37" i="3"/>
  <c r="AC37" i="3" s="1"/>
  <c r="Y37" i="3"/>
  <c r="V37" i="3"/>
  <c r="V37" i="3" a="1"/>
  <c r="U37" i="3"/>
  <c r="P37" i="3" a="1"/>
  <c r="P37" i="3" s="1"/>
  <c r="O37" i="3"/>
  <c r="L37" i="3"/>
  <c r="J37" i="3" a="1"/>
  <c r="J37" i="3" s="1"/>
  <c r="G37" i="3"/>
  <c r="F37" i="3"/>
  <c r="H37" i="3" s="1"/>
  <c r="E37" i="3"/>
  <c r="D37" i="3"/>
  <c r="C37" i="3"/>
  <c r="ER37" i="3" s="1" a="1"/>
  <c r="ER37" i="3" s="1"/>
  <c r="B37" i="3"/>
  <c r="A37" i="3"/>
  <c r="EL36" i="3" a="1"/>
  <c r="EL36" i="3" s="1"/>
  <c r="EM36" i="3" s="1"/>
  <c r="EC36" i="3"/>
  <c r="ED36" i="3" s="1"/>
  <c r="DW36" i="3"/>
  <c r="DX36" i="3" s="1"/>
  <c r="DH36" i="3" a="1"/>
  <c r="DH36" i="3" s="1"/>
  <c r="DI36" i="3" s="1"/>
  <c r="CV36" i="3" a="1"/>
  <c r="CV36" i="3" s="1"/>
  <c r="CP36" i="3"/>
  <c r="CP36" i="3" a="1"/>
  <c r="CM36" i="3"/>
  <c r="CF36" i="3"/>
  <c r="BX36" i="3" a="1"/>
  <c r="BX36" i="3" s="1"/>
  <c r="BL36" i="3"/>
  <c r="BL36" i="3" a="1"/>
  <c r="BC36" i="3"/>
  <c r="BB36" i="3"/>
  <c r="BD36" i="3" s="1"/>
  <c r="AV36" i="3"/>
  <c r="AN36" i="3" a="1"/>
  <c r="AN36" i="3" s="1"/>
  <c r="AM36" i="3"/>
  <c r="AO36" i="3" s="1"/>
  <c r="AK36" i="3"/>
  <c r="AG36" i="3"/>
  <c r="AD36" i="3"/>
  <c r="AA36" i="3"/>
  <c r="X36" i="3"/>
  <c r="R36" i="3"/>
  <c r="O36" i="3"/>
  <c r="J36" i="3" a="1"/>
  <c r="J36" i="3" s="1"/>
  <c r="I36" i="3"/>
  <c r="E36" i="3"/>
  <c r="D36" i="3"/>
  <c r="C36" i="3"/>
  <c r="CL36" i="3" s="1"/>
  <c r="CN36" i="3" s="1"/>
  <c r="B36" i="3"/>
  <c r="A36" i="3"/>
  <c r="EO35" i="3"/>
  <c r="EP35" i="3" s="1"/>
  <c r="EF35" i="3" a="1"/>
  <c r="EF35" i="3" s="1"/>
  <c r="EG35" i="3" s="1"/>
  <c r="DN35" i="3" a="1"/>
  <c r="DN35" i="3" s="1"/>
  <c r="DO35" i="3" s="1"/>
  <c r="DK35" i="3"/>
  <c r="DL35" i="3" s="1"/>
  <c r="CY35" i="3"/>
  <c r="CM35" i="3"/>
  <c r="BH35" i="3"/>
  <c r="BB35" i="3"/>
  <c r="AS35" i="3"/>
  <c r="AA35" i="3"/>
  <c r="E35" i="3"/>
  <c r="D35" i="3"/>
  <c r="C35" i="3"/>
  <c r="B35" i="3"/>
  <c r="A35" i="3"/>
  <c r="EX34" i="3" a="1"/>
  <c r="EX34" i="3" s="1"/>
  <c r="EY34" i="3" s="1"/>
  <c r="ER34" i="3"/>
  <c r="ES34" i="3" s="1"/>
  <c r="ER34" i="3" a="1"/>
  <c r="EI34" i="3"/>
  <c r="EJ34" i="3" s="1"/>
  <c r="EF34" i="3" a="1"/>
  <c r="EF34" i="3" s="1"/>
  <c r="EG34" i="3" s="1"/>
  <c r="ED34" i="3"/>
  <c r="EC34" i="3"/>
  <c r="DT34" i="3" a="1"/>
  <c r="DT34" i="3" s="1"/>
  <c r="DU34" i="3" s="1"/>
  <c r="DN34" i="3" a="1"/>
  <c r="DN34" i="3" s="1"/>
  <c r="DO34" i="3" s="1"/>
  <c r="DB34" i="3"/>
  <c r="DB34" i="3" a="1"/>
  <c r="DA34" i="3"/>
  <c r="CY34" i="3"/>
  <c r="CU34" i="3"/>
  <c r="CR34" i="3"/>
  <c r="CO34" i="3"/>
  <c r="CL34" i="3"/>
  <c r="CF34" i="3"/>
  <c r="CC34" i="3"/>
  <c r="BX34" i="3" a="1"/>
  <c r="BX34" i="3" s="1"/>
  <c r="BW34" i="3"/>
  <c r="BY34" i="3" s="1"/>
  <c r="BR34" i="3" a="1"/>
  <c r="BR34" i="3" s="1"/>
  <c r="BQ34" i="3"/>
  <c r="BK34" i="3"/>
  <c r="AZ34" i="3"/>
  <c r="AZ34" i="3" a="1"/>
  <c r="AN34" i="3" a="1"/>
  <c r="AN34" i="3" s="1"/>
  <c r="AM34" i="3"/>
  <c r="AG34" i="3"/>
  <c r="AA34" i="3"/>
  <c r="Y34" i="3"/>
  <c r="S34" i="3"/>
  <c r="O34" i="3"/>
  <c r="J34" i="3" a="1"/>
  <c r="J34" i="3" s="1"/>
  <c r="I34" i="3"/>
  <c r="E34" i="3"/>
  <c r="D34" i="3"/>
  <c r="C34" i="3"/>
  <c r="B34" i="3"/>
  <c r="A34" i="3"/>
  <c r="EG33" i="3"/>
  <c r="EF33" i="3" a="1"/>
  <c r="EF33" i="3" s="1"/>
  <c r="DW33" i="3"/>
  <c r="DX33" i="3" s="1"/>
  <c r="DT33" i="3"/>
  <c r="DU33" i="3" s="1"/>
  <c r="DT33" i="3" a="1"/>
  <c r="DK33" i="3"/>
  <c r="DL33" i="3" s="1"/>
  <c r="DB33" i="3"/>
  <c r="DB33" i="3" a="1"/>
  <c r="CX33" i="3"/>
  <c r="CU33" i="3"/>
  <c r="CR33" i="3"/>
  <c r="CL33" i="3"/>
  <c r="CJ33" i="3"/>
  <c r="CJ33" i="3" a="1"/>
  <c r="CD33" i="3" a="1"/>
  <c r="CD33" i="3" s="1"/>
  <c r="CC33" i="3"/>
  <c r="BX33" i="3" a="1"/>
  <c r="BX33" i="3" s="1"/>
  <c r="BW33" i="3"/>
  <c r="BU33" i="3"/>
  <c r="BR33" i="3" a="1"/>
  <c r="BR33" i="3" s="1"/>
  <c r="BO33" i="3"/>
  <c r="BI33" i="3"/>
  <c r="BB33" i="3"/>
  <c r="AW33" i="3"/>
  <c r="AV33" i="3"/>
  <c r="AX33" i="3" s="1"/>
  <c r="AP33" i="3"/>
  <c r="AK33" i="3"/>
  <c r="AL33" i="3" s="1"/>
  <c r="AJ33" i="3"/>
  <c r="AE33" i="3"/>
  <c r="X33" i="3"/>
  <c r="S33" i="3"/>
  <c r="R33" i="3"/>
  <c r="T33" i="3" s="1"/>
  <c r="M33" i="3"/>
  <c r="L33" i="3"/>
  <c r="N33" i="3" s="1"/>
  <c r="G33" i="3"/>
  <c r="F33" i="3"/>
  <c r="E33" i="3"/>
  <c r="D33" i="3"/>
  <c r="C33" i="3"/>
  <c r="B33" i="3"/>
  <c r="A33" i="3"/>
  <c r="CA32" i="3"/>
  <c r="AW32" i="3"/>
  <c r="E32" i="3"/>
  <c r="D32" i="3"/>
  <c r="C32" i="3"/>
  <c r="DA32" i="3" s="1"/>
  <c r="B32" i="3"/>
  <c r="A32" i="3"/>
  <c r="EU31" i="3"/>
  <c r="EV31" i="3" s="1"/>
  <c r="EP31" i="3"/>
  <c r="EO31" i="3"/>
  <c r="EC31" i="3"/>
  <c r="ED31" i="3" s="1"/>
  <c r="DZ31" i="3" a="1"/>
  <c r="DZ31" i="3" s="1"/>
  <c r="EA31" i="3" s="1"/>
  <c r="DO31" i="3"/>
  <c r="DN31" i="3"/>
  <c r="DN31" i="3" a="1"/>
  <c r="DH31" i="3" a="1"/>
  <c r="DH31" i="3" s="1"/>
  <c r="DI31" i="3" s="1"/>
  <c r="DE31" i="3"/>
  <c r="DF31" i="3" s="1"/>
  <c r="CX31" i="3"/>
  <c r="CS31" i="3"/>
  <c r="CL31" i="3"/>
  <c r="CG31" i="3"/>
  <c r="CA31" i="3"/>
  <c r="BZ31" i="3"/>
  <c r="BU31" i="3"/>
  <c r="BT31" i="3"/>
  <c r="BR31" i="3" a="1"/>
  <c r="BR31" i="3" s="1"/>
  <c r="BO31" i="3"/>
  <c r="BL31" i="3" a="1"/>
  <c r="BL31" i="3" s="1"/>
  <c r="BI31" i="3"/>
  <c r="BB31" i="3"/>
  <c r="AZ31" i="3" a="1"/>
  <c r="AZ31" i="3" s="1"/>
  <c r="AV31" i="3"/>
  <c r="AP31" i="3"/>
  <c r="AK31" i="3"/>
  <c r="AJ31" i="3"/>
  <c r="AL31" i="3" s="1"/>
  <c r="AH31" i="3" a="1"/>
  <c r="AH31" i="3" s="1"/>
  <c r="AE31" i="3"/>
  <c r="AB31" i="3" a="1"/>
  <c r="AB31" i="3" s="1"/>
  <c r="X31" i="3"/>
  <c r="R31" i="3"/>
  <c r="P31" i="3" a="1"/>
  <c r="P31" i="3" s="1"/>
  <c r="L31" i="3"/>
  <c r="I31" i="3"/>
  <c r="F31" i="3"/>
  <c r="E31" i="3"/>
  <c r="D31" i="3"/>
  <c r="C31" i="3"/>
  <c r="B31" i="3"/>
  <c r="A31" i="3"/>
  <c r="EV30" i="3"/>
  <c r="EU30" i="3"/>
  <c r="EO30" i="3"/>
  <c r="EP30" i="3" s="1"/>
  <c r="EL30" i="3" a="1"/>
  <c r="EL30" i="3" s="1"/>
  <c r="EM30" i="3" s="1"/>
  <c r="EF30" i="3"/>
  <c r="EG30" i="3" s="1"/>
  <c r="EF30" i="3" a="1"/>
  <c r="ED30" i="3"/>
  <c r="EC30" i="3"/>
  <c r="DW30" i="3"/>
  <c r="DX30" i="3" s="1"/>
  <c r="DU30" i="3"/>
  <c r="DT30" i="3" a="1"/>
  <c r="DT30" i="3" s="1"/>
  <c r="DL30" i="3"/>
  <c r="DK30" i="3"/>
  <c r="DH30" i="3" a="1"/>
  <c r="DH30" i="3" s="1"/>
  <c r="DI30" i="3" s="1"/>
  <c r="DF30" i="3"/>
  <c r="DE30" i="3"/>
  <c r="DA30" i="3"/>
  <c r="CZ30" i="3"/>
  <c r="CY30" i="3"/>
  <c r="CX30" i="3"/>
  <c r="CV30" i="3" a="1"/>
  <c r="CV30" i="3" s="1"/>
  <c r="CU30" i="3"/>
  <c r="CS30" i="3"/>
  <c r="CT30" i="3" s="1"/>
  <c r="CR30" i="3"/>
  <c r="CP30" i="3"/>
  <c r="CP30" i="3" a="1"/>
  <c r="CO30" i="3"/>
  <c r="CM30" i="3"/>
  <c r="CK30" i="3"/>
  <c r="CJ30" i="3"/>
  <c r="CJ30" i="3" a="1"/>
  <c r="CI30" i="3"/>
  <c r="CF30" i="3"/>
  <c r="CE30" i="3"/>
  <c r="CD30" i="3"/>
  <c r="CD30" i="3" a="1"/>
  <c r="CC30" i="3"/>
  <c r="CA30" i="3"/>
  <c r="BZ30" i="3"/>
  <c r="CB30" i="3" s="1"/>
  <c r="BX30" i="3"/>
  <c r="BX30" i="3" a="1"/>
  <c r="BU30" i="3"/>
  <c r="BT30" i="3"/>
  <c r="BV30" i="3" s="1"/>
  <c r="BQ30" i="3"/>
  <c r="BP30" i="3"/>
  <c r="BO30" i="3"/>
  <c r="BN30" i="3"/>
  <c r="BL30" i="3" a="1"/>
  <c r="BL30" i="3" s="1"/>
  <c r="BK30" i="3"/>
  <c r="BM30" i="3" s="1"/>
  <c r="BJ30" i="3"/>
  <c r="BI30" i="3"/>
  <c r="BH30" i="3"/>
  <c r="BF30" i="3"/>
  <c r="BF30" i="3" a="1"/>
  <c r="BE30" i="3"/>
  <c r="BG30" i="3" s="1"/>
  <c r="BC30" i="3"/>
  <c r="AZ30" i="3"/>
  <c r="AZ30" i="3" a="1"/>
  <c r="AY30" i="3"/>
  <c r="AV30" i="3"/>
  <c r="AS30" i="3"/>
  <c r="AP30" i="3"/>
  <c r="AM30" i="3"/>
  <c r="AL30" i="3"/>
  <c r="AK30" i="3"/>
  <c r="AJ30" i="3"/>
  <c r="AH30" i="3" a="1"/>
  <c r="AH30" i="3" s="1"/>
  <c r="AG30" i="3"/>
  <c r="AF30" i="3"/>
  <c r="AE30" i="3"/>
  <c r="AD30" i="3"/>
  <c r="AB30" i="3" a="1"/>
  <c r="AB30" i="3" s="1"/>
  <c r="AA30" i="3"/>
  <c r="AC30" i="3" s="1"/>
  <c r="Y30" i="3"/>
  <c r="V30" i="3"/>
  <c r="V30" i="3" a="1"/>
  <c r="U30" i="3"/>
  <c r="R30" i="3"/>
  <c r="P30" i="3" a="1"/>
  <c r="P30" i="3" s="1"/>
  <c r="O30" i="3"/>
  <c r="M30" i="3"/>
  <c r="L30" i="3"/>
  <c r="J30" i="3" a="1"/>
  <c r="J30" i="3" s="1"/>
  <c r="H30" i="3"/>
  <c r="G30" i="3"/>
  <c r="F30" i="3"/>
  <c r="E30" i="3"/>
  <c r="D30" i="3"/>
  <c r="C30" i="3"/>
  <c r="B30" i="3"/>
  <c r="A30" i="3"/>
  <c r="EC29" i="3"/>
  <c r="ED29" i="3" s="1"/>
  <c r="CP29" i="3" a="1"/>
  <c r="CP29" i="3" s="1"/>
  <c r="BW29" i="3"/>
  <c r="BI29" i="3"/>
  <c r="M29" i="3"/>
  <c r="E29" i="3"/>
  <c r="D29" i="3"/>
  <c r="C29" i="3"/>
  <c r="EU29" i="3" s="1"/>
  <c r="EV29" i="3" s="1"/>
  <c r="B29" i="3"/>
  <c r="A29" i="3"/>
  <c r="EX28" i="3"/>
  <c r="EY28" i="3" s="1"/>
  <c r="EX28" i="3" a="1"/>
  <c r="EV28" i="3"/>
  <c r="EU28" i="3"/>
  <c r="ES28" i="3"/>
  <c r="ER28" i="3" a="1"/>
  <c r="ER28" i="3" s="1"/>
  <c r="EP28" i="3"/>
  <c r="EO28" i="3"/>
  <c r="EI28" i="3"/>
  <c r="EJ28" i="3" s="1"/>
  <c r="EG28" i="3"/>
  <c r="EF28" i="3"/>
  <c r="EF28" i="3" a="1"/>
  <c r="EC28" i="3"/>
  <c r="ED28" i="3" s="1"/>
  <c r="DZ28" i="3"/>
  <c r="EA28" i="3" s="1"/>
  <c r="DZ28" i="3" a="1"/>
  <c r="DT28" i="3" a="1"/>
  <c r="DT28" i="3" s="1"/>
  <c r="DU28" i="3" s="1"/>
  <c r="DQ28" i="3"/>
  <c r="DR28" i="3" s="1"/>
  <c r="DN28" i="3"/>
  <c r="DO28" i="3" s="1"/>
  <c r="DN28" i="3" a="1"/>
  <c r="DK28" i="3"/>
  <c r="DL28" i="3" s="1"/>
  <c r="DI28" i="3"/>
  <c r="DH28" i="3" a="1"/>
  <c r="DH28" i="3" s="1"/>
  <c r="DF28" i="3"/>
  <c r="DE28" i="3"/>
  <c r="DA28" i="3"/>
  <c r="CZ28" i="3"/>
  <c r="CY28" i="3"/>
  <c r="CX28" i="3"/>
  <c r="CV28" i="3" a="1"/>
  <c r="CV28" i="3" s="1"/>
  <c r="CU28" i="3"/>
  <c r="CW28" i="3" s="1"/>
  <c r="CT28" i="3"/>
  <c r="CS28" i="3"/>
  <c r="CR28" i="3"/>
  <c r="CP28" i="3" a="1"/>
  <c r="CP28" i="3" s="1"/>
  <c r="CO28" i="3"/>
  <c r="CQ28" i="3" s="1"/>
  <c r="CM28" i="3"/>
  <c r="CJ28" i="3" a="1"/>
  <c r="CJ28" i="3" s="1"/>
  <c r="CI28" i="3"/>
  <c r="CF28" i="3"/>
  <c r="CD28" i="3" a="1"/>
  <c r="CD28" i="3" s="1"/>
  <c r="CC28" i="3"/>
  <c r="CE28" i="3" s="1"/>
  <c r="CA28" i="3"/>
  <c r="BZ28" i="3"/>
  <c r="BX28" i="3" a="1"/>
  <c r="BX28" i="3" s="1"/>
  <c r="BU28" i="3"/>
  <c r="BT28" i="3"/>
  <c r="BV28" i="3" s="1"/>
  <c r="BQ28" i="3"/>
  <c r="BO28" i="3"/>
  <c r="BN28" i="3"/>
  <c r="BP28" i="3" s="1"/>
  <c r="BL28" i="3" a="1"/>
  <c r="BL28" i="3" s="1"/>
  <c r="BK28" i="3"/>
  <c r="BM28" i="3" s="1"/>
  <c r="BJ28" i="3"/>
  <c r="BI28" i="3"/>
  <c r="BH28" i="3"/>
  <c r="BF28" i="3"/>
  <c r="BF28" i="3" a="1"/>
  <c r="BE28" i="3"/>
  <c r="BG28" i="3" s="1"/>
  <c r="BC28" i="3"/>
  <c r="AZ28" i="3"/>
  <c r="AZ28" i="3" a="1"/>
  <c r="AY28" i="3"/>
  <c r="BA28" i="3" s="1"/>
  <c r="AV28" i="3"/>
  <c r="AS28" i="3"/>
  <c r="AP28" i="3"/>
  <c r="AM28" i="3"/>
  <c r="AK28" i="3"/>
  <c r="AJ28" i="3"/>
  <c r="AL28" i="3" s="1"/>
  <c r="AH28" i="3" a="1"/>
  <c r="AH28" i="3" s="1"/>
  <c r="AG28" i="3"/>
  <c r="AI28" i="3" s="1"/>
  <c r="AE28" i="3"/>
  <c r="AD28" i="3"/>
  <c r="AF28" i="3" s="1"/>
  <c r="AB28" i="3"/>
  <c r="AB28" i="3" a="1"/>
  <c r="AA28" i="3"/>
  <c r="AC28" i="3" s="1"/>
  <c r="Y28" i="3"/>
  <c r="W28" i="3"/>
  <c r="V28" i="3"/>
  <c r="V28" i="3" a="1"/>
  <c r="U28" i="3"/>
  <c r="R28" i="3"/>
  <c r="Q28" i="3"/>
  <c r="P28" i="3"/>
  <c r="P28" i="3" a="1"/>
  <c r="O28" i="3"/>
  <c r="M28" i="3"/>
  <c r="L28" i="3"/>
  <c r="J28" i="3"/>
  <c r="J28" i="3" a="1"/>
  <c r="G28" i="3"/>
  <c r="F28" i="3"/>
  <c r="E28" i="3"/>
  <c r="D28" i="3"/>
  <c r="C28" i="3"/>
  <c r="EL28" i="3" s="1" a="1"/>
  <c r="EL28" i="3" s="1"/>
  <c r="EM28" i="3" s="1"/>
  <c r="B28" i="3"/>
  <c r="A28" i="3"/>
  <c r="EX27" i="3" a="1"/>
  <c r="EX27" i="3" s="1"/>
  <c r="EY27" i="3" s="1"/>
  <c r="ER27" i="3"/>
  <c r="ES27" i="3" s="1"/>
  <c r="ER27" i="3" a="1"/>
  <c r="EI27" i="3"/>
  <c r="EJ27" i="3" s="1"/>
  <c r="EF27" i="3" a="1"/>
  <c r="EF27" i="3" s="1"/>
  <c r="EG27" i="3" s="1"/>
  <c r="EA27" i="3"/>
  <c r="DZ27" i="3" a="1"/>
  <c r="DZ27" i="3" s="1"/>
  <c r="DW27" i="3"/>
  <c r="DX27" i="3" s="1"/>
  <c r="DQ27" i="3"/>
  <c r="DR27" i="3" s="1"/>
  <c r="DH27" i="3" a="1"/>
  <c r="DH27" i="3" s="1"/>
  <c r="DI27" i="3" s="1"/>
  <c r="DB27" i="3" a="1"/>
  <c r="DB27" i="3" s="1"/>
  <c r="DA27" i="3"/>
  <c r="CX27" i="3"/>
  <c r="CV27" i="3" a="1"/>
  <c r="CV27" i="3" s="1"/>
  <c r="CU27" i="3"/>
  <c r="CW27" i="3" s="1"/>
  <c r="CS27" i="3"/>
  <c r="CR27" i="3"/>
  <c r="CT27" i="3" s="1"/>
  <c r="CP27" i="3" a="1"/>
  <c r="CP27" i="3" s="1"/>
  <c r="CM27" i="3"/>
  <c r="CL27" i="3"/>
  <c r="CN27" i="3" s="1"/>
  <c r="CI27" i="3"/>
  <c r="CH27" i="3"/>
  <c r="CG27" i="3"/>
  <c r="CF27" i="3"/>
  <c r="CC27" i="3"/>
  <c r="CA27" i="3"/>
  <c r="BZ27" i="3"/>
  <c r="CB27" i="3" s="1"/>
  <c r="BW27" i="3"/>
  <c r="BU27" i="3"/>
  <c r="BQ27" i="3"/>
  <c r="BN27" i="3"/>
  <c r="BK27" i="3"/>
  <c r="BI27" i="3"/>
  <c r="BH27" i="3"/>
  <c r="BJ27" i="3" s="1"/>
  <c r="BC27" i="3"/>
  <c r="BB27" i="3"/>
  <c r="AW27" i="3"/>
  <c r="AX27" i="3" s="1"/>
  <c r="AV27" i="3"/>
  <c r="AM27" i="3"/>
  <c r="AJ27" i="3"/>
  <c r="AG27" i="3"/>
  <c r="AE27" i="3"/>
  <c r="AD27" i="3"/>
  <c r="Y27" i="3"/>
  <c r="X27" i="3"/>
  <c r="Z27" i="3" s="1"/>
  <c r="S27" i="3"/>
  <c r="R27" i="3"/>
  <c r="T27" i="3" s="1"/>
  <c r="M27" i="3"/>
  <c r="N27" i="3" s="1"/>
  <c r="L27" i="3"/>
  <c r="G27" i="3"/>
  <c r="E27" i="3"/>
  <c r="D27" i="3"/>
  <c r="C27" i="3"/>
  <c r="B27" i="3"/>
  <c r="A27" i="3"/>
  <c r="EX26" i="3" a="1"/>
  <c r="EX26" i="3" s="1"/>
  <c r="EY26" i="3" s="1"/>
  <c r="EV26" i="3"/>
  <c r="EU26" i="3"/>
  <c r="ES26" i="3"/>
  <c r="ER26" i="3" a="1"/>
  <c r="ER26" i="3" s="1"/>
  <c r="EO26" i="3"/>
  <c r="EP26" i="3" s="1"/>
  <c r="EL26" i="3"/>
  <c r="EM26" i="3" s="1"/>
  <c r="EJ26" i="3"/>
  <c r="EI26" i="3"/>
  <c r="EF26" i="3" a="1"/>
  <c r="EF26" i="3" s="1"/>
  <c r="EG26" i="3" s="1"/>
  <c r="EC26" i="3"/>
  <c r="ED26" i="3" s="1"/>
  <c r="DZ26" i="3" a="1"/>
  <c r="DZ26" i="3" s="1"/>
  <c r="EA26" i="3" s="1"/>
  <c r="DT26" i="3"/>
  <c r="DU26" i="3" s="1"/>
  <c r="DT26" i="3" a="1"/>
  <c r="DQ26" i="3"/>
  <c r="DR26" i="3" s="1"/>
  <c r="DN26" i="3" a="1"/>
  <c r="DN26" i="3" s="1"/>
  <c r="DO26" i="3" s="1"/>
  <c r="DL26" i="3"/>
  <c r="DK26" i="3"/>
  <c r="DH26" i="3" a="1"/>
  <c r="DH26" i="3" s="1"/>
  <c r="DI26" i="3" s="1"/>
  <c r="DE26" i="3"/>
  <c r="DF26" i="3" s="1"/>
  <c r="DA26" i="3"/>
  <c r="CY26" i="3"/>
  <c r="CX26" i="3"/>
  <c r="CZ26" i="3" s="1"/>
  <c r="CW26" i="3"/>
  <c r="CV26" i="3" a="1"/>
  <c r="CV26" i="3" s="1"/>
  <c r="CU26" i="3"/>
  <c r="CS26" i="3"/>
  <c r="CR26" i="3"/>
  <c r="CT26" i="3" s="1"/>
  <c r="CP26" i="3"/>
  <c r="CP26" i="3" a="1"/>
  <c r="CO26" i="3"/>
  <c r="CM26" i="3"/>
  <c r="CJ26" i="3"/>
  <c r="CK26" i="3" s="1"/>
  <c r="CJ26" i="3" a="1"/>
  <c r="CI26" i="3"/>
  <c r="CF26" i="3"/>
  <c r="CD26" i="3"/>
  <c r="CE26" i="3" s="1"/>
  <c r="CD26" i="3" a="1"/>
  <c r="CC26" i="3"/>
  <c r="CA26" i="3"/>
  <c r="BZ26" i="3"/>
  <c r="BX26" i="3"/>
  <c r="BX26" i="3" a="1"/>
  <c r="BU26" i="3"/>
  <c r="BT26" i="3"/>
  <c r="BV26" i="3" s="1"/>
  <c r="BQ26" i="3"/>
  <c r="BO26" i="3"/>
  <c r="BN26" i="3"/>
  <c r="BM26" i="3"/>
  <c r="BL26" i="3" a="1"/>
  <c r="BL26" i="3" s="1"/>
  <c r="BK26" i="3"/>
  <c r="BI26" i="3"/>
  <c r="BH26" i="3"/>
  <c r="BJ26" i="3" s="1"/>
  <c r="BF26" i="3" a="1"/>
  <c r="BF26" i="3" s="1"/>
  <c r="BE26" i="3"/>
  <c r="BC26" i="3"/>
  <c r="AZ26" i="3"/>
  <c r="BA26" i="3" s="1"/>
  <c r="AZ26" i="3" a="1"/>
  <c r="AY26" i="3"/>
  <c r="AV26" i="3"/>
  <c r="AS26" i="3"/>
  <c r="AP26" i="3"/>
  <c r="AM26" i="3"/>
  <c r="AK26" i="3"/>
  <c r="AJ26" i="3"/>
  <c r="AL26" i="3" s="1"/>
  <c r="AI26" i="3"/>
  <c r="AH26" i="3" a="1"/>
  <c r="AH26" i="3" s="1"/>
  <c r="AG26" i="3"/>
  <c r="AE26" i="3"/>
  <c r="AD26" i="3"/>
  <c r="AB26" i="3"/>
  <c r="AB26" i="3" a="1"/>
  <c r="AA26" i="3"/>
  <c r="Y26" i="3"/>
  <c r="V26" i="3" a="1"/>
  <c r="V26" i="3" s="1"/>
  <c r="W26" i="3" s="1"/>
  <c r="U26" i="3"/>
  <c r="R26" i="3"/>
  <c r="P26" i="3"/>
  <c r="Q26" i="3" s="1"/>
  <c r="P26" i="3" a="1"/>
  <c r="O26" i="3"/>
  <c r="M26" i="3"/>
  <c r="L26" i="3"/>
  <c r="N26" i="3" s="1"/>
  <c r="J26" i="3"/>
  <c r="J26" i="3" a="1"/>
  <c r="G26" i="3"/>
  <c r="F26" i="3"/>
  <c r="E26" i="3"/>
  <c r="D26" i="3"/>
  <c r="C26" i="3"/>
  <c r="EL26" i="3" s="1" a="1"/>
  <c r="B26" i="3"/>
  <c r="A26" i="3"/>
  <c r="EU25" i="3"/>
  <c r="EV25" i="3" s="1"/>
  <c r="CX25" i="3"/>
  <c r="CD25" i="3" a="1"/>
  <c r="CD25" i="3" s="1"/>
  <c r="AV25" i="3"/>
  <c r="O25" i="3"/>
  <c r="L25" i="3"/>
  <c r="E25" i="3"/>
  <c r="D25" i="3"/>
  <c r="C25" i="3"/>
  <c r="EF25" i="3" s="1" a="1"/>
  <c r="EF25" i="3" s="1"/>
  <c r="EG25" i="3" s="1"/>
  <c r="B25" i="3"/>
  <c r="A25" i="3"/>
  <c r="EV24" i="3"/>
  <c r="EU24" i="3"/>
  <c r="ER24" i="3" a="1"/>
  <c r="ER24" i="3" s="1"/>
  <c r="ES24" i="3" s="1"/>
  <c r="EJ24" i="3"/>
  <c r="EI24" i="3"/>
  <c r="EF24" i="3" a="1"/>
  <c r="EF24" i="3" s="1"/>
  <c r="EG24" i="3" s="1"/>
  <c r="EC24" i="3"/>
  <c r="ED24" i="3" s="1"/>
  <c r="EA24" i="3"/>
  <c r="DZ24" i="3"/>
  <c r="DZ24" i="3" a="1"/>
  <c r="DT24" i="3" a="1"/>
  <c r="DT24" i="3" s="1"/>
  <c r="DU24" i="3" s="1"/>
  <c r="DR24" i="3"/>
  <c r="DQ24" i="3"/>
  <c r="DN24" i="3"/>
  <c r="DO24" i="3" s="1"/>
  <c r="DN24" i="3" a="1"/>
  <c r="DK24" i="3"/>
  <c r="DL24" i="3" s="1"/>
  <c r="DH24" i="3" a="1"/>
  <c r="DH24" i="3" s="1"/>
  <c r="DI24" i="3" s="1"/>
  <c r="DF24" i="3"/>
  <c r="DE24" i="3"/>
  <c r="DA24" i="3"/>
  <c r="CY24" i="3"/>
  <c r="CX24" i="3"/>
  <c r="CV24" i="3" a="1"/>
  <c r="CV24" i="3" s="1"/>
  <c r="CU24" i="3"/>
  <c r="CS24" i="3"/>
  <c r="CT24" i="3" s="1"/>
  <c r="CR24" i="3"/>
  <c r="CP24" i="3"/>
  <c r="CP24" i="3" a="1"/>
  <c r="CO24" i="3"/>
  <c r="CM24" i="3"/>
  <c r="CJ24" i="3"/>
  <c r="CK24" i="3" s="1"/>
  <c r="CJ24" i="3" a="1"/>
  <c r="CI24" i="3"/>
  <c r="CF24" i="3"/>
  <c r="CD24" i="3" a="1"/>
  <c r="CD24" i="3" s="1"/>
  <c r="CE24" i="3" s="1"/>
  <c r="CC24" i="3"/>
  <c r="CA24" i="3"/>
  <c r="BZ24" i="3"/>
  <c r="CB24" i="3" s="1"/>
  <c r="BX24" i="3"/>
  <c r="BX24" i="3" a="1"/>
  <c r="BU24" i="3"/>
  <c r="BT24" i="3"/>
  <c r="BV24" i="3" s="1"/>
  <c r="BQ24" i="3"/>
  <c r="BP24" i="3"/>
  <c r="BO24" i="3"/>
  <c r="BN24" i="3"/>
  <c r="BL24" i="3" a="1"/>
  <c r="BL24" i="3" s="1"/>
  <c r="BK24" i="3"/>
  <c r="BM24" i="3" s="1"/>
  <c r="BJ24" i="3"/>
  <c r="BI24" i="3"/>
  <c r="BH24" i="3"/>
  <c r="BF24" i="3" a="1"/>
  <c r="BF24" i="3" s="1"/>
  <c r="BE24" i="3"/>
  <c r="BC24" i="3"/>
  <c r="AZ24" i="3" a="1"/>
  <c r="AZ24" i="3" s="1"/>
  <c r="AY24" i="3"/>
  <c r="BA24" i="3" s="1"/>
  <c r="AV24" i="3"/>
  <c r="AS24" i="3"/>
  <c r="AP24" i="3"/>
  <c r="AM24" i="3"/>
  <c r="AK24" i="3"/>
  <c r="AJ24" i="3"/>
  <c r="AL24" i="3" s="1"/>
  <c r="AH24" i="3" a="1"/>
  <c r="AH24" i="3" s="1"/>
  <c r="AG24" i="3"/>
  <c r="AE24" i="3"/>
  <c r="AF24" i="3" s="1"/>
  <c r="AD24" i="3"/>
  <c r="AB24" i="3" a="1"/>
  <c r="AB24" i="3" s="1"/>
  <c r="AA24" i="3"/>
  <c r="Y24" i="3"/>
  <c r="V24" i="3" a="1"/>
  <c r="V24" i="3" s="1"/>
  <c r="W24" i="3" s="1"/>
  <c r="U24" i="3"/>
  <c r="R24" i="3"/>
  <c r="P24" i="3" a="1"/>
  <c r="P24" i="3" s="1"/>
  <c r="Q24" i="3" s="1"/>
  <c r="O24" i="3"/>
  <c r="M24" i="3"/>
  <c r="L24" i="3"/>
  <c r="J24" i="3"/>
  <c r="J24" i="3" a="1"/>
  <c r="H24" i="3"/>
  <c r="G24" i="3"/>
  <c r="F24" i="3"/>
  <c r="E24" i="3"/>
  <c r="D24" i="3"/>
  <c r="C24" i="3"/>
  <c r="B24" i="3"/>
  <c r="A24" i="3"/>
  <c r="ER23" i="3" a="1"/>
  <c r="ER23" i="3" s="1"/>
  <c r="ES23" i="3" s="1"/>
  <c r="DK23" i="3"/>
  <c r="DL23" i="3" s="1"/>
  <c r="CX23" i="3"/>
  <c r="CS23" i="3"/>
  <c r="CR23" i="3"/>
  <c r="CI23" i="3"/>
  <c r="CD23" i="3" a="1"/>
  <c r="CD23" i="3" s="1"/>
  <c r="CC23" i="3"/>
  <c r="BN23" i="3"/>
  <c r="AS23" i="3"/>
  <c r="AD23" i="3"/>
  <c r="U23" i="3"/>
  <c r="M23" i="3"/>
  <c r="E23" i="3"/>
  <c r="D23" i="3"/>
  <c r="C23" i="3"/>
  <c r="EF23" i="3" s="1" a="1"/>
  <c r="EF23" i="3" s="1"/>
  <c r="EG23" i="3" s="1"/>
  <c r="B23" i="3"/>
  <c r="A23" i="3"/>
  <c r="EX22" i="3"/>
  <c r="EY22" i="3" s="1"/>
  <c r="EX22" i="3" a="1"/>
  <c r="EV22" i="3"/>
  <c r="EU22" i="3"/>
  <c r="ER22" i="3" a="1"/>
  <c r="ER22" i="3" s="1"/>
  <c r="ES22" i="3" s="1"/>
  <c r="EP22" i="3"/>
  <c r="EO22" i="3"/>
  <c r="EI22" i="3"/>
  <c r="EJ22" i="3" s="1"/>
  <c r="EG22" i="3"/>
  <c r="EF22" i="3"/>
  <c r="EF22" i="3" a="1"/>
  <c r="EC22" i="3"/>
  <c r="ED22" i="3" s="1"/>
  <c r="DZ22" i="3"/>
  <c r="EA22" i="3" s="1"/>
  <c r="DZ22" i="3" a="1"/>
  <c r="DU22" i="3"/>
  <c r="DT22" i="3"/>
  <c r="DT22" i="3" a="1"/>
  <c r="DR22" i="3"/>
  <c r="DQ22" i="3"/>
  <c r="DN22" i="3"/>
  <c r="DO22" i="3" s="1"/>
  <c r="DN22" i="3" a="1"/>
  <c r="DL22" i="3"/>
  <c r="DK22" i="3"/>
  <c r="DH22" i="3" a="1"/>
  <c r="DH22" i="3" s="1"/>
  <c r="DI22" i="3" s="1"/>
  <c r="DF22" i="3"/>
  <c r="DE22" i="3"/>
  <c r="DA22" i="3"/>
  <c r="CY22" i="3"/>
  <c r="CX22" i="3"/>
  <c r="CZ22" i="3" s="1"/>
  <c r="CV22" i="3" a="1"/>
  <c r="CV22" i="3" s="1"/>
  <c r="CU22" i="3"/>
  <c r="CT22" i="3"/>
  <c r="CS22" i="3"/>
  <c r="CR22" i="3"/>
  <c r="CP22" i="3" a="1"/>
  <c r="CP22" i="3" s="1"/>
  <c r="CO22" i="3"/>
  <c r="CM22" i="3"/>
  <c r="CJ22" i="3" a="1"/>
  <c r="CJ22" i="3" s="1"/>
  <c r="CI22" i="3"/>
  <c r="CK22" i="3" s="1"/>
  <c r="CF22" i="3"/>
  <c r="CD22" i="3" a="1"/>
  <c r="CD22" i="3" s="1"/>
  <c r="CE22" i="3" s="1"/>
  <c r="CC22" i="3"/>
  <c r="CA22" i="3"/>
  <c r="BZ22" i="3"/>
  <c r="BX22" i="3"/>
  <c r="BX22" i="3" a="1"/>
  <c r="BU22" i="3"/>
  <c r="BV22" i="3" s="1"/>
  <c r="BT22" i="3"/>
  <c r="BQ22" i="3"/>
  <c r="BO22" i="3"/>
  <c r="BN22" i="3"/>
  <c r="BP22" i="3" s="1"/>
  <c r="BL22" i="3" a="1"/>
  <c r="BL22" i="3" s="1"/>
  <c r="BK22" i="3"/>
  <c r="BJ22" i="3"/>
  <c r="BI22" i="3"/>
  <c r="BH22" i="3"/>
  <c r="BF22" i="3"/>
  <c r="BF22" i="3" a="1"/>
  <c r="BE22" i="3"/>
  <c r="BC22" i="3"/>
  <c r="AZ22" i="3"/>
  <c r="BA22" i="3" s="1"/>
  <c r="AZ22" i="3" a="1"/>
  <c r="AY22" i="3"/>
  <c r="AV22" i="3"/>
  <c r="AS22" i="3"/>
  <c r="AP22" i="3"/>
  <c r="AM22" i="3"/>
  <c r="AK22" i="3"/>
  <c r="AJ22" i="3"/>
  <c r="AL22" i="3" s="1"/>
  <c r="AH22" i="3" a="1"/>
  <c r="AH22" i="3" s="1"/>
  <c r="AG22" i="3"/>
  <c r="AF22" i="3"/>
  <c r="AE22" i="3"/>
  <c r="AD22" i="3"/>
  <c r="AB22" i="3" a="1"/>
  <c r="AB22" i="3" s="1"/>
  <c r="AA22" i="3"/>
  <c r="Y22" i="3"/>
  <c r="V22" i="3" a="1"/>
  <c r="V22" i="3" s="1"/>
  <c r="U22" i="3"/>
  <c r="R22" i="3"/>
  <c r="P22" i="3" a="1"/>
  <c r="P22" i="3" s="1"/>
  <c r="Q22" i="3" s="1"/>
  <c r="O22" i="3"/>
  <c r="M22" i="3"/>
  <c r="L22" i="3"/>
  <c r="N22" i="3" s="1"/>
  <c r="J22" i="3"/>
  <c r="J22" i="3" a="1"/>
  <c r="G22" i="3"/>
  <c r="F22" i="3"/>
  <c r="H22" i="3" s="1"/>
  <c r="E22" i="3"/>
  <c r="D22" i="3"/>
  <c r="C22" i="3"/>
  <c r="EL22" i="3" s="1" a="1"/>
  <c r="EL22" i="3" s="1"/>
  <c r="EM22" i="3" s="1"/>
  <c r="B22" i="3"/>
  <c r="A22" i="3"/>
  <c r="EY21" i="3"/>
  <c r="EX21" i="3"/>
  <c r="EX21" i="3" a="1"/>
  <c r="ER21" i="3" a="1"/>
  <c r="ER21" i="3" s="1"/>
  <c r="ES21" i="3" s="1"/>
  <c r="EL21" i="3" a="1"/>
  <c r="EL21" i="3" s="1"/>
  <c r="EM21" i="3" s="1"/>
  <c r="EI21" i="3"/>
  <c r="EJ21" i="3" s="1"/>
  <c r="EF21" i="3"/>
  <c r="EG21" i="3" s="1"/>
  <c r="EF21" i="3" a="1"/>
  <c r="EC21" i="3"/>
  <c r="ED21" i="3" s="1"/>
  <c r="EA21" i="3"/>
  <c r="DZ21" i="3" a="1"/>
  <c r="DZ21" i="3" s="1"/>
  <c r="DX21" i="3"/>
  <c r="DW21" i="3"/>
  <c r="DR21" i="3"/>
  <c r="DQ21" i="3"/>
  <c r="DK21" i="3"/>
  <c r="DL21" i="3" s="1"/>
  <c r="DH21" i="3" a="1"/>
  <c r="DH21" i="3" s="1"/>
  <c r="DI21" i="3" s="1"/>
  <c r="DB21" i="3"/>
  <c r="DB21" i="3" a="1"/>
  <c r="DA21" i="3"/>
  <c r="DC21" i="3" s="1"/>
  <c r="CX21" i="3"/>
  <c r="CV21" i="3"/>
  <c r="CV21" i="3" a="1"/>
  <c r="CU21" i="3"/>
  <c r="CS21" i="3"/>
  <c r="CR21" i="3"/>
  <c r="CP21" i="3" a="1"/>
  <c r="CP21" i="3" s="1"/>
  <c r="CN21" i="3"/>
  <c r="CM21" i="3"/>
  <c r="CL21" i="3"/>
  <c r="CI21" i="3"/>
  <c r="CH21" i="3"/>
  <c r="CG21" i="3"/>
  <c r="CF21" i="3"/>
  <c r="CD21" i="3" a="1"/>
  <c r="CD21" i="3" s="1"/>
  <c r="CC21" i="3"/>
  <c r="CE21" i="3" s="1"/>
  <c r="CA21" i="3"/>
  <c r="CB21" i="3" s="1"/>
  <c r="BZ21" i="3"/>
  <c r="BX21" i="3" a="1"/>
  <c r="BX21" i="3" s="1"/>
  <c r="BW21" i="3"/>
  <c r="BY21" i="3" s="1"/>
  <c r="BU21" i="3"/>
  <c r="BR21" i="3" a="1"/>
  <c r="BR21" i="3" s="1"/>
  <c r="BQ21" i="3"/>
  <c r="BN21" i="3"/>
  <c r="BL21" i="3" a="1"/>
  <c r="BL21" i="3" s="1"/>
  <c r="BK21" i="3"/>
  <c r="BM21" i="3" s="1"/>
  <c r="BI21" i="3"/>
  <c r="BH21" i="3"/>
  <c r="BF21" i="3" a="1"/>
  <c r="BF21" i="3" s="1"/>
  <c r="BC21" i="3"/>
  <c r="BB21" i="3"/>
  <c r="BD21" i="3" s="1"/>
  <c r="AY21" i="3"/>
  <c r="AW21" i="3"/>
  <c r="AV21" i="3"/>
  <c r="AX21" i="3" s="1"/>
  <c r="AS21" i="3"/>
  <c r="AN21" i="3" a="1"/>
  <c r="AN21" i="3" s="1"/>
  <c r="AM21" i="3"/>
  <c r="AO21" i="3" s="1"/>
  <c r="AJ21" i="3"/>
  <c r="AH21" i="3" a="1"/>
  <c r="AH21" i="3" s="1"/>
  <c r="AG21" i="3"/>
  <c r="AE21" i="3"/>
  <c r="AD21" i="3"/>
  <c r="AF21" i="3" s="1"/>
  <c r="AB21" i="3" a="1"/>
  <c r="AB21" i="3" s="1"/>
  <c r="Y21" i="3"/>
  <c r="Z21" i="3" s="1"/>
  <c r="X21" i="3"/>
  <c r="U21" i="3"/>
  <c r="S21" i="3"/>
  <c r="R21" i="3"/>
  <c r="T21" i="3" s="1"/>
  <c r="O21" i="3"/>
  <c r="M21" i="3"/>
  <c r="L21" i="3"/>
  <c r="N21" i="3" s="1"/>
  <c r="I21" i="3"/>
  <c r="G21" i="3"/>
  <c r="E21" i="3"/>
  <c r="D21" i="3"/>
  <c r="C21" i="3"/>
  <c r="B21" i="3"/>
  <c r="A21" i="3"/>
  <c r="EX20" i="3" a="1"/>
  <c r="EX20" i="3" s="1"/>
  <c r="EY20" i="3" s="1"/>
  <c r="EV20" i="3"/>
  <c r="EU20" i="3"/>
  <c r="ER20" i="3" a="1"/>
  <c r="ER20" i="3" s="1"/>
  <c r="ES20" i="3" s="1"/>
  <c r="EO20" i="3"/>
  <c r="EP20" i="3" s="1"/>
  <c r="EM20" i="3"/>
  <c r="EI20" i="3"/>
  <c r="EJ20" i="3" s="1"/>
  <c r="EG20" i="3"/>
  <c r="EF20" i="3"/>
  <c r="EF20" i="3" a="1"/>
  <c r="EC20" i="3"/>
  <c r="ED20" i="3" s="1"/>
  <c r="DZ20" i="3" a="1"/>
  <c r="DZ20" i="3" s="1"/>
  <c r="EA20" i="3" s="1"/>
  <c r="DU20" i="3"/>
  <c r="DT20" i="3"/>
  <c r="DT20" i="3" a="1"/>
  <c r="DQ20" i="3"/>
  <c r="DR20" i="3" s="1"/>
  <c r="DN20" i="3"/>
  <c r="DO20" i="3" s="1"/>
  <c r="DN20" i="3" a="1"/>
  <c r="DL20" i="3"/>
  <c r="DK20" i="3"/>
  <c r="DH20" i="3" a="1"/>
  <c r="DH20" i="3" s="1"/>
  <c r="DI20" i="3" s="1"/>
  <c r="DF20" i="3"/>
  <c r="DE20" i="3"/>
  <c r="DA20" i="3"/>
  <c r="CY20" i="3"/>
  <c r="CX20" i="3"/>
  <c r="CZ20" i="3" s="1"/>
  <c r="CV20" i="3" a="1"/>
  <c r="CV20" i="3" s="1"/>
  <c r="CU20" i="3"/>
  <c r="CW20" i="3" s="1"/>
  <c r="CS20" i="3"/>
  <c r="CR20" i="3"/>
  <c r="CT20" i="3" s="1"/>
  <c r="CP20" i="3"/>
  <c r="CP20" i="3" a="1"/>
  <c r="CO20" i="3"/>
  <c r="CQ20" i="3" s="1"/>
  <c r="CM20" i="3"/>
  <c r="CK20" i="3"/>
  <c r="CJ20" i="3"/>
  <c r="CJ20" i="3" a="1"/>
  <c r="CI20" i="3"/>
  <c r="CF20" i="3"/>
  <c r="CE20" i="3"/>
  <c r="CD20" i="3"/>
  <c r="CD20" i="3" a="1"/>
  <c r="CC20" i="3"/>
  <c r="CA20" i="3"/>
  <c r="BZ20" i="3"/>
  <c r="CB20" i="3" s="1"/>
  <c r="BX20" i="3"/>
  <c r="BX20" i="3" a="1"/>
  <c r="BU20" i="3"/>
  <c r="BT20" i="3"/>
  <c r="BV20" i="3" s="1"/>
  <c r="BQ20" i="3"/>
  <c r="BP20" i="3"/>
  <c r="BO20" i="3"/>
  <c r="BN20" i="3"/>
  <c r="BM20" i="3"/>
  <c r="BL20" i="3" a="1"/>
  <c r="BL20" i="3" s="1"/>
  <c r="BK20" i="3"/>
  <c r="BJ20" i="3"/>
  <c r="BI20" i="3"/>
  <c r="BH20" i="3"/>
  <c r="BF20" i="3"/>
  <c r="BF20" i="3" a="1"/>
  <c r="BE20" i="3"/>
  <c r="BC20" i="3"/>
  <c r="AZ20" i="3"/>
  <c r="BA20" i="3" s="1"/>
  <c r="AZ20" i="3" a="1"/>
  <c r="AY20" i="3"/>
  <c r="AV20" i="3"/>
  <c r="AS20" i="3"/>
  <c r="AP20" i="3"/>
  <c r="AM20" i="3"/>
  <c r="AK20" i="3"/>
  <c r="AL20" i="3" s="1"/>
  <c r="AJ20" i="3"/>
  <c r="AI20" i="3"/>
  <c r="AH20" i="3" a="1"/>
  <c r="AH20" i="3" s="1"/>
  <c r="AG20" i="3"/>
  <c r="AE20" i="3"/>
  <c r="AF20" i="3" s="1"/>
  <c r="AD20" i="3"/>
  <c r="AB20" i="3"/>
  <c r="AB20" i="3" a="1"/>
  <c r="AA20" i="3"/>
  <c r="Y20" i="3"/>
  <c r="W20" i="3"/>
  <c r="V20" i="3"/>
  <c r="V20" i="3" a="1"/>
  <c r="U20" i="3"/>
  <c r="R20" i="3"/>
  <c r="Q20" i="3"/>
  <c r="P20" i="3"/>
  <c r="P20" i="3" a="1"/>
  <c r="O20" i="3"/>
  <c r="M20" i="3"/>
  <c r="L20" i="3"/>
  <c r="N20" i="3" s="1"/>
  <c r="J20" i="3"/>
  <c r="J20" i="3" a="1"/>
  <c r="G20" i="3"/>
  <c r="F20" i="3"/>
  <c r="H20" i="3" s="1"/>
  <c r="E20" i="3"/>
  <c r="D20" i="3"/>
  <c r="C20" i="3"/>
  <c r="EL20" i="3" s="1" a="1"/>
  <c r="EL20" i="3" s="1"/>
  <c r="B20" i="3"/>
  <c r="A20" i="3"/>
  <c r="EX19" i="3" a="1"/>
  <c r="EX19" i="3" s="1"/>
  <c r="EY19" i="3" s="1"/>
  <c r="EU19" i="3"/>
  <c r="EV19" i="3" s="1"/>
  <c r="ER19" i="3" a="1"/>
  <c r="ER19" i="3" s="1"/>
  <c r="ES19" i="3" s="1"/>
  <c r="EI19" i="3"/>
  <c r="EJ19" i="3" s="1"/>
  <c r="EF19" i="3" a="1"/>
  <c r="EF19" i="3" s="1"/>
  <c r="EG19" i="3" s="1"/>
  <c r="DW19" i="3"/>
  <c r="DX19" i="3" s="1"/>
  <c r="DQ19" i="3"/>
  <c r="DR19" i="3" s="1"/>
  <c r="DH19" i="3" a="1"/>
  <c r="DH19" i="3" s="1"/>
  <c r="DI19" i="3" s="1"/>
  <c r="CX19" i="3"/>
  <c r="CU19" i="3"/>
  <c r="CM19" i="3"/>
  <c r="CL19" i="3"/>
  <c r="CN19" i="3" s="1"/>
  <c r="CF19" i="3"/>
  <c r="BU19" i="3"/>
  <c r="BI19" i="3"/>
  <c r="BC19" i="3"/>
  <c r="BB19" i="3"/>
  <c r="BD19" i="3" s="1"/>
  <c r="AJ19" i="3"/>
  <c r="Y19" i="3"/>
  <c r="S19" i="3"/>
  <c r="R19" i="3"/>
  <c r="T19" i="3" s="1"/>
  <c r="J19" i="3" a="1"/>
  <c r="J19" i="3" s="1"/>
  <c r="G19" i="3"/>
  <c r="E19" i="3"/>
  <c r="D19" i="3"/>
  <c r="C19" i="3"/>
  <c r="CS19" i="3" s="1"/>
  <c r="B19" i="3"/>
  <c r="A19" i="3"/>
  <c r="EX18" i="3" a="1"/>
  <c r="EX18" i="3" s="1"/>
  <c r="EY18" i="3" s="1"/>
  <c r="EU18" i="3"/>
  <c r="EV18" i="3" s="1"/>
  <c r="ES18" i="3"/>
  <c r="ER18" i="3" a="1"/>
  <c r="ER18" i="3" s="1"/>
  <c r="EO18" i="3"/>
  <c r="EP18" i="3" s="1"/>
  <c r="EL18" i="3"/>
  <c r="EM18" i="3" s="1"/>
  <c r="EJ18" i="3"/>
  <c r="EI18" i="3"/>
  <c r="EF18" i="3" a="1"/>
  <c r="EF18" i="3" s="1"/>
  <c r="EG18" i="3" s="1"/>
  <c r="EC18" i="3"/>
  <c r="ED18" i="3" s="1"/>
  <c r="EA18" i="3"/>
  <c r="DZ18" i="3"/>
  <c r="DZ18" i="3" a="1"/>
  <c r="DT18" i="3" a="1"/>
  <c r="DT18" i="3" s="1"/>
  <c r="DU18" i="3" s="1"/>
  <c r="DR18" i="3"/>
  <c r="DQ18" i="3"/>
  <c r="DN18" i="3" a="1"/>
  <c r="DN18" i="3" s="1"/>
  <c r="DO18" i="3" s="1"/>
  <c r="DK18" i="3"/>
  <c r="DL18" i="3" s="1"/>
  <c r="DI18" i="3"/>
  <c r="DH18" i="3" a="1"/>
  <c r="DH18" i="3" s="1"/>
  <c r="DE18" i="3"/>
  <c r="DF18" i="3" s="1"/>
  <c r="DA18" i="3"/>
  <c r="CY18" i="3"/>
  <c r="CX18" i="3"/>
  <c r="CV18" i="3" a="1"/>
  <c r="CV18" i="3" s="1"/>
  <c r="CW18" i="3" s="1"/>
  <c r="CU18" i="3"/>
  <c r="CS18" i="3"/>
  <c r="CR18" i="3"/>
  <c r="CP18" i="3" a="1"/>
  <c r="CP18" i="3" s="1"/>
  <c r="CO18" i="3"/>
  <c r="CM18" i="3"/>
  <c r="CK18" i="3"/>
  <c r="CJ18" i="3"/>
  <c r="CJ18" i="3" a="1"/>
  <c r="CI18" i="3"/>
  <c r="CF18" i="3"/>
  <c r="CD18" i="3"/>
  <c r="CE18" i="3" s="1"/>
  <c r="CD18" i="3" a="1"/>
  <c r="CC18" i="3"/>
  <c r="CA18" i="3"/>
  <c r="BZ18" i="3"/>
  <c r="CB18" i="3" s="1"/>
  <c r="BX18" i="3"/>
  <c r="BX18" i="3" a="1"/>
  <c r="BU18" i="3"/>
  <c r="BT18" i="3"/>
  <c r="BV18" i="3" s="1"/>
  <c r="BQ18" i="3"/>
  <c r="BO18" i="3"/>
  <c r="BN18" i="3"/>
  <c r="BP18" i="3" s="1"/>
  <c r="BL18" i="3" a="1"/>
  <c r="BL18" i="3" s="1"/>
  <c r="BK18" i="3"/>
  <c r="BM18" i="3" s="1"/>
  <c r="BI18" i="3"/>
  <c r="BH18" i="3"/>
  <c r="BJ18" i="3" s="1"/>
  <c r="BF18" i="3" a="1"/>
  <c r="BF18" i="3" s="1"/>
  <c r="BE18" i="3"/>
  <c r="BC18" i="3"/>
  <c r="BA18" i="3"/>
  <c r="AZ18" i="3"/>
  <c r="AZ18" i="3" a="1"/>
  <c r="AY18" i="3"/>
  <c r="AV18" i="3"/>
  <c r="AS18" i="3"/>
  <c r="AP18" i="3"/>
  <c r="AM18" i="3"/>
  <c r="AK18" i="3"/>
  <c r="AJ18" i="3"/>
  <c r="AL18" i="3" s="1"/>
  <c r="AH18" i="3" a="1"/>
  <c r="AH18" i="3" s="1"/>
  <c r="AI18" i="3" s="1"/>
  <c r="AG18" i="3"/>
  <c r="AE18" i="3"/>
  <c r="AD18" i="3"/>
  <c r="AF18" i="3" s="1"/>
  <c r="AB18" i="3" a="1"/>
  <c r="AB18" i="3" s="1"/>
  <c r="AA18" i="3"/>
  <c r="AC18" i="3" s="1"/>
  <c r="Y18" i="3"/>
  <c r="V18" i="3" a="1"/>
  <c r="V18" i="3" s="1"/>
  <c r="U18" i="3"/>
  <c r="W18" i="3" s="1"/>
  <c r="R18" i="3"/>
  <c r="P18" i="3" a="1"/>
  <c r="P18" i="3" s="1"/>
  <c r="O18" i="3"/>
  <c r="Q18" i="3" s="1"/>
  <c r="M18" i="3"/>
  <c r="L18" i="3"/>
  <c r="J18" i="3" a="1"/>
  <c r="J18" i="3" s="1"/>
  <c r="H18" i="3"/>
  <c r="G18" i="3"/>
  <c r="F18" i="3"/>
  <c r="E18" i="3"/>
  <c r="D18" i="3"/>
  <c r="C18" i="3"/>
  <c r="EL18" i="3" s="1" a="1"/>
  <c r="B18" i="3"/>
  <c r="A18" i="3"/>
  <c r="EU17" i="3"/>
  <c r="EV17" i="3" s="1"/>
  <c r="EF17" i="3" a="1"/>
  <c r="EF17" i="3" s="1"/>
  <c r="EG17" i="3" s="1"/>
  <c r="CP17" i="3" a="1"/>
  <c r="CP17" i="3" s="1"/>
  <c r="CL17" i="3"/>
  <c r="CD17" i="3" a="1"/>
  <c r="CD17" i="3" s="1"/>
  <c r="BW17" i="3"/>
  <c r="BL17" i="3" a="1"/>
  <c r="BL17" i="3" s="1"/>
  <c r="AS17" i="3"/>
  <c r="AM17" i="3"/>
  <c r="AB17" i="3" a="1"/>
  <c r="AB17" i="3" s="1"/>
  <c r="J17" i="3" a="1"/>
  <c r="J17" i="3" s="1"/>
  <c r="I17" i="3"/>
  <c r="E17" i="3"/>
  <c r="D17" i="3"/>
  <c r="C17" i="3"/>
  <c r="CV17" i="3" s="1" a="1"/>
  <c r="CV17" i="3" s="1"/>
  <c r="B17" i="3"/>
  <c r="A17" i="3"/>
  <c r="EX16" i="3"/>
  <c r="EY16" i="3" s="1"/>
  <c r="EX16" i="3" a="1"/>
  <c r="EU16" i="3"/>
  <c r="EV16" i="3" s="1"/>
  <c r="ES16" i="3"/>
  <c r="ER16" i="3" a="1"/>
  <c r="ER16" i="3" s="1"/>
  <c r="EP16" i="3"/>
  <c r="EO16" i="3"/>
  <c r="EL16" i="3"/>
  <c r="EM16" i="3" s="1"/>
  <c r="EJ16" i="3"/>
  <c r="EI16" i="3"/>
  <c r="EG16" i="3"/>
  <c r="EF16" i="3"/>
  <c r="EF16" i="3" a="1"/>
  <c r="EC16" i="3"/>
  <c r="ED16" i="3" s="1"/>
  <c r="EA16" i="3"/>
  <c r="DZ16" i="3"/>
  <c r="DZ16" i="3" a="1"/>
  <c r="DT16" i="3" a="1"/>
  <c r="DT16" i="3" s="1"/>
  <c r="DU16" i="3" s="1"/>
  <c r="DQ16" i="3"/>
  <c r="DR16" i="3" s="1"/>
  <c r="DN16" i="3"/>
  <c r="DO16" i="3" s="1"/>
  <c r="DN16" i="3" a="1"/>
  <c r="DK16" i="3"/>
  <c r="DL16" i="3" s="1"/>
  <c r="DH16" i="3" a="1"/>
  <c r="DH16" i="3" s="1"/>
  <c r="DI16" i="3" s="1"/>
  <c r="DF16" i="3"/>
  <c r="DE16" i="3"/>
  <c r="DA16" i="3"/>
  <c r="CZ16" i="3"/>
  <c r="CY16" i="3"/>
  <c r="CX16" i="3"/>
  <c r="CV16" i="3" a="1"/>
  <c r="CV16" i="3" s="1"/>
  <c r="CU16" i="3"/>
  <c r="CW16" i="3" s="1"/>
  <c r="CT16" i="3"/>
  <c r="CS16" i="3"/>
  <c r="CR16" i="3"/>
  <c r="CP16" i="3" a="1"/>
  <c r="CP16" i="3" s="1"/>
  <c r="CO16" i="3"/>
  <c r="CM16" i="3"/>
  <c r="CJ16" i="3" a="1"/>
  <c r="CJ16" i="3" s="1"/>
  <c r="CI16" i="3"/>
  <c r="CF16" i="3"/>
  <c r="CD16" i="3"/>
  <c r="CD16" i="3" a="1"/>
  <c r="CC16" i="3"/>
  <c r="CE16" i="3" s="1"/>
  <c r="CA16" i="3"/>
  <c r="BZ16" i="3"/>
  <c r="BX16" i="3"/>
  <c r="BX16" i="3" a="1"/>
  <c r="BU16" i="3"/>
  <c r="BV16" i="3" s="1"/>
  <c r="BT16" i="3"/>
  <c r="BQ16" i="3"/>
  <c r="BP16" i="3"/>
  <c r="BO16" i="3"/>
  <c r="BN16" i="3"/>
  <c r="BL16" i="3" a="1"/>
  <c r="BL16" i="3" s="1"/>
  <c r="BK16" i="3"/>
  <c r="BM16" i="3" s="1"/>
  <c r="BJ16" i="3"/>
  <c r="BI16" i="3"/>
  <c r="BH16" i="3"/>
  <c r="BF16" i="3" a="1"/>
  <c r="BF16" i="3" s="1"/>
  <c r="BE16" i="3"/>
  <c r="BG16" i="3" s="1"/>
  <c r="BC16" i="3"/>
  <c r="AZ16" i="3" a="1"/>
  <c r="AZ16" i="3" s="1"/>
  <c r="AY16" i="3"/>
  <c r="AV16" i="3"/>
  <c r="AS16" i="3"/>
  <c r="AP16" i="3"/>
  <c r="AM16" i="3"/>
  <c r="AL16" i="3"/>
  <c r="AK16" i="3"/>
  <c r="AJ16" i="3"/>
  <c r="AH16" i="3" a="1"/>
  <c r="AH16" i="3" s="1"/>
  <c r="AG16" i="3"/>
  <c r="AI16" i="3" s="1"/>
  <c r="AE16" i="3"/>
  <c r="AF16" i="3" s="1"/>
  <c r="AD16" i="3"/>
  <c r="AB16" i="3" a="1"/>
  <c r="AB16" i="3" s="1"/>
  <c r="AA16" i="3"/>
  <c r="AC16" i="3" s="1"/>
  <c r="Y16" i="3"/>
  <c r="V16" i="3" a="1"/>
  <c r="V16" i="3" s="1"/>
  <c r="U16" i="3"/>
  <c r="R16" i="3"/>
  <c r="P16" i="3" a="1"/>
  <c r="P16" i="3" s="1"/>
  <c r="O16" i="3"/>
  <c r="Q16" i="3" s="1"/>
  <c r="M16" i="3"/>
  <c r="L16" i="3"/>
  <c r="J16" i="3" a="1"/>
  <c r="J16" i="3" s="1"/>
  <c r="G16" i="3"/>
  <c r="F16" i="3"/>
  <c r="E16" i="3"/>
  <c r="D16" i="3"/>
  <c r="C16" i="3"/>
  <c r="EL16" i="3" s="1" a="1"/>
  <c r="B16" i="3"/>
  <c r="A16" i="3"/>
  <c r="EX15" i="3"/>
  <c r="EY15" i="3" s="1"/>
  <c r="EX15" i="3" a="1"/>
  <c r="ER15" i="3"/>
  <c r="ES15" i="3" s="1"/>
  <c r="ER15" i="3" a="1"/>
  <c r="EL15" i="3" a="1"/>
  <c r="EL15" i="3" s="1"/>
  <c r="EM15" i="3" s="1"/>
  <c r="EI15" i="3"/>
  <c r="EJ15" i="3" s="1"/>
  <c r="EF15" i="3"/>
  <c r="EG15" i="3" s="1"/>
  <c r="EF15" i="3" a="1"/>
  <c r="EC15" i="3"/>
  <c r="ED15" i="3" s="1"/>
  <c r="DZ15" i="3" a="1"/>
  <c r="DZ15" i="3" s="1"/>
  <c r="EA15" i="3" s="1"/>
  <c r="DX15" i="3"/>
  <c r="DW15" i="3"/>
  <c r="DQ15" i="3"/>
  <c r="DR15" i="3" s="1"/>
  <c r="DK15" i="3"/>
  <c r="DL15" i="3" s="1"/>
  <c r="DI15" i="3"/>
  <c r="DH15" i="3"/>
  <c r="DH15" i="3" a="1"/>
  <c r="DB15" i="3" a="1"/>
  <c r="DB15" i="3" s="1"/>
  <c r="DA15" i="3"/>
  <c r="CX15" i="3"/>
  <c r="CV15" i="3" a="1"/>
  <c r="CV15" i="3" s="1"/>
  <c r="CU15" i="3"/>
  <c r="CS15" i="3"/>
  <c r="CR15" i="3"/>
  <c r="CP15" i="3"/>
  <c r="CP15" i="3" a="1"/>
  <c r="CM15" i="3"/>
  <c r="CN15" i="3" s="1"/>
  <c r="CL15" i="3"/>
  <c r="CI15" i="3"/>
  <c r="CG15" i="3"/>
  <c r="CH15" i="3" s="1"/>
  <c r="CF15" i="3"/>
  <c r="CD15" i="3" a="1"/>
  <c r="CD15" i="3" s="1"/>
  <c r="CC15" i="3"/>
  <c r="CE15" i="3" s="1"/>
  <c r="CB15" i="3"/>
  <c r="CA15" i="3"/>
  <c r="BZ15" i="3"/>
  <c r="BX15" i="3" a="1"/>
  <c r="BX15" i="3" s="1"/>
  <c r="BW15" i="3"/>
  <c r="BY15" i="3" s="1"/>
  <c r="BU15" i="3"/>
  <c r="BR15" i="3" a="1"/>
  <c r="BR15" i="3" s="1"/>
  <c r="BQ15" i="3"/>
  <c r="BS15" i="3" s="1"/>
  <c r="BN15" i="3"/>
  <c r="BL15" i="3" a="1"/>
  <c r="BL15" i="3" s="1"/>
  <c r="BK15" i="3"/>
  <c r="BI15" i="3"/>
  <c r="BH15" i="3"/>
  <c r="BJ15" i="3" s="1"/>
  <c r="BF15" i="3" a="1"/>
  <c r="BF15" i="3" s="1"/>
  <c r="BC15" i="3"/>
  <c r="BD15" i="3" s="1"/>
  <c r="BB15" i="3"/>
  <c r="AY15" i="3"/>
  <c r="AW15" i="3"/>
  <c r="AV15" i="3"/>
  <c r="AX15" i="3" s="1"/>
  <c r="AS15" i="3"/>
  <c r="AN15" i="3" a="1"/>
  <c r="AN15" i="3" s="1"/>
  <c r="AM15" i="3"/>
  <c r="AO15" i="3" s="1"/>
  <c r="AJ15" i="3"/>
  <c r="AH15" i="3" a="1"/>
  <c r="AH15" i="3" s="1"/>
  <c r="AG15" i="3"/>
  <c r="AI15" i="3" s="1"/>
  <c r="AE15" i="3"/>
  <c r="AD15" i="3"/>
  <c r="AF15" i="3" s="1"/>
  <c r="AB15" i="3" a="1"/>
  <c r="AB15" i="3" s="1"/>
  <c r="Y15" i="3"/>
  <c r="X15" i="3"/>
  <c r="Z15" i="3" s="1"/>
  <c r="U15" i="3"/>
  <c r="S15" i="3"/>
  <c r="T15" i="3" s="1"/>
  <c r="R15" i="3"/>
  <c r="O15" i="3"/>
  <c r="M15" i="3"/>
  <c r="L15" i="3"/>
  <c r="N15" i="3" s="1"/>
  <c r="I15" i="3"/>
  <c r="G15" i="3"/>
  <c r="E15" i="3"/>
  <c r="D15" i="3"/>
  <c r="C15" i="3"/>
  <c r="B15" i="3"/>
  <c r="A15" i="3"/>
  <c r="EX14" i="3" a="1"/>
  <c r="EX14" i="3" s="1"/>
  <c r="EY14" i="3" s="1"/>
  <c r="EV14" i="3"/>
  <c r="EU14" i="3"/>
  <c r="ER14" i="3" a="1"/>
  <c r="ER14" i="3" s="1"/>
  <c r="ES14" i="3" s="1"/>
  <c r="EO14" i="3"/>
  <c r="EP14" i="3" s="1"/>
  <c r="EM14" i="3"/>
  <c r="EI14" i="3"/>
  <c r="EJ14" i="3" s="1"/>
  <c r="EF14" i="3" a="1"/>
  <c r="EF14" i="3" s="1"/>
  <c r="EG14" i="3" s="1"/>
  <c r="EC14" i="3"/>
  <c r="ED14" i="3" s="1"/>
  <c r="DZ14" i="3"/>
  <c r="EA14" i="3" s="1"/>
  <c r="DZ14" i="3" a="1"/>
  <c r="DU14" i="3"/>
  <c r="DT14" i="3"/>
  <c r="DT14" i="3" a="1"/>
  <c r="DR14" i="3"/>
  <c r="DQ14" i="3"/>
  <c r="DN14" i="3" a="1"/>
  <c r="DN14" i="3" s="1"/>
  <c r="DO14" i="3" s="1"/>
  <c r="DL14" i="3"/>
  <c r="DK14" i="3"/>
  <c r="DI14" i="3"/>
  <c r="DH14" i="3" a="1"/>
  <c r="DH14" i="3" s="1"/>
  <c r="DE14" i="3"/>
  <c r="DF14" i="3" s="1"/>
  <c r="DA14" i="3"/>
  <c r="CY14" i="3"/>
  <c r="CZ14" i="3" s="1"/>
  <c r="CX14" i="3"/>
  <c r="CV14" i="3" a="1"/>
  <c r="CV14" i="3" s="1"/>
  <c r="CU14" i="3"/>
  <c r="CW14" i="3" s="1"/>
  <c r="CS14" i="3"/>
  <c r="CR14" i="3"/>
  <c r="CT14" i="3" s="1"/>
  <c r="CP14" i="3"/>
  <c r="CP14" i="3" a="1"/>
  <c r="CO14" i="3"/>
  <c r="CQ14" i="3" s="1"/>
  <c r="CM14" i="3"/>
  <c r="CK14" i="3"/>
  <c r="CJ14" i="3"/>
  <c r="CJ14" i="3" a="1"/>
  <c r="CI14" i="3"/>
  <c r="CF14" i="3"/>
  <c r="CE14" i="3"/>
  <c r="CD14" i="3"/>
  <c r="CD14" i="3" a="1"/>
  <c r="CC14" i="3"/>
  <c r="CA14" i="3"/>
  <c r="BZ14" i="3"/>
  <c r="CB14" i="3" s="1"/>
  <c r="BX14" i="3"/>
  <c r="BX14" i="3" a="1"/>
  <c r="BU14" i="3"/>
  <c r="BT14" i="3"/>
  <c r="BV14" i="3" s="1"/>
  <c r="BQ14" i="3"/>
  <c r="BO14" i="3"/>
  <c r="BN14" i="3"/>
  <c r="BP14" i="3" s="1"/>
  <c r="BM14" i="3"/>
  <c r="BL14" i="3" a="1"/>
  <c r="BL14" i="3" s="1"/>
  <c r="BK14" i="3"/>
  <c r="BI14" i="3"/>
  <c r="BH14" i="3"/>
  <c r="BJ14" i="3" s="1"/>
  <c r="BF14" i="3"/>
  <c r="BF14" i="3" a="1"/>
  <c r="BE14" i="3"/>
  <c r="BC14" i="3"/>
  <c r="AZ14" i="3"/>
  <c r="BA14" i="3" s="1"/>
  <c r="AZ14" i="3" a="1"/>
  <c r="AY14" i="3"/>
  <c r="AV14" i="3"/>
  <c r="AS14" i="3"/>
  <c r="AP14" i="3"/>
  <c r="AM14" i="3"/>
  <c r="AK14" i="3"/>
  <c r="AJ14" i="3"/>
  <c r="AL14" i="3" s="1"/>
  <c r="AI14" i="3"/>
  <c r="AH14" i="3" a="1"/>
  <c r="AH14" i="3" s="1"/>
  <c r="AG14" i="3"/>
  <c r="AE14" i="3"/>
  <c r="AD14" i="3"/>
  <c r="AF14" i="3" s="1"/>
  <c r="AB14" i="3"/>
  <c r="AB14" i="3" a="1"/>
  <c r="AA14" i="3"/>
  <c r="Y14" i="3"/>
  <c r="V14" i="3"/>
  <c r="W14" i="3" s="1"/>
  <c r="V14" i="3" a="1"/>
  <c r="U14" i="3"/>
  <c r="R14" i="3"/>
  <c r="P14" i="3"/>
  <c r="Q14" i="3" s="1"/>
  <c r="P14" i="3" a="1"/>
  <c r="O14" i="3"/>
  <c r="M14" i="3"/>
  <c r="L14" i="3"/>
  <c r="J14" i="3"/>
  <c r="J14" i="3" a="1"/>
  <c r="G14" i="3"/>
  <c r="F14" i="3"/>
  <c r="E14" i="3"/>
  <c r="D14" i="3"/>
  <c r="C14" i="3"/>
  <c r="EL14" i="3" s="1" a="1"/>
  <c r="EL14" i="3" s="1"/>
  <c r="B14" i="3"/>
  <c r="A14" i="3"/>
  <c r="EX13" i="3" a="1"/>
  <c r="EX13" i="3" s="1"/>
  <c r="EY13" i="3" s="1"/>
  <c r="EI13" i="3"/>
  <c r="EJ13" i="3" s="1"/>
  <c r="DW13" i="3"/>
  <c r="DX13" i="3" s="1"/>
  <c r="CX13" i="3"/>
  <c r="CF13" i="3"/>
  <c r="BC13" i="3"/>
  <c r="AD13" i="3"/>
  <c r="S13" i="3"/>
  <c r="E13" i="3"/>
  <c r="D13" i="3"/>
  <c r="C13" i="3"/>
  <c r="DN13" i="3" s="1" a="1"/>
  <c r="DN13" i="3" s="1"/>
  <c r="DO13" i="3" s="1"/>
  <c r="B13" i="3"/>
  <c r="A13" i="3"/>
  <c r="EX12" i="3" a="1"/>
  <c r="EX12" i="3" s="1"/>
  <c r="EY12" i="3" s="1"/>
  <c r="EU12" i="3"/>
  <c r="EV12" i="3" s="1"/>
  <c r="ES12" i="3"/>
  <c r="ER12" i="3" a="1"/>
  <c r="ER12" i="3" s="1"/>
  <c r="EO12" i="3"/>
  <c r="EP12" i="3" s="1"/>
  <c r="EM12" i="3"/>
  <c r="EJ12" i="3"/>
  <c r="EI12" i="3"/>
  <c r="EF12" i="3" a="1"/>
  <c r="EF12" i="3" s="1"/>
  <c r="EG12" i="3" s="1"/>
  <c r="EC12" i="3"/>
  <c r="ED12" i="3" s="1"/>
  <c r="EA12" i="3"/>
  <c r="DZ12" i="3"/>
  <c r="DZ12" i="3" a="1"/>
  <c r="DT12" i="3"/>
  <c r="DU12" i="3" s="1"/>
  <c r="DT12" i="3" a="1"/>
  <c r="DR12" i="3"/>
  <c r="DQ12" i="3"/>
  <c r="DN12" i="3" a="1"/>
  <c r="DN12" i="3" s="1"/>
  <c r="DO12" i="3" s="1"/>
  <c r="DL12" i="3"/>
  <c r="DK12" i="3"/>
  <c r="DI12" i="3"/>
  <c r="DH12" i="3" a="1"/>
  <c r="DH12" i="3" s="1"/>
  <c r="DE12" i="3"/>
  <c r="DF12" i="3" s="1"/>
  <c r="DA12" i="3"/>
  <c r="CY12" i="3"/>
  <c r="CX12" i="3"/>
  <c r="CZ12" i="3" s="1"/>
  <c r="CV12" i="3" a="1"/>
  <c r="CV12" i="3" s="1"/>
  <c r="CW12" i="3" s="1"/>
  <c r="CU12" i="3"/>
  <c r="CS12" i="3"/>
  <c r="CR12" i="3"/>
  <c r="CT12" i="3" s="1"/>
  <c r="CP12" i="3" a="1"/>
  <c r="CP12" i="3" s="1"/>
  <c r="CO12" i="3"/>
  <c r="CM12" i="3"/>
  <c r="CJ12" i="3" a="1"/>
  <c r="CJ12" i="3" s="1"/>
  <c r="CK12" i="3" s="1"/>
  <c r="CI12" i="3"/>
  <c r="CF12" i="3"/>
  <c r="CD12" i="3" a="1"/>
  <c r="CD12" i="3" s="1"/>
  <c r="CE12" i="3" s="1"/>
  <c r="CC12" i="3"/>
  <c r="CA12" i="3"/>
  <c r="BZ12" i="3"/>
  <c r="CB12" i="3" s="1"/>
  <c r="BX12" i="3" a="1"/>
  <c r="BX12" i="3" s="1"/>
  <c r="BU12" i="3"/>
  <c r="BT12" i="3"/>
  <c r="BV12" i="3" s="1"/>
  <c r="BQ12" i="3"/>
  <c r="BO12" i="3"/>
  <c r="BN12" i="3"/>
  <c r="BP12" i="3" s="1"/>
  <c r="BL12" i="3" a="1"/>
  <c r="BL12" i="3" s="1"/>
  <c r="BM12" i="3" s="1"/>
  <c r="BK12" i="3"/>
  <c r="BI12" i="3"/>
  <c r="BH12" i="3"/>
  <c r="BJ12" i="3" s="1"/>
  <c r="BF12" i="3" a="1"/>
  <c r="BF12" i="3" s="1"/>
  <c r="BE12" i="3"/>
  <c r="BG12" i="3" s="1"/>
  <c r="BC12" i="3"/>
  <c r="AZ12" i="3" a="1"/>
  <c r="AZ12" i="3" s="1"/>
  <c r="AY12" i="3"/>
  <c r="BA12" i="3" s="1"/>
  <c r="AV12" i="3"/>
  <c r="AS12" i="3"/>
  <c r="AP12" i="3"/>
  <c r="AM12" i="3"/>
  <c r="AK12" i="3"/>
  <c r="AJ12" i="3"/>
  <c r="AL12" i="3" s="1"/>
  <c r="AH12" i="3" a="1"/>
  <c r="AH12" i="3" s="1"/>
  <c r="AG12" i="3"/>
  <c r="AI12" i="3" s="1"/>
  <c r="AE12" i="3"/>
  <c r="AD12" i="3"/>
  <c r="AF12" i="3" s="1"/>
  <c r="AB12" i="3"/>
  <c r="AB12" i="3" a="1"/>
  <c r="AA12" i="3"/>
  <c r="Y12" i="3"/>
  <c r="V12" i="3" a="1"/>
  <c r="V12" i="3" s="1"/>
  <c r="W12" i="3" s="1"/>
  <c r="U12" i="3"/>
  <c r="R12" i="3"/>
  <c r="P12" i="3" a="1"/>
  <c r="P12" i="3" s="1"/>
  <c r="O12" i="3"/>
  <c r="Q12" i="3" s="1"/>
  <c r="M12" i="3"/>
  <c r="L12" i="3"/>
  <c r="J12" i="3" a="1"/>
  <c r="J12" i="3" s="1"/>
  <c r="H12" i="3"/>
  <c r="G12" i="3"/>
  <c r="F12" i="3"/>
  <c r="E12" i="3"/>
  <c r="D12" i="3"/>
  <c r="C12" i="3"/>
  <c r="EL12" i="3" s="1" a="1"/>
  <c r="EL12" i="3" s="1"/>
  <c r="B12" i="3"/>
  <c r="A12" i="3"/>
  <c r="E11" i="3"/>
  <c r="D11" i="3"/>
  <c r="C11" i="3"/>
  <c r="DK11" i="3" s="1"/>
  <c r="DL11" i="3" s="1"/>
  <c r="B11" i="3"/>
  <c r="A11" i="3"/>
  <c r="EX10" i="3"/>
  <c r="EY10" i="3" s="1"/>
  <c r="EX10" i="3" a="1"/>
  <c r="EU10" i="3"/>
  <c r="EV10" i="3" s="1"/>
  <c r="ER10" i="3" a="1"/>
  <c r="ER10" i="3" s="1"/>
  <c r="ES10" i="3" s="1"/>
  <c r="EP10" i="3"/>
  <c r="EO10" i="3"/>
  <c r="EI10" i="3"/>
  <c r="EJ10" i="3" s="1"/>
  <c r="EG10" i="3"/>
  <c r="EF10" i="3"/>
  <c r="EF10" i="3" a="1"/>
  <c r="EC10" i="3"/>
  <c r="ED10" i="3" s="1"/>
  <c r="DZ10" i="3" a="1"/>
  <c r="DZ10" i="3" s="1"/>
  <c r="EA10" i="3" s="1"/>
  <c r="DT10" i="3" a="1"/>
  <c r="DT10" i="3" s="1"/>
  <c r="DU10" i="3" s="1"/>
  <c r="DR10" i="3"/>
  <c r="DQ10" i="3"/>
  <c r="DN10" i="3"/>
  <c r="DO10" i="3" s="1"/>
  <c r="DN10" i="3" a="1"/>
  <c r="DK10" i="3"/>
  <c r="DL10" i="3" s="1"/>
  <c r="DI10" i="3"/>
  <c r="DH10" i="3" a="1"/>
  <c r="DH10" i="3" s="1"/>
  <c r="DF10" i="3"/>
  <c r="DE10" i="3"/>
  <c r="DA10" i="3"/>
  <c r="CZ10" i="3"/>
  <c r="CY10" i="3"/>
  <c r="CX10" i="3"/>
  <c r="CV10" i="3" a="1"/>
  <c r="CV10" i="3" s="1"/>
  <c r="CW10" i="3" s="1"/>
  <c r="CU10" i="3"/>
  <c r="CT10" i="3"/>
  <c r="CS10" i="3"/>
  <c r="CR10" i="3"/>
  <c r="CP10" i="3" a="1"/>
  <c r="CP10" i="3" s="1"/>
  <c r="CO10" i="3"/>
  <c r="CM10" i="3"/>
  <c r="CJ10" i="3" a="1"/>
  <c r="CJ10" i="3" s="1"/>
  <c r="CI10" i="3"/>
  <c r="CK10" i="3" s="1"/>
  <c r="CF10" i="3"/>
  <c r="CD10" i="3" a="1"/>
  <c r="CD10" i="3" s="1"/>
  <c r="CC10" i="3"/>
  <c r="CE10" i="3" s="1"/>
  <c r="CA10" i="3"/>
  <c r="BZ10" i="3"/>
  <c r="BX10" i="3" a="1"/>
  <c r="BX10" i="3" s="1"/>
  <c r="BU10" i="3"/>
  <c r="BV10" i="3" s="1"/>
  <c r="BT10" i="3"/>
  <c r="BQ10" i="3"/>
  <c r="BO10" i="3"/>
  <c r="BP10" i="3" s="1"/>
  <c r="BN10" i="3"/>
  <c r="BL10" i="3" a="1"/>
  <c r="BL10" i="3" s="1"/>
  <c r="BK10" i="3"/>
  <c r="BI10" i="3"/>
  <c r="BJ10" i="3" s="1"/>
  <c r="BH10" i="3"/>
  <c r="BF10" i="3" a="1"/>
  <c r="BF10" i="3" s="1"/>
  <c r="BE10" i="3"/>
  <c r="BC10" i="3"/>
  <c r="AZ10" i="3" a="1"/>
  <c r="AZ10" i="3" s="1"/>
  <c r="AY10" i="3"/>
  <c r="BA10" i="3" s="1"/>
  <c r="AV10" i="3"/>
  <c r="AS10" i="3"/>
  <c r="AP10" i="3"/>
  <c r="AM10" i="3"/>
  <c r="AK10" i="3"/>
  <c r="AJ10" i="3"/>
  <c r="AL10" i="3" s="1"/>
  <c r="AH10" i="3" a="1"/>
  <c r="AH10" i="3" s="1"/>
  <c r="AG10" i="3"/>
  <c r="AI10" i="3" s="1"/>
  <c r="AE10" i="3"/>
  <c r="AD10" i="3"/>
  <c r="AF10" i="3" s="1"/>
  <c r="AB10" i="3" a="1"/>
  <c r="AB10" i="3" s="1"/>
  <c r="AA10" i="3"/>
  <c r="AC10" i="3" s="1"/>
  <c r="Y10" i="3"/>
  <c r="V10" i="3" a="1"/>
  <c r="V10" i="3" s="1"/>
  <c r="U10" i="3"/>
  <c r="W10" i="3" s="1"/>
  <c r="R10" i="3"/>
  <c r="P10" i="3" a="1"/>
  <c r="P10" i="3" s="1"/>
  <c r="O10" i="3"/>
  <c r="Q10" i="3" s="1"/>
  <c r="M10" i="3"/>
  <c r="L10" i="3"/>
  <c r="N10" i="3" s="1"/>
  <c r="J10" i="3" a="1"/>
  <c r="J10" i="3" s="1"/>
  <c r="G10" i="3"/>
  <c r="F10" i="3"/>
  <c r="H10" i="3" s="1"/>
  <c r="E10" i="3"/>
  <c r="D10" i="3"/>
  <c r="C10" i="3"/>
  <c r="EL10" i="3" s="1" a="1"/>
  <c r="EL10" i="3" s="1"/>
  <c r="EM10" i="3" s="1"/>
  <c r="B10" i="3"/>
  <c r="A10" i="3"/>
  <c r="EX9" i="3" a="1"/>
  <c r="EX9" i="3" s="1"/>
  <c r="EY9" i="3" s="1"/>
  <c r="ER9" i="3"/>
  <c r="ES9" i="3" s="1"/>
  <c r="ER9" i="3" a="1"/>
  <c r="EL9" i="3" a="1"/>
  <c r="EL9" i="3" s="1"/>
  <c r="EM9" i="3" s="1"/>
  <c r="EJ9" i="3"/>
  <c r="EI9" i="3"/>
  <c r="EF9" i="3"/>
  <c r="EG9" i="3" s="1"/>
  <c r="EF9" i="3" a="1"/>
  <c r="EC9" i="3"/>
  <c r="ED9" i="3" s="1"/>
  <c r="DZ9" i="3" a="1"/>
  <c r="DZ9" i="3" s="1"/>
  <c r="EA9" i="3" s="1"/>
  <c r="DX9" i="3"/>
  <c r="DW9" i="3"/>
  <c r="DQ9" i="3"/>
  <c r="DR9" i="3" s="1"/>
  <c r="DK9" i="3"/>
  <c r="DL9" i="3" s="1"/>
  <c r="DH9" i="3" a="1"/>
  <c r="DH9" i="3" s="1"/>
  <c r="DI9" i="3" s="1"/>
  <c r="DB9" i="3"/>
  <c r="DB9" i="3" a="1"/>
  <c r="DA9" i="3"/>
  <c r="CX9" i="3"/>
  <c r="CV9" i="3"/>
  <c r="CV9" i="3" a="1"/>
  <c r="CU9" i="3"/>
  <c r="CS9" i="3"/>
  <c r="CR9" i="3"/>
  <c r="CT9" i="3" s="1"/>
  <c r="CP9" i="3" a="1"/>
  <c r="CP9" i="3" s="1"/>
  <c r="CN9" i="3"/>
  <c r="CM9" i="3"/>
  <c r="CL9" i="3"/>
  <c r="CI9" i="3"/>
  <c r="CG9" i="3"/>
  <c r="CH9" i="3" s="1"/>
  <c r="CF9" i="3"/>
  <c r="CD9" i="3" a="1"/>
  <c r="CD9" i="3" s="1"/>
  <c r="CC9" i="3"/>
  <c r="CE9" i="3" s="1"/>
  <c r="CA9" i="3"/>
  <c r="BZ9" i="3"/>
  <c r="CB9" i="3" s="1"/>
  <c r="BX9" i="3" a="1"/>
  <c r="BX9" i="3" s="1"/>
  <c r="BW9" i="3"/>
  <c r="BU9" i="3"/>
  <c r="BR9" i="3" a="1"/>
  <c r="BR9" i="3" s="1"/>
  <c r="BS9" i="3" s="1"/>
  <c r="BQ9" i="3"/>
  <c r="BN9" i="3"/>
  <c r="BL9" i="3" a="1"/>
  <c r="BL9" i="3" s="1"/>
  <c r="BK9" i="3"/>
  <c r="BI9" i="3"/>
  <c r="BH9" i="3"/>
  <c r="BF9" i="3" a="1"/>
  <c r="BF9" i="3" s="1"/>
  <c r="BC9" i="3"/>
  <c r="BD9" i="3" s="1"/>
  <c r="BB9" i="3"/>
  <c r="AY9" i="3"/>
  <c r="AW9" i="3"/>
  <c r="AV9" i="3"/>
  <c r="AX9" i="3" s="1"/>
  <c r="AS9" i="3"/>
  <c r="AO9" i="3"/>
  <c r="AN9" i="3" a="1"/>
  <c r="AN9" i="3" s="1"/>
  <c r="AM9" i="3"/>
  <c r="AJ9" i="3"/>
  <c r="AH9" i="3" a="1"/>
  <c r="AH9" i="3" s="1"/>
  <c r="AI9" i="3" s="1"/>
  <c r="AG9" i="3"/>
  <c r="AE9" i="3"/>
  <c r="AD9" i="3"/>
  <c r="AF9" i="3" s="1"/>
  <c r="AB9" i="3" a="1"/>
  <c r="AB9" i="3" s="1"/>
  <c r="Z9" i="3"/>
  <c r="Y9" i="3"/>
  <c r="X9" i="3"/>
  <c r="U9" i="3"/>
  <c r="S9" i="3"/>
  <c r="T9" i="3" s="1"/>
  <c r="R9" i="3"/>
  <c r="O9" i="3"/>
  <c r="M9" i="3"/>
  <c r="L9" i="3"/>
  <c r="I9" i="3"/>
  <c r="G9" i="3"/>
  <c r="E9" i="3"/>
  <c r="D9" i="3"/>
  <c r="C9" i="3"/>
  <c r="B9" i="3"/>
  <c r="A9" i="3"/>
  <c r="EX8" i="3" a="1"/>
  <c r="EX8" i="3" s="1"/>
  <c r="EY8" i="3" s="1"/>
  <c r="EU8" i="3"/>
  <c r="EV8" i="3" s="1"/>
  <c r="ER8" i="3" a="1"/>
  <c r="ER8" i="3" s="1"/>
  <c r="ES8" i="3" s="1"/>
  <c r="EI8" i="3"/>
  <c r="EJ8" i="3" s="1"/>
  <c r="EC8" i="3"/>
  <c r="ED8" i="3" s="1"/>
  <c r="DZ8" i="3" a="1"/>
  <c r="DZ8" i="3" s="1"/>
  <c r="EA8" i="3" s="1"/>
  <c r="DQ8" i="3"/>
  <c r="DR8" i="3" s="1"/>
  <c r="DN8" i="3" a="1"/>
  <c r="DN8" i="3" s="1"/>
  <c r="DO8" i="3" s="1"/>
  <c r="DH8" i="3" a="1"/>
  <c r="DH8" i="3" s="1"/>
  <c r="DI8" i="3" s="1"/>
  <c r="DE8" i="3"/>
  <c r="DF8" i="3" s="1"/>
  <c r="DA8" i="3"/>
  <c r="CY8" i="3"/>
  <c r="CX8" i="3"/>
  <c r="CZ8" i="3" s="1"/>
  <c r="CU8" i="3"/>
  <c r="CR8" i="3"/>
  <c r="CO8" i="3"/>
  <c r="CM8" i="3"/>
  <c r="CI8" i="3"/>
  <c r="CF8" i="3"/>
  <c r="CC8" i="3"/>
  <c r="CA8" i="3"/>
  <c r="BZ8" i="3"/>
  <c r="CB8" i="3" s="1"/>
  <c r="BU8" i="3"/>
  <c r="BT8" i="3"/>
  <c r="BV8" i="3" s="1"/>
  <c r="BN8" i="3"/>
  <c r="BL8" i="3" a="1"/>
  <c r="BL8" i="3" s="1"/>
  <c r="BI8" i="3"/>
  <c r="BF8" i="3" a="1"/>
  <c r="BF8" i="3" s="1"/>
  <c r="BC8" i="3"/>
  <c r="AZ8" i="3" a="1"/>
  <c r="AZ8" i="3" s="1"/>
  <c r="AV8" i="3"/>
  <c r="AP8" i="3"/>
  <c r="AM8" i="3"/>
  <c r="AK8" i="3"/>
  <c r="AJ8" i="3"/>
  <c r="AL8" i="3" s="1"/>
  <c r="AG8" i="3"/>
  <c r="AE8" i="3"/>
  <c r="AA8" i="3"/>
  <c r="X8" i="3"/>
  <c r="U8" i="3"/>
  <c r="S8" i="3"/>
  <c r="R8" i="3"/>
  <c r="T8" i="3" s="1"/>
  <c r="M8" i="3"/>
  <c r="L8" i="3"/>
  <c r="N8" i="3" s="1"/>
  <c r="G8" i="3"/>
  <c r="F8" i="3"/>
  <c r="E8" i="3"/>
  <c r="D8" i="3"/>
  <c r="C8" i="3"/>
  <c r="B8" i="3"/>
  <c r="A8" i="3"/>
  <c r="ER7" i="3" a="1"/>
  <c r="ER7" i="3" s="1"/>
  <c r="ES7" i="3" s="1"/>
  <c r="EO7" i="3"/>
  <c r="EP7" i="3" s="1"/>
  <c r="EF7" i="3" a="1"/>
  <c r="EF7" i="3" s="1"/>
  <c r="EG7" i="3" s="1"/>
  <c r="DZ7" i="3" a="1"/>
  <c r="DZ7" i="3" s="1"/>
  <c r="EA7" i="3" s="1"/>
  <c r="DX7" i="3"/>
  <c r="DW7" i="3"/>
  <c r="DQ7" i="3"/>
  <c r="DR7" i="3" s="1"/>
  <c r="DH7" i="3" a="1"/>
  <c r="DH7" i="3" s="1"/>
  <c r="DI7" i="3" s="1"/>
  <c r="DE7" i="3"/>
  <c r="DF7" i="3" s="1"/>
  <c r="DB7" i="3" a="1"/>
  <c r="DB7" i="3" s="1"/>
  <c r="DA7" i="3"/>
  <c r="DC7" i="3" s="1"/>
  <c r="CY7" i="3"/>
  <c r="CX7" i="3"/>
  <c r="CZ7" i="3" s="1"/>
  <c r="CV7" i="3" a="1"/>
  <c r="CV7" i="3" s="1"/>
  <c r="CS7" i="3"/>
  <c r="CR7" i="3"/>
  <c r="CO7" i="3"/>
  <c r="CM7" i="3"/>
  <c r="CL7" i="3"/>
  <c r="CN7" i="3" s="1"/>
  <c r="CI7" i="3"/>
  <c r="CG7" i="3"/>
  <c r="CF7" i="3"/>
  <c r="CC7" i="3"/>
  <c r="CA7" i="3"/>
  <c r="BW7" i="3"/>
  <c r="BT7" i="3"/>
  <c r="BQ7" i="3"/>
  <c r="BO7" i="3"/>
  <c r="BN7" i="3"/>
  <c r="BP7" i="3" s="1"/>
  <c r="BI7" i="3"/>
  <c r="BH7" i="3"/>
  <c r="BJ7" i="3" s="1"/>
  <c r="BC7" i="3"/>
  <c r="BB7" i="3"/>
  <c r="BD7" i="3" s="1"/>
  <c r="AW7" i="3"/>
  <c r="AV7" i="3"/>
  <c r="AX7" i="3" s="1"/>
  <c r="AP7" i="3"/>
  <c r="AM7" i="3"/>
  <c r="AK7" i="3"/>
  <c r="AJ7" i="3"/>
  <c r="AL7" i="3" s="1"/>
  <c r="AE7" i="3"/>
  <c r="AD7" i="3"/>
  <c r="AF7" i="3" s="1"/>
  <c r="Y7" i="3"/>
  <c r="X7" i="3"/>
  <c r="Z7" i="3" s="1"/>
  <c r="S7" i="3"/>
  <c r="R7" i="3"/>
  <c r="T7" i="3" s="1"/>
  <c r="M7" i="3"/>
  <c r="F7" i="3"/>
  <c r="E7" i="3"/>
  <c r="D7" i="3"/>
  <c r="C7" i="3"/>
  <c r="B7" i="3"/>
  <c r="A7" i="3"/>
  <c r="EX6" i="3" a="1"/>
  <c r="EX6" i="3" s="1"/>
  <c r="EY6" i="3" s="1"/>
  <c r="ER6" i="3" a="1"/>
  <c r="ER6" i="3" s="1"/>
  <c r="ES6" i="3" s="1"/>
  <c r="EO6" i="3"/>
  <c r="EP6" i="3" s="1"/>
  <c r="EI6" i="3"/>
  <c r="EJ6" i="3" s="1"/>
  <c r="DZ6" i="3" a="1"/>
  <c r="DZ6" i="3" s="1"/>
  <c r="EA6" i="3" s="1"/>
  <c r="DW6" i="3"/>
  <c r="DX6" i="3" s="1"/>
  <c r="DN6" i="3" a="1"/>
  <c r="DN6" i="3" s="1"/>
  <c r="DO6" i="3" s="1"/>
  <c r="DH6" i="3" a="1"/>
  <c r="DH6" i="3" s="1"/>
  <c r="DI6" i="3" s="1"/>
  <c r="DE6" i="3"/>
  <c r="DF6" i="3" s="1"/>
  <c r="DA6" i="3"/>
  <c r="CY6" i="3"/>
  <c r="CX6" i="3"/>
  <c r="CZ6" i="3" s="1"/>
  <c r="CU6" i="3"/>
  <c r="CS6" i="3"/>
  <c r="CO6" i="3"/>
  <c r="CL6" i="3"/>
  <c r="CI6" i="3"/>
  <c r="CG6" i="3"/>
  <c r="CF6" i="3"/>
  <c r="CH6" i="3" s="1"/>
  <c r="CA6" i="3"/>
  <c r="BZ6" i="3"/>
  <c r="CB6" i="3" s="1"/>
  <c r="BU6" i="3"/>
  <c r="BT6" i="3"/>
  <c r="BV6" i="3" s="1"/>
  <c r="BO6" i="3"/>
  <c r="BN6" i="3"/>
  <c r="BP6" i="3" s="1"/>
  <c r="BI6" i="3"/>
  <c r="BB6" i="3"/>
  <c r="AW6" i="3"/>
  <c r="AV6" i="3"/>
  <c r="AX6" i="3" s="1"/>
  <c r="AP6" i="3"/>
  <c r="AK6" i="3"/>
  <c r="AJ6" i="3"/>
  <c r="AL6" i="3" s="1"/>
  <c r="AE6" i="3"/>
  <c r="X6" i="3"/>
  <c r="S6" i="3"/>
  <c r="R6" i="3"/>
  <c r="T6" i="3" s="1"/>
  <c r="M6" i="3"/>
  <c r="L6" i="3"/>
  <c r="N6" i="3" s="1"/>
  <c r="G6" i="3"/>
  <c r="F6" i="3"/>
  <c r="E6" i="3"/>
  <c r="D6" i="3"/>
  <c r="C6" i="3"/>
  <c r="B6" i="3"/>
  <c r="A6" i="3"/>
  <c r="EU5" i="3"/>
  <c r="CX5" i="3"/>
  <c r="O5" i="3"/>
  <c r="E5" i="3"/>
  <c r="D5" i="3"/>
  <c r="C5" i="3"/>
  <c r="CR5" i="3" s="1"/>
  <c r="B5" i="3"/>
  <c r="A5" i="3"/>
  <c r="F48" i="1"/>
  <c r="BO47" i="1"/>
  <c r="BL47" i="1"/>
  <c r="BI47" i="1"/>
  <c r="BF47" i="1"/>
  <c r="BC47" i="1"/>
  <c r="AY47" i="1"/>
  <c r="H47" i="1"/>
  <c r="G47" i="1"/>
  <c r="BO46" i="1"/>
  <c r="BL46" i="1"/>
  <c r="BI46" i="1"/>
  <c r="BF46" i="1"/>
  <c r="BC46" i="1"/>
  <c r="AY46" i="1"/>
  <c r="H46" i="1"/>
  <c r="G46" i="1"/>
  <c r="BO45" i="1"/>
  <c r="BL45" i="1"/>
  <c r="BI45" i="1"/>
  <c r="BF45" i="1"/>
  <c r="BC45" i="1"/>
  <c r="AY45" i="1"/>
  <c r="H45" i="1"/>
  <c r="G45" i="1"/>
  <c r="BO44" i="1"/>
  <c r="BL44" i="1"/>
  <c r="BI44" i="1"/>
  <c r="BF44" i="1"/>
  <c r="BC44" i="1"/>
  <c r="AY44" i="1"/>
  <c r="H44" i="1"/>
  <c r="G44" i="1"/>
  <c r="BO43" i="1"/>
  <c r="BL43" i="1"/>
  <c r="BI43" i="1"/>
  <c r="BF43" i="1"/>
  <c r="BC43" i="1"/>
  <c r="AY43" i="1"/>
  <c r="H43" i="1"/>
  <c r="G43" i="1"/>
  <c r="BO42" i="1"/>
  <c r="BL42" i="1"/>
  <c r="BI42" i="1"/>
  <c r="BF42" i="1"/>
  <c r="BC42" i="1"/>
  <c r="AY42" i="1"/>
  <c r="H42" i="1"/>
  <c r="G42" i="1"/>
  <c r="BO41" i="1"/>
  <c r="BL41" i="1"/>
  <c r="BI41" i="1"/>
  <c r="BF41" i="1"/>
  <c r="BC41" i="1"/>
  <c r="AY41" i="1"/>
  <c r="H41" i="1"/>
  <c r="G41" i="1"/>
  <c r="BO40" i="1"/>
  <c r="BL40" i="1"/>
  <c r="BI40" i="1"/>
  <c r="BF40" i="1"/>
  <c r="BC40" i="1"/>
  <c r="AY40" i="1"/>
  <c r="H40" i="1"/>
  <c r="G40" i="1"/>
  <c r="BO39" i="1"/>
  <c r="BL39" i="1"/>
  <c r="BI39" i="1"/>
  <c r="BF39" i="1"/>
  <c r="BC39" i="1"/>
  <c r="AY39" i="1"/>
  <c r="H39" i="1"/>
  <c r="G39" i="1"/>
  <c r="BO38" i="1"/>
  <c r="BL38" i="1"/>
  <c r="BI38" i="1"/>
  <c r="BF38" i="1"/>
  <c r="BC38" i="1"/>
  <c r="AY38" i="1"/>
  <c r="H38" i="1"/>
  <c r="G38" i="1"/>
  <c r="BO37" i="1"/>
  <c r="BL37" i="1"/>
  <c r="BI37" i="1"/>
  <c r="BF37" i="1"/>
  <c r="BC37" i="1"/>
  <c r="AY37" i="1"/>
  <c r="H37" i="1"/>
  <c r="G37" i="1"/>
  <c r="BO36" i="1"/>
  <c r="BL36" i="1"/>
  <c r="BI36" i="1"/>
  <c r="BF36" i="1"/>
  <c r="BC36" i="1"/>
  <c r="AY36" i="1"/>
  <c r="H36" i="1"/>
  <c r="G36" i="1"/>
  <c r="BO35" i="1"/>
  <c r="BL35" i="1"/>
  <c r="BI35" i="1"/>
  <c r="BF35" i="1"/>
  <c r="BC35" i="1"/>
  <c r="AY35" i="1"/>
  <c r="H35" i="1"/>
  <c r="G35" i="1"/>
  <c r="BO34" i="1"/>
  <c r="BL34" i="1"/>
  <c r="BI34" i="1"/>
  <c r="BF34" i="1"/>
  <c r="BC34" i="1"/>
  <c r="AY34" i="1"/>
  <c r="H34" i="1"/>
  <c r="G34" i="1"/>
  <c r="BO33" i="1"/>
  <c r="BL33" i="1"/>
  <c r="BI33" i="1"/>
  <c r="BF33" i="1"/>
  <c r="BC33" i="1"/>
  <c r="AY33" i="1"/>
  <c r="H33" i="1"/>
  <c r="G33" i="1"/>
  <c r="BO32" i="1"/>
  <c r="BL32" i="1"/>
  <c r="BI32" i="1"/>
  <c r="BF32" i="1"/>
  <c r="BC32" i="1"/>
  <c r="AY32" i="1"/>
  <c r="H32" i="1"/>
  <c r="G32" i="1"/>
  <c r="BO31" i="1"/>
  <c r="BL31" i="1"/>
  <c r="BI31" i="1"/>
  <c r="BF31" i="1"/>
  <c r="BC31" i="1"/>
  <c r="AY31" i="1"/>
  <c r="H31" i="1"/>
  <c r="G31" i="1"/>
  <c r="BO30" i="1"/>
  <c r="BL30" i="1"/>
  <c r="BI30" i="1"/>
  <c r="BF30" i="1"/>
  <c r="BC30" i="1"/>
  <c r="AY30" i="1"/>
  <c r="H30" i="1"/>
  <c r="G30" i="1"/>
  <c r="BO29" i="1"/>
  <c r="BL29" i="1"/>
  <c r="BI29" i="1"/>
  <c r="BF29" i="1"/>
  <c r="BC29" i="1"/>
  <c r="AY29" i="1"/>
  <c r="H29" i="1"/>
  <c r="G29" i="1"/>
  <c r="BO28" i="1"/>
  <c r="BL28" i="1"/>
  <c r="BI28" i="1"/>
  <c r="BF28" i="1"/>
  <c r="BC28" i="1"/>
  <c r="AY28" i="1"/>
  <c r="H28" i="1"/>
  <c r="G28" i="1"/>
  <c r="BO27" i="1"/>
  <c r="BL27" i="1"/>
  <c r="BI27" i="1"/>
  <c r="BF27" i="1"/>
  <c r="BC27" i="1"/>
  <c r="AY27" i="1"/>
  <c r="H27" i="1"/>
  <c r="G27" i="1"/>
  <c r="BO26" i="1"/>
  <c r="BL26" i="1"/>
  <c r="BI26" i="1"/>
  <c r="BF26" i="1"/>
  <c r="BC26" i="1"/>
  <c r="AY26" i="1"/>
  <c r="H26" i="1"/>
  <c r="G26" i="1"/>
  <c r="BO25" i="1"/>
  <c r="BL25" i="1"/>
  <c r="BI25" i="1"/>
  <c r="BF25" i="1"/>
  <c r="BC25" i="1"/>
  <c r="AY25" i="1"/>
  <c r="H25" i="1"/>
  <c r="G25" i="1"/>
  <c r="BO24" i="1"/>
  <c r="BL24" i="1"/>
  <c r="BI24" i="1"/>
  <c r="BF24" i="1"/>
  <c r="BC24" i="1"/>
  <c r="AY24" i="1"/>
  <c r="H24" i="1"/>
  <c r="G24" i="1"/>
  <c r="BO23" i="1"/>
  <c r="BL23" i="1"/>
  <c r="BI23" i="1"/>
  <c r="BF23" i="1"/>
  <c r="BC23" i="1"/>
  <c r="AY23" i="1"/>
  <c r="H23" i="1"/>
  <c r="G23" i="1"/>
  <c r="BO22" i="1"/>
  <c r="BL22" i="1"/>
  <c r="BI22" i="1"/>
  <c r="BF22" i="1"/>
  <c r="BC22" i="1"/>
  <c r="AY22" i="1"/>
  <c r="H22" i="1"/>
  <c r="G22" i="1"/>
  <c r="BO21" i="1"/>
  <c r="BL21" i="1"/>
  <c r="BI21" i="1"/>
  <c r="BF21" i="1"/>
  <c r="BC21" i="1"/>
  <c r="AY21" i="1"/>
  <c r="H21" i="1"/>
  <c r="G21" i="1"/>
  <c r="BO20" i="1"/>
  <c r="BL20" i="1"/>
  <c r="BI20" i="1"/>
  <c r="BF20" i="1"/>
  <c r="BC20" i="1"/>
  <c r="AY20" i="1"/>
  <c r="H20" i="1"/>
  <c r="G20" i="1"/>
  <c r="BO19" i="1"/>
  <c r="BL19" i="1"/>
  <c r="BI19" i="1"/>
  <c r="BF19" i="1"/>
  <c r="BC19" i="1"/>
  <c r="AY19" i="1"/>
  <c r="H19" i="1"/>
  <c r="G19" i="1"/>
  <c r="BO18" i="1"/>
  <c r="BL18" i="1"/>
  <c r="BI18" i="1"/>
  <c r="BF18" i="1"/>
  <c r="BC18" i="1"/>
  <c r="AY18" i="1"/>
  <c r="H18" i="1"/>
  <c r="G18" i="1"/>
  <c r="BO17" i="1"/>
  <c r="BL17" i="1"/>
  <c r="BI17" i="1"/>
  <c r="BF17" i="1"/>
  <c r="BC17" i="1"/>
  <c r="AY17" i="1"/>
  <c r="H17" i="1"/>
  <c r="G17" i="1"/>
  <c r="BO16" i="1"/>
  <c r="BL16" i="1"/>
  <c r="BI16" i="1"/>
  <c r="BF16" i="1"/>
  <c r="BC16" i="1"/>
  <c r="AY16" i="1"/>
  <c r="H16" i="1"/>
  <c r="G16" i="1"/>
  <c r="BO15" i="1"/>
  <c r="BL15" i="1"/>
  <c r="BI15" i="1"/>
  <c r="BF15" i="1"/>
  <c r="BC15" i="1"/>
  <c r="AY15" i="1"/>
  <c r="H15" i="1"/>
  <c r="G15" i="1"/>
  <c r="BO14" i="1"/>
  <c r="BL14" i="1"/>
  <c r="BI14" i="1"/>
  <c r="BF14" i="1"/>
  <c r="BC14" i="1"/>
  <c r="AY14" i="1"/>
  <c r="H14" i="1"/>
  <c r="G14" i="1"/>
  <c r="BO13" i="1"/>
  <c r="BL13" i="1"/>
  <c r="BI13" i="1"/>
  <c r="BF13" i="1"/>
  <c r="BC13" i="1"/>
  <c r="AY13" i="1"/>
  <c r="H13" i="1"/>
  <c r="G13" i="1"/>
  <c r="BO12" i="1"/>
  <c r="BL12" i="1"/>
  <c r="BI12" i="1"/>
  <c r="BF12" i="1"/>
  <c r="BC12" i="1"/>
  <c r="AY12" i="1"/>
  <c r="H12" i="1"/>
  <c r="G12" i="1"/>
  <c r="BO11" i="1"/>
  <c r="BL11" i="1"/>
  <c r="BI11" i="1"/>
  <c r="BF11" i="1"/>
  <c r="BC11" i="1"/>
  <c r="AY11" i="1"/>
  <c r="H11" i="1"/>
  <c r="G11" i="1"/>
  <c r="BO10" i="1"/>
  <c r="BL10" i="1"/>
  <c r="BI10" i="1"/>
  <c r="BF10" i="1"/>
  <c r="BC10" i="1"/>
  <c r="AY10" i="1"/>
  <c r="H10" i="1"/>
  <c r="G10" i="1"/>
  <c r="BO9" i="1"/>
  <c r="BL9" i="1"/>
  <c r="BI9" i="1"/>
  <c r="BF9" i="1"/>
  <c r="BC9" i="1"/>
  <c r="AY9" i="1"/>
  <c r="H9" i="1"/>
  <c r="G9" i="1"/>
  <c r="BO8" i="1"/>
  <c r="BL8" i="1"/>
  <c r="BI8" i="1"/>
  <c r="BF8" i="1"/>
  <c r="BC8" i="1"/>
  <c r="AY8" i="1"/>
  <c r="H8" i="1"/>
  <c r="G8" i="1"/>
  <c r="BO7" i="1"/>
  <c r="BL7" i="1"/>
  <c r="BI7" i="1"/>
  <c r="BF7" i="1"/>
  <c r="BC7" i="1"/>
  <c r="AY7" i="1"/>
  <c r="H7" i="1"/>
  <c r="G7" i="1"/>
  <c r="BO6" i="1"/>
  <c r="BL6" i="1"/>
  <c r="BI6" i="1"/>
  <c r="BF6" i="1"/>
  <c r="BC6" i="1"/>
  <c r="AY6" i="1"/>
  <c r="H6" i="1"/>
  <c r="G6" i="1"/>
  <c r="BO5" i="1"/>
  <c r="BL5" i="1"/>
  <c r="BI5" i="1"/>
  <c r="BF5" i="1"/>
  <c r="BF48" i="1" s="1"/>
  <c r="BC5" i="1"/>
  <c r="AY5" i="1"/>
  <c r="H5" i="1"/>
  <c r="G5" i="1"/>
  <c r="F2" i="1"/>
  <c r="FG2" i="3"/>
  <c r="AQ46" i="3" s="1" a="1"/>
  <c r="AQ46" i="3" s="1"/>
  <c r="R47" i="1"/>
  <c r="L47" i="1"/>
  <c r="BM47" i="1"/>
  <c r="BG47" i="1"/>
  <c r="AU47" i="1"/>
  <c r="AI47" i="1"/>
  <c r="BP46" i="1"/>
  <c r="BJ46" i="1"/>
  <c r="BD46" i="1"/>
  <c r="AF46" i="1"/>
  <c r="BM45" i="1"/>
  <c r="BG45" i="1"/>
  <c r="AU45" i="1"/>
  <c r="AI45" i="1"/>
  <c r="BP47" i="1"/>
  <c r="BJ47" i="1"/>
  <c r="BD47" i="1"/>
  <c r="AF47" i="1"/>
  <c r="BM46" i="1"/>
  <c r="BG46" i="1"/>
  <c r="AU46" i="1"/>
  <c r="AI46" i="1"/>
  <c r="BP45" i="1"/>
  <c r="BJ45" i="1"/>
  <c r="BD45" i="1"/>
  <c r="AF45" i="1"/>
  <c r="BM44" i="1"/>
  <c r="BG44" i="1"/>
  <c r="AU44" i="1"/>
  <c r="AI44" i="1"/>
  <c r="BP43" i="1"/>
  <c r="BJ43" i="1"/>
  <c r="BD43" i="1"/>
  <c r="AF43" i="1"/>
  <c r="BM42" i="1"/>
  <c r="BG42" i="1"/>
  <c r="AU42" i="1"/>
  <c r="AI42" i="1"/>
  <c r="BP41" i="1"/>
  <c r="BJ41" i="1"/>
  <c r="BD41" i="1"/>
  <c r="AF41" i="1"/>
  <c r="BM40" i="1"/>
  <c r="BG40" i="1"/>
  <c r="AU40" i="1"/>
  <c r="AI40" i="1"/>
  <c r="BP39" i="1"/>
  <c r="BJ39" i="1"/>
  <c r="BD39" i="1"/>
  <c r="AF39" i="1"/>
  <c r="AQ46" i="1"/>
  <c r="R45" i="1"/>
  <c r="BP44" i="1"/>
  <c r="AM44" i="1"/>
  <c r="AF44" i="1"/>
  <c r="R44" i="1"/>
  <c r="BG43" i="1"/>
  <c r="I43" i="1"/>
  <c r="O42" i="1"/>
  <c r="AI41" i="1"/>
  <c r="M41" i="1"/>
  <c r="BD40" i="1"/>
  <c r="M40" i="1"/>
  <c r="AU39" i="1"/>
  <c r="BM38" i="1"/>
  <c r="BG38" i="1"/>
  <c r="AU38" i="1"/>
  <c r="AI38" i="1"/>
  <c r="BP37" i="1"/>
  <c r="BJ37" i="1"/>
  <c r="BD37" i="1"/>
  <c r="AF37" i="1"/>
  <c r="BM36" i="1"/>
  <c r="BG36" i="1"/>
  <c r="AU36" i="1"/>
  <c r="AI36" i="1"/>
  <c r="BP35" i="1"/>
  <c r="BJ35" i="1"/>
  <c r="BD35" i="1"/>
  <c r="M47" i="1"/>
  <c r="R46" i="1"/>
  <c r="I46" i="1"/>
  <c r="L45" i="1"/>
  <c r="BJ44" i="1"/>
  <c r="L44" i="1"/>
  <c r="AM43" i="1"/>
  <c r="AE43" i="1"/>
  <c r="AE42" i="1"/>
  <c r="I42" i="1"/>
  <c r="BM41" i="1"/>
  <c r="AQ41" i="1"/>
  <c r="O41" i="1"/>
  <c r="AQ40" i="1"/>
  <c r="O39" i="1"/>
  <c r="I39" i="1"/>
  <c r="R38" i="1"/>
  <c r="L38" i="1"/>
  <c r="AE47" i="1"/>
  <c r="O47" i="1"/>
  <c r="AM45" i="1"/>
  <c r="M45" i="1"/>
  <c r="O44" i="1"/>
  <c r="O43" i="1"/>
  <c r="AF42" i="1"/>
  <c r="AU41" i="1"/>
  <c r="BJ40" i="1"/>
  <c r="AE40" i="1"/>
  <c r="I40" i="1"/>
  <c r="AI39" i="1"/>
  <c r="BJ38" i="1"/>
  <c r="AM37" i="1"/>
  <c r="AE37" i="1"/>
  <c r="AE36" i="1"/>
  <c r="I36" i="1"/>
  <c r="BM35" i="1"/>
  <c r="AF35" i="1"/>
  <c r="BM34" i="1"/>
  <c r="BG34" i="1"/>
  <c r="AU34" i="1"/>
  <c r="AI34" i="1"/>
  <c r="BP33" i="1"/>
  <c r="BJ33" i="1"/>
  <c r="BD33" i="1"/>
  <c r="AF33" i="1"/>
  <c r="BM32" i="1"/>
  <c r="BG32" i="1"/>
  <c r="AU32" i="1"/>
  <c r="AI32" i="1"/>
  <c r="BP31" i="1"/>
  <c r="BJ31" i="1"/>
  <c r="BD31" i="1"/>
  <c r="AF31" i="1"/>
  <c r="BM30" i="1"/>
  <c r="BG30" i="1"/>
  <c r="AU30" i="1"/>
  <c r="AI30" i="1"/>
  <c r="BP29" i="1"/>
  <c r="BJ29" i="1"/>
  <c r="BD29" i="1"/>
  <c r="AF29" i="1"/>
  <c r="BM28" i="1"/>
  <c r="BG28" i="1"/>
  <c r="AU28" i="1"/>
  <c r="AI28" i="1"/>
  <c r="BP27" i="1"/>
  <c r="BJ27" i="1"/>
  <c r="BD27" i="1"/>
  <c r="AF27" i="1"/>
  <c r="BM26" i="1"/>
  <c r="BG26" i="1"/>
  <c r="AU26" i="1"/>
  <c r="AI26" i="1"/>
  <c r="BP25" i="1"/>
  <c r="BJ25" i="1"/>
  <c r="BD25" i="1"/>
  <c r="AF25" i="1"/>
  <c r="BM24" i="1"/>
  <c r="BG24" i="1"/>
  <c r="AU24" i="1"/>
  <c r="AI24" i="1"/>
  <c r="BP23" i="1"/>
  <c r="BJ23" i="1"/>
  <c r="BD23" i="1"/>
  <c r="AF23" i="1"/>
  <c r="O45" i="1"/>
  <c r="R43" i="1"/>
  <c r="BJ42" i="1"/>
  <c r="AQ42" i="1"/>
  <c r="L42" i="1"/>
  <c r="AM41" i="1"/>
  <c r="AF40" i="1"/>
  <c r="BM39" i="1"/>
  <c r="I38" i="1"/>
  <c r="AU37" i="1"/>
  <c r="R37" i="1"/>
  <c r="BP36" i="1"/>
  <c r="AM36" i="1"/>
  <c r="AF36" i="1"/>
  <c r="R36" i="1"/>
  <c r="BG35" i="1"/>
  <c r="AM35" i="1"/>
  <c r="O35" i="1"/>
  <c r="I35" i="1"/>
  <c r="R34" i="1"/>
  <c r="L34" i="1"/>
  <c r="AM33" i="1"/>
  <c r="O33" i="1"/>
  <c r="I33" i="1"/>
  <c r="R32" i="1"/>
  <c r="L32" i="1"/>
  <c r="AM31" i="1"/>
  <c r="O31" i="1"/>
  <c r="I31" i="1"/>
  <c r="R30" i="1"/>
  <c r="L30" i="1"/>
  <c r="AM29" i="1"/>
  <c r="O29" i="1"/>
  <c r="I29" i="1"/>
  <c r="R28" i="1"/>
  <c r="L28" i="1"/>
  <c r="AM27" i="1"/>
  <c r="O27" i="1"/>
  <c r="I27" i="1"/>
  <c r="R26" i="1"/>
  <c r="L26" i="1"/>
  <c r="AM25" i="1"/>
  <c r="O25" i="1"/>
  <c r="I25" i="1"/>
  <c r="R24" i="1"/>
  <c r="L24" i="1"/>
  <c r="L46" i="1"/>
  <c r="AU43" i="1"/>
  <c r="M43" i="1"/>
  <c r="BD42" i="1"/>
  <c r="M42" i="1"/>
  <c r="BG39" i="1"/>
  <c r="R39" i="1"/>
  <c r="AQ36" i="1"/>
  <c r="L36" i="1"/>
  <c r="R35" i="1"/>
  <c r="BD34" i="1"/>
  <c r="BM33" i="1"/>
  <c r="L33" i="1"/>
  <c r="BP32" i="1"/>
  <c r="AF32" i="1"/>
  <c r="BG31" i="1"/>
  <c r="BJ30" i="1"/>
  <c r="R29" i="1"/>
  <c r="BD28" i="1"/>
  <c r="BM27" i="1"/>
  <c r="L27" i="1"/>
  <c r="BP26" i="1"/>
  <c r="AF26" i="1"/>
  <c r="BG25" i="1"/>
  <c r="BJ24" i="1"/>
  <c r="BP22" i="1"/>
  <c r="BJ22" i="1"/>
  <c r="BD22" i="1"/>
  <c r="AF22" i="1"/>
  <c r="BM21" i="1"/>
  <c r="BG21" i="1"/>
  <c r="AU21" i="1"/>
  <c r="AI21" i="1"/>
  <c r="BP20" i="1"/>
  <c r="BJ20" i="1"/>
  <c r="BD20" i="1"/>
  <c r="AF20" i="1"/>
  <c r="BM19" i="1"/>
  <c r="BG19" i="1"/>
  <c r="AU19" i="1"/>
  <c r="AI19" i="1"/>
  <c r="BP18" i="1"/>
  <c r="BJ18" i="1"/>
  <c r="BD18" i="1"/>
  <c r="AF18" i="1"/>
  <c r="BM17" i="1"/>
  <c r="BG17" i="1"/>
  <c r="AU17" i="1"/>
  <c r="AI17" i="1"/>
  <c r="BP16" i="1"/>
  <c r="BJ16" i="1"/>
  <c r="BD16" i="1"/>
  <c r="AF16" i="1"/>
  <c r="BM15" i="1"/>
  <c r="BG15" i="1"/>
  <c r="AQ47" i="1"/>
  <c r="AE46" i="1"/>
  <c r="M46" i="1"/>
  <c r="BD44" i="1"/>
  <c r="AQ44" i="1"/>
  <c r="I44" i="1"/>
  <c r="BP42" i="1"/>
  <c r="AE45" i="1"/>
  <c r="BM43" i="1"/>
  <c r="AM42" i="1"/>
  <c r="R42" i="1"/>
  <c r="L41" i="1"/>
  <c r="BP40" i="1"/>
  <c r="AM40" i="1"/>
  <c r="R40" i="1"/>
  <c r="AM39" i="1"/>
  <c r="AF38" i="1"/>
  <c r="O38" i="1"/>
  <c r="BG37" i="1"/>
  <c r="AI37" i="1"/>
  <c r="I37" i="1"/>
  <c r="O36" i="1"/>
  <c r="AQ35" i="1"/>
  <c r="L35" i="1"/>
  <c r="AU33" i="1"/>
  <c r="AQ30" i="1"/>
  <c r="AF30" i="1"/>
  <c r="BM29" i="1"/>
  <c r="AU29" i="1"/>
  <c r="AI29" i="1"/>
  <c r="M29" i="1"/>
  <c r="BP28" i="1"/>
  <c r="O28" i="1"/>
  <c r="AM26" i="1"/>
  <c r="AQ25" i="1"/>
  <c r="AE25" i="1"/>
  <c r="BD24" i="1"/>
  <c r="M24" i="1"/>
  <c r="AM23" i="1"/>
  <c r="L22" i="1"/>
  <c r="BJ21" i="1"/>
  <c r="L21" i="1"/>
  <c r="AM20" i="1"/>
  <c r="AE20" i="1"/>
  <c r="AE19" i="1"/>
  <c r="I19" i="1"/>
  <c r="BM18" i="1"/>
  <c r="AQ18" i="1"/>
  <c r="O18" i="1"/>
  <c r="AQ17" i="1"/>
  <c r="L16" i="1"/>
  <c r="BJ15" i="1"/>
  <c r="R15" i="1"/>
  <c r="L15" i="1"/>
  <c r="AM14" i="1"/>
  <c r="O14" i="1"/>
  <c r="I14" i="1"/>
  <c r="R13" i="1"/>
  <c r="L13" i="1"/>
  <c r="AM12" i="1"/>
  <c r="O12" i="1"/>
  <c r="I12" i="1"/>
  <c r="R11" i="1"/>
  <c r="L11" i="1"/>
  <c r="AM10" i="1"/>
  <c r="O10" i="1"/>
  <c r="I10" i="1"/>
  <c r="R9" i="1"/>
  <c r="L9" i="1"/>
  <c r="AM8" i="1"/>
  <c r="O8" i="1"/>
  <c r="I8" i="1"/>
  <c r="R7" i="1"/>
  <c r="L7" i="1"/>
  <c r="AM6" i="1"/>
  <c r="O6" i="1"/>
  <c r="I6" i="1"/>
  <c r="R5" i="1"/>
  <c r="L5" i="1"/>
  <c r="AM47" i="1"/>
  <c r="AE41" i="1"/>
  <c r="AE38" i="1"/>
  <c r="BJ36" i="1"/>
  <c r="AE35" i="1"/>
  <c r="M34" i="1"/>
  <c r="AI33" i="1"/>
  <c r="M33" i="1"/>
  <c r="O32" i="1"/>
  <c r="R31" i="1"/>
  <c r="AE30" i="1"/>
  <c r="I30" i="1"/>
  <c r="AQ29" i="1"/>
  <c r="L29" i="1"/>
  <c r="AU27" i="1"/>
  <c r="AQ24" i="1"/>
  <c r="AF24" i="1"/>
  <c r="BM23" i="1"/>
  <c r="AU23" i="1"/>
  <c r="O46" i="1"/>
  <c r="M44" i="1"/>
  <c r="AQ43" i="1"/>
  <c r="BG41" i="1"/>
  <c r="I41" i="1"/>
  <c r="O40" i="1"/>
  <c r="AE39" i="1"/>
  <c r="M39" i="1"/>
  <c r="AQ38" i="1"/>
  <c r="M38" i="1"/>
  <c r="BM37" i="1"/>
  <c r="AQ37" i="1"/>
  <c r="M36" i="1"/>
  <c r="AQ34" i="1"/>
  <c r="AF34" i="1"/>
  <c r="I34" i="1"/>
  <c r="AQ33" i="1"/>
  <c r="BD32" i="1"/>
  <c r="M32" i="1"/>
  <c r="AM30" i="1"/>
  <c r="AE29" i="1"/>
  <c r="M28" i="1"/>
  <c r="AI27" i="1"/>
  <c r="M27" i="1"/>
  <c r="O26" i="1"/>
  <c r="R25" i="1"/>
  <c r="AE24" i="1"/>
  <c r="I24" i="1"/>
  <c r="AQ23" i="1"/>
  <c r="AI23" i="1"/>
  <c r="I47" i="1"/>
  <c r="AE44" i="1"/>
  <c r="L40" i="1"/>
  <c r="L39" i="1"/>
  <c r="BP38" i="1"/>
  <c r="BD38" i="1"/>
  <c r="O37" i="1"/>
  <c r="BJ34" i="1"/>
  <c r="AE34" i="1"/>
  <c r="AE33" i="1"/>
  <c r="BM31" i="1"/>
  <c r="AU31" i="1"/>
  <c r="M31" i="1"/>
  <c r="O30" i="1"/>
  <c r="AQ28" i="1"/>
  <c r="AF28" i="1"/>
  <c r="I28" i="1"/>
  <c r="AQ27" i="1"/>
  <c r="BD26" i="1"/>
  <c r="M26" i="1"/>
  <c r="AM46" i="1"/>
  <c r="AQ45" i="1"/>
  <c r="L43" i="1"/>
  <c r="AQ39" i="1"/>
  <c r="AM38" i="1"/>
  <c r="M37" i="1"/>
  <c r="AM34" i="1"/>
  <c r="BG33" i="1"/>
  <c r="R33" i="1"/>
  <c r="BJ32" i="1"/>
  <c r="AQ32" i="1"/>
  <c r="AE32" i="1"/>
  <c r="I32" i="1"/>
  <c r="AI31" i="1"/>
  <c r="L31" i="1"/>
  <c r="BP30" i="1"/>
  <c r="BG29" i="1"/>
  <c r="BJ28" i="1"/>
  <c r="AE28" i="1"/>
  <c r="AE27" i="1"/>
  <c r="I45" i="1"/>
  <c r="AI43" i="1"/>
  <c r="R41" i="1"/>
  <c r="L37" i="1"/>
  <c r="BD36" i="1"/>
  <c r="AU35" i="1"/>
  <c r="AI35" i="1"/>
  <c r="M35" i="1"/>
  <c r="BP34" i="1"/>
  <c r="O34" i="1"/>
  <c r="AM32" i="1"/>
  <c r="AQ31" i="1"/>
  <c r="AE31" i="1"/>
  <c r="BD30" i="1"/>
  <c r="M30" i="1"/>
  <c r="AM28" i="1"/>
  <c r="BG27" i="1"/>
  <c r="R27" i="1"/>
  <c r="BJ26" i="1"/>
  <c r="AQ26" i="1"/>
  <c r="AE26" i="1"/>
  <c r="I26" i="1"/>
  <c r="AI25" i="1"/>
  <c r="L25" i="1"/>
  <c r="BP24" i="1"/>
  <c r="BG23" i="1"/>
  <c r="AE23" i="1"/>
  <c r="O23" i="1"/>
  <c r="AI22" i="1"/>
  <c r="M22" i="1"/>
  <c r="BD21" i="1"/>
  <c r="M21" i="1"/>
  <c r="AU20" i="1"/>
  <c r="R20" i="1"/>
  <c r="BP19" i="1"/>
  <c r="AM19" i="1"/>
  <c r="AF19" i="1"/>
  <c r="R19" i="1"/>
  <c r="BG18" i="1"/>
  <c r="I18" i="1"/>
  <c r="O17" i="1"/>
  <c r="AI16" i="1"/>
  <c r="M16" i="1"/>
  <c r="BD15" i="1"/>
  <c r="AQ15" i="1"/>
  <c r="AE15" i="1"/>
  <c r="M15" i="1"/>
  <c r="AQ13" i="1"/>
  <c r="AE13" i="1"/>
  <c r="M13" i="1"/>
  <c r="AQ11" i="1"/>
  <c r="AE11" i="1"/>
  <c r="M11" i="1"/>
  <c r="AQ9" i="1"/>
  <c r="AE9" i="1"/>
  <c r="M9" i="1"/>
  <c r="AQ7" i="1"/>
  <c r="AE7" i="1"/>
  <c r="M7" i="1"/>
  <c r="AQ5" i="1"/>
  <c r="AE5" i="1"/>
  <c r="M5" i="1"/>
  <c r="M25" i="1"/>
  <c r="I23" i="1"/>
  <c r="BM22" i="1"/>
  <c r="O22" i="1"/>
  <c r="BP21" i="1"/>
  <c r="AQ19" i="1"/>
  <c r="L19" i="1"/>
  <c r="L18" i="1"/>
  <c r="BP17" i="1"/>
  <c r="AE17" i="1"/>
  <c r="I17" i="1"/>
  <c r="BM16" i="1"/>
  <c r="O16" i="1"/>
  <c r="BP15" i="1"/>
  <c r="AF15" i="1"/>
  <c r="BP14" i="1"/>
  <c r="AU14" i="1"/>
  <c r="BM13" i="1"/>
  <c r="O13" i="1"/>
  <c r="BJ12" i="1"/>
  <c r="L12" i="1"/>
  <c r="BG11" i="1"/>
  <c r="BD10" i="1"/>
  <c r="AE10" i="1"/>
  <c r="M10" i="1"/>
  <c r="BP9" i="1"/>
  <c r="AI9" i="1"/>
  <c r="I9" i="1"/>
  <c r="BM8" i="1"/>
  <c r="AF8" i="1"/>
  <c r="BJ7" i="1"/>
  <c r="BG6" i="1"/>
  <c r="AQ6" i="1"/>
  <c r="AI6" i="1"/>
  <c r="BD5" i="1"/>
  <c r="AU5" i="1"/>
  <c r="AM5" i="1"/>
  <c r="AM17" i="1"/>
  <c r="AU15" i="1"/>
  <c r="AM15" i="1"/>
  <c r="AF13" i="1"/>
  <c r="BP12" i="1"/>
  <c r="AU12" i="1"/>
  <c r="BM11" i="1"/>
  <c r="O11" i="1"/>
  <c r="L10" i="1"/>
  <c r="BG9" i="1"/>
  <c r="AE8" i="1"/>
  <c r="M8" i="1"/>
  <c r="AI7" i="1"/>
  <c r="BM6" i="1"/>
  <c r="BM9" i="1"/>
  <c r="BJ8" i="1"/>
  <c r="L8" i="1"/>
  <c r="BD6" i="1"/>
  <c r="AE6" i="1"/>
  <c r="BP5" i="1"/>
  <c r="R17" i="1"/>
  <c r="BM25" i="1"/>
  <c r="AQ22" i="1"/>
  <c r="AE22" i="1"/>
  <c r="O20" i="1"/>
  <c r="AE18" i="1"/>
  <c r="BD17" i="1"/>
  <c r="AQ16" i="1"/>
  <c r="AE16" i="1"/>
  <c r="BG14" i="1"/>
  <c r="AQ14" i="1"/>
  <c r="AI14" i="1"/>
  <c r="BD13" i="1"/>
  <c r="AU13" i="1"/>
  <c r="AM13" i="1"/>
  <c r="R12" i="1"/>
  <c r="AF11" i="1"/>
  <c r="BP10" i="1"/>
  <c r="AU10" i="1"/>
  <c r="M6" i="1"/>
  <c r="AU25" i="1"/>
  <c r="M23" i="1"/>
  <c r="R22" i="1"/>
  <c r="I22" i="1"/>
  <c r="AF21" i="1"/>
  <c r="BM20" i="1"/>
  <c r="AI20" i="1"/>
  <c r="M20" i="1"/>
  <c r="O19" i="1"/>
  <c r="R18" i="1"/>
  <c r="M17" i="1"/>
  <c r="R16" i="1"/>
  <c r="I16" i="1"/>
  <c r="AI15" i="1"/>
  <c r="I15" i="1"/>
  <c r="BM14" i="1"/>
  <c r="AF14" i="1"/>
  <c r="BJ13" i="1"/>
  <c r="BG12" i="1"/>
  <c r="AQ12" i="1"/>
  <c r="AI12" i="1"/>
  <c r="BD11" i="1"/>
  <c r="AU11" i="1"/>
  <c r="AM11" i="1"/>
  <c r="R10" i="1"/>
  <c r="AF9" i="1"/>
  <c r="BP8" i="1"/>
  <c r="AU8" i="1"/>
  <c r="BM7" i="1"/>
  <c r="O24" i="1"/>
  <c r="L23" i="1"/>
  <c r="BG22" i="1"/>
  <c r="AM22" i="1"/>
  <c r="AQ21" i="1"/>
  <c r="AE21" i="1"/>
  <c r="I21" i="1"/>
  <c r="AQ20" i="1"/>
  <c r="L20" i="1"/>
  <c r="AM18" i="1"/>
  <c r="BJ17" i="1"/>
  <c r="L17" i="1"/>
  <c r="BG16" i="1"/>
  <c r="AM16" i="1"/>
  <c r="BD14" i="1"/>
  <c r="AE14" i="1"/>
  <c r="M14" i="1"/>
  <c r="BP13" i="1"/>
  <c r="AI13" i="1"/>
  <c r="I13" i="1"/>
  <c r="BM12" i="1"/>
  <c r="AF12" i="1"/>
  <c r="BJ11" i="1"/>
  <c r="BG10" i="1"/>
  <c r="AQ10" i="1"/>
  <c r="AI10" i="1"/>
  <c r="BD9" i="1"/>
  <c r="AU9" i="1"/>
  <c r="AM9" i="1"/>
  <c r="R8" i="1"/>
  <c r="AM24" i="1"/>
  <c r="AU22" i="1"/>
  <c r="AM21" i="1"/>
  <c r="R21" i="1"/>
  <c r="I20" i="1"/>
  <c r="BD19" i="1"/>
  <c r="M19" i="1"/>
  <c r="AU18" i="1"/>
  <c r="AI18" i="1"/>
  <c r="M18" i="1"/>
  <c r="AF17" i="1"/>
  <c r="AU16" i="1"/>
  <c r="O15" i="1"/>
  <c r="BJ14" i="1"/>
  <c r="L14" i="1"/>
  <c r="BG13" i="1"/>
  <c r="BD12" i="1"/>
  <c r="AE12" i="1"/>
  <c r="M12" i="1"/>
  <c r="BP11" i="1"/>
  <c r="AI11" i="1"/>
  <c r="I11" i="1"/>
  <c r="BM10" i="1"/>
  <c r="AF10" i="1"/>
  <c r="BJ9" i="1"/>
  <c r="BG8" i="1"/>
  <c r="AQ8" i="1"/>
  <c r="AI8" i="1"/>
  <c r="BD7" i="1"/>
  <c r="AU7" i="1"/>
  <c r="AM7" i="1"/>
  <c r="R6" i="1"/>
  <c r="AF5" i="1"/>
  <c r="R23" i="1"/>
  <c r="O21" i="1"/>
  <c r="BG20" i="1"/>
  <c r="BJ19" i="1"/>
  <c r="R14" i="1"/>
  <c r="BJ10" i="1"/>
  <c r="BD8" i="1"/>
  <c r="BP7" i="1"/>
  <c r="I7" i="1"/>
  <c r="AF6" i="1"/>
  <c r="BJ5" i="1"/>
  <c r="O9" i="1"/>
  <c r="BG7" i="1"/>
  <c r="AI5" i="1"/>
  <c r="I5" i="1"/>
  <c r="AU6" i="1"/>
  <c r="BM5" i="1"/>
  <c r="AF7" i="1"/>
  <c r="L6" i="1"/>
  <c r="BP6" i="1"/>
  <c r="BG5" i="1"/>
  <c r="O5" i="1"/>
  <c r="O7" i="1"/>
  <c r="BJ6" i="1"/>
  <c r="AT5" i="3" l="1" a="1"/>
  <c r="AT5" i="3" s="1"/>
  <c r="AT14" i="3" a="1"/>
  <c r="AT14" i="3" s="1"/>
  <c r="AU14" i="3" s="1"/>
  <c r="AR24" i="3"/>
  <c r="AQ33" i="3" a="1"/>
  <c r="AQ33" i="3" s="1"/>
  <c r="AQ37" i="3" a="1"/>
  <c r="AQ37" i="3" s="1"/>
  <c r="AT45" i="3" a="1"/>
  <c r="AT45" i="3" s="1"/>
  <c r="AU45" i="3" s="1"/>
  <c r="AQ6" i="3" a="1"/>
  <c r="AQ6" i="3" s="1"/>
  <c r="AQ8" i="3" a="1"/>
  <c r="AQ8" i="3" s="1"/>
  <c r="AR8" i="3" s="1"/>
  <c r="AT10" i="3" a="1"/>
  <c r="AT10" i="3" s="1"/>
  <c r="AQ18" i="3" a="1"/>
  <c r="AQ18" i="3" s="1"/>
  <c r="AR18" i="3" s="1"/>
  <c r="AQ21" i="3" a="1"/>
  <c r="AQ21" i="3" s="1"/>
  <c r="AQ24" i="3" a="1"/>
  <c r="AQ24" i="3" s="1"/>
  <c r="AQ30" i="3" a="1"/>
  <c r="AQ30" i="3" s="1"/>
  <c r="AQ39" i="3" a="1"/>
  <c r="AQ39" i="3" s="1"/>
  <c r="AR39" i="3" s="1"/>
  <c r="AR40" i="3"/>
  <c r="AQ41" i="3" a="1"/>
  <c r="AQ41" i="3" s="1"/>
  <c r="AQ47" i="3" a="1"/>
  <c r="AQ47" i="3" s="1"/>
  <c r="AQ12" i="3" a="1"/>
  <c r="AQ12" i="3" s="1"/>
  <c r="AR12" i="3" s="1"/>
  <c r="AQ16" i="3" a="1"/>
  <c r="AQ16" i="3" s="1"/>
  <c r="AT17" i="3" a="1"/>
  <c r="AT17" i="3" s="1"/>
  <c r="AU17" i="3" s="1"/>
  <c r="AQ20" i="3" a="1"/>
  <c r="AQ20" i="3" s="1"/>
  <c r="AR20" i="3" s="1"/>
  <c r="AQ22" i="3" a="1"/>
  <c r="AQ22" i="3" s="1"/>
  <c r="AR22" i="3" s="1"/>
  <c r="AQ26" i="3" a="1"/>
  <c r="AQ26" i="3" s="1"/>
  <c r="AT37" i="3" a="1"/>
  <c r="AT37" i="3" s="1"/>
  <c r="AQ40" i="3" a="1"/>
  <c r="AQ40" i="3" s="1"/>
  <c r="AQ42" i="3" a="1"/>
  <c r="AQ42" i="3" s="1"/>
  <c r="AU47" i="3"/>
  <c r="AT24" i="3" a="1"/>
  <c r="AT24" i="3" s="1"/>
  <c r="AU24" i="3" s="1"/>
  <c r="AQ28" i="3" a="1"/>
  <c r="AQ28" i="3" s="1"/>
  <c r="AR28" i="3" s="1"/>
  <c r="AT39" i="3" a="1"/>
  <c r="AT39" i="3" s="1"/>
  <c r="AU39" i="3" s="1"/>
  <c r="AT47" i="3" a="1"/>
  <c r="AT47" i="3" s="1"/>
  <c r="AQ9" i="3" a="1"/>
  <c r="AQ9" i="3" s="1"/>
  <c r="AU12" i="3"/>
  <c r="AQ14" i="3" a="1"/>
  <c r="AQ14" i="3" s="1"/>
  <c r="AT18" i="3" a="1"/>
  <c r="AT18" i="3" s="1"/>
  <c r="AU18" i="3" s="1"/>
  <c r="AT22" i="3" a="1"/>
  <c r="AT22" i="3" s="1"/>
  <c r="AU22" i="3" s="1"/>
  <c r="AT26" i="3" a="1"/>
  <c r="AT26" i="3" s="1"/>
  <c r="AU26" i="3" s="1"/>
  <c r="AQ27" i="3" a="1"/>
  <c r="AQ27" i="3" s="1"/>
  <c r="AU28" i="3"/>
  <c r="AT30" i="3" a="1"/>
  <c r="AT30" i="3" s="1"/>
  <c r="AU30" i="3" s="1"/>
  <c r="AQ31" i="3" a="1"/>
  <c r="AQ31" i="3" s="1"/>
  <c r="AT40" i="3" a="1"/>
  <c r="AT40" i="3" s="1"/>
  <c r="AU40" i="3" s="1"/>
  <c r="AR44" i="3"/>
  <c r="AQ45" i="3" a="1"/>
  <c r="AQ45" i="3" s="1"/>
  <c r="AR45" i="3" s="1"/>
  <c r="AQ10" i="3" a="1"/>
  <c r="AQ10" i="3" s="1"/>
  <c r="AT12" i="3" a="1"/>
  <c r="AT12" i="3" s="1"/>
  <c r="AQ15" i="3" a="1"/>
  <c r="AQ15" i="3" s="1"/>
  <c r="AT16" i="3" a="1"/>
  <c r="AT16" i="3" s="1"/>
  <c r="AU16" i="3" s="1"/>
  <c r="AT19" i="3" a="1"/>
  <c r="AT19" i="3" s="1"/>
  <c r="AT20" i="3" a="1"/>
  <c r="AT20" i="3" s="1"/>
  <c r="AU20" i="3" s="1"/>
  <c r="AT28" i="3" a="1"/>
  <c r="AT28" i="3" s="1"/>
  <c r="AT31" i="3" a="1"/>
  <c r="AT31" i="3" s="1"/>
  <c r="AR33" i="3"/>
  <c r="AR37" i="3"/>
  <c r="AT42" i="3" a="1"/>
  <c r="AT42" i="3" s="1"/>
  <c r="AU42" i="3" s="1"/>
  <c r="AT43" i="3" a="1"/>
  <c r="AT43" i="3" s="1"/>
  <c r="AU43" i="3" s="1"/>
  <c r="AQ44" i="3" a="1"/>
  <c r="AQ44" i="3" s="1"/>
  <c r="T5" i="5"/>
  <c r="O7" i="5"/>
  <c r="O8" i="5"/>
  <c r="O21" i="5"/>
  <c r="Q27" i="5"/>
  <c r="O36" i="5"/>
  <c r="Q36" i="5"/>
  <c r="O42" i="5"/>
  <c r="Q42" i="5"/>
  <c r="M47" i="5"/>
  <c r="W47" i="5"/>
  <c r="X47" i="5" s="1"/>
  <c r="Y47" i="5" s="1"/>
  <c r="N47" i="5"/>
  <c r="M50" i="5"/>
  <c r="W50" i="5"/>
  <c r="X50" i="5" s="1"/>
  <c r="Y50" i="5" s="1"/>
  <c r="N50" i="5"/>
  <c r="M52" i="5"/>
  <c r="W52" i="5"/>
  <c r="X52" i="5" s="1"/>
  <c r="Y52" i="5" s="1"/>
  <c r="N52" i="5"/>
  <c r="Q52" i="5"/>
  <c r="M56" i="5"/>
  <c r="W56" i="5"/>
  <c r="X56" i="5" s="1"/>
  <c r="Y56" i="5" s="1"/>
  <c r="O56" i="5"/>
  <c r="N56" i="5"/>
  <c r="Q56" i="5"/>
  <c r="I61" i="5"/>
  <c r="S61" i="5"/>
  <c r="T61" i="5" s="1"/>
  <c r="U61" i="5" s="1"/>
  <c r="O61" i="5"/>
  <c r="J61" i="5"/>
  <c r="I5" i="5"/>
  <c r="M16" i="5"/>
  <c r="M20" i="5"/>
  <c r="M24" i="5"/>
  <c r="N26" i="5"/>
  <c r="W26" i="5"/>
  <c r="X26" i="5" s="1"/>
  <c r="Y26" i="5" s="1"/>
  <c r="N33" i="5"/>
  <c r="N39" i="5"/>
  <c r="N46" i="5"/>
  <c r="W46" i="5"/>
  <c r="X46" i="5" s="1"/>
  <c r="Y46" i="5" s="1"/>
  <c r="N49" i="5"/>
  <c r="W49" i="5"/>
  <c r="X49" i="5" s="1"/>
  <c r="Y49" i="5" s="1"/>
  <c r="O52" i="5"/>
  <c r="I59" i="5"/>
  <c r="S59" i="5"/>
  <c r="T59" i="5" s="1"/>
  <c r="U59" i="5" s="1"/>
  <c r="J59" i="5"/>
  <c r="M61" i="5"/>
  <c r="W61" i="5"/>
  <c r="X61" i="5" s="1"/>
  <c r="Y61" i="5" s="1"/>
  <c r="N61" i="5"/>
  <c r="J5" i="5"/>
  <c r="J6" i="5"/>
  <c r="W6" i="5"/>
  <c r="X6" i="5" s="1"/>
  <c r="Y6" i="5" s="1"/>
  <c r="J7" i="5"/>
  <c r="J8" i="5"/>
  <c r="J9" i="5"/>
  <c r="N10" i="5"/>
  <c r="I11" i="5"/>
  <c r="N12" i="5"/>
  <c r="I13" i="5"/>
  <c r="N14" i="5"/>
  <c r="I15" i="5"/>
  <c r="N16" i="5"/>
  <c r="I17" i="5"/>
  <c r="N18" i="5"/>
  <c r="I19" i="5"/>
  <c r="N20" i="5"/>
  <c r="I21" i="5"/>
  <c r="N24" i="5"/>
  <c r="M29" i="5"/>
  <c r="N29" i="5"/>
  <c r="W33" i="5"/>
  <c r="X33" i="5" s="1"/>
  <c r="Y33" i="5" s="1"/>
  <c r="M35" i="5"/>
  <c r="N35" i="5"/>
  <c r="W39" i="5"/>
  <c r="X39" i="5" s="1"/>
  <c r="Y39" i="5" s="1"/>
  <c r="M41" i="5"/>
  <c r="N41" i="5"/>
  <c r="Q46" i="5"/>
  <c r="Q47" i="5"/>
  <c r="Q49" i="5"/>
  <c r="Q50" i="5"/>
  <c r="I62" i="5"/>
  <c r="S62" i="5"/>
  <c r="T62" i="5" s="1"/>
  <c r="U62" i="5" s="1"/>
  <c r="J62" i="5"/>
  <c r="O62" i="5"/>
  <c r="N66" i="5"/>
  <c r="W66" i="5"/>
  <c r="X66" i="5" s="1"/>
  <c r="Y66" i="5" s="1"/>
  <c r="M66" i="5"/>
  <c r="N78" i="5"/>
  <c r="W78" i="5"/>
  <c r="X78" i="5" s="1"/>
  <c r="Y78" i="5" s="1"/>
  <c r="M78" i="5"/>
  <c r="O6" i="5"/>
  <c r="O9" i="5"/>
  <c r="P120" i="5"/>
  <c r="V120" i="5"/>
  <c r="I6" i="5"/>
  <c r="I7" i="5"/>
  <c r="M10" i="5"/>
  <c r="M12" i="5"/>
  <c r="M14" i="5"/>
  <c r="M18" i="5"/>
  <c r="S11" i="5"/>
  <c r="T11" i="5" s="1"/>
  <c r="U11" i="5" s="1"/>
  <c r="O12" i="5"/>
  <c r="S21" i="5"/>
  <c r="T21" i="5" s="1"/>
  <c r="U21" i="5" s="1"/>
  <c r="T23" i="5"/>
  <c r="U23" i="5" s="1"/>
  <c r="M6" i="5"/>
  <c r="M7" i="5"/>
  <c r="M8" i="5"/>
  <c r="S8" i="5"/>
  <c r="T8" i="5" s="1"/>
  <c r="U8" i="5" s="1"/>
  <c r="M9" i="5"/>
  <c r="Q10" i="5"/>
  <c r="M11" i="5"/>
  <c r="Q12" i="5"/>
  <c r="M13" i="5"/>
  <c r="Q14" i="5"/>
  <c r="M15" i="5"/>
  <c r="Q16" i="5"/>
  <c r="M17" i="5"/>
  <c r="Q18" i="5"/>
  <c r="M19" i="5"/>
  <c r="Q20" i="5"/>
  <c r="M21" i="5"/>
  <c r="O22" i="5"/>
  <c r="W22" i="5"/>
  <c r="X22" i="5" s="1"/>
  <c r="Y22" i="5" s="1"/>
  <c r="Q24" i="5"/>
  <c r="M25" i="5"/>
  <c r="N27" i="5"/>
  <c r="N30" i="5"/>
  <c r="Q34" i="5"/>
  <c r="N36" i="5"/>
  <c r="Q40" i="5"/>
  <c r="N42" i="5"/>
  <c r="Q66" i="5"/>
  <c r="N72" i="5"/>
  <c r="W72" i="5"/>
  <c r="X72" i="5" s="1"/>
  <c r="Y72" i="5" s="1"/>
  <c r="M72" i="5"/>
  <c r="Q78" i="5"/>
  <c r="H120" i="5"/>
  <c r="O5" i="5"/>
  <c r="I9" i="5"/>
  <c r="L120" i="5"/>
  <c r="M120" i="5" s="1"/>
  <c r="R120" i="5"/>
  <c r="X5" i="5"/>
  <c r="O10" i="5"/>
  <c r="S13" i="5"/>
  <c r="T13" i="5" s="1"/>
  <c r="U13" i="5" s="1"/>
  <c r="O14" i="5"/>
  <c r="S15" i="5"/>
  <c r="T15" i="5" s="1"/>
  <c r="U15" i="5" s="1"/>
  <c r="O16" i="5"/>
  <c r="S17" i="5"/>
  <c r="T17" i="5" s="1"/>
  <c r="U17" i="5" s="1"/>
  <c r="O18" i="5"/>
  <c r="S19" i="5"/>
  <c r="T19" i="5" s="1"/>
  <c r="U19" i="5" s="1"/>
  <c r="O20" i="5"/>
  <c r="O26" i="5"/>
  <c r="M27" i="5"/>
  <c r="G120" i="5"/>
  <c r="N5" i="5"/>
  <c r="N9" i="5"/>
  <c r="I10" i="5"/>
  <c r="N11" i="5"/>
  <c r="I12" i="5"/>
  <c r="N13" i="5"/>
  <c r="I14" i="5"/>
  <c r="N15" i="5"/>
  <c r="I16" i="5"/>
  <c r="N17" i="5"/>
  <c r="I18" i="5"/>
  <c r="N19" i="5"/>
  <c r="I20" i="5"/>
  <c r="N21" i="5"/>
  <c r="O29" i="5"/>
  <c r="W30" i="5"/>
  <c r="X30" i="5" s="1"/>
  <c r="Y30" i="5" s="1"/>
  <c r="M32" i="5"/>
  <c r="N32" i="5"/>
  <c r="O35" i="5"/>
  <c r="W36" i="5"/>
  <c r="X36" i="5" s="1"/>
  <c r="Y36" i="5" s="1"/>
  <c r="M38" i="5"/>
  <c r="N38" i="5"/>
  <c r="O41" i="5"/>
  <c r="W42" i="5"/>
  <c r="X42" i="5" s="1"/>
  <c r="Y42" i="5" s="1"/>
  <c r="M44" i="5"/>
  <c r="N44" i="5"/>
  <c r="S55" i="5"/>
  <c r="T55" i="5" s="1"/>
  <c r="U55" i="5" s="1"/>
  <c r="I55" i="5"/>
  <c r="O55" i="5"/>
  <c r="Q72" i="5"/>
  <c r="O24" i="5"/>
  <c r="O27" i="5"/>
  <c r="O31" i="5"/>
  <c r="O34" i="5"/>
  <c r="O37" i="5"/>
  <c r="O40" i="5"/>
  <c r="O43" i="5"/>
  <c r="O46" i="5"/>
  <c r="O49" i="5"/>
  <c r="S53" i="5"/>
  <c r="T53" i="5" s="1"/>
  <c r="U53" i="5" s="1"/>
  <c r="I53" i="5"/>
  <c r="O53" i="5"/>
  <c r="W80" i="5"/>
  <c r="X80" i="5" s="1"/>
  <c r="Y80" i="5" s="1"/>
  <c r="M80" i="5"/>
  <c r="O80" i="5"/>
  <c r="N80" i="5"/>
  <c r="M54" i="5"/>
  <c r="W54" i="5"/>
  <c r="X54" i="5" s="1"/>
  <c r="Y54" i="5" s="1"/>
  <c r="N54" i="5"/>
  <c r="S57" i="5"/>
  <c r="T57" i="5" s="1"/>
  <c r="U57" i="5" s="1"/>
  <c r="J57" i="5"/>
  <c r="I57" i="5"/>
  <c r="O57" i="5"/>
  <c r="M58" i="5"/>
  <c r="W58" i="5"/>
  <c r="X58" i="5" s="1"/>
  <c r="Y58" i="5" s="1"/>
  <c r="O58" i="5"/>
  <c r="N58" i="5"/>
  <c r="M60" i="5"/>
  <c r="Q60" i="5"/>
  <c r="W60" i="5"/>
  <c r="X60" i="5" s="1"/>
  <c r="Y60" i="5" s="1"/>
  <c r="N60" i="5"/>
  <c r="N64" i="5"/>
  <c r="M64" i="5"/>
  <c r="J66" i="5"/>
  <c r="O66" i="5"/>
  <c r="S66" i="5"/>
  <c r="T66" i="5" s="1"/>
  <c r="U66" i="5" s="1"/>
  <c r="I66" i="5"/>
  <c r="N70" i="5"/>
  <c r="M70" i="5"/>
  <c r="W70" i="5"/>
  <c r="X70" i="5" s="1"/>
  <c r="Y70" i="5" s="1"/>
  <c r="J72" i="5"/>
  <c r="O72" i="5"/>
  <c r="N76" i="5"/>
  <c r="M76" i="5"/>
  <c r="W76" i="5"/>
  <c r="X76" i="5" s="1"/>
  <c r="Y76" i="5" s="1"/>
  <c r="J78" i="5"/>
  <c r="O78" i="5"/>
  <c r="W81" i="5"/>
  <c r="X81" i="5" s="1"/>
  <c r="Y81" i="5" s="1"/>
  <c r="N81" i="5"/>
  <c r="J84" i="5"/>
  <c r="I84" i="5"/>
  <c r="O84" i="5"/>
  <c r="S84" i="5"/>
  <c r="T84" i="5" s="1"/>
  <c r="U84" i="5" s="1"/>
  <c r="W86" i="5"/>
  <c r="X86" i="5" s="1"/>
  <c r="Y86" i="5" s="1"/>
  <c r="M86" i="5"/>
  <c r="W91" i="5"/>
  <c r="X91" i="5" s="1"/>
  <c r="Y91" i="5" s="1"/>
  <c r="Q91" i="5"/>
  <c r="N91" i="5"/>
  <c r="M91" i="5"/>
  <c r="W59" i="5"/>
  <c r="X59" i="5" s="1"/>
  <c r="Y59" i="5" s="1"/>
  <c r="O64" i="5"/>
  <c r="S67" i="5"/>
  <c r="T67" i="5" s="1"/>
  <c r="U67" i="5" s="1"/>
  <c r="O70" i="5"/>
  <c r="I72" i="5"/>
  <c r="S72" i="5"/>
  <c r="T72" i="5" s="1"/>
  <c r="U72" i="5" s="1"/>
  <c r="S73" i="5"/>
  <c r="T73" i="5" s="1"/>
  <c r="U73" i="5" s="1"/>
  <c r="O76" i="5"/>
  <c r="I78" i="5"/>
  <c r="S78" i="5"/>
  <c r="T78" i="5" s="1"/>
  <c r="U78" i="5" s="1"/>
  <c r="S79" i="5"/>
  <c r="T79" i="5" s="1"/>
  <c r="U79" i="5" s="1"/>
  <c r="J80" i="5"/>
  <c r="I80" i="5"/>
  <c r="S80" i="5"/>
  <c r="T80" i="5" s="1"/>
  <c r="U80" i="5" s="1"/>
  <c r="M81" i="5"/>
  <c r="W85" i="5"/>
  <c r="X85" i="5" s="1"/>
  <c r="Y85" i="5" s="1"/>
  <c r="N85" i="5"/>
  <c r="M85" i="5"/>
  <c r="N86" i="5"/>
  <c r="W88" i="5"/>
  <c r="X88" i="5" s="1"/>
  <c r="Y88" i="5" s="1"/>
  <c r="N88" i="5"/>
  <c r="J90" i="5"/>
  <c r="I90" i="5"/>
  <c r="O90" i="5"/>
  <c r="S90" i="5"/>
  <c r="T90" i="5" s="1"/>
  <c r="U90" i="5" s="1"/>
  <c r="I92" i="5"/>
  <c r="J92" i="5"/>
  <c r="J95" i="5"/>
  <c r="S95" i="5"/>
  <c r="T95" i="5" s="1"/>
  <c r="U95" i="5" s="1"/>
  <c r="O95" i="5"/>
  <c r="I95" i="5"/>
  <c r="J99" i="5"/>
  <c r="S99" i="5"/>
  <c r="T99" i="5" s="1"/>
  <c r="U99" i="5" s="1"/>
  <c r="I99" i="5"/>
  <c r="J63" i="5"/>
  <c r="O63" i="5"/>
  <c r="N67" i="5"/>
  <c r="M67" i="5"/>
  <c r="W67" i="5"/>
  <c r="X67" i="5" s="1"/>
  <c r="Y67" i="5" s="1"/>
  <c r="J69" i="5"/>
  <c r="O69" i="5"/>
  <c r="N73" i="5"/>
  <c r="M73" i="5"/>
  <c r="W73" i="5"/>
  <c r="X73" i="5" s="1"/>
  <c r="Y73" i="5" s="1"/>
  <c r="J75" i="5"/>
  <c r="O75" i="5"/>
  <c r="W79" i="5"/>
  <c r="X79" i="5" s="1"/>
  <c r="Y79" i="5" s="1"/>
  <c r="N79" i="5"/>
  <c r="M79" i="5"/>
  <c r="W82" i="5"/>
  <c r="X82" i="5" s="1"/>
  <c r="Y82" i="5" s="1"/>
  <c r="N82" i="5"/>
  <c r="J87" i="5"/>
  <c r="S87" i="5"/>
  <c r="T87" i="5" s="1"/>
  <c r="U87" i="5" s="1"/>
  <c r="I87" i="5"/>
  <c r="O87" i="5"/>
  <c r="J103" i="5"/>
  <c r="S103" i="5"/>
  <c r="T103" i="5" s="1"/>
  <c r="U103" i="5" s="1"/>
  <c r="O103" i="5"/>
  <c r="I60" i="5"/>
  <c r="S60" i="5"/>
  <c r="T60" i="5" s="1"/>
  <c r="U60" i="5" s="1"/>
  <c r="W62" i="5"/>
  <c r="X62" i="5" s="1"/>
  <c r="Y62" i="5" s="1"/>
  <c r="M62" i="5"/>
  <c r="I63" i="5"/>
  <c r="S63" i="5"/>
  <c r="T63" i="5" s="1"/>
  <c r="U63" i="5" s="1"/>
  <c r="S64" i="5"/>
  <c r="T64" i="5" s="1"/>
  <c r="U64" i="5" s="1"/>
  <c r="O67" i="5"/>
  <c r="I69" i="5"/>
  <c r="S69" i="5"/>
  <c r="T69" i="5" s="1"/>
  <c r="U69" i="5" s="1"/>
  <c r="S70" i="5"/>
  <c r="T70" i="5" s="1"/>
  <c r="U70" i="5" s="1"/>
  <c r="O73" i="5"/>
  <c r="I75" i="5"/>
  <c r="S75" i="5"/>
  <c r="T75" i="5" s="1"/>
  <c r="U75" i="5" s="1"/>
  <c r="S76" i="5"/>
  <c r="T76" i="5" s="1"/>
  <c r="U76" i="5" s="1"/>
  <c r="O79" i="5"/>
  <c r="M82" i="5"/>
  <c r="W87" i="5"/>
  <c r="X87" i="5" s="1"/>
  <c r="Y87" i="5" s="1"/>
  <c r="N87" i="5"/>
  <c r="J89" i="5"/>
  <c r="O89" i="5"/>
  <c r="S89" i="5"/>
  <c r="T89" i="5" s="1"/>
  <c r="U89" i="5" s="1"/>
  <c r="O92" i="5"/>
  <c r="I103" i="5"/>
  <c r="N59" i="5"/>
  <c r="J60" i="5"/>
  <c r="N62" i="5"/>
  <c r="J64" i="5"/>
  <c r="Q67" i="5"/>
  <c r="J70" i="5"/>
  <c r="Q73" i="5"/>
  <c r="J76" i="5"/>
  <c r="Q79" i="5"/>
  <c r="J81" i="5"/>
  <c r="S81" i="5"/>
  <c r="T81" i="5" s="1"/>
  <c r="U81" i="5" s="1"/>
  <c r="I81" i="5"/>
  <c r="O81" i="5"/>
  <c r="O82" i="5"/>
  <c r="O83" i="5"/>
  <c r="J86" i="5"/>
  <c r="I86" i="5"/>
  <c r="S86" i="5"/>
  <c r="T86" i="5" s="1"/>
  <c r="U86" i="5" s="1"/>
  <c r="M87" i="5"/>
  <c r="I89" i="5"/>
  <c r="W110" i="5"/>
  <c r="X110" i="5" s="1"/>
  <c r="Y110" i="5" s="1"/>
  <c r="N110" i="5"/>
  <c r="J117" i="5"/>
  <c r="S117" i="5"/>
  <c r="T117" i="5" s="1"/>
  <c r="U117" i="5" s="1"/>
  <c r="O117" i="5"/>
  <c r="J105" i="5"/>
  <c r="S105" i="5"/>
  <c r="T105" i="5" s="1"/>
  <c r="U105" i="5" s="1"/>
  <c r="M110" i="5"/>
  <c r="J113" i="5"/>
  <c r="S113" i="5"/>
  <c r="T113" i="5" s="1"/>
  <c r="U113" i="5" s="1"/>
  <c r="I113" i="5"/>
  <c r="I117" i="5"/>
  <c r="T65" i="5"/>
  <c r="U65" i="5" s="1"/>
  <c r="T68" i="5"/>
  <c r="U68" i="5" s="1"/>
  <c r="T71" i="5"/>
  <c r="U71" i="5" s="1"/>
  <c r="T74" i="5"/>
  <c r="U74" i="5" s="1"/>
  <c r="T77" i="5"/>
  <c r="U77" i="5" s="1"/>
  <c r="Q80" i="5"/>
  <c r="W83" i="5"/>
  <c r="X83" i="5" s="1"/>
  <c r="Y83" i="5" s="1"/>
  <c r="N83" i="5"/>
  <c r="Q86" i="5"/>
  <c r="W89" i="5"/>
  <c r="X89" i="5" s="1"/>
  <c r="Y89" i="5" s="1"/>
  <c r="N89" i="5"/>
  <c r="I91" i="5"/>
  <c r="J91" i="5"/>
  <c r="O91" i="5"/>
  <c r="S91" i="5"/>
  <c r="T91" i="5" s="1"/>
  <c r="U91" i="5" s="1"/>
  <c r="J93" i="5"/>
  <c r="S93" i="5"/>
  <c r="T93" i="5" s="1"/>
  <c r="U93" i="5" s="1"/>
  <c r="I93" i="5"/>
  <c r="J97" i="5"/>
  <c r="S97" i="5"/>
  <c r="T97" i="5" s="1"/>
  <c r="U97" i="5" s="1"/>
  <c r="I105" i="5"/>
  <c r="J101" i="5"/>
  <c r="S101" i="5"/>
  <c r="T101" i="5" s="1"/>
  <c r="U101" i="5" s="1"/>
  <c r="O101" i="5"/>
  <c r="W102" i="5"/>
  <c r="X102" i="5" s="1"/>
  <c r="Y102" i="5" s="1"/>
  <c r="N102" i="5"/>
  <c r="J111" i="5"/>
  <c r="S111" i="5"/>
  <c r="T111" i="5" s="1"/>
  <c r="U111" i="5" s="1"/>
  <c r="W116" i="5"/>
  <c r="X116" i="5" s="1"/>
  <c r="Y116" i="5" s="1"/>
  <c r="N116" i="5"/>
  <c r="W92" i="5"/>
  <c r="X92" i="5" s="1"/>
  <c r="Y92" i="5" s="1"/>
  <c r="Q92" i="5"/>
  <c r="M92" i="5"/>
  <c r="W96" i="5"/>
  <c r="X96" i="5" s="1"/>
  <c r="Y96" i="5" s="1"/>
  <c r="N96" i="5"/>
  <c r="T98" i="5"/>
  <c r="U98" i="5" s="1"/>
  <c r="I101" i="5"/>
  <c r="M102" i="5"/>
  <c r="J107" i="5"/>
  <c r="S107" i="5"/>
  <c r="T107" i="5" s="1"/>
  <c r="U107" i="5" s="1"/>
  <c r="I107" i="5"/>
  <c r="I111" i="5"/>
  <c r="M116" i="5"/>
  <c r="T118" i="5"/>
  <c r="U118" i="5" s="1"/>
  <c r="W65" i="5"/>
  <c r="X65" i="5" s="1"/>
  <c r="Y65" i="5" s="1"/>
  <c r="W68" i="5"/>
  <c r="X68" i="5" s="1"/>
  <c r="Y68" i="5" s="1"/>
  <c r="W71" i="5"/>
  <c r="X71" i="5" s="1"/>
  <c r="Y71" i="5" s="1"/>
  <c r="W74" i="5"/>
  <c r="X74" i="5" s="1"/>
  <c r="Y74" i="5" s="1"/>
  <c r="W77" i="5"/>
  <c r="X77" i="5" s="1"/>
  <c r="Y77" i="5" s="1"/>
  <c r="J82" i="5"/>
  <c r="I82" i="5"/>
  <c r="Q83" i="5"/>
  <c r="J88" i="5"/>
  <c r="I88" i="5"/>
  <c r="Q89" i="5"/>
  <c r="N92" i="5"/>
  <c r="M94" i="5"/>
  <c r="M96" i="5"/>
  <c r="W104" i="5"/>
  <c r="X104" i="5" s="1"/>
  <c r="Y104" i="5" s="1"/>
  <c r="O104" i="5"/>
  <c r="N104" i="5"/>
  <c r="M104" i="5"/>
  <c r="O105" i="5"/>
  <c r="O113" i="5"/>
  <c r="M106" i="5"/>
  <c r="J109" i="5"/>
  <c r="S109" i="5"/>
  <c r="T109" i="5" s="1"/>
  <c r="U109" i="5" s="1"/>
  <c r="M112" i="5"/>
  <c r="J115" i="5"/>
  <c r="S115" i="5"/>
  <c r="T115" i="5" s="1"/>
  <c r="U115" i="5" s="1"/>
  <c r="M118" i="5"/>
  <c r="Q94" i="5"/>
  <c r="Q96" i="5"/>
  <c r="Q98" i="5"/>
  <c r="Q100" i="5"/>
  <c r="M101" i="5"/>
  <c r="Q102" i="5"/>
  <c r="M103" i="5"/>
  <c r="Q104" i="5"/>
  <c r="M105" i="5"/>
  <c r="Q106" i="5"/>
  <c r="Q108" i="5"/>
  <c r="Q110" i="5"/>
  <c r="Q112" i="5"/>
  <c r="Q114" i="5"/>
  <c r="Q116" i="5"/>
  <c r="Q118" i="5"/>
  <c r="M119" i="5"/>
  <c r="O94" i="5"/>
  <c r="O96" i="5"/>
  <c r="O98" i="5"/>
  <c r="O100" i="5"/>
  <c r="O102" i="5"/>
  <c r="O106" i="5"/>
  <c r="O108" i="5"/>
  <c r="O110" i="5"/>
  <c r="O112" i="5"/>
  <c r="O114" i="5"/>
  <c r="O116" i="5"/>
  <c r="O118" i="5"/>
  <c r="J119" i="5"/>
  <c r="Q5" i="3"/>
  <c r="DW5" i="3"/>
  <c r="CF11" i="3"/>
  <c r="CH11" i="3" s="1"/>
  <c r="EF5" i="3" a="1"/>
  <c r="EF5" i="3" s="1"/>
  <c r="J5" i="3" a="1"/>
  <c r="J5" i="3" s="1"/>
  <c r="Y5" i="3"/>
  <c r="AR6" i="3"/>
  <c r="BM9" i="3"/>
  <c r="U11" i="3"/>
  <c r="W11" i="3" s="1"/>
  <c r="BF11" i="3" a="1"/>
  <c r="BF11" i="3" s="1"/>
  <c r="EO11" i="3"/>
  <c r="EP11" i="3" s="1"/>
  <c r="DT11" i="3" a="1"/>
  <c r="DT11" i="3" s="1"/>
  <c r="DU11" i="3" s="1"/>
  <c r="DE11" i="3"/>
  <c r="DF11" i="3" s="1"/>
  <c r="CY11" i="3"/>
  <c r="CO11" i="3"/>
  <c r="CJ11" i="3" a="1"/>
  <c r="CJ11" i="3" s="1"/>
  <c r="BT11" i="3"/>
  <c r="BO11" i="3"/>
  <c r="BE11" i="3"/>
  <c r="BG11" i="3" s="1"/>
  <c r="AZ11" i="3" a="1"/>
  <c r="AZ11" i="3" s="1"/>
  <c r="AP11" i="3"/>
  <c r="AR11" i="3" s="1"/>
  <c r="AK11" i="3"/>
  <c r="AA11" i="3"/>
  <c r="V11" i="3" a="1"/>
  <c r="V11" i="3" s="1"/>
  <c r="F11" i="3"/>
  <c r="DH11" i="3" a="1"/>
  <c r="DH11" i="3" s="1"/>
  <c r="DI11" i="3" s="1"/>
  <c r="CS11" i="3"/>
  <c r="CM11" i="3"/>
  <c r="CG11" i="3"/>
  <c r="CA11" i="3"/>
  <c r="BU11" i="3"/>
  <c r="BN11" i="3"/>
  <c r="BP11" i="3" s="1"/>
  <c r="BH11" i="3"/>
  <c r="BJ11" i="3" s="1"/>
  <c r="BB11" i="3"/>
  <c r="AV11" i="3"/>
  <c r="AQ11" i="3" a="1"/>
  <c r="AQ11" i="3" s="1"/>
  <c r="AJ11" i="3"/>
  <c r="AL11" i="3" s="1"/>
  <c r="AD11" i="3"/>
  <c r="AF11" i="3" s="1"/>
  <c r="X11" i="3"/>
  <c r="R11" i="3"/>
  <c r="T11" i="3" s="1"/>
  <c r="L11" i="3"/>
  <c r="N11" i="3" s="1"/>
  <c r="ER11" i="3" a="1"/>
  <c r="ER11" i="3" s="1"/>
  <c r="ES11" i="3" s="1"/>
  <c r="EI11" i="3"/>
  <c r="EJ11" i="3" s="1"/>
  <c r="DZ11" i="3" a="1"/>
  <c r="DZ11" i="3" s="1"/>
  <c r="EA11" i="3" s="1"/>
  <c r="DQ11" i="3"/>
  <c r="DR11" i="3" s="1"/>
  <c r="DA11" i="3"/>
  <c r="CU11" i="3"/>
  <c r="CW11" i="3" s="1"/>
  <c r="BI11" i="3"/>
  <c r="BC11" i="3"/>
  <c r="AW11" i="3"/>
  <c r="AE11" i="3"/>
  <c r="Y11" i="3"/>
  <c r="S11" i="3"/>
  <c r="M11" i="3"/>
  <c r="G11" i="3"/>
  <c r="EF11" i="3" a="1"/>
  <c r="EF11" i="3" s="1"/>
  <c r="EG11" i="3" s="1"/>
  <c r="CL11" i="3"/>
  <c r="CN11" i="3" s="1"/>
  <c r="CD11" i="3" a="1"/>
  <c r="CD11" i="3" s="1"/>
  <c r="BL11" i="3" a="1"/>
  <c r="BL11" i="3" s="1"/>
  <c r="AS11" i="3"/>
  <c r="AB11" i="3" a="1"/>
  <c r="AB11" i="3" s="1"/>
  <c r="I11" i="3"/>
  <c r="BK11" i="3"/>
  <c r="BM11" i="3" s="1"/>
  <c r="P11" i="3" a="1"/>
  <c r="P11" i="3" s="1"/>
  <c r="EC11" i="3"/>
  <c r="ED11" i="3" s="1"/>
  <c r="CR11" i="3"/>
  <c r="BR11" i="3" a="1"/>
  <c r="BR11" i="3" s="1"/>
  <c r="AY11" i="3"/>
  <c r="BA11" i="3" s="1"/>
  <c r="AH11" i="3" a="1"/>
  <c r="AH11" i="3" s="1"/>
  <c r="DN11" i="3" a="1"/>
  <c r="DN11" i="3" s="1"/>
  <c r="DO11" i="3" s="1"/>
  <c r="AG11" i="3"/>
  <c r="CV11" i="3" a="1"/>
  <c r="CV11" i="3" s="1"/>
  <c r="BZ11" i="3"/>
  <c r="CB11" i="3" s="1"/>
  <c r="O11" i="3"/>
  <c r="Q11" i="3" s="1"/>
  <c r="EU11" i="3"/>
  <c r="EV11" i="3" s="1"/>
  <c r="CP11" i="3" a="1"/>
  <c r="CP11" i="3" s="1"/>
  <c r="BW11" i="3"/>
  <c r="BY11" i="3" s="1"/>
  <c r="AT11" i="3" a="1"/>
  <c r="AT11" i="3" s="1"/>
  <c r="AM11" i="3"/>
  <c r="J11" i="3" a="1"/>
  <c r="J11" i="3" s="1"/>
  <c r="CC11" i="3"/>
  <c r="CE11" i="3" s="1"/>
  <c r="DB11" i="3" a="1"/>
  <c r="DB11" i="3" s="1"/>
  <c r="CI11" i="3"/>
  <c r="BQ11" i="3"/>
  <c r="DW11" i="3"/>
  <c r="DX11" i="3" s="1"/>
  <c r="AF13" i="3"/>
  <c r="BX11" i="3" a="1"/>
  <c r="BX11" i="3" s="1"/>
  <c r="EL11" i="3" a="1"/>
  <c r="EL11" i="3" s="1"/>
  <c r="EM11" i="3" s="1"/>
  <c r="EX5" i="3" a="1"/>
  <c r="EX5" i="3" s="1"/>
  <c r="EI5" i="3"/>
  <c r="DN5" i="3" a="1"/>
  <c r="DN5" i="3" s="1"/>
  <c r="CU5" i="3"/>
  <c r="CP5" i="3" a="1"/>
  <c r="CP5" i="3" s="1"/>
  <c r="BZ5" i="3"/>
  <c r="BU5" i="3"/>
  <c r="BK5" i="3"/>
  <c r="BF5" i="3" a="1"/>
  <c r="BF5" i="3" s="1"/>
  <c r="AQ5" i="3" a="1"/>
  <c r="AQ5" i="3" s="1"/>
  <c r="DB5" i="3" a="1"/>
  <c r="DB5" i="3" s="1"/>
  <c r="CV5" i="3" a="1"/>
  <c r="CV5" i="3" s="1"/>
  <c r="CO5" i="3"/>
  <c r="CI5" i="3"/>
  <c r="CC5" i="3"/>
  <c r="BW5" i="3"/>
  <c r="BQ5" i="3"/>
  <c r="AM5" i="3"/>
  <c r="AG5" i="3"/>
  <c r="AB5" i="3" a="1"/>
  <c r="AB5" i="3" s="1"/>
  <c r="L5" i="3"/>
  <c r="G5" i="3"/>
  <c r="DZ5" i="3" a="1"/>
  <c r="DZ5" i="3" s="1"/>
  <c r="DA5" i="3"/>
  <c r="BI5" i="3"/>
  <c r="AW5" i="3"/>
  <c r="AK5" i="3"/>
  <c r="AA5" i="3"/>
  <c r="EO5" i="3"/>
  <c r="CS5" i="3"/>
  <c r="CA5" i="3"/>
  <c r="BT5" i="3"/>
  <c r="BH5" i="3"/>
  <c r="AV5" i="3"/>
  <c r="U5" i="3"/>
  <c r="DH5" i="3" a="1"/>
  <c r="DH5" i="3" s="1"/>
  <c r="AE5" i="3"/>
  <c r="CY5" i="3"/>
  <c r="CZ5" i="3" s="1"/>
  <c r="CM5" i="3"/>
  <c r="AJ5" i="3"/>
  <c r="EL5" i="3" a="1"/>
  <c r="EL5" i="3" s="1"/>
  <c r="EC5" i="3"/>
  <c r="DT5" i="3" a="1"/>
  <c r="DT5" i="3" s="1"/>
  <c r="DK5" i="3"/>
  <c r="CJ5" i="3" a="1"/>
  <c r="CJ5" i="3" s="1"/>
  <c r="CD5" i="3" a="1"/>
  <c r="CD5" i="3" s="1"/>
  <c r="BX5" i="3" a="1"/>
  <c r="BX5" i="3" s="1"/>
  <c r="BR5" i="3" a="1"/>
  <c r="BR5" i="3" s="1"/>
  <c r="BL5" i="3" a="1"/>
  <c r="BL5" i="3" s="1"/>
  <c r="BE5" i="3"/>
  <c r="AY5" i="3"/>
  <c r="AS5" i="3"/>
  <c r="AN5" i="3" a="1"/>
  <c r="AN5" i="3" s="1"/>
  <c r="AH5" i="3" a="1"/>
  <c r="AH5" i="3" s="1"/>
  <c r="R5" i="3"/>
  <c r="M5" i="3"/>
  <c r="ER5" i="3" a="1"/>
  <c r="ER5" i="3" s="1"/>
  <c r="DQ5" i="3"/>
  <c r="BO5" i="3"/>
  <c r="BC5" i="3"/>
  <c r="V5" i="3" a="1"/>
  <c r="V5" i="3" s="1"/>
  <c r="F5" i="3"/>
  <c r="CG5" i="3"/>
  <c r="BN5" i="3"/>
  <c r="BB5" i="3"/>
  <c r="AP5" i="3"/>
  <c r="P5" i="3" a="1"/>
  <c r="P5" i="3" s="1"/>
  <c r="AD5" i="3"/>
  <c r="CF5" i="3"/>
  <c r="EV5" i="3"/>
  <c r="BD6" i="3"/>
  <c r="S5" i="3"/>
  <c r="AZ5" i="3" a="1"/>
  <c r="AZ5" i="3" s="1"/>
  <c r="AL9" i="3"/>
  <c r="AN11" i="3" a="1"/>
  <c r="AN11" i="3" s="1"/>
  <c r="EX11" i="3" a="1"/>
  <c r="EX11" i="3" s="1"/>
  <c r="EY11" i="3" s="1"/>
  <c r="CL5" i="3"/>
  <c r="DE5" i="3"/>
  <c r="CQ7" i="3"/>
  <c r="H8" i="3"/>
  <c r="K17" i="3"/>
  <c r="I5" i="3"/>
  <c r="X5" i="3"/>
  <c r="CH7" i="3"/>
  <c r="CT7" i="3"/>
  <c r="N9" i="3"/>
  <c r="BG10" i="3"/>
  <c r="CX11" i="3"/>
  <c r="CZ11" i="3" s="1"/>
  <c r="L13" i="3"/>
  <c r="N13" i="3" s="1"/>
  <c r="CK9" i="3"/>
  <c r="AW13" i="3"/>
  <c r="DZ13" i="3" a="1"/>
  <c r="DZ13" i="3" s="1"/>
  <c r="EA13" i="3" s="1"/>
  <c r="CW15" i="3"/>
  <c r="X13" i="3"/>
  <c r="BH13" i="3"/>
  <c r="CA13" i="3"/>
  <c r="CS13" i="3"/>
  <c r="EF6" i="3" a="1"/>
  <c r="EF6" i="3" s="1"/>
  <c r="EG6" i="3" s="1"/>
  <c r="DQ6" i="3"/>
  <c r="DR6" i="3" s="1"/>
  <c r="CR6" i="3"/>
  <c r="CT6" i="3" s="1"/>
  <c r="CM6" i="3"/>
  <c r="CN6" i="3" s="1"/>
  <c r="CC6" i="3"/>
  <c r="BX6" i="3" a="1"/>
  <c r="BX6" i="3" s="1"/>
  <c r="BH6" i="3"/>
  <c r="BJ6" i="3" s="1"/>
  <c r="BC6" i="3"/>
  <c r="AS6" i="3"/>
  <c r="AD6" i="3"/>
  <c r="AF6" i="3" s="1"/>
  <c r="Y6" i="3"/>
  <c r="Z6" i="3" s="1"/>
  <c r="O6" i="3"/>
  <c r="Q6" i="3" s="1"/>
  <c r="J6" i="3" a="1"/>
  <c r="J6" i="3" s="1"/>
  <c r="I6" i="3"/>
  <c r="P6" i="3" a="1"/>
  <c r="P6" i="3" s="1"/>
  <c r="V6" i="3" a="1"/>
  <c r="V6" i="3" s="1"/>
  <c r="AB6" i="3" a="1"/>
  <c r="AB6" i="3" s="1"/>
  <c r="AH6" i="3" a="1"/>
  <c r="AH6" i="3" s="1"/>
  <c r="AN6" i="3" a="1"/>
  <c r="AN6" i="3" s="1"/>
  <c r="AT6" i="3" a="1"/>
  <c r="AT6" i="3" s="1"/>
  <c r="AT48" i="3" s="1"/>
  <c r="AZ6" i="3" a="1"/>
  <c r="AZ6" i="3" s="1"/>
  <c r="BF6" i="3" a="1"/>
  <c r="BF6" i="3" s="1"/>
  <c r="BL6" i="3" a="1"/>
  <c r="BL6" i="3" s="1"/>
  <c r="BR6" i="3" a="1"/>
  <c r="BR6" i="3" s="1"/>
  <c r="EC6" i="3"/>
  <c r="ED6" i="3" s="1"/>
  <c r="EL6" i="3" a="1"/>
  <c r="EL6" i="3" s="1"/>
  <c r="EM6" i="3" s="1"/>
  <c r="EU6" i="3"/>
  <c r="EV6" i="3" s="1"/>
  <c r="EX7" i="3" a="1"/>
  <c r="EX7" i="3" s="1"/>
  <c r="EY7" i="3" s="1"/>
  <c r="EI7" i="3"/>
  <c r="EJ7" i="3" s="1"/>
  <c r="DN7" i="3" a="1"/>
  <c r="DN7" i="3" s="1"/>
  <c r="DO7" i="3" s="1"/>
  <c r="CU7" i="3"/>
  <c r="CW7" i="3" s="1"/>
  <c r="CP7" i="3" a="1"/>
  <c r="CP7" i="3" s="1"/>
  <c r="BZ7" i="3"/>
  <c r="CB7" i="3" s="1"/>
  <c r="BU7" i="3"/>
  <c r="BV7" i="3" s="1"/>
  <c r="BK7" i="3"/>
  <c r="BM7" i="3" s="1"/>
  <c r="BF7" i="3" a="1"/>
  <c r="BF7" i="3" s="1"/>
  <c r="AQ7" i="3" a="1"/>
  <c r="AQ7" i="3" s="1"/>
  <c r="AR7" i="3" s="1"/>
  <c r="AG7" i="3"/>
  <c r="AB7" i="3" a="1"/>
  <c r="AB7" i="3" s="1"/>
  <c r="L7" i="3"/>
  <c r="N7" i="3" s="1"/>
  <c r="G7" i="3"/>
  <c r="H7" i="3" s="1"/>
  <c r="J7" i="3" a="1"/>
  <c r="J7" i="3" s="1"/>
  <c r="P7" i="3" a="1"/>
  <c r="P7" i="3" s="1"/>
  <c r="V7" i="3" a="1"/>
  <c r="V7" i="3" s="1"/>
  <c r="AT7" i="3" a="1"/>
  <c r="AT7" i="3" s="1"/>
  <c r="AZ7" i="3" a="1"/>
  <c r="AZ7" i="3" s="1"/>
  <c r="EU7" i="3"/>
  <c r="EV7" i="3" s="1"/>
  <c r="CW9" i="3"/>
  <c r="BM10" i="3"/>
  <c r="CQ10" i="3"/>
  <c r="J13" i="3" a="1"/>
  <c r="J13" i="3" s="1"/>
  <c r="R13" i="3"/>
  <c r="T13" i="3" s="1"/>
  <c r="AJ13" i="3"/>
  <c r="AL13" i="3" s="1"/>
  <c r="AT13" i="3" a="1"/>
  <c r="AT13" i="3" s="1"/>
  <c r="BB13" i="3"/>
  <c r="BD13" i="3" s="1"/>
  <c r="BU13" i="3"/>
  <c r="CM13" i="3"/>
  <c r="DH13" i="3" a="1"/>
  <c r="DH13" i="3" s="1"/>
  <c r="DI13" i="3" s="1"/>
  <c r="EU13" i="3"/>
  <c r="EV13" i="3" s="1"/>
  <c r="H14" i="3"/>
  <c r="BM15" i="3"/>
  <c r="CK15" i="3"/>
  <c r="N16" i="3"/>
  <c r="W16" i="3"/>
  <c r="P17" i="3" a="1"/>
  <c r="P17" i="3" s="1"/>
  <c r="BK17" i="3"/>
  <c r="BM17" i="3" s="1"/>
  <c r="CC17" i="3"/>
  <c r="CE17" i="3" s="1"/>
  <c r="CT18" i="3"/>
  <c r="P19" i="3" a="1"/>
  <c r="P19" i="3" s="1"/>
  <c r="FD19" i="3" s="1"/>
  <c r="X19" i="3"/>
  <c r="Z19" i="3" s="1"/>
  <c r="AQ19" i="3" a="1"/>
  <c r="AQ19" i="3" s="1"/>
  <c r="BH19" i="3"/>
  <c r="BJ19" i="3" s="1"/>
  <c r="CA19" i="3"/>
  <c r="AI21" i="3"/>
  <c r="BJ21" i="3"/>
  <c r="BS21" i="3"/>
  <c r="CQ22" i="3"/>
  <c r="CW22" i="3"/>
  <c r="S23" i="3"/>
  <c r="AY23" i="3"/>
  <c r="CZ24" i="3"/>
  <c r="AH25" i="3" a="1"/>
  <c r="AH25" i="3" s="1"/>
  <c r="BH25" i="3"/>
  <c r="BJ25" i="3" s="1"/>
  <c r="DC27" i="3"/>
  <c r="AC22" i="3"/>
  <c r="AI22" i="3"/>
  <c r="AX22" i="3"/>
  <c r="CE23" i="3"/>
  <c r="CT23" i="3"/>
  <c r="N25" i="3"/>
  <c r="CZ25" i="3"/>
  <c r="AV13" i="3"/>
  <c r="AX13" i="3" s="1"/>
  <c r="BN13" i="3"/>
  <c r="CG13" i="3"/>
  <c r="CH13" i="3" s="1"/>
  <c r="DC15" i="3"/>
  <c r="CQ16" i="3"/>
  <c r="W22" i="3"/>
  <c r="BP23" i="3"/>
  <c r="Q25" i="3"/>
  <c r="CK16" i="3"/>
  <c r="EO17" i="3"/>
  <c r="EP17" i="3" s="1"/>
  <c r="DT17" i="3" a="1"/>
  <c r="DT17" i="3" s="1"/>
  <c r="DU17" i="3" s="1"/>
  <c r="DE17" i="3"/>
  <c r="DF17" i="3" s="1"/>
  <c r="CY17" i="3"/>
  <c r="CO17" i="3"/>
  <c r="CQ17" i="3" s="1"/>
  <c r="CJ17" i="3" a="1"/>
  <c r="CJ17" i="3" s="1"/>
  <c r="BT17" i="3"/>
  <c r="BO17" i="3"/>
  <c r="BE17" i="3"/>
  <c r="AZ17" i="3" a="1"/>
  <c r="AZ17" i="3" s="1"/>
  <c r="AP17" i="3"/>
  <c r="AR17" i="3" s="1"/>
  <c r="AK17" i="3"/>
  <c r="AA17" i="3"/>
  <c r="AC17" i="3" s="1"/>
  <c r="V17" i="3" a="1"/>
  <c r="V17" i="3" s="1"/>
  <c r="F17" i="3"/>
  <c r="DH17" i="3" a="1"/>
  <c r="DH17" i="3" s="1"/>
  <c r="DI17" i="3" s="1"/>
  <c r="CS17" i="3"/>
  <c r="CM17" i="3"/>
  <c r="CN17" i="3" s="1"/>
  <c r="CG17" i="3"/>
  <c r="CA17" i="3"/>
  <c r="BU17" i="3"/>
  <c r="BN17" i="3"/>
  <c r="BP17" i="3" s="1"/>
  <c r="BH17" i="3"/>
  <c r="BJ17" i="3" s="1"/>
  <c r="BB17" i="3"/>
  <c r="BD17" i="3" s="1"/>
  <c r="AV17" i="3"/>
  <c r="AQ17" i="3" a="1"/>
  <c r="AQ17" i="3" s="1"/>
  <c r="AJ17" i="3"/>
  <c r="AD17" i="3"/>
  <c r="X17" i="3"/>
  <c r="R17" i="3"/>
  <c r="T17" i="3" s="1"/>
  <c r="L17" i="3"/>
  <c r="N17" i="3" s="1"/>
  <c r="ER17" i="3" a="1"/>
  <c r="ER17" i="3" s="1"/>
  <c r="ES17" i="3" s="1"/>
  <c r="EI17" i="3"/>
  <c r="EJ17" i="3" s="1"/>
  <c r="DZ17" i="3" a="1"/>
  <c r="DZ17" i="3" s="1"/>
  <c r="EA17" i="3" s="1"/>
  <c r="DQ17" i="3"/>
  <c r="DR17" i="3" s="1"/>
  <c r="DA17" i="3"/>
  <c r="CU17" i="3"/>
  <c r="CW17" i="3" s="1"/>
  <c r="BI17" i="3"/>
  <c r="BC17" i="3"/>
  <c r="AW17" i="3"/>
  <c r="AE17" i="3"/>
  <c r="Y17" i="3"/>
  <c r="S17" i="3"/>
  <c r="M17" i="3"/>
  <c r="G17" i="3"/>
  <c r="U17" i="3"/>
  <c r="W17" i="3" s="1"/>
  <c r="AN17" i="3" a="1"/>
  <c r="AN17" i="3" s="1"/>
  <c r="AO17" i="3" s="1"/>
  <c r="BF17" i="3" a="1"/>
  <c r="BF17" i="3" s="1"/>
  <c r="BX17" i="3" a="1"/>
  <c r="BX17" i="3" s="1"/>
  <c r="BY17" i="3" s="1"/>
  <c r="CF17" i="3"/>
  <c r="CX17" i="3"/>
  <c r="CZ17" i="3" s="1"/>
  <c r="DK17" i="3"/>
  <c r="DL17" i="3" s="1"/>
  <c r="DW17" i="3"/>
  <c r="DX17" i="3" s="1"/>
  <c r="EL17" i="3" a="1"/>
  <c r="EL17" i="3" s="1"/>
  <c r="EM17" i="3" s="1"/>
  <c r="EX17" i="3" a="1"/>
  <c r="EX17" i="3" s="1"/>
  <c r="EY17" i="3" s="1"/>
  <c r="BG18" i="3"/>
  <c r="H26" i="3"/>
  <c r="H16" i="3"/>
  <c r="AG17" i="3"/>
  <c r="BQ17" i="3"/>
  <c r="CI17" i="3"/>
  <c r="CK17" i="3" s="1"/>
  <c r="DB17" i="3" a="1"/>
  <c r="DB17" i="3" s="1"/>
  <c r="DN17" i="3" a="1"/>
  <c r="DN17" i="3" s="1"/>
  <c r="DO17" i="3" s="1"/>
  <c r="EO19" i="3"/>
  <c r="EP19" i="3" s="1"/>
  <c r="DT19" i="3" a="1"/>
  <c r="DT19" i="3" s="1"/>
  <c r="DU19" i="3" s="1"/>
  <c r="DE19" i="3"/>
  <c r="DF19" i="3" s="1"/>
  <c r="CY19" i="3"/>
  <c r="CZ19" i="3" s="1"/>
  <c r="CO19" i="3"/>
  <c r="CJ19" i="3" a="1"/>
  <c r="CJ19" i="3" s="1"/>
  <c r="BT19" i="3"/>
  <c r="BV19" i="3" s="1"/>
  <c r="BO19" i="3"/>
  <c r="BE19" i="3"/>
  <c r="AZ19" i="3" a="1"/>
  <c r="AZ19" i="3" s="1"/>
  <c r="AP19" i="3"/>
  <c r="AK19" i="3"/>
  <c r="AL19" i="3" s="1"/>
  <c r="AA19" i="3"/>
  <c r="AC19" i="3" s="1"/>
  <c r="V19" i="3" a="1"/>
  <c r="V19" i="3" s="1"/>
  <c r="F19" i="3"/>
  <c r="DB19" i="3" a="1"/>
  <c r="DB19" i="3" s="1"/>
  <c r="CV19" i="3" a="1"/>
  <c r="CV19" i="3" s="1"/>
  <c r="CW19" i="3" s="1"/>
  <c r="CP19" i="3" a="1"/>
  <c r="CP19" i="3" s="1"/>
  <c r="CI19" i="3"/>
  <c r="CC19" i="3"/>
  <c r="BW19" i="3"/>
  <c r="BQ19" i="3"/>
  <c r="BS19" i="3" s="1"/>
  <c r="BK19" i="3"/>
  <c r="BM19" i="3" s="1"/>
  <c r="AM19" i="3"/>
  <c r="AG19" i="3"/>
  <c r="EL19" i="3" a="1"/>
  <c r="EL19" i="3" s="1"/>
  <c r="EM19" i="3" s="1"/>
  <c r="EC19" i="3"/>
  <c r="ED19" i="3" s="1"/>
  <c r="DK19" i="3"/>
  <c r="DL19" i="3" s="1"/>
  <c r="CD19" i="3" a="1"/>
  <c r="CD19" i="3" s="1"/>
  <c r="BX19" i="3" a="1"/>
  <c r="BX19" i="3" s="1"/>
  <c r="BR19" i="3" a="1"/>
  <c r="BR19" i="3" s="1"/>
  <c r="BL19" i="3" a="1"/>
  <c r="BL19" i="3" s="1"/>
  <c r="BF19" i="3" a="1"/>
  <c r="BF19" i="3" s="1"/>
  <c r="AY19" i="3"/>
  <c r="BA19" i="3" s="1"/>
  <c r="AS19" i="3"/>
  <c r="AN19" i="3" a="1"/>
  <c r="AN19" i="3" s="1"/>
  <c r="AH19" i="3" a="1"/>
  <c r="AH19" i="3" s="1"/>
  <c r="AB19" i="3" a="1"/>
  <c r="AB19" i="3" s="1"/>
  <c r="U19" i="3"/>
  <c r="W19" i="3" s="1"/>
  <c r="O19" i="3"/>
  <c r="Q19" i="3" s="1"/>
  <c r="I19" i="3"/>
  <c r="L19" i="3"/>
  <c r="AD19" i="3"/>
  <c r="AV19" i="3"/>
  <c r="BN19" i="3"/>
  <c r="BP19" i="3" s="1"/>
  <c r="CG19" i="3"/>
  <c r="CH19" i="3" s="1"/>
  <c r="DN19" i="3" a="1"/>
  <c r="DN19" i="3" s="1"/>
  <c r="DO19" i="3" s="1"/>
  <c r="EO23" i="3"/>
  <c r="EP23" i="3" s="1"/>
  <c r="DT23" i="3" a="1"/>
  <c r="DT23" i="3" s="1"/>
  <c r="DU23" i="3" s="1"/>
  <c r="DE23" i="3"/>
  <c r="DF23" i="3" s="1"/>
  <c r="CY23" i="3"/>
  <c r="CZ23" i="3" s="1"/>
  <c r="CO23" i="3"/>
  <c r="CQ23" i="3" s="1"/>
  <c r="CJ23" i="3" a="1"/>
  <c r="CJ23" i="3" s="1"/>
  <c r="CK23" i="3" s="1"/>
  <c r="BT23" i="3"/>
  <c r="BO23" i="3"/>
  <c r="BE23" i="3"/>
  <c r="AZ23" i="3" a="1"/>
  <c r="AZ23" i="3" s="1"/>
  <c r="AP23" i="3"/>
  <c r="AK23" i="3"/>
  <c r="AA23" i="3"/>
  <c r="V23" i="3" a="1"/>
  <c r="V23" i="3" s="1"/>
  <c r="W23" i="3" s="1"/>
  <c r="F23" i="3"/>
  <c r="EX23" i="3" a="1"/>
  <c r="EX23" i="3" s="1"/>
  <c r="EY23" i="3" s="1"/>
  <c r="EI23" i="3"/>
  <c r="EJ23" i="3" s="1"/>
  <c r="DN23" i="3" a="1"/>
  <c r="DN23" i="3" s="1"/>
  <c r="DO23" i="3" s="1"/>
  <c r="CU23" i="3"/>
  <c r="CP23" i="3" a="1"/>
  <c r="CP23" i="3" s="1"/>
  <c r="BZ23" i="3"/>
  <c r="BU23" i="3"/>
  <c r="BK23" i="3"/>
  <c r="BF23" i="3" a="1"/>
  <c r="BF23" i="3" s="1"/>
  <c r="AQ23" i="3" a="1"/>
  <c r="AQ23" i="3" s="1"/>
  <c r="AG23" i="3"/>
  <c r="AB23" i="3" a="1"/>
  <c r="AB23" i="3" s="1"/>
  <c r="L23" i="3"/>
  <c r="N23" i="3" s="1"/>
  <c r="G23" i="3"/>
  <c r="EU23" i="3"/>
  <c r="EV23" i="3" s="1"/>
  <c r="EL23" i="3" a="1"/>
  <c r="EL23" i="3" s="1"/>
  <c r="EM23" i="3" s="1"/>
  <c r="DZ23" i="3" a="1"/>
  <c r="DZ23" i="3" s="1"/>
  <c r="EA23" i="3" s="1"/>
  <c r="CG23" i="3"/>
  <c r="BR23" i="3" a="1"/>
  <c r="BR23" i="3" s="1"/>
  <c r="BI23" i="3"/>
  <c r="BB23" i="3"/>
  <c r="AT23" i="3" a="1"/>
  <c r="AT23" i="3" s="1"/>
  <c r="AU23" i="3" s="1"/>
  <c r="AN23" i="3" a="1"/>
  <c r="AN23" i="3" s="1"/>
  <c r="AE23" i="3"/>
  <c r="AF23" i="3" s="1"/>
  <c r="X23" i="3"/>
  <c r="P23" i="3" a="1"/>
  <c r="P23" i="3" s="1"/>
  <c r="I23" i="3"/>
  <c r="CV23" i="3" a="1"/>
  <c r="CV23" i="3" s="1"/>
  <c r="CM23" i="3"/>
  <c r="CF23" i="3"/>
  <c r="CH23" i="3" s="1"/>
  <c r="BX23" i="3" a="1"/>
  <c r="BX23" i="3" s="1"/>
  <c r="BQ23" i="3"/>
  <c r="BS23" i="3" s="1"/>
  <c r="DW23" i="3"/>
  <c r="DX23" i="3" s="1"/>
  <c r="EC23" i="3"/>
  <c r="ED23" i="3" s="1"/>
  <c r="DQ23" i="3"/>
  <c r="DR23" i="3" s="1"/>
  <c r="DH23" i="3" a="1"/>
  <c r="DH23" i="3" s="1"/>
  <c r="DI23" i="3" s="1"/>
  <c r="CA23" i="3"/>
  <c r="BL23" i="3" a="1"/>
  <c r="BL23" i="3" s="1"/>
  <c r="BC23" i="3"/>
  <c r="AV23" i="3"/>
  <c r="AH23" i="3" a="1"/>
  <c r="AH23" i="3" s="1"/>
  <c r="Y23" i="3"/>
  <c r="R23" i="3"/>
  <c r="T23" i="3" s="1"/>
  <c r="J23" i="3" a="1"/>
  <c r="J23" i="3" s="1"/>
  <c r="AJ23" i="3"/>
  <c r="AL23" i="3" s="1"/>
  <c r="AW23" i="3"/>
  <c r="DA23" i="3"/>
  <c r="EO25" i="3"/>
  <c r="EP25" i="3" s="1"/>
  <c r="DT25" i="3" a="1"/>
  <c r="DT25" i="3" s="1"/>
  <c r="DU25" i="3" s="1"/>
  <c r="DE25" i="3"/>
  <c r="DF25" i="3" s="1"/>
  <c r="CY25" i="3"/>
  <c r="CO25" i="3"/>
  <c r="CJ25" i="3" a="1"/>
  <c r="CJ25" i="3" s="1"/>
  <c r="BT25" i="3"/>
  <c r="BO25" i="3"/>
  <c r="BE25" i="3"/>
  <c r="BG25" i="3" s="1"/>
  <c r="AZ25" i="3" a="1"/>
  <c r="AZ25" i="3" s="1"/>
  <c r="AP25" i="3"/>
  <c r="AK25" i="3"/>
  <c r="AA25" i="3"/>
  <c r="V25" i="3" a="1"/>
  <c r="V25" i="3" s="1"/>
  <c r="F25" i="3"/>
  <c r="ER25" i="3" a="1"/>
  <c r="ER25" i="3" s="1"/>
  <c r="ES25" i="3" s="1"/>
  <c r="EI25" i="3"/>
  <c r="EJ25" i="3" s="1"/>
  <c r="DZ25" i="3" a="1"/>
  <c r="DZ25" i="3" s="1"/>
  <c r="EA25" i="3" s="1"/>
  <c r="DQ25" i="3"/>
  <c r="DR25" i="3" s="1"/>
  <c r="DA25" i="3"/>
  <c r="CU25" i="3"/>
  <c r="CW25" i="3" s="1"/>
  <c r="BI25" i="3"/>
  <c r="BC25" i="3"/>
  <c r="AW25" i="3"/>
  <c r="AX25" i="3" s="1"/>
  <c r="AE25" i="3"/>
  <c r="Y25" i="3"/>
  <c r="S25" i="3"/>
  <c r="M25" i="3"/>
  <c r="G25" i="3"/>
  <c r="DB25" i="3" a="1"/>
  <c r="DB25" i="3" s="1"/>
  <c r="CV25" i="3" a="1"/>
  <c r="CV25" i="3" s="1"/>
  <c r="CP25" i="3" a="1"/>
  <c r="CP25" i="3" s="1"/>
  <c r="CI25" i="3"/>
  <c r="CK25" i="3" s="1"/>
  <c r="CC25" i="3"/>
  <c r="CE25" i="3" s="1"/>
  <c r="BW25" i="3"/>
  <c r="BQ25" i="3"/>
  <c r="BK25" i="3"/>
  <c r="AM25" i="3"/>
  <c r="AO25" i="3" s="1"/>
  <c r="AG25" i="3"/>
  <c r="AI25" i="3" s="1"/>
  <c r="DN25" i="3" a="1"/>
  <c r="DN25" i="3" s="1"/>
  <c r="DO25" i="3" s="1"/>
  <c r="CG25" i="3"/>
  <c r="BN25" i="3"/>
  <c r="BP25" i="3" s="1"/>
  <c r="DW25" i="3"/>
  <c r="DX25" i="3" s="1"/>
  <c r="DH25" i="3" a="1"/>
  <c r="DH25" i="3" s="1"/>
  <c r="DI25" i="3" s="1"/>
  <c r="BZ25" i="3"/>
  <c r="CB25" i="3" s="1"/>
  <c r="BB25" i="3"/>
  <c r="BD25" i="3" s="1"/>
  <c r="AT25" i="3" a="1"/>
  <c r="AT25" i="3" s="1"/>
  <c r="AJ25" i="3"/>
  <c r="AL25" i="3" s="1"/>
  <c r="R25" i="3"/>
  <c r="J25" i="3" a="1"/>
  <c r="J25" i="3" s="1"/>
  <c r="EL25" i="3" a="1"/>
  <c r="EL25" i="3" s="1"/>
  <c r="EM25" i="3" s="1"/>
  <c r="CS25" i="3"/>
  <c r="BX25" i="3" a="1"/>
  <c r="BX25" i="3" s="1"/>
  <c r="AS25" i="3"/>
  <c r="AU25" i="3" s="1"/>
  <c r="AB25" i="3" a="1"/>
  <c r="AB25" i="3" s="1"/>
  <c r="I25" i="3"/>
  <c r="EX25" i="3" a="1"/>
  <c r="EX25" i="3" s="1"/>
  <c r="EY25" i="3" s="1"/>
  <c r="CR25" i="3"/>
  <c r="CT25" i="3" s="1"/>
  <c r="CF25" i="3"/>
  <c r="CH25" i="3" s="1"/>
  <c r="BU25" i="3"/>
  <c r="BL25" i="3" a="1"/>
  <c r="BL25" i="3" s="1"/>
  <c r="AQ25" i="3" a="1"/>
  <c r="AQ25" i="3" s="1"/>
  <c r="X25" i="3"/>
  <c r="Z25" i="3" s="1"/>
  <c r="P25" i="3" a="1"/>
  <c r="P25" i="3" s="1"/>
  <c r="EC25" i="3"/>
  <c r="ED25" i="3" s="1"/>
  <c r="DK25" i="3"/>
  <c r="DL25" i="3" s="1"/>
  <c r="CL25" i="3"/>
  <c r="CA25" i="3"/>
  <c r="BR25" i="3" a="1"/>
  <c r="BR25" i="3" s="1"/>
  <c r="BF25" i="3" a="1"/>
  <c r="BF25" i="3" s="1"/>
  <c r="AN25" i="3" a="1"/>
  <c r="AN25" i="3" s="1"/>
  <c r="U25" i="3"/>
  <c r="W25" i="3" s="1"/>
  <c r="AY25" i="3"/>
  <c r="BA25" i="3" s="1"/>
  <c r="EO13" i="3"/>
  <c r="EP13" i="3" s="1"/>
  <c r="DT13" i="3" a="1"/>
  <c r="DT13" i="3" s="1"/>
  <c r="DU13" i="3" s="1"/>
  <c r="DE13" i="3"/>
  <c r="DF13" i="3" s="1"/>
  <c r="CY13" i="3"/>
  <c r="CZ13" i="3" s="1"/>
  <c r="CO13" i="3"/>
  <c r="CQ13" i="3" s="1"/>
  <c r="CJ13" i="3" a="1"/>
  <c r="CJ13" i="3" s="1"/>
  <c r="BT13" i="3"/>
  <c r="BO13" i="3"/>
  <c r="BE13" i="3"/>
  <c r="AZ13" i="3" a="1"/>
  <c r="AZ13" i="3" s="1"/>
  <c r="AP13" i="3"/>
  <c r="AK13" i="3"/>
  <c r="AA13" i="3"/>
  <c r="V13" i="3" a="1"/>
  <c r="V13" i="3" s="1"/>
  <c r="F13" i="3"/>
  <c r="DB13" i="3" a="1"/>
  <c r="DB13" i="3" s="1"/>
  <c r="CV13" i="3" a="1"/>
  <c r="CV13" i="3" s="1"/>
  <c r="CP13" i="3" a="1"/>
  <c r="CP13" i="3" s="1"/>
  <c r="CI13" i="3"/>
  <c r="CC13" i="3"/>
  <c r="BW13" i="3"/>
  <c r="BY13" i="3" s="1"/>
  <c r="BQ13" i="3"/>
  <c r="BS13" i="3" s="1"/>
  <c r="BK13" i="3"/>
  <c r="BM13" i="3" s="1"/>
  <c r="AM13" i="3"/>
  <c r="AG13" i="3"/>
  <c r="EL13" i="3" a="1"/>
  <c r="EL13" i="3" s="1"/>
  <c r="EM13" i="3" s="1"/>
  <c r="EC13" i="3"/>
  <c r="ED13" i="3" s="1"/>
  <c r="DK13" i="3"/>
  <c r="DL13" i="3" s="1"/>
  <c r="CD13" i="3" a="1"/>
  <c r="CD13" i="3" s="1"/>
  <c r="BX13" i="3" a="1"/>
  <c r="BX13" i="3" s="1"/>
  <c r="BR13" i="3" a="1"/>
  <c r="BR13" i="3" s="1"/>
  <c r="BL13" i="3" a="1"/>
  <c r="BL13" i="3" s="1"/>
  <c r="BF13" i="3" a="1"/>
  <c r="BF13" i="3" s="1"/>
  <c r="AY13" i="3"/>
  <c r="BA13" i="3" s="1"/>
  <c r="AS13" i="3"/>
  <c r="AU13" i="3" s="1"/>
  <c r="AN13" i="3" a="1"/>
  <c r="AN13" i="3" s="1"/>
  <c r="AH13" i="3" a="1"/>
  <c r="AH13" i="3" s="1"/>
  <c r="AB13" i="3" a="1"/>
  <c r="AB13" i="3" s="1"/>
  <c r="U13" i="3"/>
  <c r="W13" i="3" s="1"/>
  <c r="O13" i="3"/>
  <c r="I13" i="3"/>
  <c r="M13" i="3"/>
  <c r="AE13" i="3"/>
  <c r="BZ13" i="3"/>
  <c r="CB13" i="3" s="1"/>
  <c r="CR13" i="3"/>
  <c r="CT13" i="3" s="1"/>
  <c r="DA13" i="3"/>
  <c r="DC13" i="3" s="1"/>
  <c r="AR14" i="3"/>
  <c r="P13" i="3" a="1"/>
  <c r="P13" i="3" s="1"/>
  <c r="AQ13" i="3" a="1"/>
  <c r="AQ13" i="3" s="1"/>
  <c r="H6" i="3"/>
  <c r="U6" i="3"/>
  <c r="W6" i="3" s="1"/>
  <c r="AA6" i="3"/>
  <c r="AG6" i="3"/>
  <c r="AM6" i="3"/>
  <c r="AO6" i="3" s="1"/>
  <c r="AY6" i="3"/>
  <c r="BA6" i="3" s="1"/>
  <c r="BE6" i="3"/>
  <c r="BG6" i="3" s="1"/>
  <c r="BK6" i="3"/>
  <c r="BM6" i="3" s="1"/>
  <c r="BQ6" i="3"/>
  <c r="BW6" i="3"/>
  <c r="CD6" i="3" a="1"/>
  <c r="CD6" i="3" s="1"/>
  <c r="CJ6" i="3" a="1"/>
  <c r="CJ6" i="3" s="1"/>
  <c r="CK6" i="3" s="1"/>
  <c r="CP6" i="3" a="1"/>
  <c r="CP6" i="3" s="1"/>
  <c r="CQ6" i="3" s="1"/>
  <c r="CV6" i="3" a="1"/>
  <c r="CV6" i="3" s="1"/>
  <c r="CW6" i="3" s="1"/>
  <c r="DB6" i="3" a="1"/>
  <c r="DB6" i="3" s="1"/>
  <c r="DC6" i="3" s="1"/>
  <c r="DK6" i="3"/>
  <c r="DL6" i="3" s="1"/>
  <c r="DT6" i="3" a="1"/>
  <c r="DT6" i="3" s="1"/>
  <c r="DU6" i="3" s="1"/>
  <c r="I7" i="3"/>
  <c r="O7" i="3"/>
  <c r="Q7" i="3" s="1"/>
  <c r="U7" i="3"/>
  <c r="W7" i="3" s="1"/>
  <c r="AA7" i="3"/>
  <c r="AC7" i="3" s="1"/>
  <c r="AH7" i="3" a="1"/>
  <c r="AH7" i="3" s="1"/>
  <c r="AN7" i="3" a="1"/>
  <c r="AN7" i="3" s="1"/>
  <c r="AO7" i="3" s="1"/>
  <c r="AS7" i="3"/>
  <c r="AU7" i="3" s="1"/>
  <c r="AY7" i="3"/>
  <c r="BA7" i="3" s="1"/>
  <c r="BE7" i="3"/>
  <c r="BG7" i="3" s="1"/>
  <c r="BL7" i="3" a="1"/>
  <c r="BL7" i="3" s="1"/>
  <c r="BR7" i="3" a="1"/>
  <c r="BR7" i="3" s="1"/>
  <c r="BS7" i="3" s="1"/>
  <c r="BX7" i="3" a="1"/>
  <c r="BX7" i="3" s="1"/>
  <c r="BY7" i="3" s="1"/>
  <c r="CD7" i="3" a="1"/>
  <c r="CD7" i="3" s="1"/>
  <c r="CE7" i="3" s="1"/>
  <c r="CJ7" i="3" a="1"/>
  <c r="CJ7" i="3" s="1"/>
  <c r="CK7" i="3" s="1"/>
  <c r="DK7" i="3"/>
  <c r="DL7" i="3" s="1"/>
  <c r="DT7" i="3" a="1"/>
  <c r="DT7" i="3" s="1"/>
  <c r="DU7" i="3" s="1"/>
  <c r="EC7" i="3"/>
  <c r="ED7" i="3" s="1"/>
  <c r="EL7" i="3" a="1"/>
  <c r="EL7" i="3" s="1"/>
  <c r="EM7" i="3" s="1"/>
  <c r="EL8" i="3" a="1"/>
  <c r="EL8" i="3" s="1"/>
  <c r="EM8" i="3" s="1"/>
  <c r="DW8" i="3"/>
  <c r="DX8" i="3" s="1"/>
  <c r="DB8" i="3" a="1"/>
  <c r="DB8" i="3" s="1"/>
  <c r="DC8" i="3" s="1"/>
  <c r="CL8" i="3"/>
  <c r="CN8" i="3" s="1"/>
  <c r="CG8" i="3"/>
  <c r="CH8" i="3" s="1"/>
  <c r="BW8" i="3"/>
  <c r="BY8" i="3" s="1"/>
  <c r="BR8" i="3" a="1"/>
  <c r="BR8" i="3" s="1"/>
  <c r="BB8" i="3"/>
  <c r="BD8" i="3" s="1"/>
  <c r="AW8" i="3"/>
  <c r="AX8" i="3" s="1"/>
  <c r="DT8" i="3" a="1"/>
  <c r="DT8" i="3" s="1"/>
  <c r="DU8" i="3" s="1"/>
  <c r="DK8" i="3"/>
  <c r="DL8" i="3" s="1"/>
  <c r="CV8" i="3" a="1"/>
  <c r="CV8" i="3" s="1"/>
  <c r="CW8" i="3" s="1"/>
  <c r="CP8" i="3" a="1"/>
  <c r="CP8" i="3" s="1"/>
  <c r="CQ8" i="3" s="1"/>
  <c r="CJ8" i="3" a="1"/>
  <c r="CJ8" i="3" s="1"/>
  <c r="CK8" i="3" s="1"/>
  <c r="CD8" i="3" a="1"/>
  <c r="CD8" i="3" s="1"/>
  <c r="CE8" i="3" s="1"/>
  <c r="BX8" i="3" a="1"/>
  <c r="BX8" i="3" s="1"/>
  <c r="BQ8" i="3"/>
  <c r="BK8" i="3"/>
  <c r="BM8" i="3" s="1"/>
  <c r="BE8" i="3"/>
  <c r="BG8" i="3" s="1"/>
  <c r="AY8" i="3"/>
  <c r="BA8" i="3" s="1"/>
  <c r="AS8" i="3"/>
  <c r="AU8" i="3" s="1"/>
  <c r="AD8" i="3"/>
  <c r="AF8" i="3" s="1"/>
  <c r="Y8" i="3"/>
  <c r="Z8" i="3" s="1"/>
  <c r="O8" i="3"/>
  <c r="J8" i="3" a="1"/>
  <c r="J8" i="3" s="1"/>
  <c r="I8" i="3"/>
  <c r="P8" i="3" a="1"/>
  <c r="P8" i="3" s="1"/>
  <c r="V8" i="3" a="1"/>
  <c r="V8" i="3" s="1"/>
  <c r="W8" i="3" s="1"/>
  <c r="AB8" i="3" a="1"/>
  <c r="AB8" i="3" s="1"/>
  <c r="AC8" i="3" s="1"/>
  <c r="AH8" i="3" a="1"/>
  <c r="AH8" i="3" s="1"/>
  <c r="AI8" i="3" s="1"/>
  <c r="AN8" i="3" a="1"/>
  <c r="AN8" i="3" s="1"/>
  <c r="AO8" i="3" s="1"/>
  <c r="AT8" i="3" a="1"/>
  <c r="AT8" i="3" s="1"/>
  <c r="BH8" i="3"/>
  <c r="BJ8" i="3" s="1"/>
  <c r="BO8" i="3"/>
  <c r="BP8" i="3" s="1"/>
  <c r="CS8" i="3"/>
  <c r="CT8" i="3" s="1"/>
  <c r="EF8" i="3" a="1"/>
  <c r="EF8" i="3" s="1"/>
  <c r="EG8" i="3" s="1"/>
  <c r="EO8" i="3"/>
  <c r="EP8" i="3" s="1"/>
  <c r="BJ9" i="3"/>
  <c r="BY9" i="3"/>
  <c r="DC9" i="3"/>
  <c r="AU10" i="3"/>
  <c r="AC12" i="3"/>
  <c r="G13" i="3"/>
  <c r="Y13" i="3"/>
  <c r="BI13" i="3"/>
  <c r="CL13" i="3"/>
  <c r="CN13" i="3" s="1"/>
  <c r="CU13" i="3"/>
  <c r="DQ13" i="3"/>
  <c r="DR13" i="3" s="1"/>
  <c r="EF13" i="3" a="1"/>
  <c r="EF13" i="3" s="1"/>
  <c r="EG13" i="3" s="1"/>
  <c r="ER13" i="3" a="1"/>
  <c r="ER13" i="3" s="1"/>
  <c r="ES13" i="3" s="1"/>
  <c r="N14" i="3"/>
  <c r="BA16" i="3"/>
  <c r="O17" i="3"/>
  <c r="AH17" i="3" a="1"/>
  <c r="AH17" i="3" s="1"/>
  <c r="AY17" i="3"/>
  <c r="BA17" i="3" s="1"/>
  <c r="BR17" i="3" a="1"/>
  <c r="BR17" i="3" s="1"/>
  <c r="BZ17" i="3"/>
  <c r="CB17" i="3" s="1"/>
  <c r="CR17" i="3"/>
  <c r="EC17" i="3"/>
  <c r="ED17" i="3" s="1"/>
  <c r="CZ18" i="3"/>
  <c r="M19" i="3"/>
  <c r="FA19" i="3" s="1"/>
  <c r="AE19" i="3"/>
  <c r="AW19" i="3"/>
  <c r="BZ19" i="3"/>
  <c r="CB19" i="3" s="1"/>
  <c r="CR19" i="3"/>
  <c r="CT19" i="3" s="1"/>
  <c r="DA19" i="3"/>
  <c r="DC19" i="3" s="1"/>
  <c r="DZ19" i="3" a="1"/>
  <c r="DZ19" i="3" s="1"/>
  <c r="EA19" i="3" s="1"/>
  <c r="DC20" i="3"/>
  <c r="CW21" i="3"/>
  <c r="O23" i="3"/>
  <c r="Q23" i="3" s="1"/>
  <c r="AM23" i="3"/>
  <c r="AO23" i="3" s="1"/>
  <c r="BH23" i="3"/>
  <c r="BJ23" i="3" s="1"/>
  <c r="BW23" i="3"/>
  <c r="CL23" i="3"/>
  <c r="CN23" i="3" s="1"/>
  <c r="DB23" i="3" a="1"/>
  <c r="DB23" i="3" s="1"/>
  <c r="AD25" i="3"/>
  <c r="AF25" i="3" s="1"/>
  <c r="CM25" i="3"/>
  <c r="AR10" i="3"/>
  <c r="CB10" i="3"/>
  <c r="CQ12" i="3"/>
  <c r="CT15" i="3"/>
  <c r="AR16" i="3"/>
  <c r="CB16" i="3"/>
  <c r="CQ18" i="3"/>
  <c r="CT21" i="3"/>
  <c r="CB22" i="3"/>
  <c r="AC24" i="3"/>
  <c r="AI24" i="3"/>
  <c r="T26" i="3"/>
  <c r="AR26" i="3"/>
  <c r="BD27" i="3"/>
  <c r="CZ27" i="3"/>
  <c r="H28" i="3"/>
  <c r="G29" i="3"/>
  <c r="AN29" i="3" a="1"/>
  <c r="AN29" i="3" s="1"/>
  <c r="DB29" i="3" a="1"/>
  <c r="DB29" i="3" s="1"/>
  <c r="DZ29" i="3" a="1"/>
  <c r="DZ29" i="3" s="1"/>
  <c r="EA29" i="3" s="1"/>
  <c r="P32" i="3" a="1"/>
  <c r="P32" i="3" s="1"/>
  <c r="AP32" i="3"/>
  <c r="K31" i="3"/>
  <c r="EX32" i="3" a="1"/>
  <c r="EX32" i="3" s="1"/>
  <c r="EY32" i="3" s="1"/>
  <c r="EI32" i="3"/>
  <c r="EJ32" i="3" s="1"/>
  <c r="DN32" i="3" a="1"/>
  <c r="DN32" i="3" s="1"/>
  <c r="DO32" i="3" s="1"/>
  <c r="CU32" i="3"/>
  <c r="CP32" i="3" a="1"/>
  <c r="CP32" i="3" s="1"/>
  <c r="BZ32" i="3"/>
  <c r="CB32" i="3" s="1"/>
  <c r="BU32" i="3"/>
  <c r="BK32" i="3"/>
  <c r="BM32" i="3" s="1"/>
  <c r="BF32" i="3" a="1"/>
  <c r="BF32" i="3" s="1"/>
  <c r="AQ32" i="3" a="1"/>
  <c r="AQ32" i="3" s="1"/>
  <c r="AG32" i="3"/>
  <c r="AI32" i="3" s="1"/>
  <c r="AB32" i="3" a="1"/>
  <c r="AB32" i="3" s="1"/>
  <c r="L32" i="3"/>
  <c r="G32" i="3"/>
  <c r="DB32" i="3" a="1"/>
  <c r="DB32" i="3" s="1"/>
  <c r="DC32" i="3" s="1"/>
  <c r="CV32" i="3" a="1"/>
  <c r="CV32" i="3" s="1"/>
  <c r="CO32" i="3"/>
  <c r="CQ32" i="3" s="1"/>
  <c r="CI32" i="3"/>
  <c r="CC32" i="3"/>
  <c r="BW32" i="3"/>
  <c r="BQ32" i="3"/>
  <c r="BS32" i="3" s="1"/>
  <c r="AM32" i="3"/>
  <c r="EL32" i="3" a="1"/>
  <c r="EL32" i="3" s="1"/>
  <c r="EM32" i="3" s="1"/>
  <c r="EC32" i="3"/>
  <c r="ED32" i="3" s="1"/>
  <c r="DT32" i="3" a="1"/>
  <c r="DT32" i="3" s="1"/>
  <c r="DU32" i="3" s="1"/>
  <c r="DK32" i="3"/>
  <c r="DL32" i="3" s="1"/>
  <c r="CJ32" i="3" a="1"/>
  <c r="CJ32" i="3" s="1"/>
  <c r="CD32" i="3" a="1"/>
  <c r="CD32" i="3" s="1"/>
  <c r="BX32" i="3" a="1"/>
  <c r="BX32" i="3" s="1"/>
  <c r="BR32" i="3" a="1"/>
  <c r="BR32" i="3" s="1"/>
  <c r="BL32" i="3" a="1"/>
  <c r="BL32" i="3" s="1"/>
  <c r="BE32" i="3"/>
  <c r="AY32" i="3"/>
  <c r="BA32" i="3" s="1"/>
  <c r="AS32" i="3"/>
  <c r="AN32" i="3" a="1"/>
  <c r="AN32" i="3" s="1"/>
  <c r="AH32" i="3" a="1"/>
  <c r="AH32" i="3" s="1"/>
  <c r="AA32" i="3"/>
  <c r="AC32" i="3" s="1"/>
  <c r="U32" i="3"/>
  <c r="O32" i="3"/>
  <c r="Q32" i="3" s="1"/>
  <c r="I32" i="3"/>
  <c r="EU32" i="3"/>
  <c r="EV32" i="3" s="1"/>
  <c r="DH32" i="3" a="1"/>
  <c r="DH32" i="3" s="1"/>
  <c r="DI32" i="3" s="1"/>
  <c r="CM32" i="3"/>
  <c r="BT32" i="3"/>
  <c r="BV32" i="3" s="1"/>
  <c r="BB32" i="3"/>
  <c r="AT32" i="3" a="1"/>
  <c r="AT32" i="3" s="1"/>
  <c r="AJ32" i="3"/>
  <c r="AL32" i="3" s="1"/>
  <c r="R32" i="3"/>
  <c r="T32" i="3" s="1"/>
  <c r="J32" i="3" a="1"/>
  <c r="J32" i="3" s="1"/>
  <c r="DW32" i="3"/>
  <c r="DX32" i="3" s="1"/>
  <c r="CX32" i="3"/>
  <c r="CZ32" i="3" s="1"/>
  <c r="CF32" i="3"/>
  <c r="CH32" i="3" s="1"/>
  <c r="BC32" i="3"/>
  <c r="AK32" i="3"/>
  <c r="S32" i="3"/>
  <c r="CY32" i="3"/>
  <c r="BH32" i="3"/>
  <c r="AV32" i="3"/>
  <c r="AX32" i="3" s="1"/>
  <c r="V32" i="3" a="1"/>
  <c r="V32" i="3" s="1"/>
  <c r="ER32" i="3" a="1"/>
  <c r="ER32" i="3" s="1"/>
  <c r="ES32" i="3" s="1"/>
  <c r="DZ32" i="3" a="1"/>
  <c r="DZ32" i="3" s="1"/>
  <c r="EA32" i="3" s="1"/>
  <c r="DE32" i="3"/>
  <c r="DF32" i="3" s="1"/>
  <c r="CR32" i="3"/>
  <c r="BO32" i="3"/>
  <c r="Y32" i="3"/>
  <c r="M32" i="3"/>
  <c r="EO32" i="3"/>
  <c r="EP32" i="3" s="1"/>
  <c r="AZ32" i="3" a="1"/>
  <c r="AZ32" i="3" s="1"/>
  <c r="AE32" i="3"/>
  <c r="EF32" i="3" a="1"/>
  <c r="EF32" i="3" s="1"/>
  <c r="EG32" i="3" s="1"/>
  <c r="BN32" i="3"/>
  <c r="BP32" i="3" s="1"/>
  <c r="X32" i="3"/>
  <c r="CG32" i="3"/>
  <c r="DQ32" i="3"/>
  <c r="DR32" i="3" s="1"/>
  <c r="CH36" i="3"/>
  <c r="CW37" i="3"/>
  <c r="BG24" i="3"/>
  <c r="EO29" i="3"/>
  <c r="EP29" i="3" s="1"/>
  <c r="DT29" i="3" a="1"/>
  <c r="DT29" i="3" s="1"/>
  <c r="DU29" i="3" s="1"/>
  <c r="DE29" i="3"/>
  <c r="DF29" i="3" s="1"/>
  <c r="CY29" i="3"/>
  <c r="CO29" i="3"/>
  <c r="CQ29" i="3" s="1"/>
  <c r="CJ29" i="3" a="1"/>
  <c r="CJ29" i="3" s="1"/>
  <c r="BT29" i="3"/>
  <c r="BV29" i="3" s="1"/>
  <c r="BO29" i="3"/>
  <c r="BE29" i="3"/>
  <c r="AZ29" i="3" a="1"/>
  <c r="AZ29" i="3" s="1"/>
  <c r="AP29" i="3"/>
  <c r="AK29" i="3"/>
  <c r="AA29" i="3"/>
  <c r="V29" i="3" a="1"/>
  <c r="V29" i="3" s="1"/>
  <c r="F29" i="3"/>
  <c r="EX29" i="3" a="1"/>
  <c r="EX29" i="3" s="1"/>
  <c r="EY29" i="3" s="1"/>
  <c r="EF29" i="3" a="1"/>
  <c r="EF29" i="3" s="1"/>
  <c r="EG29" i="3" s="1"/>
  <c r="DW29" i="3"/>
  <c r="DX29" i="3" s="1"/>
  <c r="CX29" i="3"/>
  <c r="CZ29" i="3" s="1"/>
  <c r="CR29" i="3"/>
  <c r="CL29" i="3"/>
  <c r="CN29" i="3" s="1"/>
  <c r="CF29" i="3"/>
  <c r="BZ29" i="3"/>
  <c r="DH29" i="3" a="1"/>
  <c r="DH29" i="3" s="1"/>
  <c r="DI29" i="3" s="1"/>
  <c r="CS29" i="3"/>
  <c r="CM29" i="3"/>
  <c r="CG29" i="3"/>
  <c r="CA29" i="3"/>
  <c r="BU29" i="3"/>
  <c r="BN29" i="3"/>
  <c r="BH29" i="3"/>
  <c r="BJ29" i="3" s="1"/>
  <c r="BB29" i="3"/>
  <c r="AV29" i="3"/>
  <c r="AQ29" i="3" a="1"/>
  <c r="AQ29" i="3" s="1"/>
  <c r="AJ29" i="3"/>
  <c r="AD29" i="3"/>
  <c r="X29" i="3"/>
  <c r="Z29" i="3" s="1"/>
  <c r="R29" i="3"/>
  <c r="T29" i="3" s="1"/>
  <c r="L29" i="3"/>
  <c r="N29" i="3" s="1"/>
  <c r="EI29" i="3"/>
  <c r="EJ29" i="3" s="1"/>
  <c r="CD29" i="3" a="1"/>
  <c r="CD29" i="3" s="1"/>
  <c r="BL29" i="3" a="1"/>
  <c r="BL29" i="3" s="1"/>
  <c r="BC29" i="3"/>
  <c r="AS29" i="3"/>
  <c r="AU29" i="3" s="1"/>
  <c r="AB29" i="3" a="1"/>
  <c r="AB29" i="3" s="1"/>
  <c r="S29" i="3"/>
  <c r="I29" i="3"/>
  <c r="ER29" i="3" a="1"/>
  <c r="ER29" i="3" s="1"/>
  <c r="ES29" i="3" s="1"/>
  <c r="DK29" i="3"/>
  <c r="DL29" i="3" s="1"/>
  <c r="BQ29" i="3"/>
  <c r="BS29" i="3" s="1"/>
  <c r="BF29" i="3" a="1"/>
  <c r="BF29" i="3" s="1"/>
  <c r="AT29" i="3" a="1"/>
  <c r="AT29" i="3" s="1"/>
  <c r="Y29" i="3"/>
  <c r="EL29" i="3" a="1"/>
  <c r="EL29" i="3" s="1"/>
  <c r="EM29" i="3" s="1"/>
  <c r="CU29" i="3"/>
  <c r="CW29" i="3" s="1"/>
  <c r="CI29" i="3"/>
  <c r="CK29" i="3" s="1"/>
  <c r="BX29" i="3" a="1"/>
  <c r="BX29" i="3" s="1"/>
  <c r="BY29" i="3" s="1"/>
  <c r="AG29" i="3"/>
  <c r="U29" i="3"/>
  <c r="J29" i="3" a="1"/>
  <c r="J29" i="3" s="1"/>
  <c r="O29" i="3"/>
  <c r="AE29" i="3"/>
  <c r="AW29" i="3"/>
  <c r="BK29" i="3"/>
  <c r="CC29" i="3"/>
  <c r="CE29" i="3" s="1"/>
  <c r="DN29" i="3" a="1"/>
  <c r="DN29" i="3" s="1"/>
  <c r="DO29" i="3" s="1"/>
  <c r="AO30" i="3"/>
  <c r="AD32" i="3"/>
  <c r="AF32" i="3" s="1"/>
  <c r="CL32" i="3"/>
  <c r="CN32" i="3" s="1"/>
  <c r="CH24" i="3"/>
  <c r="P29" i="3" a="1"/>
  <c r="P29" i="3" s="1"/>
  <c r="AH29" i="3" a="1"/>
  <c r="AH29" i="3" s="1"/>
  <c r="CV29" i="3" a="1"/>
  <c r="CV29" i="3" s="1"/>
  <c r="DQ29" i="3"/>
  <c r="DR29" i="3" s="1"/>
  <c r="BI32" i="3"/>
  <c r="CS32" i="3"/>
  <c r="CT34" i="3"/>
  <c r="EO9" i="3"/>
  <c r="EP9" i="3" s="1"/>
  <c r="DT9" i="3" a="1"/>
  <c r="DT9" i="3" s="1"/>
  <c r="DU9" i="3" s="1"/>
  <c r="DE9" i="3"/>
  <c r="DF9" i="3" s="1"/>
  <c r="CY9" i="3"/>
  <c r="CZ9" i="3" s="1"/>
  <c r="CO9" i="3"/>
  <c r="CQ9" i="3" s="1"/>
  <c r="CJ9" i="3" a="1"/>
  <c r="CJ9" i="3" s="1"/>
  <c r="BT9" i="3"/>
  <c r="BV9" i="3" s="1"/>
  <c r="BO9" i="3"/>
  <c r="BP9" i="3" s="1"/>
  <c r="BE9" i="3"/>
  <c r="BG9" i="3" s="1"/>
  <c r="AZ9" i="3" a="1"/>
  <c r="AZ9" i="3" s="1"/>
  <c r="BA9" i="3" s="1"/>
  <c r="AP9" i="3"/>
  <c r="AK9" i="3"/>
  <c r="AA9" i="3"/>
  <c r="AC9" i="3" s="1"/>
  <c r="V9" i="3" a="1"/>
  <c r="V9" i="3" s="1"/>
  <c r="W9" i="3" s="1"/>
  <c r="F9" i="3"/>
  <c r="J9" i="3" a="1"/>
  <c r="J9" i="3" s="1"/>
  <c r="FD9" i="3" s="1"/>
  <c r="P9" i="3" a="1"/>
  <c r="P9" i="3" s="1"/>
  <c r="Q9" i="3" s="1"/>
  <c r="AT9" i="3" a="1"/>
  <c r="AT9" i="3" s="1"/>
  <c r="AU9" i="3" s="1"/>
  <c r="DN9" i="3" a="1"/>
  <c r="DN9" i="3" s="1"/>
  <c r="DO9" i="3" s="1"/>
  <c r="EU9" i="3"/>
  <c r="EV9" i="3" s="1"/>
  <c r="N12" i="3"/>
  <c r="AC14" i="3"/>
  <c r="BG14" i="3"/>
  <c r="EO15" i="3"/>
  <c r="EP15" i="3" s="1"/>
  <c r="DT15" i="3" a="1"/>
  <c r="DT15" i="3" s="1"/>
  <c r="DU15" i="3" s="1"/>
  <c r="DE15" i="3"/>
  <c r="DF15" i="3" s="1"/>
  <c r="CY15" i="3"/>
  <c r="CZ15" i="3" s="1"/>
  <c r="CO15" i="3"/>
  <c r="CQ15" i="3" s="1"/>
  <c r="CJ15" i="3" a="1"/>
  <c r="CJ15" i="3" s="1"/>
  <c r="BT15" i="3"/>
  <c r="BV15" i="3" s="1"/>
  <c r="BO15" i="3"/>
  <c r="BP15" i="3" s="1"/>
  <c r="BE15" i="3"/>
  <c r="BG15" i="3" s="1"/>
  <c r="AZ15" i="3" a="1"/>
  <c r="AZ15" i="3" s="1"/>
  <c r="BA15" i="3" s="1"/>
  <c r="AP15" i="3"/>
  <c r="AR15" i="3" s="1"/>
  <c r="AK15" i="3"/>
  <c r="AA15" i="3"/>
  <c r="AC15" i="3" s="1"/>
  <c r="V15" i="3" a="1"/>
  <c r="V15" i="3" s="1"/>
  <c r="W15" i="3" s="1"/>
  <c r="F15" i="3"/>
  <c r="J15" i="3" a="1"/>
  <c r="J15" i="3" s="1"/>
  <c r="K15" i="3" s="1"/>
  <c r="P15" i="3" a="1"/>
  <c r="P15" i="3" s="1"/>
  <c r="Q15" i="3" s="1"/>
  <c r="AT15" i="3" a="1"/>
  <c r="AT15" i="3" s="1"/>
  <c r="AU15" i="3" s="1"/>
  <c r="DN15" i="3" a="1"/>
  <c r="DN15" i="3" s="1"/>
  <c r="DO15" i="3" s="1"/>
  <c r="EU15" i="3"/>
  <c r="EV15" i="3" s="1"/>
  <c r="N18" i="3"/>
  <c r="AC20" i="3"/>
  <c r="BG20" i="3"/>
  <c r="EO21" i="3"/>
  <c r="EP21" i="3" s="1"/>
  <c r="DT21" i="3" a="1"/>
  <c r="DT21" i="3" s="1"/>
  <c r="DU21" i="3" s="1"/>
  <c r="DE21" i="3"/>
  <c r="DF21" i="3" s="1"/>
  <c r="CY21" i="3"/>
  <c r="CZ21" i="3" s="1"/>
  <c r="CO21" i="3"/>
  <c r="CQ21" i="3" s="1"/>
  <c r="CJ21" i="3" a="1"/>
  <c r="CJ21" i="3" s="1"/>
  <c r="CK21" i="3" s="1"/>
  <c r="BT21" i="3"/>
  <c r="BV21" i="3" s="1"/>
  <c r="BO21" i="3"/>
  <c r="BP21" i="3" s="1"/>
  <c r="BE21" i="3"/>
  <c r="BG21" i="3" s="1"/>
  <c r="AZ21" i="3" a="1"/>
  <c r="AZ21" i="3" s="1"/>
  <c r="BA21" i="3" s="1"/>
  <c r="AP21" i="3"/>
  <c r="AR21" i="3" s="1"/>
  <c r="AK21" i="3"/>
  <c r="AL21" i="3" s="1"/>
  <c r="AA21" i="3"/>
  <c r="AC21" i="3" s="1"/>
  <c r="V21" i="3" a="1"/>
  <c r="V21" i="3" s="1"/>
  <c r="W21" i="3" s="1"/>
  <c r="F21" i="3"/>
  <c r="J21" i="3" a="1"/>
  <c r="J21" i="3" s="1"/>
  <c r="K21" i="3" s="1"/>
  <c r="P21" i="3" a="1"/>
  <c r="P21" i="3" s="1"/>
  <c r="Q21" i="3" s="1"/>
  <c r="AT21" i="3" a="1"/>
  <c r="AT21" i="3" s="1"/>
  <c r="AU21" i="3" s="1"/>
  <c r="DN21" i="3" a="1"/>
  <c r="DN21" i="3" s="1"/>
  <c r="DO21" i="3" s="1"/>
  <c r="EU21" i="3"/>
  <c r="EV21" i="3" s="1"/>
  <c r="BG22" i="3"/>
  <c r="BM22" i="3"/>
  <c r="N24" i="3"/>
  <c r="CQ24" i="3"/>
  <c r="CW24" i="3"/>
  <c r="CB26" i="3"/>
  <c r="CE27" i="3"/>
  <c r="N28" i="3"/>
  <c r="AM29" i="3"/>
  <c r="AO29" i="3" s="1"/>
  <c r="AY29" i="3"/>
  <c r="BA29" i="3" s="1"/>
  <c r="BR29" i="3" a="1"/>
  <c r="BR29" i="3" s="1"/>
  <c r="DA29" i="3"/>
  <c r="F32" i="3"/>
  <c r="BM41" i="3"/>
  <c r="AF26" i="3"/>
  <c r="BP26" i="3"/>
  <c r="AF27" i="3"/>
  <c r="AI30" i="3"/>
  <c r="CE33" i="3"/>
  <c r="K34" i="3"/>
  <c r="AO34" i="3"/>
  <c r="DC34" i="3"/>
  <c r="ER35" i="3" a="1"/>
  <c r="ER35" i="3" s="1"/>
  <c r="ES35" i="3" s="1"/>
  <c r="EC35" i="3"/>
  <c r="ED35" i="3" s="1"/>
  <c r="DH35" i="3" a="1"/>
  <c r="DH35" i="3" s="1"/>
  <c r="DI35" i="3" s="1"/>
  <c r="DA35" i="3"/>
  <c r="CV35" i="3" a="1"/>
  <c r="CV35" i="3" s="1"/>
  <c r="CF35" i="3"/>
  <c r="CH35" i="3" s="1"/>
  <c r="CA35" i="3"/>
  <c r="BQ35" i="3"/>
  <c r="BS35" i="3" s="1"/>
  <c r="BL35" i="3" a="1"/>
  <c r="BL35" i="3" s="1"/>
  <c r="AV35" i="3"/>
  <c r="AM35" i="3"/>
  <c r="AH35" i="3" a="1"/>
  <c r="AH35" i="3" s="1"/>
  <c r="R35" i="3"/>
  <c r="T35" i="3" s="1"/>
  <c r="M35" i="3"/>
  <c r="DZ35" i="3" a="1"/>
  <c r="DZ35" i="3" s="1"/>
  <c r="EA35" i="3" s="1"/>
  <c r="DQ35" i="3"/>
  <c r="DR35" i="3" s="1"/>
  <c r="BU35" i="3"/>
  <c r="BO35" i="3"/>
  <c r="BI35" i="3"/>
  <c r="BJ35" i="3" s="1"/>
  <c r="BC35" i="3"/>
  <c r="AW35" i="3"/>
  <c r="AQ35" i="3" a="1"/>
  <c r="AQ35" i="3" s="1"/>
  <c r="AK35" i="3"/>
  <c r="AE35" i="3"/>
  <c r="Y35" i="3"/>
  <c r="S35" i="3"/>
  <c r="L35" i="3"/>
  <c r="N35" i="3" s="1"/>
  <c r="F35" i="3"/>
  <c r="EU35" i="3"/>
  <c r="EV35" i="3" s="1"/>
  <c r="EL35" i="3" a="1"/>
  <c r="EL35" i="3" s="1"/>
  <c r="EM35" i="3" s="1"/>
  <c r="DE35" i="3"/>
  <c r="DF35" i="3" s="1"/>
  <c r="CP35" i="3" a="1"/>
  <c r="CP35" i="3" s="1"/>
  <c r="CI35" i="3"/>
  <c r="CK35" i="3" s="1"/>
  <c r="BZ35" i="3"/>
  <c r="BE35" i="3"/>
  <c r="AP35" i="3"/>
  <c r="AB35" i="3" a="1"/>
  <c r="AB35" i="3" s="1"/>
  <c r="U35" i="3"/>
  <c r="W35" i="3" s="1"/>
  <c r="CX35" i="3"/>
  <c r="CZ35" i="3" s="1"/>
  <c r="CJ35" i="3" a="1"/>
  <c r="CJ35" i="3" s="1"/>
  <c r="CC35" i="3"/>
  <c r="BT35" i="3"/>
  <c r="BV35" i="3" s="1"/>
  <c r="BF35" i="3" a="1"/>
  <c r="BF35" i="3" s="1"/>
  <c r="AY35" i="3"/>
  <c r="BA35" i="3" s="1"/>
  <c r="AJ35" i="3"/>
  <c r="AL35" i="3" s="1"/>
  <c r="V35" i="3" a="1"/>
  <c r="V35" i="3" s="1"/>
  <c r="O35" i="3"/>
  <c r="Q35" i="3" s="1"/>
  <c r="G35" i="3"/>
  <c r="EX35" i="3" a="1"/>
  <c r="EX35" i="3" s="1"/>
  <c r="EY35" i="3" s="1"/>
  <c r="DT35" i="3" a="1"/>
  <c r="DT35" i="3" s="1"/>
  <c r="DU35" i="3" s="1"/>
  <c r="CR35" i="3"/>
  <c r="BW35" i="3"/>
  <c r="AZ35" i="3" a="1"/>
  <c r="AZ35" i="3" s="1"/>
  <c r="AD35" i="3"/>
  <c r="AF35" i="3" s="1"/>
  <c r="I35" i="3"/>
  <c r="EI35" i="3"/>
  <c r="EJ35" i="3" s="1"/>
  <c r="CS35" i="3"/>
  <c r="CG35" i="3"/>
  <c r="BX35" i="3" a="1"/>
  <c r="BX35" i="3" s="1"/>
  <c r="BK35" i="3"/>
  <c r="J35" i="3" a="1"/>
  <c r="J35" i="3" s="1"/>
  <c r="DB35" i="3" a="1"/>
  <c r="DB35" i="3" s="1"/>
  <c r="CL35" i="3"/>
  <c r="CN35" i="3" s="1"/>
  <c r="AN35" i="3" a="1"/>
  <c r="AN35" i="3" s="1"/>
  <c r="X35" i="3"/>
  <c r="CU35" i="3"/>
  <c r="CW35" i="3" s="1"/>
  <c r="CD35" i="3" a="1"/>
  <c r="CD35" i="3" s="1"/>
  <c r="BN35" i="3"/>
  <c r="BP35" i="3" s="1"/>
  <c r="AG35" i="3"/>
  <c r="AI35" i="3" s="1"/>
  <c r="P35" i="3" a="1"/>
  <c r="P35" i="3" s="1"/>
  <c r="AT35" i="3" a="1"/>
  <c r="AT35" i="3" s="1"/>
  <c r="AU35" i="3" s="1"/>
  <c r="BR35" i="3" a="1"/>
  <c r="BR35" i="3" s="1"/>
  <c r="CO35" i="3"/>
  <c r="CQ35" i="3" s="1"/>
  <c r="DW35" i="3"/>
  <c r="DX35" i="3" s="1"/>
  <c r="BS38" i="3"/>
  <c r="W30" i="3"/>
  <c r="BA30" i="3"/>
  <c r="CH30" i="3"/>
  <c r="BV31" i="3"/>
  <c r="BM34" i="3"/>
  <c r="AC35" i="3"/>
  <c r="BD35" i="3"/>
  <c r="AO38" i="3"/>
  <c r="CB28" i="3"/>
  <c r="CK28" i="3"/>
  <c r="Q30" i="3"/>
  <c r="AR31" i="3"/>
  <c r="CB31" i="3"/>
  <c r="K36" i="3"/>
  <c r="Q37" i="3"/>
  <c r="EU38" i="3"/>
  <c r="EV38" i="3" s="1"/>
  <c r="DZ38" i="3" a="1"/>
  <c r="DZ38" i="3" s="1"/>
  <c r="EA38" i="3" s="1"/>
  <c r="DK38" i="3"/>
  <c r="DL38" i="3" s="1"/>
  <c r="CX38" i="3"/>
  <c r="CS38" i="3"/>
  <c r="CI38" i="3"/>
  <c r="CK38" i="3" s="1"/>
  <c r="CD38" i="3" a="1"/>
  <c r="CD38" i="3" s="1"/>
  <c r="BN38" i="3"/>
  <c r="BP38" i="3" s="1"/>
  <c r="BI38" i="3"/>
  <c r="AY38" i="3"/>
  <c r="AT38" i="3" a="1"/>
  <c r="AT38" i="3" s="1"/>
  <c r="AJ38" i="3"/>
  <c r="AL38" i="3" s="1"/>
  <c r="AE38" i="3"/>
  <c r="U38" i="3"/>
  <c r="W38" i="3" s="1"/>
  <c r="P38" i="3" a="1"/>
  <c r="P38" i="3" s="1"/>
  <c r="Q38" i="3" s="1"/>
  <c r="EO38" i="3"/>
  <c r="EP38" i="3" s="1"/>
  <c r="DT38" i="3" a="1"/>
  <c r="DT38" i="3" s="1"/>
  <c r="DU38" i="3" s="1"/>
  <c r="DE38" i="3"/>
  <c r="DF38" i="3" s="1"/>
  <c r="CY38" i="3"/>
  <c r="CO38" i="3"/>
  <c r="CQ38" i="3" s="1"/>
  <c r="CJ38" i="3" a="1"/>
  <c r="CJ38" i="3" s="1"/>
  <c r="BT38" i="3"/>
  <c r="BO38" i="3"/>
  <c r="BE38" i="3"/>
  <c r="AZ38" i="3" a="1"/>
  <c r="AZ38" i="3" s="1"/>
  <c r="AP38" i="3"/>
  <c r="AK38" i="3"/>
  <c r="AA38" i="3"/>
  <c r="V38" i="3" a="1"/>
  <c r="V38" i="3" s="1"/>
  <c r="F38" i="3"/>
  <c r="EX38" i="3" a="1"/>
  <c r="EX38" i="3" s="1"/>
  <c r="EY38" i="3" s="1"/>
  <c r="EL38" i="3" a="1"/>
  <c r="EL38" i="3" s="1"/>
  <c r="EM38" i="3" s="1"/>
  <c r="CP38" i="3" a="1"/>
  <c r="CP38" i="3" s="1"/>
  <c r="CG38" i="3"/>
  <c r="CH38" i="3" s="1"/>
  <c r="BZ38" i="3"/>
  <c r="CB38" i="3" s="1"/>
  <c r="BR38" i="3" a="1"/>
  <c r="BR38" i="3" s="1"/>
  <c r="BK38" i="3"/>
  <c r="BM38" i="3" s="1"/>
  <c r="BB38" i="3"/>
  <c r="BD38" i="3" s="1"/>
  <c r="AN38" i="3" a="1"/>
  <c r="AN38" i="3" s="1"/>
  <c r="AG38" i="3"/>
  <c r="X38" i="3"/>
  <c r="Z38" i="3" s="1"/>
  <c r="I38" i="3"/>
  <c r="BU38" i="3"/>
  <c r="BF38" i="3" a="1"/>
  <c r="BF38" i="3" s="1"/>
  <c r="AW38" i="3"/>
  <c r="AQ38" i="3" a="1"/>
  <c r="AQ38" i="3" s="1"/>
  <c r="AB38" i="3" a="1"/>
  <c r="AB38" i="3" s="1"/>
  <c r="S38" i="3"/>
  <c r="L38" i="3"/>
  <c r="N38" i="3" s="1"/>
  <c r="DW38" i="3"/>
  <c r="DX38" i="3" s="1"/>
  <c r="DH38" i="3" a="1"/>
  <c r="DH38" i="3" s="1"/>
  <c r="DI38" i="3" s="1"/>
  <c r="CU38" i="3"/>
  <c r="BW38" i="3"/>
  <c r="BL38" i="3" a="1"/>
  <c r="BL38" i="3" s="1"/>
  <c r="R38" i="3"/>
  <c r="T38" i="3" s="1"/>
  <c r="G38" i="3"/>
  <c r="ER38" i="3" a="1"/>
  <c r="ER38" i="3" s="1"/>
  <c r="ES38" i="3" s="1"/>
  <c r="CV38" i="3" a="1"/>
  <c r="CV38" i="3" s="1"/>
  <c r="BX38" i="3" a="1"/>
  <c r="BX38" i="3" s="1"/>
  <c r="AD38" i="3"/>
  <c r="CR38" i="3"/>
  <c r="CT38" i="3" s="1"/>
  <c r="CC38" i="3"/>
  <c r="CE38" i="3" s="1"/>
  <c r="BH38" i="3"/>
  <c r="BJ38" i="3" s="1"/>
  <c r="AS38" i="3"/>
  <c r="M38" i="3"/>
  <c r="DQ38" i="3"/>
  <c r="DR38" i="3" s="1"/>
  <c r="AV38" i="3"/>
  <c r="AX38" i="3" s="1"/>
  <c r="AH38" i="3" a="1"/>
  <c r="AH38" i="3" s="1"/>
  <c r="DA38" i="3"/>
  <c r="DC38" i="3" s="1"/>
  <c r="EF38" i="3" a="1"/>
  <c r="EF38" i="3" s="1"/>
  <c r="EG38" i="3" s="1"/>
  <c r="AO44" i="3"/>
  <c r="CW33" i="3"/>
  <c r="CN38" i="3"/>
  <c r="AI41" i="3"/>
  <c r="BY41" i="3"/>
  <c r="BS43" i="3"/>
  <c r="AC26" i="3"/>
  <c r="BG26" i="3"/>
  <c r="EO27" i="3"/>
  <c r="EP27" i="3" s="1"/>
  <c r="DT27" i="3" a="1"/>
  <c r="DT27" i="3" s="1"/>
  <c r="DU27" i="3" s="1"/>
  <c r="DE27" i="3"/>
  <c r="DF27" i="3" s="1"/>
  <c r="CY27" i="3"/>
  <c r="CO27" i="3"/>
  <c r="CQ27" i="3" s="1"/>
  <c r="CJ27" i="3" a="1"/>
  <c r="CJ27" i="3" s="1"/>
  <c r="CK27" i="3" s="1"/>
  <c r="BT27" i="3"/>
  <c r="BV27" i="3" s="1"/>
  <c r="BO27" i="3"/>
  <c r="BP27" i="3" s="1"/>
  <c r="BE27" i="3"/>
  <c r="AZ27" i="3" a="1"/>
  <c r="AZ27" i="3" s="1"/>
  <c r="AP27" i="3"/>
  <c r="AR27" i="3" s="1"/>
  <c r="AK27" i="3"/>
  <c r="AL27" i="3" s="1"/>
  <c r="AA27" i="3"/>
  <c r="AC27" i="3" s="1"/>
  <c r="V27" i="3" a="1"/>
  <c r="V27" i="3" s="1"/>
  <c r="F27" i="3"/>
  <c r="J27" i="3" a="1"/>
  <c r="J27" i="3" s="1"/>
  <c r="P27" i="3" a="1"/>
  <c r="P27" i="3" s="1"/>
  <c r="AT27" i="3" a="1"/>
  <c r="AT27" i="3" s="1"/>
  <c r="DN27" i="3" a="1"/>
  <c r="DN27" i="3" s="1"/>
  <c r="DO27" i="3" s="1"/>
  <c r="EU27" i="3"/>
  <c r="EV27" i="3" s="1"/>
  <c r="N30" i="3"/>
  <c r="AX31" i="3"/>
  <c r="BY33" i="3"/>
  <c r="BS34" i="3"/>
  <c r="BK36" i="3"/>
  <c r="BM36" i="3" s="1"/>
  <c r="BW36" i="3"/>
  <c r="BY36" i="3" s="1"/>
  <c r="AC39" i="3"/>
  <c r="BA39" i="3"/>
  <c r="CE39" i="3"/>
  <c r="H40" i="3"/>
  <c r="CH40" i="3"/>
  <c r="CH41" i="3"/>
  <c r="CH44" i="3"/>
  <c r="BS47" i="3"/>
  <c r="AO41" i="3"/>
  <c r="T42" i="3"/>
  <c r="I10" i="3"/>
  <c r="S10" i="3"/>
  <c r="FA10" i="3" s="1"/>
  <c r="X10" i="3"/>
  <c r="Z10" i="3" s="1"/>
  <c r="AN10" i="3" a="1"/>
  <c r="AN10" i="3" s="1"/>
  <c r="FD10" i="3" s="1"/>
  <c r="AW10" i="3"/>
  <c r="AX10" i="3" s="1"/>
  <c r="BB10" i="3"/>
  <c r="BD10" i="3" s="1"/>
  <c r="BR10" i="3" a="1"/>
  <c r="BR10" i="3" s="1"/>
  <c r="BS10" i="3" s="1"/>
  <c r="BW10" i="3"/>
  <c r="BY10" i="3" s="1"/>
  <c r="CG10" i="3"/>
  <c r="CH10" i="3" s="1"/>
  <c r="CL10" i="3"/>
  <c r="CN10" i="3" s="1"/>
  <c r="DB10" i="3" a="1"/>
  <c r="DB10" i="3" s="1"/>
  <c r="DC10" i="3" s="1"/>
  <c r="DW10" i="3"/>
  <c r="DX10" i="3" s="1"/>
  <c r="I12" i="3"/>
  <c r="S12" i="3"/>
  <c r="X12" i="3"/>
  <c r="AN12" i="3" a="1"/>
  <c r="AN12" i="3" s="1"/>
  <c r="FD12" i="3" s="1"/>
  <c r="AW12" i="3"/>
  <c r="AX12" i="3" s="1"/>
  <c r="BB12" i="3"/>
  <c r="BD12" i="3" s="1"/>
  <c r="BR12" i="3" a="1"/>
  <c r="BR12" i="3" s="1"/>
  <c r="BS12" i="3" s="1"/>
  <c r="BW12" i="3"/>
  <c r="BY12" i="3" s="1"/>
  <c r="CG12" i="3"/>
  <c r="CH12" i="3" s="1"/>
  <c r="CL12" i="3"/>
  <c r="CN12" i="3" s="1"/>
  <c r="DB12" i="3" a="1"/>
  <c r="DB12" i="3" s="1"/>
  <c r="DC12" i="3" s="1"/>
  <c r="DW12" i="3"/>
  <c r="DX12" i="3" s="1"/>
  <c r="I14" i="3"/>
  <c r="S14" i="3"/>
  <c r="T14" i="3" s="1"/>
  <c r="X14" i="3"/>
  <c r="AN14" i="3" a="1"/>
  <c r="AN14" i="3" s="1"/>
  <c r="AO14" i="3" s="1"/>
  <c r="AW14" i="3"/>
  <c r="AX14" i="3" s="1"/>
  <c r="BB14" i="3"/>
  <c r="BD14" i="3" s="1"/>
  <c r="BR14" i="3" a="1"/>
  <c r="BR14" i="3" s="1"/>
  <c r="BS14" i="3" s="1"/>
  <c r="BW14" i="3"/>
  <c r="BY14" i="3" s="1"/>
  <c r="CG14" i="3"/>
  <c r="CH14" i="3" s="1"/>
  <c r="CL14" i="3"/>
  <c r="CN14" i="3" s="1"/>
  <c r="DB14" i="3" a="1"/>
  <c r="DB14" i="3" s="1"/>
  <c r="DC14" i="3" s="1"/>
  <c r="DW14" i="3"/>
  <c r="DX14" i="3" s="1"/>
  <c r="I16" i="3"/>
  <c r="S16" i="3"/>
  <c r="FA16" i="3" s="1"/>
  <c r="X16" i="3"/>
  <c r="Z16" i="3" s="1"/>
  <c r="AN16" i="3" a="1"/>
  <c r="AN16" i="3" s="1"/>
  <c r="AO16" i="3" s="1"/>
  <c r="AW16" i="3"/>
  <c r="AX16" i="3" s="1"/>
  <c r="BB16" i="3"/>
  <c r="BD16" i="3" s="1"/>
  <c r="BR16" i="3" a="1"/>
  <c r="BR16" i="3" s="1"/>
  <c r="BS16" i="3" s="1"/>
  <c r="BW16" i="3"/>
  <c r="BY16" i="3" s="1"/>
  <c r="CG16" i="3"/>
  <c r="CH16" i="3" s="1"/>
  <c r="CL16" i="3"/>
  <c r="CN16" i="3" s="1"/>
  <c r="DB16" i="3" a="1"/>
  <c r="DB16" i="3" s="1"/>
  <c r="DC16" i="3" s="1"/>
  <c r="DW16" i="3"/>
  <c r="DX16" i="3" s="1"/>
  <c r="I18" i="3"/>
  <c r="S18" i="3"/>
  <c r="X18" i="3"/>
  <c r="AN18" i="3" a="1"/>
  <c r="AN18" i="3" s="1"/>
  <c r="AO18" i="3" s="1"/>
  <c r="AW18" i="3"/>
  <c r="AX18" i="3" s="1"/>
  <c r="BB18" i="3"/>
  <c r="BD18" i="3" s="1"/>
  <c r="BR18" i="3" a="1"/>
  <c r="BR18" i="3" s="1"/>
  <c r="BS18" i="3" s="1"/>
  <c r="BW18" i="3"/>
  <c r="BY18" i="3" s="1"/>
  <c r="CG18" i="3"/>
  <c r="CH18" i="3" s="1"/>
  <c r="CL18" i="3"/>
  <c r="CN18" i="3" s="1"/>
  <c r="DB18" i="3" a="1"/>
  <c r="DB18" i="3" s="1"/>
  <c r="DC18" i="3" s="1"/>
  <c r="DW18" i="3"/>
  <c r="DX18" i="3" s="1"/>
  <c r="I20" i="3"/>
  <c r="S20" i="3"/>
  <c r="T20" i="3" s="1"/>
  <c r="X20" i="3"/>
  <c r="Z20" i="3" s="1"/>
  <c r="AN20" i="3" a="1"/>
  <c r="AN20" i="3" s="1"/>
  <c r="AW20" i="3"/>
  <c r="AX20" i="3" s="1"/>
  <c r="BB20" i="3"/>
  <c r="BD20" i="3" s="1"/>
  <c r="BR20" i="3" a="1"/>
  <c r="BR20" i="3" s="1"/>
  <c r="BS20" i="3" s="1"/>
  <c r="BW20" i="3"/>
  <c r="BY20" i="3" s="1"/>
  <c r="CG20" i="3"/>
  <c r="CH20" i="3" s="1"/>
  <c r="CL20" i="3"/>
  <c r="CN20" i="3" s="1"/>
  <c r="DB20" i="3" a="1"/>
  <c r="DB20" i="3" s="1"/>
  <c r="DW20" i="3"/>
  <c r="DX20" i="3" s="1"/>
  <c r="I22" i="3"/>
  <c r="S22" i="3"/>
  <c r="FA22" i="3" s="1"/>
  <c r="X22" i="3"/>
  <c r="Z22" i="3" s="1"/>
  <c r="AN22" i="3" a="1"/>
  <c r="AN22" i="3" s="1"/>
  <c r="AO22" i="3" s="1"/>
  <c r="AW22" i="3"/>
  <c r="BB22" i="3"/>
  <c r="BD22" i="3" s="1"/>
  <c r="BR22" i="3" a="1"/>
  <c r="BR22" i="3" s="1"/>
  <c r="BS22" i="3" s="1"/>
  <c r="BW22" i="3"/>
  <c r="BY22" i="3" s="1"/>
  <c r="CG22" i="3"/>
  <c r="CH22" i="3" s="1"/>
  <c r="CL22" i="3"/>
  <c r="CN22" i="3" s="1"/>
  <c r="DB22" i="3" a="1"/>
  <c r="DB22" i="3" s="1"/>
  <c r="DC22" i="3" s="1"/>
  <c r="DW22" i="3"/>
  <c r="DX22" i="3" s="1"/>
  <c r="EL24" i="3" a="1"/>
  <c r="EL24" i="3" s="1"/>
  <c r="EM24" i="3" s="1"/>
  <c r="DW24" i="3"/>
  <c r="DX24" i="3" s="1"/>
  <c r="I24" i="3"/>
  <c r="S24" i="3"/>
  <c r="FA24" i="3" s="1"/>
  <c r="X24" i="3"/>
  <c r="AN24" i="3" a="1"/>
  <c r="AN24" i="3" s="1"/>
  <c r="AO24" i="3" s="1"/>
  <c r="AW24" i="3"/>
  <c r="AX24" i="3" s="1"/>
  <c r="BB24" i="3"/>
  <c r="BD24" i="3" s="1"/>
  <c r="BR24" i="3" a="1"/>
  <c r="BR24" i="3" s="1"/>
  <c r="BS24" i="3" s="1"/>
  <c r="BW24" i="3"/>
  <c r="BY24" i="3" s="1"/>
  <c r="CG24" i="3"/>
  <c r="CL24" i="3"/>
  <c r="CN24" i="3" s="1"/>
  <c r="DB24" i="3" a="1"/>
  <c r="DB24" i="3" s="1"/>
  <c r="DC24" i="3" s="1"/>
  <c r="EO24" i="3"/>
  <c r="EP24" i="3" s="1"/>
  <c r="EX24" i="3" a="1"/>
  <c r="EX24" i="3" s="1"/>
  <c r="EY24" i="3" s="1"/>
  <c r="CQ26" i="3"/>
  <c r="I27" i="3"/>
  <c r="O27" i="3"/>
  <c r="U27" i="3"/>
  <c r="AB27" i="3" a="1"/>
  <c r="AB27" i="3" s="1"/>
  <c r="AH27" i="3" a="1"/>
  <c r="AH27" i="3" s="1"/>
  <c r="AI27" i="3" s="1"/>
  <c r="AN27" i="3" a="1"/>
  <c r="AN27" i="3" s="1"/>
  <c r="AO27" i="3" s="1"/>
  <c r="AS27" i="3"/>
  <c r="AY27" i="3"/>
  <c r="BA27" i="3" s="1"/>
  <c r="BF27" i="3" a="1"/>
  <c r="BF27" i="3" s="1"/>
  <c r="BL27" i="3" a="1"/>
  <c r="BL27" i="3" s="1"/>
  <c r="BM27" i="3" s="1"/>
  <c r="BR27" i="3" a="1"/>
  <c r="BR27" i="3" s="1"/>
  <c r="BS27" i="3" s="1"/>
  <c r="BX27" i="3" a="1"/>
  <c r="BX27" i="3" s="1"/>
  <c r="BY27" i="3" s="1"/>
  <c r="CD27" i="3" a="1"/>
  <c r="CD27" i="3" s="1"/>
  <c r="DK27" i="3"/>
  <c r="DL27" i="3" s="1"/>
  <c r="EC27" i="3"/>
  <c r="ED27" i="3" s="1"/>
  <c r="EL27" i="3" a="1"/>
  <c r="EL27" i="3" s="1"/>
  <c r="EM27" i="3" s="1"/>
  <c r="AR30" i="3"/>
  <c r="CQ30" i="3"/>
  <c r="CW30" i="3"/>
  <c r="EF31" i="3" a="1"/>
  <c r="EF31" i="3" s="1"/>
  <c r="EG31" i="3" s="1"/>
  <c r="DQ31" i="3"/>
  <c r="DR31" i="3" s="1"/>
  <c r="CR31" i="3"/>
  <c r="CT31" i="3" s="1"/>
  <c r="CM31" i="3"/>
  <c r="CN31" i="3" s="1"/>
  <c r="CC31" i="3"/>
  <c r="CE31" i="3" s="1"/>
  <c r="BX31" i="3" a="1"/>
  <c r="BX31" i="3" s="1"/>
  <c r="BH31" i="3"/>
  <c r="BJ31" i="3" s="1"/>
  <c r="BC31" i="3"/>
  <c r="BD31" i="3" s="1"/>
  <c r="AS31" i="3"/>
  <c r="AU31" i="3" s="1"/>
  <c r="AD31" i="3"/>
  <c r="AF31" i="3" s="1"/>
  <c r="Y31" i="3"/>
  <c r="Z31" i="3" s="1"/>
  <c r="O31" i="3"/>
  <c r="Q31" i="3" s="1"/>
  <c r="J31" i="3" a="1"/>
  <c r="J31" i="3" s="1"/>
  <c r="ER31" i="3" a="1"/>
  <c r="ER31" i="3" s="1"/>
  <c r="ES31" i="3" s="1"/>
  <c r="EI31" i="3"/>
  <c r="EJ31" i="3" s="1"/>
  <c r="DA31" i="3"/>
  <c r="DC31" i="3" s="1"/>
  <c r="CU31" i="3"/>
  <c r="CW31" i="3" s="1"/>
  <c r="CO31" i="3"/>
  <c r="CI31" i="3"/>
  <c r="AW31" i="3"/>
  <c r="S31" i="3"/>
  <c r="T31" i="3" s="1"/>
  <c r="M31" i="3"/>
  <c r="N31" i="3" s="1"/>
  <c r="G31" i="3"/>
  <c r="FA31" i="3" s="1"/>
  <c r="DT31" i="3" a="1"/>
  <c r="DT31" i="3" s="1"/>
  <c r="DU31" i="3" s="1"/>
  <c r="DK31" i="3"/>
  <c r="DL31" i="3" s="1"/>
  <c r="DB31" i="3" a="1"/>
  <c r="DB31" i="3" s="1"/>
  <c r="CV31" i="3" a="1"/>
  <c r="CV31" i="3" s="1"/>
  <c r="CP31" i="3" a="1"/>
  <c r="CP31" i="3" s="1"/>
  <c r="CJ31" i="3" a="1"/>
  <c r="CJ31" i="3" s="1"/>
  <c r="CD31" i="3" a="1"/>
  <c r="CD31" i="3" s="1"/>
  <c r="BW31" i="3"/>
  <c r="BY31" i="3" s="1"/>
  <c r="BQ31" i="3"/>
  <c r="BS31" i="3" s="1"/>
  <c r="BK31" i="3"/>
  <c r="BM31" i="3" s="1"/>
  <c r="BE31" i="3"/>
  <c r="BG31" i="3" s="1"/>
  <c r="AY31" i="3"/>
  <c r="BA31" i="3" s="1"/>
  <c r="AM31" i="3"/>
  <c r="AG31" i="3"/>
  <c r="AI31" i="3" s="1"/>
  <c r="AA31" i="3"/>
  <c r="AC31" i="3" s="1"/>
  <c r="U31" i="3"/>
  <c r="V31" i="3" a="1"/>
  <c r="V31" i="3" s="1"/>
  <c r="AN31" i="3" a="1"/>
  <c r="AN31" i="3" s="1"/>
  <c r="BF31" i="3" a="1"/>
  <c r="BF31" i="3" s="1"/>
  <c r="BN31" i="3"/>
  <c r="BP31" i="3" s="1"/>
  <c r="CF31" i="3"/>
  <c r="CH31" i="3" s="1"/>
  <c r="CY31" i="3"/>
  <c r="CZ31" i="3" s="1"/>
  <c r="DW31" i="3"/>
  <c r="DX31" i="3" s="1"/>
  <c r="EL31" i="3" a="1"/>
  <c r="EL31" i="3" s="1"/>
  <c r="EM31" i="3" s="1"/>
  <c r="EX31" i="3" a="1"/>
  <c r="EX31" i="3" s="1"/>
  <c r="EY31" i="3" s="1"/>
  <c r="H33" i="3"/>
  <c r="EU34" i="3"/>
  <c r="EV34" i="3" s="1"/>
  <c r="DZ34" i="3" a="1"/>
  <c r="DZ34" i="3" s="1"/>
  <c r="EA34" i="3" s="1"/>
  <c r="DK34" i="3"/>
  <c r="DL34" i="3" s="1"/>
  <c r="CX34" i="3"/>
  <c r="CZ34" i="3" s="1"/>
  <c r="CS34" i="3"/>
  <c r="CI34" i="3"/>
  <c r="CD34" i="3" a="1"/>
  <c r="CD34" i="3" s="1"/>
  <c r="CE34" i="3" s="1"/>
  <c r="BN34" i="3"/>
  <c r="BI34" i="3"/>
  <c r="AY34" i="3"/>
  <c r="BA34" i="3" s="1"/>
  <c r="AT34" i="3" a="1"/>
  <c r="AT34" i="3" s="1"/>
  <c r="AJ34" i="3"/>
  <c r="AE34" i="3"/>
  <c r="U34" i="3"/>
  <c r="P34" i="3" a="1"/>
  <c r="P34" i="3" s="1"/>
  <c r="Q34" i="3" s="1"/>
  <c r="DH34" i="3" a="1"/>
  <c r="DH34" i="3" s="1"/>
  <c r="DI34" i="3" s="1"/>
  <c r="CM34" i="3"/>
  <c r="CN34" i="3" s="1"/>
  <c r="CG34" i="3"/>
  <c r="CH34" i="3" s="1"/>
  <c r="CA34" i="3"/>
  <c r="BU34" i="3"/>
  <c r="BO34" i="3"/>
  <c r="BH34" i="3"/>
  <c r="BJ34" i="3" s="1"/>
  <c r="BB34" i="3"/>
  <c r="AV34" i="3"/>
  <c r="AQ34" i="3" a="1"/>
  <c r="AQ34" i="3" s="1"/>
  <c r="AK34" i="3"/>
  <c r="AD34" i="3"/>
  <c r="AF34" i="3" s="1"/>
  <c r="X34" i="3"/>
  <c r="Z34" i="3" s="1"/>
  <c r="R34" i="3"/>
  <c r="T34" i="3" s="1"/>
  <c r="L34" i="3"/>
  <c r="F34" i="3"/>
  <c r="DE34" i="3"/>
  <c r="DF34" i="3" s="1"/>
  <c r="CP34" i="3" a="1"/>
  <c r="CP34" i="3" s="1"/>
  <c r="CQ34" i="3" s="1"/>
  <c r="BZ34" i="3"/>
  <c r="CB34" i="3" s="1"/>
  <c r="BL34" i="3" a="1"/>
  <c r="BL34" i="3" s="1"/>
  <c r="BE34" i="3"/>
  <c r="AW34" i="3"/>
  <c r="AP34" i="3"/>
  <c r="AR34" i="3" s="1"/>
  <c r="AB34" i="3" a="1"/>
  <c r="AB34" i="3" s="1"/>
  <c r="AC34" i="3" s="1"/>
  <c r="M34" i="3"/>
  <c r="EL34" i="3" a="1"/>
  <c r="EL34" i="3" s="1"/>
  <c r="EM34" i="3" s="1"/>
  <c r="DQ34" i="3"/>
  <c r="DR34" i="3" s="1"/>
  <c r="CJ34" i="3" a="1"/>
  <c r="CJ34" i="3" s="1"/>
  <c r="BT34" i="3"/>
  <c r="BF34" i="3" a="1"/>
  <c r="BF34" i="3" s="1"/>
  <c r="V34" i="3" a="1"/>
  <c r="V34" i="3" s="1"/>
  <c r="G34" i="3"/>
  <c r="AH34" i="3" a="1"/>
  <c r="AH34" i="3" s="1"/>
  <c r="AI34" i="3" s="1"/>
  <c r="AS34" i="3"/>
  <c r="BC34" i="3"/>
  <c r="CV34" i="3" a="1"/>
  <c r="CV34" i="3" s="1"/>
  <c r="CW34" i="3" s="1"/>
  <c r="DW34" i="3"/>
  <c r="DX34" i="3" s="1"/>
  <c r="EO34" i="3"/>
  <c r="EP34" i="3" s="1"/>
  <c r="EU36" i="3"/>
  <c r="EV36" i="3" s="1"/>
  <c r="DZ36" i="3" a="1"/>
  <c r="DZ36" i="3" s="1"/>
  <c r="EA36" i="3" s="1"/>
  <c r="DK36" i="3"/>
  <c r="DL36" i="3" s="1"/>
  <c r="CX36" i="3"/>
  <c r="CZ36" i="3" s="1"/>
  <c r="CS36" i="3"/>
  <c r="CI36" i="3"/>
  <c r="CD36" i="3" a="1"/>
  <c r="CD36" i="3" s="1"/>
  <c r="BN36" i="3"/>
  <c r="BI36" i="3"/>
  <c r="AY36" i="3"/>
  <c r="BA36" i="3" s="1"/>
  <c r="AT36" i="3" a="1"/>
  <c r="AT36" i="3" s="1"/>
  <c r="AJ36" i="3"/>
  <c r="AL36" i="3" s="1"/>
  <c r="AE36" i="3"/>
  <c r="AF36" i="3" s="1"/>
  <c r="U36" i="3"/>
  <c r="P36" i="3" a="1"/>
  <c r="P36" i="3" s="1"/>
  <c r="Q36" i="3" s="1"/>
  <c r="EO36" i="3"/>
  <c r="EP36" i="3" s="1"/>
  <c r="DT36" i="3" a="1"/>
  <c r="DT36" i="3" s="1"/>
  <c r="DU36" i="3" s="1"/>
  <c r="DE36" i="3"/>
  <c r="DF36" i="3" s="1"/>
  <c r="CY36" i="3"/>
  <c r="CO36" i="3"/>
  <c r="CQ36" i="3" s="1"/>
  <c r="CJ36" i="3" a="1"/>
  <c r="CJ36" i="3" s="1"/>
  <c r="BT36" i="3"/>
  <c r="BV36" i="3" s="1"/>
  <c r="BO36" i="3"/>
  <c r="BE36" i="3"/>
  <c r="AZ36" i="3" a="1"/>
  <c r="AZ36" i="3" s="1"/>
  <c r="ER36" i="3" a="1"/>
  <c r="ER36" i="3" s="1"/>
  <c r="ES36" i="3" s="1"/>
  <c r="EF36" i="3" a="1"/>
  <c r="EF36" i="3" s="1"/>
  <c r="EG36" i="3" s="1"/>
  <c r="DA36" i="3"/>
  <c r="DC36" i="3" s="1"/>
  <c r="CR36" i="3"/>
  <c r="CT36" i="3" s="1"/>
  <c r="CC36" i="3"/>
  <c r="Y36" i="3"/>
  <c r="Z36" i="3" s="1"/>
  <c r="S36" i="3"/>
  <c r="T36" i="3" s="1"/>
  <c r="M36" i="3"/>
  <c r="G36" i="3"/>
  <c r="EX36" i="3" a="1"/>
  <c r="EX36" i="3" s="1"/>
  <c r="EY36" i="3" s="1"/>
  <c r="DB36" i="3" a="1"/>
  <c r="DB36" i="3" s="1"/>
  <c r="BZ36" i="3"/>
  <c r="BQ36" i="3"/>
  <c r="AW36" i="3"/>
  <c r="AX36" i="3" s="1"/>
  <c r="AP36" i="3"/>
  <c r="AR36" i="3" s="1"/>
  <c r="AB36" i="3" a="1"/>
  <c r="AB36" i="3" s="1"/>
  <c r="AC36" i="3" s="1"/>
  <c r="L36" i="3"/>
  <c r="EI36" i="3"/>
  <c r="EJ36" i="3" s="1"/>
  <c r="DQ36" i="3"/>
  <c r="DR36" i="3" s="1"/>
  <c r="CU36" i="3"/>
  <c r="CW36" i="3" s="1"/>
  <c r="CA36" i="3"/>
  <c r="BR36" i="3" a="1"/>
  <c r="BR36" i="3" s="1"/>
  <c r="BH36" i="3"/>
  <c r="AQ36" i="3" a="1"/>
  <c r="AQ36" i="3" s="1"/>
  <c r="V36" i="3" a="1"/>
  <c r="V36" i="3" s="1"/>
  <c r="F36" i="3"/>
  <c r="AH36" i="3" a="1"/>
  <c r="AH36" i="3" s="1"/>
  <c r="AI36" i="3" s="1"/>
  <c r="AS36" i="3"/>
  <c r="BF36" i="3" a="1"/>
  <c r="BF36" i="3" s="1"/>
  <c r="BU36" i="3"/>
  <c r="CG36" i="3"/>
  <c r="DN36" i="3" a="1"/>
  <c r="DN36" i="3" s="1"/>
  <c r="DO36" i="3" s="1"/>
  <c r="CB39" i="3"/>
  <c r="BS41" i="3"/>
  <c r="ER33" i="3" a="1"/>
  <c r="ER33" i="3" s="1"/>
  <c r="ES33" i="3" s="1"/>
  <c r="EC33" i="3"/>
  <c r="ED33" i="3" s="1"/>
  <c r="DH33" i="3" a="1"/>
  <c r="DH33" i="3" s="1"/>
  <c r="DI33" i="3" s="1"/>
  <c r="DA33" i="3"/>
  <c r="DC33" i="3" s="1"/>
  <c r="CV33" i="3" a="1"/>
  <c r="CV33" i="3" s="1"/>
  <c r="CF33" i="3"/>
  <c r="CH33" i="3" s="1"/>
  <c r="CA33" i="3"/>
  <c r="BQ33" i="3"/>
  <c r="BS33" i="3" s="1"/>
  <c r="BL33" i="3" a="1"/>
  <c r="BL33" i="3" s="1"/>
  <c r="EX33" i="3" a="1"/>
  <c r="EX33" i="3" s="1"/>
  <c r="EY33" i="3" s="1"/>
  <c r="EO33" i="3"/>
  <c r="EP33" i="3" s="1"/>
  <c r="CY33" i="3"/>
  <c r="CZ33" i="3" s="1"/>
  <c r="CS33" i="3"/>
  <c r="CT33" i="3" s="1"/>
  <c r="CM33" i="3"/>
  <c r="CN33" i="3" s="1"/>
  <c r="CG33" i="3"/>
  <c r="BZ33" i="3"/>
  <c r="BT33" i="3"/>
  <c r="BV33" i="3" s="1"/>
  <c r="BN33" i="3"/>
  <c r="BP33" i="3" s="1"/>
  <c r="BH33" i="3"/>
  <c r="BJ33" i="3" s="1"/>
  <c r="BC33" i="3"/>
  <c r="BD33" i="3" s="1"/>
  <c r="AS33" i="3"/>
  <c r="AD33" i="3"/>
  <c r="AF33" i="3" s="1"/>
  <c r="Y33" i="3"/>
  <c r="Z33" i="3" s="1"/>
  <c r="O33" i="3"/>
  <c r="Q33" i="3" s="1"/>
  <c r="J33" i="3" a="1"/>
  <c r="J33" i="3" s="1"/>
  <c r="I33" i="3"/>
  <c r="P33" i="3" a="1"/>
  <c r="P33" i="3" s="1"/>
  <c r="V33" i="3" a="1"/>
  <c r="V33" i="3" s="1"/>
  <c r="AB33" i="3" a="1"/>
  <c r="AB33" i="3" s="1"/>
  <c r="AH33" i="3" a="1"/>
  <c r="AH33" i="3" s="1"/>
  <c r="AN33" i="3" a="1"/>
  <c r="AN33" i="3" s="1"/>
  <c r="AT33" i="3" a="1"/>
  <c r="AT33" i="3" s="1"/>
  <c r="AZ33" i="3" a="1"/>
  <c r="AZ33" i="3" s="1"/>
  <c r="BF33" i="3" a="1"/>
  <c r="BF33" i="3" s="1"/>
  <c r="CI33" i="3"/>
  <c r="CK33" i="3" s="1"/>
  <c r="CP33" i="3" a="1"/>
  <c r="CP33" i="3" s="1"/>
  <c r="DE33" i="3"/>
  <c r="DF33" i="3" s="1"/>
  <c r="DQ33" i="3"/>
  <c r="DR33" i="3" s="1"/>
  <c r="EL33" i="3" a="1"/>
  <c r="EL33" i="3" s="1"/>
  <c r="EM33" i="3" s="1"/>
  <c r="EU33" i="3"/>
  <c r="EV33" i="3" s="1"/>
  <c r="BG39" i="3"/>
  <c r="CK39" i="3"/>
  <c r="AL40" i="3"/>
  <c r="CB40" i="3"/>
  <c r="N42" i="3"/>
  <c r="AR42" i="3"/>
  <c r="CZ42" i="3"/>
  <c r="BD43" i="3"/>
  <c r="CN43" i="3"/>
  <c r="AI44" i="3"/>
  <c r="AL43" i="3"/>
  <c r="I26" i="3"/>
  <c r="S26" i="3"/>
  <c r="X26" i="3"/>
  <c r="Z26" i="3" s="1"/>
  <c r="AN26" i="3" a="1"/>
  <c r="AN26" i="3" s="1"/>
  <c r="AO26" i="3" s="1"/>
  <c r="AW26" i="3"/>
  <c r="AX26" i="3" s="1"/>
  <c r="BB26" i="3"/>
  <c r="BD26" i="3" s="1"/>
  <c r="BR26" i="3" a="1"/>
  <c r="BR26" i="3" s="1"/>
  <c r="BS26" i="3" s="1"/>
  <c r="BW26" i="3"/>
  <c r="BY26" i="3" s="1"/>
  <c r="CG26" i="3"/>
  <c r="CH26" i="3" s="1"/>
  <c r="CL26" i="3"/>
  <c r="CN26" i="3" s="1"/>
  <c r="DB26" i="3" a="1"/>
  <c r="DB26" i="3" s="1"/>
  <c r="DC26" i="3" s="1"/>
  <c r="DW26" i="3"/>
  <c r="DX26" i="3" s="1"/>
  <c r="I28" i="3"/>
  <c r="S28" i="3"/>
  <c r="T28" i="3" s="1"/>
  <c r="X28" i="3"/>
  <c r="Z28" i="3" s="1"/>
  <c r="AN28" i="3" a="1"/>
  <c r="AN28" i="3" s="1"/>
  <c r="AW28" i="3"/>
  <c r="AX28" i="3" s="1"/>
  <c r="BB28" i="3"/>
  <c r="BD28" i="3" s="1"/>
  <c r="BR28" i="3" a="1"/>
  <c r="BR28" i="3" s="1"/>
  <c r="BS28" i="3" s="1"/>
  <c r="BW28" i="3"/>
  <c r="BY28" i="3" s="1"/>
  <c r="CG28" i="3"/>
  <c r="CH28" i="3" s="1"/>
  <c r="CL28" i="3"/>
  <c r="CN28" i="3" s="1"/>
  <c r="DB28" i="3" a="1"/>
  <c r="DB28" i="3" s="1"/>
  <c r="DC28" i="3" s="1"/>
  <c r="DW28" i="3"/>
  <c r="DX28" i="3" s="1"/>
  <c r="EX30" i="3" a="1"/>
  <c r="EX30" i="3" s="1"/>
  <c r="EY30" i="3" s="1"/>
  <c r="EI30" i="3"/>
  <c r="EJ30" i="3" s="1"/>
  <c r="DN30" i="3" a="1"/>
  <c r="DN30" i="3" s="1"/>
  <c r="DO30" i="3" s="1"/>
  <c r="I30" i="3"/>
  <c r="S30" i="3"/>
  <c r="T30" i="3" s="1"/>
  <c r="X30" i="3"/>
  <c r="Z30" i="3" s="1"/>
  <c r="AN30" i="3" a="1"/>
  <c r="AN30" i="3" s="1"/>
  <c r="AW30" i="3"/>
  <c r="AX30" i="3" s="1"/>
  <c r="BB30" i="3"/>
  <c r="BD30" i="3" s="1"/>
  <c r="BR30" i="3" a="1"/>
  <c r="BR30" i="3" s="1"/>
  <c r="FD30" i="3" s="1"/>
  <c r="BW30" i="3"/>
  <c r="BY30" i="3" s="1"/>
  <c r="CG30" i="3"/>
  <c r="CL30" i="3"/>
  <c r="CN30" i="3" s="1"/>
  <c r="DB30" i="3" a="1"/>
  <c r="DB30" i="3" s="1"/>
  <c r="DC30" i="3" s="1"/>
  <c r="DQ30" i="3"/>
  <c r="DR30" i="3" s="1"/>
  <c r="DZ30" i="3" a="1"/>
  <c r="DZ30" i="3" s="1"/>
  <c r="EA30" i="3" s="1"/>
  <c r="ER30" i="3" a="1"/>
  <c r="ER30" i="3" s="1"/>
  <c r="ES30" i="3" s="1"/>
  <c r="U33" i="3"/>
  <c r="AA33" i="3"/>
  <c r="AG33" i="3"/>
  <c r="AM33" i="3"/>
  <c r="AY33" i="3"/>
  <c r="BA33" i="3" s="1"/>
  <c r="BE33" i="3"/>
  <c r="BG33" i="3" s="1"/>
  <c r="BK33" i="3"/>
  <c r="BM33" i="3" s="1"/>
  <c r="CO33" i="3"/>
  <c r="DN33" i="3" a="1"/>
  <c r="DN33" i="3" s="1"/>
  <c r="DO33" i="3" s="1"/>
  <c r="DZ33" i="3" a="1"/>
  <c r="DZ33" i="3" s="1"/>
  <c r="EA33" i="3" s="1"/>
  <c r="EI33" i="3"/>
  <c r="EJ33" i="3" s="1"/>
  <c r="FD37" i="3"/>
  <c r="AU37" i="3"/>
  <c r="BA43" i="3"/>
  <c r="W37" i="3"/>
  <c r="BA37" i="3"/>
  <c r="CQ39" i="3"/>
  <c r="CW41" i="3"/>
  <c r="K43" i="3"/>
  <c r="T43" i="3"/>
  <c r="AF43" i="3"/>
  <c r="H44" i="3"/>
  <c r="BS44" i="3"/>
  <c r="H45" i="3"/>
  <c r="CK37" i="3"/>
  <c r="H39" i="3"/>
  <c r="BJ40" i="3"/>
  <c r="CT41" i="3"/>
  <c r="DC41" i="3"/>
  <c r="Q43" i="3"/>
  <c r="AO43" i="3"/>
  <c r="AX43" i="3"/>
  <c r="BJ43" i="3"/>
  <c r="DC44" i="3"/>
  <c r="Q45" i="3"/>
  <c r="CZ46" i="3"/>
  <c r="I37" i="3"/>
  <c r="S37" i="3"/>
  <c r="X37" i="3"/>
  <c r="Z37" i="3" s="1"/>
  <c r="AN37" i="3" a="1"/>
  <c r="AN37" i="3" s="1"/>
  <c r="AW37" i="3"/>
  <c r="BB37" i="3"/>
  <c r="BD37" i="3" s="1"/>
  <c r="BR37" i="3" a="1"/>
  <c r="BR37" i="3" s="1"/>
  <c r="BW37" i="3"/>
  <c r="BY37" i="3" s="1"/>
  <c r="CG37" i="3"/>
  <c r="CL37" i="3"/>
  <c r="CN37" i="3" s="1"/>
  <c r="DB37" i="3" a="1"/>
  <c r="DB37" i="3" s="1"/>
  <c r="DW37" i="3"/>
  <c r="DX37" i="3" s="1"/>
  <c r="EL37" i="3" a="1"/>
  <c r="EL37" i="3" s="1"/>
  <c r="EM37" i="3" s="1"/>
  <c r="EO39" i="3"/>
  <c r="EP39" i="3" s="1"/>
  <c r="DT39" i="3" a="1"/>
  <c r="DT39" i="3" s="1"/>
  <c r="DU39" i="3" s="1"/>
  <c r="DE39" i="3"/>
  <c r="DF39" i="3" s="1"/>
  <c r="I39" i="3"/>
  <c r="S39" i="3"/>
  <c r="X39" i="3"/>
  <c r="Z39" i="3" s="1"/>
  <c r="AN39" i="3" a="1"/>
  <c r="AN39" i="3" s="1"/>
  <c r="FD39" i="3" s="1"/>
  <c r="AW39" i="3"/>
  <c r="BB39" i="3"/>
  <c r="BD39" i="3" s="1"/>
  <c r="BR39" i="3" a="1"/>
  <c r="BR39" i="3" s="1"/>
  <c r="BW39" i="3"/>
  <c r="BY39" i="3" s="1"/>
  <c r="CG39" i="3"/>
  <c r="CL39" i="3"/>
  <c r="CN39" i="3" s="1"/>
  <c r="DB39" i="3" a="1"/>
  <c r="DB39" i="3" s="1"/>
  <c r="AC40" i="3"/>
  <c r="BG40" i="3"/>
  <c r="EO41" i="3"/>
  <c r="EP41" i="3" s="1"/>
  <c r="DT41" i="3" a="1"/>
  <c r="DT41" i="3" s="1"/>
  <c r="DU41" i="3" s="1"/>
  <c r="DE41" i="3"/>
  <c r="DF41" i="3" s="1"/>
  <c r="CY41" i="3"/>
  <c r="CZ41" i="3" s="1"/>
  <c r="CO41" i="3"/>
  <c r="CQ41" i="3" s="1"/>
  <c r="CJ41" i="3" a="1"/>
  <c r="CJ41" i="3" s="1"/>
  <c r="CK41" i="3" s="1"/>
  <c r="BT41" i="3"/>
  <c r="BV41" i="3" s="1"/>
  <c r="BO41" i="3"/>
  <c r="BP41" i="3" s="1"/>
  <c r="BE41" i="3"/>
  <c r="AZ41" i="3" a="1"/>
  <c r="AZ41" i="3" s="1"/>
  <c r="AP41" i="3"/>
  <c r="AR41" i="3" s="1"/>
  <c r="AK41" i="3"/>
  <c r="AL41" i="3" s="1"/>
  <c r="AA41" i="3"/>
  <c r="AC41" i="3" s="1"/>
  <c r="V41" i="3" a="1"/>
  <c r="V41" i="3" s="1"/>
  <c r="F41" i="3"/>
  <c r="J41" i="3" a="1"/>
  <c r="J41" i="3" s="1"/>
  <c r="P41" i="3" a="1"/>
  <c r="P41" i="3" s="1"/>
  <c r="AT41" i="3" a="1"/>
  <c r="AT41" i="3" s="1"/>
  <c r="DN41" i="3" a="1"/>
  <c r="DN41" i="3" s="1"/>
  <c r="DO41" i="3" s="1"/>
  <c r="EU41" i="3"/>
  <c r="EV41" i="3" s="1"/>
  <c r="CQ42" i="3"/>
  <c r="CW42" i="3"/>
  <c r="CE43" i="3"/>
  <c r="CT43" i="3"/>
  <c r="BD44" i="3"/>
  <c r="BV45" i="3"/>
  <c r="AL47" i="3"/>
  <c r="M37" i="3"/>
  <c r="N37" i="3" s="1"/>
  <c r="R37" i="3"/>
  <c r="T37" i="3" s="1"/>
  <c r="AH37" i="3" a="1"/>
  <c r="AH37" i="3" s="1"/>
  <c r="AI37" i="3" s="1"/>
  <c r="AM37" i="3"/>
  <c r="AO37" i="3" s="1"/>
  <c r="AV37" i="3"/>
  <c r="AX37" i="3" s="1"/>
  <c r="BL37" i="3" a="1"/>
  <c r="BL37" i="3" s="1"/>
  <c r="BM37" i="3" s="1"/>
  <c r="BQ37" i="3"/>
  <c r="BS37" i="3" s="1"/>
  <c r="CA37" i="3"/>
  <c r="CB37" i="3" s="1"/>
  <c r="CF37" i="3"/>
  <c r="CH37" i="3" s="1"/>
  <c r="CV37" i="3" a="1"/>
  <c r="CV37" i="3" s="1"/>
  <c r="DA37" i="3"/>
  <c r="DC37" i="3" s="1"/>
  <c r="DH37" i="3" a="1"/>
  <c r="DH37" i="3" s="1"/>
  <c r="DI37" i="3" s="1"/>
  <c r="EC37" i="3"/>
  <c r="ED37" i="3" s="1"/>
  <c r="M39" i="3"/>
  <c r="N39" i="3" s="1"/>
  <c r="R39" i="3"/>
  <c r="AH39" i="3" a="1"/>
  <c r="AH39" i="3" s="1"/>
  <c r="AI39" i="3" s="1"/>
  <c r="AM39" i="3"/>
  <c r="AV39" i="3"/>
  <c r="AX39" i="3" s="1"/>
  <c r="BL39" i="3" a="1"/>
  <c r="BL39" i="3" s="1"/>
  <c r="BM39" i="3" s="1"/>
  <c r="BQ39" i="3"/>
  <c r="BS39" i="3" s="1"/>
  <c r="CA39" i="3"/>
  <c r="CF39" i="3"/>
  <c r="CV39" i="3" a="1"/>
  <c r="CV39" i="3" s="1"/>
  <c r="CW39" i="3" s="1"/>
  <c r="DA39" i="3"/>
  <c r="DC39" i="3" s="1"/>
  <c r="DQ39" i="3"/>
  <c r="DR39" i="3" s="1"/>
  <c r="DZ39" i="3" a="1"/>
  <c r="DZ39" i="3" s="1"/>
  <c r="EA39" i="3" s="1"/>
  <c r="EI39" i="3"/>
  <c r="EJ39" i="3" s="1"/>
  <c r="ER39" i="3" a="1"/>
  <c r="ER39" i="3" s="1"/>
  <c r="ES39" i="3" s="1"/>
  <c r="CQ40" i="3"/>
  <c r="I41" i="3"/>
  <c r="O41" i="3"/>
  <c r="Q41" i="3" s="1"/>
  <c r="U41" i="3"/>
  <c r="W41" i="3" s="1"/>
  <c r="AB41" i="3" a="1"/>
  <c r="AB41" i="3" s="1"/>
  <c r="AH41" i="3" a="1"/>
  <c r="AH41" i="3" s="1"/>
  <c r="AN41" i="3" a="1"/>
  <c r="AN41" i="3" s="1"/>
  <c r="AS41" i="3"/>
  <c r="AY41" i="3"/>
  <c r="BA41" i="3" s="1"/>
  <c r="BF41" i="3" a="1"/>
  <c r="BF41" i="3" s="1"/>
  <c r="BL41" i="3" a="1"/>
  <c r="BL41" i="3" s="1"/>
  <c r="BR41" i="3" a="1"/>
  <c r="BR41" i="3" s="1"/>
  <c r="BX41" i="3" a="1"/>
  <c r="BX41" i="3" s="1"/>
  <c r="CD41" i="3" a="1"/>
  <c r="CD41" i="3" s="1"/>
  <c r="CE41" i="3" s="1"/>
  <c r="DK41" i="3"/>
  <c r="DL41" i="3" s="1"/>
  <c r="EC41" i="3"/>
  <c r="ED41" i="3" s="1"/>
  <c r="EL41" i="3" a="1"/>
  <c r="EL41" i="3" s="1"/>
  <c r="EM41" i="3" s="1"/>
  <c r="CB42" i="3"/>
  <c r="CH42" i="3"/>
  <c r="EO43" i="3"/>
  <c r="EP43" i="3" s="1"/>
  <c r="DT43" i="3" a="1"/>
  <c r="DT43" i="3" s="1"/>
  <c r="DU43" i="3" s="1"/>
  <c r="DE43" i="3"/>
  <c r="DF43" i="3" s="1"/>
  <c r="CY43" i="3"/>
  <c r="CO43" i="3"/>
  <c r="CJ43" i="3" a="1"/>
  <c r="CJ43" i="3" s="1"/>
  <c r="BT43" i="3"/>
  <c r="BV43" i="3" s="1"/>
  <c r="BO43" i="3"/>
  <c r="BP43" i="3" s="1"/>
  <c r="BE43" i="3"/>
  <c r="BG43" i="3" s="1"/>
  <c r="AZ43" i="3" a="1"/>
  <c r="AZ43" i="3" s="1"/>
  <c r="AP43" i="3"/>
  <c r="AK43" i="3"/>
  <c r="AA43" i="3"/>
  <c r="V43" i="3" a="1"/>
  <c r="V43" i="3" s="1"/>
  <c r="W43" i="3" s="1"/>
  <c r="F43" i="3"/>
  <c r="EX43" i="3" a="1"/>
  <c r="EX43" i="3" s="1"/>
  <c r="EY43" i="3" s="1"/>
  <c r="EI43" i="3"/>
  <c r="EJ43" i="3" s="1"/>
  <c r="DN43" i="3" a="1"/>
  <c r="DN43" i="3" s="1"/>
  <c r="DO43" i="3" s="1"/>
  <c r="CU43" i="3"/>
  <c r="CW43" i="3" s="1"/>
  <c r="CP43" i="3" a="1"/>
  <c r="CP43" i="3" s="1"/>
  <c r="BZ43" i="3"/>
  <c r="CB43" i="3" s="1"/>
  <c r="BU43" i="3"/>
  <c r="BK43" i="3"/>
  <c r="BM43" i="3" s="1"/>
  <c r="BF43" i="3" a="1"/>
  <c r="BF43" i="3" s="1"/>
  <c r="AQ43" i="3" a="1"/>
  <c r="AQ43" i="3" s="1"/>
  <c r="AG43" i="3"/>
  <c r="AI43" i="3" s="1"/>
  <c r="AB43" i="3" a="1"/>
  <c r="AB43" i="3" s="1"/>
  <c r="L43" i="3"/>
  <c r="N43" i="3" s="1"/>
  <c r="G43" i="3"/>
  <c r="S43" i="3"/>
  <c r="AW43" i="3"/>
  <c r="CI43" i="3"/>
  <c r="CK43" i="3" s="1"/>
  <c r="CX43" i="3"/>
  <c r="CZ43" i="3" s="1"/>
  <c r="W45" i="3"/>
  <c r="BA45" i="3"/>
  <c r="CT46" i="3"/>
  <c r="T47" i="3"/>
  <c r="EF42" i="3" a="1"/>
  <c r="EF42" i="3" s="1"/>
  <c r="EG42" i="3" s="1"/>
  <c r="DE44" i="3"/>
  <c r="DF44" i="3" s="1"/>
  <c r="DN44" i="3" a="1"/>
  <c r="DN44" i="3" s="1"/>
  <c r="DO44" i="3" s="1"/>
  <c r="EF44" i="3" a="1"/>
  <c r="EF44" i="3" s="1"/>
  <c r="EG44" i="3" s="1"/>
  <c r="CB45" i="3"/>
  <c r="CK45" i="3"/>
  <c r="AF46" i="3"/>
  <c r="AR47" i="3"/>
  <c r="CK47" i="3"/>
  <c r="CE46" i="3"/>
  <c r="I40" i="3"/>
  <c r="S40" i="3"/>
  <c r="T40" i="3" s="1"/>
  <c r="X40" i="3"/>
  <c r="Z40" i="3" s="1"/>
  <c r="AN40" i="3" a="1"/>
  <c r="AN40" i="3" s="1"/>
  <c r="AO40" i="3" s="1"/>
  <c r="AW40" i="3"/>
  <c r="AX40" i="3" s="1"/>
  <c r="BB40" i="3"/>
  <c r="BD40" i="3" s="1"/>
  <c r="BR40" i="3" a="1"/>
  <c r="BR40" i="3" s="1"/>
  <c r="BS40" i="3" s="1"/>
  <c r="BW40" i="3"/>
  <c r="BY40" i="3" s="1"/>
  <c r="CG40" i="3"/>
  <c r="CL40" i="3"/>
  <c r="CN40" i="3" s="1"/>
  <c r="DB40" i="3" a="1"/>
  <c r="DB40" i="3" s="1"/>
  <c r="DC40" i="3" s="1"/>
  <c r="DW40" i="3"/>
  <c r="DX40" i="3" s="1"/>
  <c r="I42" i="3"/>
  <c r="S42" i="3"/>
  <c r="X42" i="3"/>
  <c r="Z42" i="3" s="1"/>
  <c r="AN42" i="3" a="1"/>
  <c r="AN42" i="3" s="1"/>
  <c r="AO42" i="3" s="1"/>
  <c r="AW42" i="3"/>
  <c r="AX42" i="3" s="1"/>
  <c r="BB42" i="3"/>
  <c r="BD42" i="3" s="1"/>
  <c r="BR42" i="3" a="1"/>
  <c r="BR42" i="3" s="1"/>
  <c r="BS42" i="3" s="1"/>
  <c r="BW42" i="3"/>
  <c r="BY42" i="3" s="1"/>
  <c r="CG42" i="3"/>
  <c r="CL42" i="3"/>
  <c r="CN42" i="3" s="1"/>
  <c r="DB42" i="3" a="1"/>
  <c r="DB42" i="3" s="1"/>
  <c r="DC42" i="3" s="1"/>
  <c r="DW42" i="3"/>
  <c r="DX42" i="3" s="1"/>
  <c r="EU44" i="3"/>
  <c r="EV44" i="3" s="1"/>
  <c r="DZ44" i="3" a="1"/>
  <c r="DZ44" i="3" s="1"/>
  <c r="EA44" i="3" s="1"/>
  <c r="DK44" i="3"/>
  <c r="DL44" i="3" s="1"/>
  <c r="CX44" i="3"/>
  <c r="CZ44" i="3" s="1"/>
  <c r="CS44" i="3"/>
  <c r="CT44" i="3" s="1"/>
  <c r="CI44" i="3"/>
  <c r="CK44" i="3" s="1"/>
  <c r="CD44" i="3" a="1"/>
  <c r="CD44" i="3" s="1"/>
  <c r="CE44" i="3" s="1"/>
  <c r="BN44" i="3"/>
  <c r="BP44" i="3" s="1"/>
  <c r="BI44" i="3"/>
  <c r="BJ44" i="3" s="1"/>
  <c r="AY44" i="3"/>
  <c r="AT44" i="3" a="1"/>
  <c r="AT44" i="3" s="1"/>
  <c r="AJ44" i="3"/>
  <c r="AL44" i="3" s="1"/>
  <c r="AE44" i="3"/>
  <c r="FA44" i="3" s="1"/>
  <c r="U44" i="3"/>
  <c r="P44" i="3" a="1"/>
  <c r="P44" i="3" s="1"/>
  <c r="EO44" i="3"/>
  <c r="EP44" i="3" s="1"/>
  <c r="I44" i="3"/>
  <c r="O44" i="3"/>
  <c r="Q44" i="3" s="1"/>
  <c r="V44" i="3" a="1"/>
  <c r="V44" i="3" s="1"/>
  <c r="AB44" i="3" a="1"/>
  <c r="AB44" i="3" s="1"/>
  <c r="AC44" i="3" s="1"/>
  <c r="AH44" i="3" a="1"/>
  <c r="AH44" i="3" s="1"/>
  <c r="AN44" i="3" a="1"/>
  <c r="AN44" i="3" s="1"/>
  <c r="AS44" i="3"/>
  <c r="AU44" i="3" s="1"/>
  <c r="AZ44" i="3" a="1"/>
  <c r="AZ44" i="3" s="1"/>
  <c r="BF44" i="3" a="1"/>
  <c r="BF44" i="3" s="1"/>
  <c r="BG44" i="3" s="1"/>
  <c r="BL44" i="3" a="1"/>
  <c r="BL44" i="3" s="1"/>
  <c r="BM44" i="3" s="1"/>
  <c r="BR44" i="3" a="1"/>
  <c r="BR44" i="3" s="1"/>
  <c r="BX44" i="3" a="1"/>
  <c r="BX44" i="3" s="1"/>
  <c r="BY44" i="3" s="1"/>
  <c r="CQ45" i="3"/>
  <c r="AO47" i="3"/>
  <c r="I45" i="3"/>
  <c r="S45" i="3"/>
  <c r="FA45" i="3" s="1"/>
  <c r="X45" i="3"/>
  <c r="Z45" i="3" s="1"/>
  <c r="AN45" i="3" a="1"/>
  <c r="AN45" i="3" s="1"/>
  <c r="AW45" i="3"/>
  <c r="BB45" i="3"/>
  <c r="BD45" i="3" s="1"/>
  <c r="BR45" i="3" a="1"/>
  <c r="BR45" i="3" s="1"/>
  <c r="BW45" i="3"/>
  <c r="BY45" i="3" s="1"/>
  <c r="CG45" i="3"/>
  <c r="CL45" i="3"/>
  <c r="CN45" i="3" s="1"/>
  <c r="DB45" i="3" a="1"/>
  <c r="DB45" i="3" s="1"/>
  <c r="DW45" i="3"/>
  <c r="DX45" i="3" s="1"/>
  <c r="EL45" i="3" a="1"/>
  <c r="EL45" i="3" s="1"/>
  <c r="EM45" i="3" s="1"/>
  <c r="EO46" i="3"/>
  <c r="EP46" i="3" s="1"/>
  <c r="DT46" i="3" a="1"/>
  <c r="DT46" i="3" s="1"/>
  <c r="DU46" i="3" s="1"/>
  <c r="DE46" i="3"/>
  <c r="DF46" i="3" s="1"/>
  <c r="CY46" i="3"/>
  <c r="CO46" i="3"/>
  <c r="CQ46" i="3" s="1"/>
  <c r="CJ46" i="3" a="1"/>
  <c r="CJ46" i="3" s="1"/>
  <c r="CK46" i="3" s="1"/>
  <c r="BT46" i="3"/>
  <c r="BV46" i="3" s="1"/>
  <c r="BO46" i="3"/>
  <c r="BP46" i="3" s="1"/>
  <c r="BE46" i="3"/>
  <c r="BG46" i="3" s="1"/>
  <c r="AZ46" i="3" a="1"/>
  <c r="AZ46" i="3" s="1"/>
  <c r="AP46" i="3"/>
  <c r="AR46" i="3" s="1"/>
  <c r="AK46" i="3"/>
  <c r="AL46" i="3" s="1"/>
  <c r="AA46" i="3"/>
  <c r="V46" i="3" a="1"/>
  <c r="V46" i="3" s="1"/>
  <c r="F46" i="3"/>
  <c r="J46" i="3" a="1"/>
  <c r="J46" i="3" s="1"/>
  <c r="P46" i="3" a="1"/>
  <c r="P46" i="3" s="1"/>
  <c r="AT46" i="3" a="1"/>
  <c r="AT46" i="3" s="1"/>
  <c r="DN46" i="3" a="1"/>
  <c r="DN46" i="3" s="1"/>
  <c r="DO46" i="3" s="1"/>
  <c r="EU46" i="3"/>
  <c r="EV46" i="3" s="1"/>
  <c r="M45" i="3"/>
  <c r="N45" i="3" s="1"/>
  <c r="R45" i="3"/>
  <c r="AH45" i="3" a="1"/>
  <c r="AH45" i="3" s="1"/>
  <c r="AI45" i="3" s="1"/>
  <c r="AM45" i="3"/>
  <c r="AV45" i="3"/>
  <c r="AX45" i="3" s="1"/>
  <c r="BL45" i="3" a="1"/>
  <c r="BL45" i="3" s="1"/>
  <c r="BM45" i="3" s="1"/>
  <c r="BQ45" i="3"/>
  <c r="CA45" i="3"/>
  <c r="CF45" i="3"/>
  <c r="CV45" i="3" a="1"/>
  <c r="CV45" i="3" s="1"/>
  <c r="CW45" i="3" s="1"/>
  <c r="DA45" i="3"/>
  <c r="DC45" i="3" s="1"/>
  <c r="DH45" i="3" a="1"/>
  <c r="DH45" i="3" s="1"/>
  <c r="DI45" i="3" s="1"/>
  <c r="EC45" i="3"/>
  <c r="ED45" i="3" s="1"/>
  <c r="I46" i="3"/>
  <c r="O46" i="3"/>
  <c r="Q46" i="3" s="1"/>
  <c r="U46" i="3"/>
  <c r="AB46" i="3" a="1"/>
  <c r="AB46" i="3" s="1"/>
  <c r="AH46" i="3" a="1"/>
  <c r="AH46" i="3" s="1"/>
  <c r="AI46" i="3" s="1"/>
  <c r="AN46" i="3" a="1"/>
  <c r="AN46" i="3" s="1"/>
  <c r="AO46" i="3" s="1"/>
  <c r="AS46" i="3"/>
  <c r="AY46" i="3"/>
  <c r="BA46" i="3" s="1"/>
  <c r="BF46" i="3" a="1"/>
  <c r="BF46" i="3" s="1"/>
  <c r="BL46" i="3" a="1"/>
  <c r="BL46" i="3" s="1"/>
  <c r="BM46" i="3" s="1"/>
  <c r="BR46" i="3" a="1"/>
  <c r="BR46" i="3" s="1"/>
  <c r="BS46" i="3" s="1"/>
  <c r="BX46" i="3" a="1"/>
  <c r="BX46" i="3" s="1"/>
  <c r="BY46" i="3" s="1"/>
  <c r="CD46" i="3" a="1"/>
  <c r="CD46" i="3" s="1"/>
  <c r="DK46" i="3"/>
  <c r="DL46" i="3" s="1"/>
  <c r="EC46" i="3"/>
  <c r="ED46" i="3" s="1"/>
  <c r="EL46" i="3" a="1"/>
  <c r="EL46" i="3" s="1"/>
  <c r="EM46" i="3" s="1"/>
  <c r="I47" i="3"/>
  <c r="S47" i="3"/>
  <c r="X47" i="3"/>
  <c r="Z47" i="3" s="1"/>
  <c r="AN47" i="3" a="1"/>
  <c r="AN47" i="3" s="1"/>
  <c r="AW47" i="3"/>
  <c r="AX47" i="3" s="1"/>
  <c r="BB47" i="3"/>
  <c r="BD47" i="3" s="1"/>
  <c r="BR47" i="3" a="1"/>
  <c r="BR47" i="3" s="1"/>
  <c r="BW47" i="3"/>
  <c r="BY47" i="3" s="1"/>
  <c r="CG47" i="3"/>
  <c r="CH47" i="3" s="1"/>
  <c r="CL47" i="3"/>
  <c r="CN47" i="3" s="1"/>
  <c r="DB47" i="3" a="1"/>
  <c r="DB47" i="3" s="1"/>
  <c r="DC47" i="3" s="1"/>
  <c r="DW47" i="3"/>
  <c r="DX47" i="3" s="1"/>
  <c r="BK6" i="1"/>
  <c r="P7" i="1"/>
  <c r="O48" i="1"/>
  <c r="P5" i="1"/>
  <c r="BG48" i="1"/>
  <c r="BH48" i="1" s="1"/>
  <c r="BH5" i="1"/>
  <c r="BQ6" i="1"/>
  <c r="AG7" i="1"/>
  <c r="AH7" i="1" s="1"/>
  <c r="BM48" i="1"/>
  <c r="BN5" i="1"/>
  <c r="I48" i="1"/>
  <c r="AJ5" i="1"/>
  <c r="AC5" i="1"/>
  <c r="U5" i="1"/>
  <c r="K5" i="1"/>
  <c r="J5" i="1"/>
  <c r="AI48" i="1"/>
  <c r="BH7" i="1"/>
  <c r="P9" i="1"/>
  <c r="BJ48" i="1"/>
  <c r="BK5" i="1"/>
  <c r="AG6" i="1"/>
  <c r="AH6" i="1" s="1"/>
  <c r="AJ7" i="1"/>
  <c r="AK7" i="1" s="1"/>
  <c r="AL7" i="1" s="1"/>
  <c r="J7" i="1"/>
  <c r="AC7" i="1"/>
  <c r="U7" i="1"/>
  <c r="K7" i="1"/>
  <c r="BQ7" i="1"/>
  <c r="BE8" i="1"/>
  <c r="BK10" i="1"/>
  <c r="S14" i="1"/>
  <c r="Z14" i="1"/>
  <c r="AV14" i="1"/>
  <c r="AW14" i="1" s="1"/>
  <c r="AX14" i="1" s="1"/>
  <c r="T14" i="1"/>
  <c r="BK19" i="1"/>
  <c r="BH20" i="1"/>
  <c r="P21" i="1"/>
  <c r="Z23" i="1"/>
  <c r="AV23" i="1"/>
  <c r="AW23" i="1" s="1"/>
  <c r="AX23" i="1" s="1"/>
  <c r="S23" i="1"/>
  <c r="T23" i="1"/>
  <c r="AF48" i="1"/>
  <c r="AG48" i="1" s="1"/>
  <c r="AH48" i="1" s="1"/>
  <c r="AG5" i="1"/>
  <c r="AH5" i="1" s="1"/>
  <c r="Z6" i="1"/>
  <c r="S6" i="1"/>
  <c r="AD6" i="1"/>
  <c r="AV6" i="1"/>
  <c r="AW6" i="1" s="1"/>
  <c r="AX6" i="1" s="1"/>
  <c r="T6" i="1"/>
  <c r="BE7" i="1"/>
  <c r="BH8" i="1"/>
  <c r="BK9" i="1"/>
  <c r="AG10" i="1"/>
  <c r="AH10" i="1" s="1"/>
  <c r="BN10" i="1"/>
  <c r="AJ11" i="1"/>
  <c r="AK11" i="1" s="1"/>
  <c r="AL11" i="1" s="1"/>
  <c r="AC11" i="1"/>
  <c r="U11" i="1"/>
  <c r="K11" i="1"/>
  <c r="J11" i="1"/>
  <c r="BQ11" i="1"/>
  <c r="AR12" i="1"/>
  <c r="AS12" i="1" s="1"/>
  <c r="AT12" i="1" s="1"/>
  <c r="Q12" i="1"/>
  <c r="X12" i="1"/>
  <c r="Y12" i="1" s="1"/>
  <c r="N12" i="1"/>
  <c r="BE12" i="1"/>
  <c r="BH13" i="1"/>
  <c r="BK14" i="1"/>
  <c r="P15" i="1"/>
  <c r="AG17" i="1"/>
  <c r="AH17" i="1" s="1"/>
  <c r="AR18" i="1"/>
  <c r="AS18" i="1" s="1"/>
  <c r="AT18" i="1" s="1"/>
  <c r="N18" i="1"/>
  <c r="X18" i="1"/>
  <c r="Y18" i="1" s="1"/>
  <c r="Q18" i="1"/>
  <c r="Q19" i="1"/>
  <c r="X19" i="1"/>
  <c r="Y19" i="1" s="1"/>
  <c r="N19" i="1"/>
  <c r="AR19" i="1"/>
  <c r="AS19" i="1" s="1"/>
  <c r="AT19" i="1" s="1"/>
  <c r="BE19" i="1"/>
  <c r="J20" i="1"/>
  <c r="K20" i="1"/>
  <c r="AJ20" i="1"/>
  <c r="AK20" i="1" s="1"/>
  <c r="AL20" i="1" s="1"/>
  <c r="U20" i="1"/>
  <c r="AV21" i="1"/>
  <c r="AW21" i="1" s="1"/>
  <c r="AX21" i="1" s="1"/>
  <c r="Z21" i="1"/>
  <c r="S21" i="1"/>
  <c r="T21" i="1"/>
  <c r="AV8" i="1"/>
  <c r="AW8" i="1" s="1"/>
  <c r="AX8" i="1" s="1"/>
  <c r="S8" i="1"/>
  <c r="Z8" i="1"/>
  <c r="T8" i="1"/>
  <c r="BE9" i="1"/>
  <c r="BH10" i="1"/>
  <c r="BK11" i="1"/>
  <c r="AG12" i="1"/>
  <c r="AH12" i="1" s="1"/>
  <c r="BN12" i="1"/>
  <c r="AJ13" i="1"/>
  <c r="AK13" i="1" s="1"/>
  <c r="AL13" i="1" s="1"/>
  <c r="AC13" i="1"/>
  <c r="U13" i="1"/>
  <c r="K13" i="1"/>
  <c r="J13" i="1"/>
  <c r="BQ13" i="1"/>
  <c r="AR14" i="1"/>
  <c r="AS14" i="1" s="1"/>
  <c r="AT14" i="1" s="1"/>
  <c r="Q14" i="1"/>
  <c r="X14" i="1"/>
  <c r="Y14" i="1" s="1"/>
  <c r="N14" i="1"/>
  <c r="BE14" i="1"/>
  <c r="BH16" i="1"/>
  <c r="BK17" i="1"/>
  <c r="K21" i="1"/>
  <c r="AJ21" i="1"/>
  <c r="AK21" i="1" s="1"/>
  <c r="AL21" i="1" s="1"/>
  <c r="J21" i="1"/>
  <c r="U21" i="1"/>
  <c r="BH22" i="1"/>
  <c r="P24" i="1"/>
  <c r="BN7" i="1"/>
  <c r="BQ8" i="1"/>
  <c r="AG9" i="1"/>
  <c r="AH9" i="1" s="1"/>
  <c r="S10" i="1"/>
  <c r="Z10" i="1"/>
  <c r="AV10" i="1"/>
  <c r="AW10" i="1" s="1"/>
  <c r="AX10" i="1" s="1"/>
  <c r="T10" i="1"/>
  <c r="BE11" i="1"/>
  <c r="BH12" i="1"/>
  <c r="BK13" i="1"/>
  <c r="AG14" i="1"/>
  <c r="AH14" i="1" s="1"/>
  <c r="BN14" i="1"/>
  <c r="AJ15" i="1"/>
  <c r="AK15" i="1" s="1"/>
  <c r="AL15" i="1" s="1"/>
  <c r="U15" i="1"/>
  <c r="J15" i="1"/>
  <c r="AC15" i="1"/>
  <c r="K15" i="1"/>
  <c r="U16" i="1"/>
  <c r="AJ16" i="1"/>
  <c r="AK16" i="1" s="1"/>
  <c r="AL16" i="1" s="1"/>
  <c r="K16" i="1"/>
  <c r="J16" i="1"/>
  <c r="AC16" i="1"/>
  <c r="Z16" i="1"/>
  <c r="T16" i="1"/>
  <c r="AV16" i="1"/>
  <c r="AW16" i="1" s="1"/>
  <c r="AX16" i="1" s="1"/>
  <c r="S16" i="1"/>
  <c r="AD16" i="1"/>
  <c r="Q17" i="1"/>
  <c r="N17" i="1"/>
  <c r="AR17" i="1"/>
  <c r="AS17" i="1" s="1"/>
  <c r="AT17" i="1" s="1"/>
  <c r="X17" i="1"/>
  <c r="Y17" i="1" s="1"/>
  <c r="Z18" i="1"/>
  <c r="T18" i="1"/>
  <c r="AD18" i="1"/>
  <c r="S18" i="1"/>
  <c r="AV18" i="1"/>
  <c r="AW18" i="1" s="1"/>
  <c r="AX18" i="1" s="1"/>
  <c r="P19" i="1"/>
  <c r="AR20" i="1"/>
  <c r="AS20" i="1" s="1"/>
  <c r="AT20" i="1" s="1"/>
  <c r="N20" i="1"/>
  <c r="X20" i="1"/>
  <c r="Y20" i="1" s="1"/>
  <c r="Q20" i="1"/>
  <c r="BN20" i="1"/>
  <c r="AG21" i="1"/>
  <c r="AH21" i="1" s="1"/>
  <c r="U22" i="1"/>
  <c r="AJ22" i="1"/>
  <c r="AK22" i="1" s="1"/>
  <c r="AL22" i="1" s="1"/>
  <c r="J22" i="1"/>
  <c r="AC22" i="1"/>
  <c r="K22" i="1"/>
  <c r="Z22" i="1"/>
  <c r="T22" i="1"/>
  <c r="AV22" i="1"/>
  <c r="AW22" i="1" s="1"/>
  <c r="AX22" i="1" s="1"/>
  <c r="S22" i="1"/>
  <c r="AD22" i="1"/>
  <c r="AR23" i="1"/>
  <c r="AS23" i="1" s="1"/>
  <c r="AT23" i="1" s="1"/>
  <c r="Q23" i="1"/>
  <c r="N23" i="1"/>
  <c r="X23" i="1"/>
  <c r="Y23" i="1" s="1"/>
  <c r="Q6" i="1"/>
  <c r="X6" i="1"/>
  <c r="Y6" i="1" s="1"/>
  <c r="AR6" i="1"/>
  <c r="AS6" i="1" s="1"/>
  <c r="AT6" i="1" s="1"/>
  <c r="N6" i="1"/>
  <c r="BQ10" i="1"/>
  <c r="AG11" i="1"/>
  <c r="AH11" i="1" s="1"/>
  <c r="AV12" i="1"/>
  <c r="AW12" i="1" s="1"/>
  <c r="AX12" i="1" s="1"/>
  <c r="T12" i="1"/>
  <c r="S12" i="1"/>
  <c r="Z12" i="1"/>
  <c r="BE13" i="1"/>
  <c r="BH14" i="1"/>
  <c r="BE17" i="1"/>
  <c r="P20" i="1"/>
  <c r="BN25" i="1"/>
  <c r="S17" i="1"/>
  <c r="AV17" i="1"/>
  <c r="AW17" i="1" s="1"/>
  <c r="AX17" i="1" s="1"/>
  <c r="Z17" i="1"/>
  <c r="T17" i="1"/>
  <c r="BP48" i="1"/>
  <c r="BQ5" i="1"/>
  <c r="BE6" i="1"/>
  <c r="BK8" i="1"/>
  <c r="BN9" i="1"/>
  <c r="BN6" i="1"/>
  <c r="X8" i="1"/>
  <c r="Y8" i="1" s="1"/>
  <c r="N8" i="1"/>
  <c r="AR8" i="1"/>
  <c r="AS8" i="1" s="1"/>
  <c r="AT8" i="1" s="1"/>
  <c r="Q8" i="1"/>
  <c r="BH9" i="1"/>
  <c r="P11" i="1"/>
  <c r="BN11" i="1"/>
  <c r="BQ12" i="1"/>
  <c r="AG13" i="1"/>
  <c r="AH13" i="1" s="1"/>
  <c r="AM48" i="1"/>
  <c r="AU48" i="1"/>
  <c r="BD48" i="1"/>
  <c r="BE5" i="1"/>
  <c r="BH6" i="1"/>
  <c r="BK7" i="1"/>
  <c r="AG8" i="1"/>
  <c r="AH8" i="1" s="1"/>
  <c r="BN8" i="1"/>
  <c r="AJ9" i="1"/>
  <c r="AK9" i="1" s="1"/>
  <c r="AL9" i="1" s="1"/>
  <c r="AC9" i="1"/>
  <c r="U9" i="1"/>
  <c r="K9" i="1"/>
  <c r="J9" i="1"/>
  <c r="BQ9" i="1"/>
  <c r="AR10" i="1"/>
  <c r="AS10" i="1" s="1"/>
  <c r="AT10" i="1" s="1"/>
  <c r="Q10" i="1"/>
  <c r="X10" i="1"/>
  <c r="Y10" i="1" s="1"/>
  <c r="N10" i="1"/>
  <c r="BE10" i="1"/>
  <c r="BH11" i="1"/>
  <c r="BK12" i="1"/>
  <c r="P13" i="1"/>
  <c r="BN13" i="1"/>
  <c r="BQ14" i="1"/>
  <c r="AG15" i="1"/>
  <c r="AH15" i="1" s="1"/>
  <c r="BQ15" i="1"/>
  <c r="P16" i="1"/>
  <c r="BN16" i="1"/>
  <c r="K17" i="1"/>
  <c r="AJ17" i="1"/>
  <c r="AK17" i="1" s="1"/>
  <c r="AL17" i="1" s="1"/>
  <c r="U17" i="1"/>
  <c r="J17" i="1"/>
  <c r="BQ17" i="1"/>
  <c r="BQ21" i="1"/>
  <c r="P22" i="1"/>
  <c r="BN22" i="1"/>
  <c r="K23" i="1"/>
  <c r="U23" i="1"/>
  <c r="AJ23" i="1"/>
  <c r="AK23" i="1" s="1"/>
  <c r="AL23" i="1" s="1"/>
  <c r="J23" i="1"/>
  <c r="AR25" i="1"/>
  <c r="AS25" i="1" s="1"/>
  <c r="AT25" i="1" s="1"/>
  <c r="N25" i="1"/>
  <c r="X25" i="1"/>
  <c r="Y25" i="1" s="1"/>
  <c r="Q25" i="1"/>
  <c r="M48" i="1"/>
  <c r="X5" i="1"/>
  <c r="N5" i="1"/>
  <c r="Q5" i="1"/>
  <c r="AR5" i="1"/>
  <c r="AE48" i="1"/>
  <c r="AQ48" i="1"/>
  <c r="X7" i="1"/>
  <c r="Y7" i="1" s="1"/>
  <c r="Q7" i="1"/>
  <c r="AR7" i="1"/>
  <c r="AS7" i="1" s="1"/>
  <c r="AT7" i="1" s="1"/>
  <c r="N7" i="1"/>
  <c r="X9" i="1"/>
  <c r="Y9" i="1" s="1"/>
  <c r="Q9" i="1"/>
  <c r="N9" i="1"/>
  <c r="AR9" i="1"/>
  <c r="AS9" i="1" s="1"/>
  <c r="AT9" i="1" s="1"/>
  <c r="X11" i="1"/>
  <c r="Y11" i="1" s="1"/>
  <c r="AR11" i="1"/>
  <c r="AS11" i="1" s="1"/>
  <c r="AT11" i="1" s="1"/>
  <c r="N11" i="1"/>
  <c r="Q11" i="1"/>
  <c r="X13" i="1"/>
  <c r="Y13" i="1" s="1"/>
  <c r="N13" i="1"/>
  <c r="Q13" i="1"/>
  <c r="AR13" i="1"/>
  <c r="AS13" i="1" s="1"/>
  <c r="AT13" i="1" s="1"/>
  <c r="X15" i="1"/>
  <c r="Y15" i="1" s="1"/>
  <c r="N15" i="1"/>
  <c r="Q15" i="1"/>
  <c r="AR15" i="1"/>
  <c r="AS15" i="1" s="1"/>
  <c r="AT15" i="1" s="1"/>
  <c r="BE15" i="1"/>
  <c r="AR16" i="1"/>
  <c r="AS16" i="1" s="1"/>
  <c r="AT16" i="1" s="1"/>
  <c r="N16" i="1"/>
  <c r="X16" i="1"/>
  <c r="Y16" i="1" s="1"/>
  <c r="Q16" i="1"/>
  <c r="P17" i="1"/>
  <c r="AJ18" i="1"/>
  <c r="AK18" i="1" s="1"/>
  <c r="AL18" i="1" s="1"/>
  <c r="J18" i="1"/>
  <c r="U18" i="1"/>
  <c r="K18" i="1"/>
  <c r="BH18" i="1"/>
  <c r="S19" i="1"/>
  <c r="AV19" i="1"/>
  <c r="AW19" i="1" s="1"/>
  <c r="AX19" i="1" s="1"/>
  <c r="Z19" i="1"/>
  <c r="T19" i="1"/>
  <c r="AG19" i="1"/>
  <c r="AH19" i="1" s="1"/>
  <c r="BQ19" i="1"/>
  <c r="Z20" i="1"/>
  <c r="T20" i="1"/>
  <c r="S20" i="1"/>
  <c r="AV20" i="1"/>
  <c r="AW20" i="1" s="1"/>
  <c r="AX20" i="1" s="1"/>
  <c r="AD20" i="1"/>
  <c r="Q21" i="1"/>
  <c r="X21" i="1"/>
  <c r="Y21" i="1" s="1"/>
  <c r="N21" i="1"/>
  <c r="AR21" i="1"/>
  <c r="AS21" i="1" s="1"/>
  <c r="AT21" i="1" s="1"/>
  <c r="BE21" i="1"/>
  <c r="AR22" i="1"/>
  <c r="AS22" i="1" s="1"/>
  <c r="AT22" i="1" s="1"/>
  <c r="N22" i="1"/>
  <c r="X22" i="1"/>
  <c r="Y22" i="1" s="1"/>
  <c r="Q22" i="1"/>
  <c r="P23" i="1"/>
  <c r="BH23" i="1"/>
  <c r="BQ24" i="1"/>
  <c r="K26" i="1"/>
  <c r="AJ26" i="1"/>
  <c r="AK26" i="1" s="1"/>
  <c r="AL26" i="1" s="1"/>
  <c r="U26" i="1"/>
  <c r="J26" i="1"/>
  <c r="BK26" i="1"/>
  <c r="Z27" i="1"/>
  <c r="T27" i="1"/>
  <c r="AV27" i="1"/>
  <c r="AW27" i="1" s="1"/>
  <c r="AX27" i="1" s="1"/>
  <c r="AD27" i="1"/>
  <c r="S27" i="1"/>
  <c r="BH27" i="1"/>
  <c r="Q30" i="1"/>
  <c r="X30" i="1"/>
  <c r="Y30" i="1" s="1"/>
  <c r="AR30" i="1"/>
  <c r="AS30" i="1" s="1"/>
  <c r="AT30" i="1" s="1"/>
  <c r="N30" i="1"/>
  <c r="BE30" i="1"/>
  <c r="P34" i="1"/>
  <c r="BQ34" i="1"/>
  <c r="AR35" i="1"/>
  <c r="AS35" i="1" s="1"/>
  <c r="AT35" i="1" s="1"/>
  <c r="N35" i="1"/>
  <c r="Q35" i="1"/>
  <c r="X35" i="1"/>
  <c r="Y35" i="1" s="1"/>
  <c r="BE36" i="1"/>
  <c r="Z41" i="1"/>
  <c r="T41" i="1"/>
  <c r="AV41" i="1"/>
  <c r="AW41" i="1" s="1"/>
  <c r="AX41" i="1" s="1"/>
  <c r="AD41" i="1"/>
  <c r="S41" i="1"/>
  <c r="AJ45" i="1"/>
  <c r="AK45" i="1" s="1"/>
  <c r="AL45" i="1" s="1"/>
  <c r="K45" i="1"/>
  <c r="U45" i="1"/>
  <c r="J45" i="1"/>
  <c r="BK28" i="1"/>
  <c r="BH29" i="1"/>
  <c r="BQ30" i="1"/>
  <c r="K32" i="1"/>
  <c r="AJ32" i="1"/>
  <c r="AK32" i="1" s="1"/>
  <c r="AL32" i="1" s="1"/>
  <c r="U32" i="1"/>
  <c r="J32" i="1"/>
  <c r="BK32" i="1"/>
  <c r="Z33" i="1"/>
  <c r="T33" i="1"/>
  <c r="AV33" i="1"/>
  <c r="AW33" i="1" s="1"/>
  <c r="AX33" i="1" s="1"/>
  <c r="AD33" i="1"/>
  <c r="S33" i="1"/>
  <c r="BH33" i="1"/>
  <c r="AR37" i="1"/>
  <c r="AS37" i="1" s="1"/>
  <c r="AT37" i="1" s="1"/>
  <c r="N37" i="1"/>
  <c r="X37" i="1"/>
  <c r="Y37" i="1" s="1"/>
  <c r="Q37" i="1"/>
  <c r="Q26" i="1"/>
  <c r="X26" i="1"/>
  <c r="Y26" i="1" s="1"/>
  <c r="N26" i="1"/>
  <c r="AR26" i="1"/>
  <c r="AS26" i="1" s="1"/>
  <c r="AT26" i="1" s="1"/>
  <c r="BE26" i="1"/>
  <c r="K28" i="1"/>
  <c r="AJ28" i="1"/>
  <c r="AK28" i="1" s="1"/>
  <c r="AL28" i="1" s="1"/>
  <c r="J28" i="1"/>
  <c r="U28" i="1"/>
  <c r="AG28" i="1"/>
  <c r="AH28" i="1" s="1"/>
  <c r="P30" i="1"/>
  <c r="AR31" i="1"/>
  <c r="AS31" i="1" s="1"/>
  <c r="AT31" i="1" s="1"/>
  <c r="N31" i="1"/>
  <c r="X31" i="1"/>
  <c r="Y31" i="1" s="1"/>
  <c r="Q31" i="1"/>
  <c r="BN31" i="1"/>
  <c r="BK34" i="1"/>
  <c r="P37" i="1"/>
  <c r="BE38" i="1"/>
  <c r="BQ38" i="1"/>
  <c r="AJ47" i="1"/>
  <c r="AK47" i="1" s="1"/>
  <c r="AL47" i="1" s="1"/>
  <c r="K47" i="1"/>
  <c r="J47" i="1"/>
  <c r="U47" i="1"/>
  <c r="K24" i="1"/>
  <c r="AJ24" i="1"/>
  <c r="AK24" i="1" s="1"/>
  <c r="AL24" i="1" s="1"/>
  <c r="U24" i="1"/>
  <c r="J24" i="1"/>
  <c r="Z25" i="1"/>
  <c r="T25" i="1"/>
  <c r="AD25" i="1"/>
  <c r="S25" i="1"/>
  <c r="AV25" i="1"/>
  <c r="AW25" i="1" s="1"/>
  <c r="AX25" i="1" s="1"/>
  <c r="P26" i="1"/>
  <c r="AR27" i="1"/>
  <c r="AS27" i="1" s="1"/>
  <c r="AT27" i="1" s="1"/>
  <c r="N27" i="1"/>
  <c r="Q27" i="1"/>
  <c r="X27" i="1"/>
  <c r="Y27" i="1" s="1"/>
  <c r="Q28" i="1"/>
  <c r="X28" i="1"/>
  <c r="Y28" i="1" s="1"/>
  <c r="N28" i="1"/>
  <c r="AR28" i="1"/>
  <c r="AS28" i="1" s="1"/>
  <c r="AT28" i="1" s="1"/>
  <c r="Q32" i="1"/>
  <c r="X32" i="1"/>
  <c r="Y32" i="1" s="1"/>
  <c r="N32" i="1"/>
  <c r="AR32" i="1"/>
  <c r="AS32" i="1" s="1"/>
  <c r="AT32" i="1" s="1"/>
  <c r="BE32" i="1"/>
  <c r="K34" i="1"/>
  <c r="AJ34" i="1"/>
  <c r="AK34" i="1" s="1"/>
  <c r="AL34" i="1" s="1"/>
  <c r="J34" i="1"/>
  <c r="U34" i="1"/>
  <c r="AG34" i="1"/>
  <c r="AH34" i="1" s="1"/>
  <c r="Q36" i="1"/>
  <c r="X36" i="1"/>
  <c r="Y36" i="1" s="1"/>
  <c r="N36" i="1"/>
  <c r="AR36" i="1"/>
  <c r="AS36" i="1" s="1"/>
  <c r="AT36" i="1" s="1"/>
  <c r="BN37" i="1"/>
  <c r="Q38" i="1"/>
  <c r="X38" i="1"/>
  <c r="Y38" i="1" s="1"/>
  <c r="AR38" i="1"/>
  <c r="AS38" i="1" s="1"/>
  <c r="AT38" i="1" s="1"/>
  <c r="N38" i="1"/>
  <c r="AR39" i="1"/>
  <c r="AS39" i="1" s="1"/>
  <c r="AT39" i="1" s="1"/>
  <c r="N39" i="1"/>
  <c r="X39" i="1"/>
  <c r="Y39" i="1" s="1"/>
  <c r="Q39" i="1"/>
  <c r="P40" i="1"/>
  <c r="U41" i="1"/>
  <c r="AJ41" i="1"/>
  <c r="AK41" i="1" s="1"/>
  <c r="AL41" i="1" s="1"/>
  <c r="AC41" i="1"/>
  <c r="J41" i="1"/>
  <c r="K41" i="1"/>
  <c r="BH41" i="1"/>
  <c r="Q44" i="1"/>
  <c r="X44" i="1"/>
  <c r="Y44" i="1" s="1"/>
  <c r="AR44" i="1"/>
  <c r="AS44" i="1" s="1"/>
  <c r="AT44" i="1" s="1"/>
  <c r="N44" i="1"/>
  <c r="P46" i="1"/>
  <c r="BN23" i="1"/>
  <c r="AG24" i="1"/>
  <c r="AH24" i="1" s="1"/>
  <c r="K30" i="1"/>
  <c r="AJ30" i="1"/>
  <c r="AK30" i="1" s="1"/>
  <c r="AL30" i="1" s="1"/>
  <c r="U30" i="1"/>
  <c r="J30" i="1"/>
  <c r="Z31" i="1"/>
  <c r="T31" i="1"/>
  <c r="AD31" i="1"/>
  <c r="S31" i="1"/>
  <c r="AV31" i="1"/>
  <c r="AW31" i="1" s="1"/>
  <c r="AX31" i="1" s="1"/>
  <c r="P32" i="1"/>
  <c r="AR33" i="1"/>
  <c r="AS33" i="1" s="1"/>
  <c r="AT33" i="1" s="1"/>
  <c r="N33" i="1"/>
  <c r="X33" i="1"/>
  <c r="Y33" i="1" s="1"/>
  <c r="Q33" i="1"/>
  <c r="Q34" i="1"/>
  <c r="X34" i="1"/>
  <c r="Y34" i="1" s="1"/>
  <c r="N34" i="1"/>
  <c r="AR34" i="1"/>
  <c r="AS34" i="1" s="1"/>
  <c r="AT34" i="1" s="1"/>
  <c r="BK36" i="1"/>
  <c r="L48" i="1"/>
  <c r="R48" i="1"/>
  <c r="AV5" i="1"/>
  <c r="S5" i="1"/>
  <c r="T5" i="1"/>
  <c r="Z5" i="1"/>
  <c r="U6" i="1"/>
  <c r="J6" i="1"/>
  <c r="AJ6" i="1"/>
  <c r="AK6" i="1" s="1"/>
  <c r="AL6" i="1" s="1"/>
  <c r="K6" i="1"/>
  <c r="AC6" i="1"/>
  <c r="P6" i="1"/>
  <c r="AV7" i="1"/>
  <c r="AW7" i="1" s="1"/>
  <c r="AX7" i="1" s="1"/>
  <c r="S7" i="1"/>
  <c r="T7" i="1"/>
  <c r="Z7" i="1"/>
  <c r="U8" i="1"/>
  <c r="J8" i="1"/>
  <c r="AC8" i="1"/>
  <c r="K8" i="1"/>
  <c r="AJ8" i="1"/>
  <c r="AK8" i="1" s="1"/>
  <c r="AL8" i="1" s="1"/>
  <c r="P8" i="1"/>
  <c r="AV9" i="1"/>
  <c r="AW9" i="1" s="1"/>
  <c r="AX9" i="1" s="1"/>
  <c r="S9" i="1"/>
  <c r="Z9" i="1"/>
  <c r="T9" i="1"/>
  <c r="U10" i="1"/>
  <c r="J10" i="1"/>
  <c r="K10" i="1"/>
  <c r="AJ10" i="1"/>
  <c r="AK10" i="1" s="1"/>
  <c r="AL10" i="1" s="1"/>
  <c r="P10" i="1"/>
  <c r="AV11" i="1"/>
  <c r="AW11" i="1" s="1"/>
  <c r="AX11" i="1" s="1"/>
  <c r="S11" i="1"/>
  <c r="Z11" i="1"/>
  <c r="T11" i="1"/>
  <c r="U12" i="1"/>
  <c r="J12" i="1"/>
  <c r="AJ12" i="1"/>
  <c r="AK12" i="1" s="1"/>
  <c r="AL12" i="1" s="1"/>
  <c r="K12" i="1"/>
  <c r="P12" i="1"/>
  <c r="AV13" i="1"/>
  <c r="AW13" i="1" s="1"/>
  <c r="AX13" i="1" s="1"/>
  <c r="S13" i="1"/>
  <c r="T13" i="1"/>
  <c r="Z13" i="1"/>
  <c r="U14" i="1"/>
  <c r="J14" i="1"/>
  <c r="K14" i="1"/>
  <c r="AJ14" i="1"/>
  <c r="AK14" i="1" s="1"/>
  <c r="AL14" i="1" s="1"/>
  <c r="P14" i="1"/>
  <c r="AV15" i="1"/>
  <c r="AW15" i="1" s="1"/>
  <c r="AX15" i="1" s="1"/>
  <c r="S15" i="1"/>
  <c r="T15" i="1"/>
  <c r="Z15" i="1"/>
  <c r="BK15" i="1"/>
  <c r="P18" i="1"/>
  <c r="BN18" i="1"/>
  <c r="K19" i="1"/>
  <c r="J19" i="1"/>
  <c r="U19" i="1"/>
  <c r="AJ19" i="1"/>
  <c r="AK19" i="1" s="1"/>
  <c r="AL19" i="1" s="1"/>
  <c r="BK21" i="1"/>
  <c r="Q24" i="1"/>
  <c r="X24" i="1"/>
  <c r="Y24" i="1" s="1"/>
  <c r="AR24" i="1"/>
  <c r="AS24" i="1" s="1"/>
  <c r="AT24" i="1" s="1"/>
  <c r="N24" i="1"/>
  <c r="BE24" i="1"/>
  <c r="P28" i="1"/>
  <c r="BQ28" i="1"/>
  <c r="AR29" i="1"/>
  <c r="AS29" i="1" s="1"/>
  <c r="AT29" i="1" s="1"/>
  <c r="N29" i="1"/>
  <c r="X29" i="1"/>
  <c r="Y29" i="1" s="1"/>
  <c r="Q29" i="1"/>
  <c r="BN29" i="1"/>
  <c r="AG30" i="1"/>
  <c r="AH30" i="1" s="1"/>
  <c r="P36" i="1"/>
  <c r="J37" i="1"/>
  <c r="K37" i="1"/>
  <c r="U37" i="1"/>
  <c r="AJ37" i="1"/>
  <c r="AK37" i="1" s="1"/>
  <c r="AL37" i="1" s="1"/>
  <c r="BH37" i="1"/>
  <c r="P38" i="1"/>
  <c r="AG38" i="1"/>
  <c r="AH38" i="1" s="1"/>
  <c r="T40" i="1"/>
  <c r="S40" i="1"/>
  <c r="AV40" i="1"/>
  <c r="AW40" i="1" s="1"/>
  <c r="AX40" i="1" s="1"/>
  <c r="Z40" i="1"/>
  <c r="BQ40" i="1"/>
  <c r="T42" i="1"/>
  <c r="AV42" i="1"/>
  <c r="AW42" i="1" s="1"/>
  <c r="AX42" i="1" s="1"/>
  <c r="Z42" i="1"/>
  <c r="S42" i="1"/>
  <c r="BN43" i="1"/>
  <c r="BQ42" i="1"/>
  <c r="K44" i="1"/>
  <c r="J44" i="1"/>
  <c r="AJ44" i="1"/>
  <c r="AK44" i="1" s="1"/>
  <c r="AL44" i="1" s="1"/>
  <c r="U44" i="1"/>
  <c r="BE44" i="1"/>
  <c r="AR46" i="1"/>
  <c r="AS46" i="1" s="1"/>
  <c r="AT46" i="1" s="1"/>
  <c r="N46" i="1"/>
  <c r="Q46" i="1"/>
  <c r="X46" i="1"/>
  <c r="Y46" i="1" s="1"/>
  <c r="BH15" i="1"/>
  <c r="BN15" i="1"/>
  <c r="AG16" i="1"/>
  <c r="AH16" i="1" s="1"/>
  <c r="BE16" i="1"/>
  <c r="BK16" i="1"/>
  <c r="BQ16" i="1"/>
  <c r="BH17" i="1"/>
  <c r="BN17" i="1"/>
  <c r="AG18" i="1"/>
  <c r="AH18" i="1" s="1"/>
  <c r="BE18" i="1"/>
  <c r="BK18" i="1"/>
  <c r="BQ18" i="1"/>
  <c r="BH19" i="1"/>
  <c r="BN19" i="1"/>
  <c r="AG20" i="1"/>
  <c r="AH20" i="1" s="1"/>
  <c r="BE20" i="1"/>
  <c r="BK20" i="1"/>
  <c r="BQ20" i="1"/>
  <c r="BH21" i="1"/>
  <c r="BN21" i="1"/>
  <c r="AG22" i="1"/>
  <c r="AH22" i="1" s="1"/>
  <c r="BE22" i="1"/>
  <c r="BK22" i="1"/>
  <c r="BQ22" i="1"/>
  <c r="BK24" i="1"/>
  <c r="BH25" i="1"/>
  <c r="AG26" i="1"/>
  <c r="AH26" i="1" s="1"/>
  <c r="BQ26" i="1"/>
  <c r="BN27" i="1"/>
  <c r="BE28" i="1"/>
  <c r="Z29" i="1"/>
  <c r="T29" i="1"/>
  <c r="AD29" i="1"/>
  <c r="S29" i="1"/>
  <c r="AV29" i="1"/>
  <c r="AW29" i="1" s="1"/>
  <c r="AX29" i="1" s="1"/>
  <c r="BK30" i="1"/>
  <c r="BH31" i="1"/>
  <c r="AG32" i="1"/>
  <c r="AH32" i="1" s="1"/>
  <c r="BQ32" i="1"/>
  <c r="BN33" i="1"/>
  <c r="BE34" i="1"/>
  <c r="Z35" i="1"/>
  <c r="T35" i="1"/>
  <c r="AD35" i="1"/>
  <c r="S35" i="1"/>
  <c r="AV35" i="1"/>
  <c r="AW35" i="1" s="1"/>
  <c r="AX35" i="1" s="1"/>
  <c r="Z39" i="1"/>
  <c r="T39" i="1"/>
  <c r="AV39" i="1"/>
  <c r="AW39" i="1" s="1"/>
  <c r="AX39" i="1" s="1"/>
  <c r="AD39" i="1"/>
  <c r="S39" i="1"/>
  <c r="BH39" i="1"/>
  <c r="Q42" i="1"/>
  <c r="AR42" i="1"/>
  <c r="AS42" i="1" s="1"/>
  <c r="AT42" i="1" s="1"/>
  <c r="X42" i="1"/>
  <c r="Y42" i="1" s="1"/>
  <c r="N42" i="1"/>
  <c r="BE42" i="1"/>
  <c r="AR43" i="1"/>
  <c r="AS43" i="1" s="1"/>
  <c r="AT43" i="1" s="1"/>
  <c r="N43" i="1"/>
  <c r="X43" i="1"/>
  <c r="Y43" i="1" s="1"/>
  <c r="Q43" i="1"/>
  <c r="AV24" i="1"/>
  <c r="AW24" i="1" s="1"/>
  <c r="AX24" i="1" s="1"/>
  <c r="Z24" i="1"/>
  <c r="T24" i="1"/>
  <c r="S24" i="1"/>
  <c r="U25" i="1"/>
  <c r="K25" i="1"/>
  <c r="J25" i="1"/>
  <c r="AC25" i="1"/>
  <c r="AJ25" i="1"/>
  <c r="AK25" i="1" s="1"/>
  <c r="AL25" i="1" s="1"/>
  <c r="P25" i="1"/>
  <c r="AV26" i="1"/>
  <c r="AW26" i="1" s="1"/>
  <c r="AX26" i="1" s="1"/>
  <c r="S26" i="1"/>
  <c r="Z26" i="1"/>
  <c r="T26" i="1"/>
  <c r="U27" i="1"/>
  <c r="AJ27" i="1"/>
  <c r="AK27" i="1" s="1"/>
  <c r="AL27" i="1" s="1"/>
  <c r="K27" i="1"/>
  <c r="J27" i="1"/>
  <c r="AC27" i="1"/>
  <c r="P27" i="1"/>
  <c r="AV28" i="1"/>
  <c r="AW28" i="1" s="1"/>
  <c r="AX28" i="1" s="1"/>
  <c r="T28" i="1"/>
  <c r="Z28" i="1"/>
  <c r="S28" i="1"/>
  <c r="U29" i="1"/>
  <c r="AJ29" i="1"/>
  <c r="AK29" i="1" s="1"/>
  <c r="AL29" i="1" s="1"/>
  <c r="J29" i="1"/>
  <c r="K29" i="1"/>
  <c r="P29" i="1"/>
  <c r="AV30" i="1"/>
  <c r="AW30" i="1" s="1"/>
  <c r="AX30" i="1" s="1"/>
  <c r="Z30" i="1"/>
  <c r="T30" i="1"/>
  <c r="S30" i="1"/>
  <c r="U31" i="1"/>
  <c r="J31" i="1"/>
  <c r="AC31" i="1"/>
  <c r="AJ31" i="1"/>
  <c r="AK31" i="1" s="1"/>
  <c r="AL31" i="1" s="1"/>
  <c r="K31" i="1"/>
  <c r="P31" i="1"/>
  <c r="AV32" i="1"/>
  <c r="AW32" i="1" s="1"/>
  <c r="AX32" i="1" s="1"/>
  <c r="Z32" i="1"/>
  <c r="T32" i="1"/>
  <c r="S32" i="1"/>
  <c r="U33" i="1"/>
  <c r="AJ33" i="1"/>
  <c r="AK33" i="1" s="1"/>
  <c r="AL33" i="1" s="1"/>
  <c r="K33" i="1"/>
  <c r="J33" i="1"/>
  <c r="AC33" i="1"/>
  <c r="P33" i="1"/>
  <c r="AV34" i="1"/>
  <c r="AW34" i="1" s="1"/>
  <c r="AX34" i="1" s="1"/>
  <c r="T34" i="1"/>
  <c r="S34" i="1"/>
  <c r="Z34" i="1"/>
  <c r="U35" i="1"/>
  <c r="AJ35" i="1"/>
  <c r="AK35" i="1" s="1"/>
  <c r="AL35" i="1" s="1"/>
  <c r="J35" i="1"/>
  <c r="K35" i="1"/>
  <c r="P35" i="1"/>
  <c r="BH35" i="1"/>
  <c r="Z36" i="1"/>
  <c r="AV36" i="1"/>
  <c r="AW36" i="1" s="1"/>
  <c r="AX36" i="1" s="1"/>
  <c r="T36" i="1"/>
  <c r="S36" i="1"/>
  <c r="AG36" i="1"/>
  <c r="AH36" i="1" s="1"/>
  <c r="BQ36" i="1"/>
  <c r="Z37" i="1"/>
  <c r="T37" i="1"/>
  <c r="S37" i="1"/>
  <c r="AV37" i="1"/>
  <c r="AW37" i="1" s="1"/>
  <c r="AX37" i="1" s="1"/>
  <c r="AD37" i="1"/>
  <c r="K38" i="1"/>
  <c r="AJ38" i="1"/>
  <c r="AK38" i="1" s="1"/>
  <c r="AL38" i="1" s="1"/>
  <c r="U38" i="1"/>
  <c r="J38" i="1"/>
  <c r="BN39" i="1"/>
  <c r="AG40" i="1"/>
  <c r="AH40" i="1" s="1"/>
  <c r="BK42" i="1"/>
  <c r="Z43" i="1"/>
  <c r="T43" i="1"/>
  <c r="AD43" i="1"/>
  <c r="AV43" i="1"/>
  <c r="AW43" i="1" s="1"/>
  <c r="AX43" i="1" s="1"/>
  <c r="S43" i="1"/>
  <c r="P45" i="1"/>
  <c r="AG23" i="1"/>
  <c r="AH23" i="1" s="1"/>
  <c r="BE23" i="1"/>
  <c r="BK23" i="1"/>
  <c r="BQ23" i="1"/>
  <c r="BH24" i="1"/>
  <c r="BN24" i="1"/>
  <c r="AG25" i="1"/>
  <c r="AH25" i="1" s="1"/>
  <c r="BE25" i="1"/>
  <c r="BK25" i="1"/>
  <c r="BQ25" i="1"/>
  <c r="BH26" i="1"/>
  <c r="BN26" i="1"/>
  <c r="AG27" i="1"/>
  <c r="AH27" i="1" s="1"/>
  <c r="BE27" i="1"/>
  <c r="BK27" i="1"/>
  <c r="BQ27" i="1"/>
  <c r="BH28" i="1"/>
  <c r="BN28" i="1"/>
  <c r="AG29" i="1"/>
  <c r="AH29" i="1" s="1"/>
  <c r="BE29" i="1"/>
  <c r="BK29" i="1"/>
  <c r="BQ29" i="1"/>
  <c r="BH30" i="1"/>
  <c r="BN30" i="1"/>
  <c r="AG31" i="1"/>
  <c r="AH31" i="1" s="1"/>
  <c r="BE31" i="1"/>
  <c r="BK31" i="1"/>
  <c r="BQ31" i="1"/>
  <c r="BH32" i="1"/>
  <c r="BN32" i="1"/>
  <c r="AG33" i="1"/>
  <c r="AH33" i="1" s="1"/>
  <c r="BE33" i="1"/>
  <c r="BK33" i="1"/>
  <c r="BQ33" i="1"/>
  <c r="BH34" i="1"/>
  <c r="BN34" i="1"/>
  <c r="AG35" i="1"/>
  <c r="AH35" i="1" s="1"/>
  <c r="BN35" i="1"/>
  <c r="K36" i="1"/>
  <c r="J36" i="1"/>
  <c r="U36" i="1"/>
  <c r="AJ36" i="1"/>
  <c r="AK36" i="1" s="1"/>
  <c r="AL36" i="1" s="1"/>
  <c r="BK38" i="1"/>
  <c r="K40" i="1"/>
  <c r="AJ40" i="1"/>
  <c r="AK40" i="1" s="1"/>
  <c r="AL40" i="1" s="1"/>
  <c r="U40" i="1"/>
  <c r="J40" i="1"/>
  <c r="BK40" i="1"/>
  <c r="AG42" i="1"/>
  <c r="AH42" i="1" s="1"/>
  <c r="P43" i="1"/>
  <c r="P44" i="1"/>
  <c r="AR45" i="1"/>
  <c r="AS45" i="1" s="1"/>
  <c r="AT45" i="1" s="1"/>
  <c r="N45" i="1"/>
  <c r="X45" i="1"/>
  <c r="Y45" i="1" s="1"/>
  <c r="Q45" i="1"/>
  <c r="P47" i="1"/>
  <c r="AV38" i="1"/>
  <c r="AW38" i="1" s="1"/>
  <c r="AX38" i="1" s="1"/>
  <c r="Z38" i="1"/>
  <c r="S38" i="1"/>
  <c r="T38" i="1"/>
  <c r="U39" i="1"/>
  <c r="AJ39" i="1"/>
  <c r="AK39" i="1" s="1"/>
  <c r="AL39" i="1" s="1"/>
  <c r="AC39" i="1"/>
  <c r="K39" i="1"/>
  <c r="J39" i="1"/>
  <c r="P39" i="1"/>
  <c r="P41" i="1"/>
  <c r="BN41" i="1"/>
  <c r="K42" i="1"/>
  <c r="J42" i="1"/>
  <c r="U42" i="1"/>
  <c r="AJ42" i="1"/>
  <c r="AK42" i="1" s="1"/>
  <c r="AL42" i="1" s="1"/>
  <c r="BK44" i="1"/>
  <c r="K46" i="1"/>
  <c r="AJ46" i="1"/>
  <c r="AK46" i="1" s="1"/>
  <c r="AL46" i="1" s="1"/>
  <c r="U46" i="1"/>
  <c r="J46" i="1"/>
  <c r="Z46" i="1"/>
  <c r="T46" i="1"/>
  <c r="AV46" i="1"/>
  <c r="AW46" i="1" s="1"/>
  <c r="AX46" i="1" s="1"/>
  <c r="AD46" i="1"/>
  <c r="S46" i="1"/>
  <c r="X47" i="1"/>
  <c r="Y47" i="1" s="1"/>
  <c r="Q47" i="1"/>
  <c r="AR47" i="1"/>
  <c r="AS47" i="1" s="1"/>
  <c r="AT47" i="1" s="1"/>
  <c r="N47" i="1"/>
  <c r="BE35" i="1"/>
  <c r="BK35" i="1"/>
  <c r="BQ35" i="1"/>
  <c r="BH36" i="1"/>
  <c r="BN36" i="1"/>
  <c r="AG37" i="1"/>
  <c r="AH37" i="1" s="1"/>
  <c r="BE37" i="1"/>
  <c r="BK37" i="1"/>
  <c r="BQ37" i="1"/>
  <c r="BH38" i="1"/>
  <c r="BN38" i="1"/>
  <c r="Q40" i="1"/>
  <c r="N40" i="1"/>
  <c r="AR40" i="1"/>
  <c r="AS40" i="1" s="1"/>
  <c r="AT40" i="1" s="1"/>
  <c r="X40" i="1"/>
  <c r="Y40" i="1" s="1"/>
  <c r="BE40" i="1"/>
  <c r="AR41" i="1"/>
  <c r="AS41" i="1" s="1"/>
  <c r="AT41" i="1" s="1"/>
  <c r="N41" i="1"/>
  <c r="Q41" i="1"/>
  <c r="X41" i="1"/>
  <c r="Y41" i="1" s="1"/>
  <c r="P42" i="1"/>
  <c r="J43" i="1"/>
  <c r="AJ43" i="1"/>
  <c r="AK43" i="1" s="1"/>
  <c r="AL43" i="1" s="1"/>
  <c r="AC43" i="1"/>
  <c r="U43" i="1"/>
  <c r="K43" i="1"/>
  <c r="BH43" i="1"/>
  <c r="AV44" i="1"/>
  <c r="AW44" i="1" s="1"/>
  <c r="AX44" i="1" s="1"/>
  <c r="Z44" i="1"/>
  <c r="S44" i="1"/>
  <c r="T44" i="1"/>
  <c r="AD44" i="1"/>
  <c r="AG44" i="1"/>
  <c r="AH44" i="1" s="1"/>
  <c r="BQ44" i="1"/>
  <c r="Z45" i="1"/>
  <c r="T45" i="1"/>
  <c r="S45" i="1"/>
  <c r="AD45" i="1"/>
  <c r="AV45" i="1"/>
  <c r="AW45" i="1" s="1"/>
  <c r="AX45" i="1" s="1"/>
  <c r="AG39" i="1"/>
  <c r="AH39" i="1" s="1"/>
  <c r="BE39" i="1"/>
  <c r="BK39" i="1"/>
  <c r="BQ39" i="1"/>
  <c r="BH40" i="1"/>
  <c r="BN40" i="1"/>
  <c r="AG41" i="1"/>
  <c r="AH41" i="1" s="1"/>
  <c r="BE41" i="1"/>
  <c r="BK41" i="1"/>
  <c r="BQ41" i="1"/>
  <c r="BH42" i="1"/>
  <c r="BN42" i="1"/>
  <c r="AG43" i="1"/>
  <c r="AH43" i="1" s="1"/>
  <c r="BE43" i="1"/>
  <c r="BK43" i="1"/>
  <c r="BQ43" i="1"/>
  <c r="BH44" i="1"/>
  <c r="BN44" i="1"/>
  <c r="AG45" i="1"/>
  <c r="AH45" i="1" s="1"/>
  <c r="BE45" i="1"/>
  <c r="BK45" i="1"/>
  <c r="BQ45" i="1"/>
  <c r="BH46" i="1"/>
  <c r="BN46" i="1"/>
  <c r="AG47" i="1"/>
  <c r="AH47" i="1" s="1"/>
  <c r="BE47" i="1"/>
  <c r="BK47" i="1"/>
  <c r="BQ47" i="1"/>
  <c r="BH45" i="1"/>
  <c r="BN45" i="1"/>
  <c r="AG46" i="1"/>
  <c r="AH46" i="1" s="1"/>
  <c r="BE46" i="1"/>
  <c r="BK46" i="1"/>
  <c r="BQ46" i="1"/>
  <c r="BH47" i="1"/>
  <c r="BN47" i="1"/>
  <c r="AV47" i="1"/>
  <c r="AW47" i="1" s="1"/>
  <c r="AX47" i="1" s="1"/>
  <c r="Z47" i="1"/>
  <c r="T47" i="1"/>
  <c r="S47" i="1"/>
  <c r="AD12" i="1"/>
  <c r="AD21" i="1"/>
  <c r="H48" i="1"/>
  <c r="AD5" i="1"/>
  <c r="AC10" i="1"/>
  <c r="AD10" i="1"/>
  <c r="AD19" i="1"/>
  <c r="AC14" i="1"/>
  <c r="AC20" i="1"/>
  <c r="AD8" i="1"/>
  <c r="AD14" i="1"/>
  <c r="AC12" i="1"/>
  <c r="AD7" i="1"/>
  <c r="AD17" i="1"/>
  <c r="BL48" i="1"/>
  <c r="AD13" i="1"/>
  <c r="AD36" i="1"/>
  <c r="AD15" i="1"/>
  <c r="AC18" i="1"/>
  <c r="AD40" i="1"/>
  <c r="AC19" i="1"/>
  <c r="AC23" i="1"/>
  <c r="AC29" i="1"/>
  <c r="AC35" i="1"/>
  <c r="AD9" i="1"/>
  <c r="AD11" i="1"/>
  <c r="AC21" i="1"/>
  <c r="AC24" i="1"/>
  <c r="G48" i="1"/>
  <c r="BC48" i="1"/>
  <c r="BI48" i="1"/>
  <c r="BO48" i="1"/>
  <c r="AD23" i="1"/>
  <c r="AC28" i="1"/>
  <c r="AD32" i="1"/>
  <c r="AC38" i="1"/>
  <c r="AD28" i="1"/>
  <c r="AC34" i="1"/>
  <c r="AC36" i="1"/>
  <c r="AC46" i="1"/>
  <c r="AD47" i="1"/>
  <c r="AC30" i="1"/>
  <c r="AD34" i="1"/>
  <c r="AC37" i="1"/>
  <c r="AC42" i="1"/>
  <c r="AC26" i="1"/>
  <c r="AD42" i="1"/>
  <c r="AC45" i="1"/>
  <c r="AC17" i="1"/>
  <c r="AD26" i="1"/>
  <c r="AC32" i="1"/>
  <c r="AC47" i="1"/>
  <c r="AD24" i="1"/>
  <c r="AD30" i="1"/>
  <c r="AC44" i="1"/>
  <c r="AD38" i="1"/>
  <c r="AC40" i="1"/>
  <c r="FD38" i="3" l="1"/>
  <c r="FA38" i="3"/>
  <c r="AR38" i="3"/>
  <c r="AR35" i="3"/>
  <c r="AR9" i="3"/>
  <c r="AR23" i="3"/>
  <c r="AR13" i="3"/>
  <c r="AU41" i="3"/>
  <c r="AU33" i="3"/>
  <c r="AU34" i="3"/>
  <c r="AU19" i="3"/>
  <c r="AR19" i="3"/>
  <c r="N120" i="5"/>
  <c r="O120" i="5"/>
  <c r="I120" i="5"/>
  <c r="X120" i="5"/>
  <c r="Y120" i="5" s="1"/>
  <c r="Y5" i="5"/>
  <c r="Q120" i="5"/>
  <c r="W120" i="5"/>
  <c r="T120" i="5"/>
  <c r="U120" i="5" s="1"/>
  <c r="U5" i="5"/>
  <c r="J120" i="5"/>
  <c r="S120" i="5"/>
  <c r="FC42" i="3"/>
  <c r="K42" i="3"/>
  <c r="BG41" i="3"/>
  <c r="AF44" i="3"/>
  <c r="FD33" i="3"/>
  <c r="FA47" i="3"/>
  <c r="EZ47" i="3"/>
  <c r="EZ45" i="3"/>
  <c r="FB45" i="3" s="1"/>
  <c r="FD28" i="3"/>
  <c r="FD43" i="3"/>
  <c r="FA37" i="3"/>
  <c r="W46" i="3"/>
  <c r="AO45" i="3"/>
  <c r="FC44" i="3"/>
  <c r="K44" i="3"/>
  <c r="AC43" i="3"/>
  <c r="BV34" i="3"/>
  <c r="W34" i="3"/>
  <c r="BG38" i="3"/>
  <c r="FC35" i="3"/>
  <c r="K35" i="3"/>
  <c r="CH45" i="3"/>
  <c r="BA44" i="3"/>
  <c r="AO39" i="3"/>
  <c r="BS36" i="3"/>
  <c r="W36" i="3"/>
  <c r="FC36" i="3"/>
  <c r="H34" i="3"/>
  <c r="EZ34" i="3"/>
  <c r="FB34" i="3" s="1"/>
  <c r="W27" i="3"/>
  <c r="FC16" i="3"/>
  <c r="K16" i="3"/>
  <c r="FC12" i="3"/>
  <c r="FE12" i="3" s="1"/>
  <c r="K12" i="3"/>
  <c r="FC10" i="3"/>
  <c r="FE10" i="3" s="1"/>
  <c r="K10" i="3"/>
  <c r="EZ40" i="3"/>
  <c r="BY38" i="3"/>
  <c r="FA30" i="3"/>
  <c r="FD45" i="3"/>
  <c r="DC29" i="3"/>
  <c r="FD29" i="3"/>
  <c r="BP29" i="3"/>
  <c r="W32" i="3"/>
  <c r="AR32" i="3"/>
  <c r="FC47" i="3"/>
  <c r="K47" i="3"/>
  <c r="BS45" i="3"/>
  <c r="FD46" i="3"/>
  <c r="W44" i="3"/>
  <c r="T39" i="3"/>
  <c r="FD41" i="3"/>
  <c r="W33" i="3"/>
  <c r="FC33" i="3"/>
  <c r="K33" i="3"/>
  <c r="BJ36" i="3"/>
  <c r="N36" i="3"/>
  <c r="CE36" i="3"/>
  <c r="BG36" i="3"/>
  <c r="CK36" i="3"/>
  <c r="FA34" i="3"/>
  <c r="BD34" i="3"/>
  <c r="AO31" i="3"/>
  <c r="CQ31" i="3"/>
  <c r="AU27" i="3"/>
  <c r="K27" i="3"/>
  <c r="FC27" i="3"/>
  <c r="Z24" i="3"/>
  <c r="EZ24" i="3"/>
  <c r="FB24" i="3" s="1"/>
  <c r="EZ42" i="3"/>
  <c r="EZ30" i="3"/>
  <c r="FB30" i="3" s="1"/>
  <c r="EZ27" i="3"/>
  <c r="H27" i="3"/>
  <c r="BG27" i="3"/>
  <c r="FD36" i="3"/>
  <c r="BY35" i="3"/>
  <c r="CB35" i="3"/>
  <c r="H35" i="3"/>
  <c r="EZ35" i="3"/>
  <c r="AX35" i="3"/>
  <c r="DC35" i="3"/>
  <c r="FA15" i="3"/>
  <c r="AL15" i="3"/>
  <c r="EZ37" i="3"/>
  <c r="BM29" i="3"/>
  <c r="AI29" i="3"/>
  <c r="CH29" i="3"/>
  <c r="FD24" i="3"/>
  <c r="Z32" i="3"/>
  <c r="CK32" i="3"/>
  <c r="FC31" i="3"/>
  <c r="H31" i="3"/>
  <c r="BY23" i="3"/>
  <c r="EZ20" i="3"/>
  <c r="FB20" i="3" s="1"/>
  <c r="CT17" i="3"/>
  <c r="FA13" i="3"/>
  <c r="BS6" i="3"/>
  <c r="AC6" i="3"/>
  <c r="AO13" i="3"/>
  <c r="AX23" i="3"/>
  <c r="CW23" i="3"/>
  <c r="AC23" i="3"/>
  <c r="BV23" i="3"/>
  <c r="AF19" i="3"/>
  <c r="AI19" i="3"/>
  <c r="CK19" i="3"/>
  <c r="AX17" i="3"/>
  <c r="BV17" i="3"/>
  <c r="T22" i="3"/>
  <c r="FD26" i="3"/>
  <c r="AO10" i="3"/>
  <c r="AI7" i="3"/>
  <c r="K6" i="3"/>
  <c r="FC6" i="3"/>
  <c r="EZ8" i="3"/>
  <c r="P48" i="3"/>
  <c r="V48" i="3"/>
  <c r="R48" i="3"/>
  <c r="T5" i="3"/>
  <c r="BL48" i="3"/>
  <c r="DT48" i="3"/>
  <c r="DU48" i="3" s="1"/>
  <c r="DU5" i="3"/>
  <c r="AE48" i="3"/>
  <c r="CA48" i="3"/>
  <c r="BI48" i="3"/>
  <c r="AG48" i="3"/>
  <c r="AI48" i="3" s="1"/>
  <c r="AI5" i="3"/>
  <c r="CO48" i="3"/>
  <c r="CQ5" i="3"/>
  <c r="BU48" i="3"/>
  <c r="EX48" i="3"/>
  <c r="EY48" i="3" s="1"/>
  <c r="EY5" i="3"/>
  <c r="FA21" i="3"/>
  <c r="CK11" i="3"/>
  <c r="AI11" i="3"/>
  <c r="AX11" i="3"/>
  <c r="AC11" i="3"/>
  <c r="BV11" i="3"/>
  <c r="EF48" i="3"/>
  <c r="EG48" i="3" s="1"/>
  <c r="EG5" i="3"/>
  <c r="DW48" i="3"/>
  <c r="DX48" i="3" s="1"/>
  <c r="DX5" i="3"/>
  <c r="T10" i="3"/>
  <c r="EZ46" i="3"/>
  <c r="H46" i="3"/>
  <c r="H41" i="3"/>
  <c r="EZ41" i="3"/>
  <c r="FB41" i="3" s="1"/>
  <c r="FA42" i="3"/>
  <c r="CT35" i="3"/>
  <c r="FC34" i="3"/>
  <c r="T24" i="3"/>
  <c r="AX29" i="3"/>
  <c r="EZ29" i="3"/>
  <c r="FB29" i="3" s="1"/>
  <c r="H29" i="3"/>
  <c r="BG29" i="3"/>
  <c r="EZ31" i="3"/>
  <c r="FB31" i="3" s="1"/>
  <c r="EZ28" i="3"/>
  <c r="FD16" i="3"/>
  <c r="FC9" i="3"/>
  <c r="FE9" i="3" s="1"/>
  <c r="K13" i="3"/>
  <c r="FC13" i="3"/>
  <c r="FE13" i="3" s="1"/>
  <c r="EZ25" i="3"/>
  <c r="H25" i="3"/>
  <c r="K23" i="3"/>
  <c r="FC23" i="3"/>
  <c r="BD23" i="3"/>
  <c r="EZ22" i="3"/>
  <c r="FB22" i="3" s="1"/>
  <c r="N19" i="3"/>
  <c r="AO19" i="3"/>
  <c r="FC21" i="3"/>
  <c r="DC17" i="3"/>
  <c r="FD17" i="3"/>
  <c r="FD6" i="3"/>
  <c r="T16" i="3"/>
  <c r="FA6" i="3"/>
  <c r="FC17" i="3"/>
  <c r="AZ48" i="3"/>
  <c r="AP48" i="3"/>
  <c r="AR5" i="3"/>
  <c r="BC48" i="3"/>
  <c r="AH48" i="3"/>
  <c r="BR48" i="3"/>
  <c r="EC48" i="3"/>
  <c r="ED48" i="3" s="1"/>
  <c r="ED5" i="3"/>
  <c r="DH48" i="3"/>
  <c r="DI48" i="3" s="1"/>
  <c r="DI5" i="3"/>
  <c r="CS48" i="3"/>
  <c r="DA48" i="3"/>
  <c r="DC5" i="3"/>
  <c r="AM48" i="3"/>
  <c r="AO48" i="3" s="1"/>
  <c r="AO5" i="3"/>
  <c r="CV48" i="3"/>
  <c r="BZ48" i="3"/>
  <c r="CB5" i="3"/>
  <c r="CX48" i="3"/>
  <c r="CZ48" i="3" s="1"/>
  <c r="DC11" i="3"/>
  <c r="BD11" i="3"/>
  <c r="AO12" i="3"/>
  <c r="CT5" i="3"/>
  <c r="AO20" i="3"/>
  <c r="FD20" i="3"/>
  <c r="FC30" i="3"/>
  <c r="FE30" i="3" s="1"/>
  <c r="K30" i="3"/>
  <c r="FC24" i="3"/>
  <c r="K24" i="3"/>
  <c r="EZ18" i="3"/>
  <c r="Z18" i="3"/>
  <c r="Z14" i="3"/>
  <c r="EZ14" i="3"/>
  <c r="FB14" i="3" s="1"/>
  <c r="EZ12" i="3"/>
  <c r="Z12" i="3"/>
  <c r="FD40" i="3"/>
  <c r="EZ33" i="3"/>
  <c r="EZ32" i="3"/>
  <c r="FB32" i="3" s="1"/>
  <c r="H32" i="3"/>
  <c r="FD15" i="3"/>
  <c r="EZ9" i="3"/>
  <c r="H9" i="3"/>
  <c r="BS30" i="3"/>
  <c r="BD29" i="3"/>
  <c r="CT29" i="3"/>
  <c r="FC32" i="3"/>
  <c r="K32" i="3"/>
  <c r="AU32" i="3"/>
  <c r="AO32" i="3"/>
  <c r="CW32" i="3"/>
  <c r="FA39" i="3"/>
  <c r="CW13" i="3"/>
  <c r="K9" i="3"/>
  <c r="FC8" i="3"/>
  <c r="K8" i="3"/>
  <c r="Q13" i="3"/>
  <c r="K25" i="3"/>
  <c r="FC25" i="3"/>
  <c r="FE25" i="3" s="1"/>
  <c r="FD25" i="3"/>
  <c r="DC25" i="3"/>
  <c r="FD23" i="3"/>
  <c r="FA23" i="3"/>
  <c r="BM23" i="3"/>
  <c r="K19" i="3"/>
  <c r="FC19" i="3"/>
  <c r="FE19" i="3" s="1"/>
  <c r="CQ19" i="3"/>
  <c r="EZ26" i="3"/>
  <c r="Z17" i="3"/>
  <c r="FA8" i="3"/>
  <c r="FD7" i="3"/>
  <c r="EZ6" i="3"/>
  <c r="FB6" i="3" s="1"/>
  <c r="X48" i="3"/>
  <c r="Z5" i="3"/>
  <c r="S48" i="3"/>
  <c r="BB48" i="3"/>
  <c r="BD48" i="3" s="1"/>
  <c r="BD5" i="3"/>
  <c r="BO48" i="3"/>
  <c r="AN48" i="3"/>
  <c r="BX48" i="3"/>
  <c r="EL48" i="3"/>
  <c r="EM48" i="3" s="1"/>
  <c r="EM5" i="3"/>
  <c r="U48" i="3"/>
  <c r="W5" i="3"/>
  <c r="EO48" i="3"/>
  <c r="EP48" i="3" s="1"/>
  <c r="EP5" i="3"/>
  <c r="DZ48" i="3"/>
  <c r="EA48" i="3" s="1"/>
  <c r="EA5" i="3"/>
  <c r="BQ48" i="3"/>
  <c r="BS5" i="3"/>
  <c r="DB48" i="3"/>
  <c r="CP48" i="3"/>
  <c r="Z11" i="3"/>
  <c r="CQ11" i="3"/>
  <c r="O48" i="3"/>
  <c r="CR48" i="3"/>
  <c r="CT48" i="3" s="1"/>
  <c r="K40" i="3"/>
  <c r="FC40" i="3"/>
  <c r="FE40" i="3" s="1"/>
  <c r="EZ43" i="3"/>
  <c r="FB43" i="3" s="1"/>
  <c r="H43" i="3"/>
  <c r="FC43" i="3"/>
  <c r="EZ36" i="3"/>
  <c r="H36" i="3"/>
  <c r="W31" i="3"/>
  <c r="FD21" i="3"/>
  <c r="EZ15" i="3"/>
  <c r="FB15" i="3" s="1"/>
  <c r="H15" i="3"/>
  <c r="Q29" i="3"/>
  <c r="AC29" i="3"/>
  <c r="CT32" i="3"/>
  <c r="BJ32" i="3"/>
  <c r="BD32" i="3"/>
  <c r="FA33" i="3"/>
  <c r="FD8" i="3"/>
  <c r="FC7" i="3"/>
  <c r="K7" i="3"/>
  <c r="EZ13" i="3"/>
  <c r="H13" i="3"/>
  <c r="BG13" i="3"/>
  <c r="CN25" i="3"/>
  <c r="T25" i="3"/>
  <c r="BM25" i="3"/>
  <c r="AC25" i="3"/>
  <c r="BV25" i="3"/>
  <c r="Z23" i="3"/>
  <c r="FA20" i="3"/>
  <c r="AF17" i="3"/>
  <c r="FD13" i="3"/>
  <c r="FA7" i="3"/>
  <c r="CE6" i="3"/>
  <c r="I48" i="3"/>
  <c r="K48" i="3" s="1"/>
  <c r="FC5" i="3"/>
  <c r="K5" i="3"/>
  <c r="EZ16" i="3"/>
  <c r="FB16" i="3" s="1"/>
  <c r="DE48" i="3"/>
  <c r="DF48" i="3" s="1"/>
  <c r="DF5" i="3"/>
  <c r="BN48" i="3"/>
  <c r="BP48" i="3" s="1"/>
  <c r="BP5" i="3"/>
  <c r="DQ48" i="3"/>
  <c r="DR48" i="3" s="1"/>
  <c r="DR5" i="3"/>
  <c r="AS48" i="3"/>
  <c r="AU48" i="3" s="1"/>
  <c r="AU5" i="3"/>
  <c r="CD48" i="3"/>
  <c r="AJ48" i="3"/>
  <c r="AL5" i="3"/>
  <c r="AV48" i="3"/>
  <c r="AX5" i="3"/>
  <c r="AA48" i="3"/>
  <c r="AC48" i="3" s="1"/>
  <c r="AC5" i="3"/>
  <c r="G48" i="3"/>
  <c r="FA5" i="3"/>
  <c r="BW48" i="3"/>
  <c r="BY48" i="3" s="1"/>
  <c r="BY5" i="3"/>
  <c r="AQ48" i="3"/>
  <c r="CU48" i="3"/>
  <c r="CW48" i="3" s="1"/>
  <c r="CW5" i="3"/>
  <c r="FD11" i="3"/>
  <c r="K11" i="3"/>
  <c r="FC11" i="3"/>
  <c r="FE11" i="3" s="1"/>
  <c r="Y48" i="3"/>
  <c r="FD47" i="3"/>
  <c r="AC46" i="3"/>
  <c r="BM35" i="3"/>
  <c r="FA32" i="3"/>
  <c r="CE13" i="3"/>
  <c r="BS25" i="3"/>
  <c r="CB23" i="3"/>
  <c r="EZ23" i="3"/>
  <c r="H23" i="3"/>
  <c r="BG23" i="3"/>
  <c r="BY19" i="3"/>
  <c r="EZ19" i="3"/>
  <c r="FB19" i="3" s="1"/>
  <c r="H19" i="3"/>
  <c r="BG19" i="3"/>
  <c r="BS17" i="3"/>
  <c r="FA17" i="3"/>
  <c r="AL17" i="3"/>
  <c r="EZ17" i="3"/>
  <c r="FB17" i="3" s="1"/>
  <c r="H17" i="3"/>
  <c r="BG17" i="3"/>
  <c r="BA23" i="3"/>
  <c r="BJ13" i="3"/>
  <c r="FD14" i="3"/>
  <c r="CL48" i="3"/>
  <c r="CN48" i="3" s="1"/>
  <c r="CN5" i="3"/>
  <c r="CF48" i="3"/>
  <c r="CH5" i="3"/>
  <c r="CG48" i="3"/>
  <c r="ER48" i="3"/>
  <c r="ES48" i="3" s="1"/>
  <c r="ES5" i="3"/>
  <c r="AY48" i="3"/>
  <c r="BA5" i="3"/>
  <c r="CJ48" i="3"/>
  <c r="CM48" i="3"/>
  <c r="BH48" i="3"/>
  <c r="BJ5" i="3"/>
  <c r="AK48" i="3"/>
  <c r="L48" i="3"/>
  <c r="N5" i="3"/>
  <c r="CC48" i="3"/>
  <c r="CE48" i="3" s="1"/>
  <c r="CE5" i="3"/>
  <c r="BF48" i="3"/>
  <c r="DN48" i="3"/>
  <c r="DO48" i="3" s="1"/>
  <c r="DO5" i="3"/>
  <c r="FA14" i="3"/>
  <c r="AO11" i="3"/>
  <c r="FA11" i="3"/>
  <c r="EZ11" i="3"/>
  <c r="FB11" i="3" s="1"/>
  <c r="H11" i="3"/>
  <c r="J48" i="3"/>
  <c r="FD5" i="3"/>
  <c r="FD18" i="3"/>
  <c r="AU36" i="3"/>
  <c r="FC37" i="3"/>
  <c r="FE37" i="3" s="1"/>
  <c r="K37" i="3"/>
  <c r="EZ39" i="3"/>
  <c r="FA36" i="3"/>
  <c r="K41" i="3"/>
  <c r="FC41" i="3"/>
  <c r="FE41" i="3" s="1"/>
  <c r="FA46" i="3"/>
  <c r="AO33" i="3"/>
  <c r="BP34" i="3"/>
  <c r="T18" i="3"/>
  <c r="FA18" i="3"/>
  <c r="T12" i="3"/>
  <c r="FA12" i="3"/>
  <c r="AF38" i="3"/>
  <c r="K38" i="3"/>
  <c r="FC38" i="3"/>
  <c r="FE38" i="3" s="1"/>
  <c r="H38" i="3"/>
  <c r="EZ38" i="3"/>
  <c r="FB38" i="3" s="1"/>
  <c r="FD35" i="3"/>
  <c r="K45" i="3"/>
  <c r="FC45" i="3"/>
  <c r="FD42" i="3"/>
  <c r="FC39" i="3"/>
  <c r="FE39" i="3" s="1"/>
  <c r="K39" i="3"/>
  <c r="AI33" i="3"/>
  <c r="FA26" i="3"/>
  <c r="CB33" i="3"/>
  <c r="BP36" i="3"/>
  <c r="K22" i="3"/>
  <c r="FC22" i="3"/>
  <c r="FE22" i="3" s="1"/>
  <c r="FC20" i="3"/>
  <c r="FE20" i="3" s="1"/>
  <c r="K20" i="3"/>
  <c r="FC18" i="3"/>
  <c r="K18" i="3"/>
  <c r="FC14" i="3"/>
  <c r="K14" i="3"/>
  <c r="FA40" i="3"/>
  <c r="FA35" i="3"/>
  <c r="EZ21" i="3"/>
  <c r="FB21" i="3" s="1"/>
  <c r="H21" i="3"/>
  <c r="AF29" i="3"/>
  <c r="BG32" i="3"/>
  <c r="BY32" i="3"/>
  <c r="FD34" i="3"/>
  <c r="FA29" i="3"/>
  <c r="FA27" i="3"/>
  <c r="Q8" i="3"/>
  <c r="AU46" i="3"/>
  <c r="K46" i="3"/>
  <c r="FC46" i="3"/>
  <c r="FE46" i="3" s="1"/>
  <c r="T45" i="3"/>
  <c r="FD44" i="3"/>
  <c r="FA43" i="3"/>
  <c r="AR43" i="3"/>
  <c r="CQ43" i="3"/>
  <c r="CH39" i="3"/>
  <c r="EZ44" i="3"/>
  <c r="FB44" i="3" s="1"/>
  <c r="FA41" i="3"/>
  <c r="CQ33" i="3"/>
  <c r="AC33" i="3"/>
  <c r="FC28" i="3"/>
  <c r="FE28" i="3" s="1"/>
  <c r="K28" i="3"/>
  <c r="FC26" i="3"/>
  <c r="K26" i="3"/>
  <c r="CB36" i="3"/>
  <c r="BG34" i="3"/>
  <c r="N34" i="3"/>
  <c r="AX34" i="3"/>
  <c r="AL34" i="3"/>
  <c r="CK34" i="3"/>
  <c r="CK31" i="3"/>
  <c r="FD31" i="3"/>
  <c r="Q27" i="3"/>
  <c r="FD27" i="3"/>
  <c r="AU38" i="3"/>
  <c r="CW38" i="3"/>
  <c r="AI38" i="3"/>
  <c r="AC38" i="3"/>
  <c r="BV38" i="3"/>
  <c r="BA38" i="3"/>
  <c r="CZ38" i="3"/>
  <c r="Z35" i="3"/>
  <c r="CE35" i="3"/>
  <c r="BG35" i="3"/>
  <c r="AO35" i="3"/>
  <c r="FA9" i="3"/>
  <c r="W29" i="3"/>
  <c r="K29" i="3"/>
  <c r="FC29" i="3"/>
  <c r="AL29" i="3"/>
  <c r="CB29" i="3"/>
  <c r="AR29" i="3"/>
  <c r="FD32" i="3"/>
  <c r="CE32" i="3"/>
  <c r="N32" i="3"/>
  <c r="AO28" i="3"/>
  <c r="Q17" i="3"/>
  <c r="BS8" i="3"/>
  <c r="BY6" i="3"/>
  <c r="AI6" i="3"/>
  <c r="AI13" i="3"/>
  <c r="CK13" i="3"/>
  <c r="AC13" i="3"/>
  <c r="BV13" i="3"/>
  <c r="BY25" i="3"/>
  <c r="FA25" i="3"/>
  <c r="AR25" i="3"/>
  <c r="CQ25" i="3"/>
  <c r="DC23" i="3"/>
  <c r="AI23" i="3"/>
  <c r="AX19" i="3"/>
  <c r="CE19" i="3"/>
  <c r="AI17" i="3"/>
  <c r="CH17" i="3"/>
  <c r="FA28" i="3"/>
  <c r="BP13" i="3"/>
  <c r="AU6" i="3"/>
  <c r="Z13" i="3"/>
  <c r="EZ7" i="3"/>
  <c r="AD48" i="3"/>
  <c r="AF48" i="3" s="1"/>
  <c r="AF5" i="3"/>
  <c r="F48" i="3"/>
  <c r="H48" i="3" s="1"/>
  <c r="EZ5" i="3"/>
  <c r="H5" i="3"/>
  <c r="M48" i="3"/>
  <c r="BE48" i="3"/>
  <c r="BG5" i="3"/>
  <c r="DK48" i="3"/>
  <c r="DL48" i="3" s="1"/>
  <c r="DL5" i="3"/>
  <c r="CY48" i="3"/>
  <c r="BT48" i="3"/>
  <c r="BV5" i="3"/>
  <c r="AW48" i="3"/>
  <c r="AB48" i="3"/>
  <c r="CI48" i="3"/>
  <c r="CK5" i="3"/>
  <c r="BK48" i="3"/>
  <c r="BM48" i="3" s="1"/>
  <c r="BM5" i="3"/>
  <c r="EI48" i="3"/>
  <c r="EJ48" i="3" s="1"/>
  <c r="EJ5" i="3"/>
  <c r="FD22" i="3"/>
  <c r="FC15" i="3"/>
  <c r="BS11" i="3"/>
  <c r="CT11" i="3"/>
  <c r="AU11" i="3"/>
  <c r="EZ10" i="3"/>
  <c r="FB10" i="3" s="1"/>
  <c r="EU48" i="3"/>
  <c r="EV48" i="3" s="1"/>
  <c r="AZ11" i="1"/>
  <c r="BA11" i="1" s="1"/>
  <c r="BB11" i="1" s="1"/>
  <c r="AB11" i="1"/>
  <c r="AA11" i="1"/>
  <c r="AB7" i="1"/>
  <c r="AZ7" i="1"/>
  <c r="BA7" i="1" s="1"/>
  <c r="BB7" i="1" s="1"/>
  <c r="AA7" i="1"/>
  <c r="AA31" i="1"/>
  <c r="AB31" i="1"/>
  <c r="AZ31" i="1"/>
  <c r="BA31" i="1" s="1"/>
  <c r="BB31" i="1" s="1"/>
  <c r="W47" i="1"/>
  <c r="AN47" i="1"/>
  <c r="AO47" i="1" s="1"/>
  <c r="AP47" i="1" s="1"/>
  <c r="V47" i="1"/>
  <c r="W32" i="1"/>
  <c r="AN32" i="1"/>
  <c r="AO32" i="1" s="1"/>
  <c r="AP32" i="1" s="1"/>
  <c r="V32" i="1"/>
  <c r="AA20" i="1"/>
  <c r="AZ20" i="1"/>
  <c r="BA20" i="1" s="1"/>
  <c r="BB20" i="1" s="1"/>
  <c r="AB20" i="1"/>
  <c r="W9" i="1"/>
  <c r="AN9" i="1"/>
  <c r="AO9" i="1" s="1"/>
  <c r="AP9" i="1" s="1"/>
  <c r="V9" i="1"/>
  <c r="V16" i="1"/>
  <c r="AN16" i="1"/>
  <c r="AO16" i="1" s="1"/>
  <c r="AP16" i="1" s="1"/>
  <c r="W16" i="1"/>
  <c r="AA21" i="1"/>
  <c r="AB21" i="1"/>
  <c r="AZ21" i="1"/>
  <c r="BA21" i="1" s="1"/>
  <c r="BB21" i="1" s="1"/>
  <c r="K48" i="1"/>
  <c r="J48" i="1"/>
  <c r="AN14" i="1"/>
  <c r="AO14" i="1" s="1"/>
  <c r="AP14" i="1" s="1"/>
  <c r="V14" i="1"/>
  <c r="W14" i="1"/>
  <c r="AN10" i="1"/>
  <c r="AO10" i="1" s="1"/>
  <c r="AP10" i="1" s="1"/>
  <c r="V10" i="1"/>
  <c r="W10" i="1"/>
  <c r="AV48" i="1"/>
  <c r="AW48" i="1" s="1"/>
  <c r="AX48" i="1" s="1"/>
  <c r="AW5" i="1"/>
  <c r="AX5" i="1" s="1"/>
  <c r="AA25" i="1"/>
  <c r="AZ25" i="1"/>
  <c r="BA25" i="1" s="1"/>
  <c r="BB25" i="1" s="1"/>
  <c r="AB25" i="1"/>
  <c r="W45" i="1"/>
  <c r="AN45" i="1"/>
  <c r="AO45" i="1" s="1"/>
  <c r="AP45" i="1" s="1"/>
  <c r="V45" i="1"/>
  <c r="X48" i="1"/>
  <c r="Y48" i="1" s="1"/>
  <c r="Y5" i="1"/>
  <c r="BQ48" i="1"/>
  <c r="AA16" i="1"/>
  <c r="AB16" i="1"/>
  <c r="AZ16" i="1"/>
  <c r="BA16" i="1" s="1"/>
  <c r="BB16" i="1" s="1"/>
  <c r="AA10" i="1"/>
  <c r="AZ10" i="1"/>
  <c r="BA10" i="1" s="1"/>
  <c r="BB10" i="1" s="1"/>
  <c r="AB10" i="1"/>
  <c r="AA8" i="1"/>
  <c r="AZ8" i="1"/>
  <c r="BA8" i="1" s="1"/>
  <c r="BB8" i="1" s="1"/>
  <c r="AB8" i="1"/>
  <c r="W42" i="1"/>
  <c r="V42" i="1"/>
  <c r="AN42" i="1"/>
  <c r="AO42" i="1" s="1"/>
  <c r="AP42" i="1" s="1"/>
  <c r="W19" i="1"/>
  <c r="AN19" i="1"/>
  <c r="AO19" i="1" s="1"/>
  <c r="AP19" i="1" s="1"/>
  <c r="V19" i="1"/>
  <c r="W26" i="1"/>
  <c r="AN26" i="1"/>
  <c r="AO26" i="1" s="1"/>
  <c r="AP26" i="1" s="1"/>
  <c r="V26" i="1"/>
  <c r="AJ48" i="1"/>
  <c r="AK48" i="1" s="1"/>
  <c r="AL48" i="1" s="1"/>
  <c r="AK5" i="1"/>
  <c r="AL5" i="1" s="1"/>
  <c r="W46" i="1"/>
  <c r="V46" i="1"/>
  <c r="AN46" i="1"/>
  <c r="AO46" i="1" s="1"/>
  <c r="AP46" i="1" s="1"/>
  <c r="AZ38" i="1"/>
  <c r="BA38" i="1" s="1"/>
  <c r="BB38" i="1" s="1"/>
  <c r="AA38" i="1"/>
  <c r="AB38" i="1"/>
  <c r="W40" i="1"/>
  <c r="AN40" i="1"/>
  <c r="AO40" i="1" s="1"/>
  <c r="AP40" i="1" s="1"/>
  <c r="V40" i="1"/>
  <c r="AN27" i="1"/>
  <c r="AO27" i="1" s="1"/>
  <c r="AP27" i="1" s="1"/>
  <c r="V27" i="1"/>
  <c r="W27" i="1"/>
  <c r="W43" i="1"/>
  <c r="AN43" i="1"/>
  <c r="AO43" i="1" s="1"/>
  <c r="AP43" i="1" s="1"/>
  <c r="V43" i="1"/>
  <c r="AN33" i="1"/>
  <c r="AO33" i="1" s="1"/>
  <c r="AP33" i="1" s="1"/>
  <c r="V33" i="1"/>
  <c r="W33" i="1"/>
  <c r="AZ24" i="1"/>
  <c r="BA24" i="1" s="1"/>
  <c r="BB24" i="1" s="1"/>
  <c r="AA24" i="1"/>
  <c r="AB24" i="1"/>
  <c r="W38" i="1"/>
  <c r="AN38" i="1"/>
  <c r="AO38" i="1" s="1"/>
  <c r="AP38" i="1" s="1"/>
  <c r="V38" i="1"/>
  <c r="AZ30" i="1"/>
  <c r="BA30" i="1" s="1"/>
  <c r="BB30" i="1" s="1"/>
  <c r="AB30" i="1"/>
  <c r="AA30" i="1"/>
  <c r="W29" i="1"/>
  <c r="V29" i="1"/>
  <c r="AN29" i="1"/>
  <c r="AO29" i="1" s="1"/>
  <c r="AP29" i="1" s="1"/>
  <c r="AB26" i="1"/>
  <c r="AA26" i="1"/>
  <c r="AZ26" i="1"/>
  <c r="BA26" i="1" s="1"/>
  <c r="BB26" i="1" s="1"/>
  <c r="AA40" i="1"/>
  <c r="AB40" i="1"/>
  <c r="AZ40" i="1"/>
  <c r="BA40" i="1" s="1"/>
  <c r="BB40" i="1" s="1"/>
  <c r="AB13" i="1"/>
  <c r="AA13" i="1"/>
  <c r="AZ13" i="1"/>
  <c r="BA13" i="1" s="1"/>
  <c r="BB13" i="1" s="1"/>
  <c r="T48" i="1"/>
  <c r="S48" i="1"/>
  <c r="W30" i="1"/>
  <c r="AN30" i="1"/>
  <c r="AO30" i="1" s="1"/>
  <c r="AP30" i="1" s="1"/>
  <c r="V30" i="1"/>
  <c r="AB41" i="1"/>
  <c r="AA41" i="1"/>
  <c r="AZ41" i="1"/>
  <c r="BA41" i="1" s="1"/>
  <c r="BB41" i="1" s="1"/>
  <c r="AA27" i="1"/>
  <c r="AB27" i="1"/>
  <c r="AZ27" i="1"/>
  <c r="BA27" i="1" s="1"/>
  <c r="BB27" i="1" s="1"/>
  <c r="N48" i="1"/>
  <c r="Q48" i="1"/>
  <c r="BE48" i="1"/>
  <c r="W21" i="1"/>
  <c r="AN21" i="1"/>
  <c r="AO21" i="1" s="1"/>
  <c r="AP21" i="1" s="1"/>
  <c r="V21" i="1"/>
  <c r="AN20" i="1"/>
  <c r="AO20" i="1" s="1"/>
  <c r="AP20" i="1" s="1"/>
  <c r="W20" i="1"/>
  <c r="V20" i="1"/>
  <c r="BN48" i="1"/>
  <c r="P48" i="1"/>
  <c r="W44" i="1"/>
  <c r="AN44" i="1"/>
  <c r="AO44" i="1" s="1"/>
  <c r="AP44" i="1" s="1"/>
  <c r="V44" i="1"/>
  <c r="AA9" i="1"/>
  <c r="AB9" i="1"/>
  <c r="AZ9" i="1"/>
  <c r="BA9" i="1" s="1"/>
  <c r="BB9" i="1" s="1"/>
  <c r="AN6" i="1"/>
  <c r="AO6" i="1" s="1"/>
  <c r="AP6" i="1" s="1"/>
  <c r="V6" i="1"/>
  <c r="W6" i="1"/>
  <c r="W34" i="1"/>
  <c r="V34" i="1"/>
  <c r="AN34" i="1"/>
  <c r="AO34" i="1" s="1"/>
  <c r="AP34" i="1" s="1"/>
  <c r="W24" i="1"/>
  <c r="V24" i="1"/>
  <c r="AN24" i="1"/>
  <c r="AO24" i="1" s="1"/>
  <c r="AP24" i="1" s="1"/>
  <c r="W28" i="1"/>
  <c r="V28" i="1"/>
  <c r="AN28" i="1"/>
  <c r="AO28" i="1" s="1"/>
  <c r="AP28" i="1" s="1"/>
  <c r="AA33" i="1"/>
  <c r="AZ33" i="1"/>
  <c r="BA33" i="1" s="1"/>
  <c r="BB33" i="1" s="1"/>
  <c r="AB33" i="1"/>
  <c r="V18" i="1"/>
  <c r="W18" i="1"/>
  <c r="AN18" i="1"/>
  <c r="AO18" i="1" s="1"/>
  <c r="AP18" i="1" s="1"/>
  <c r="W23" i="1"/>
  <c r="AN23" i="1"/>
  <c r="AO23" i="1" s="1"/>
  <c r="AP23" i="1" s="1"/>
  <c r="V23" i="1"/>
  <c r="AY48" i="1"/>
  <c r="AB17" i="1"/>
  <c r="AZ17" i="1"/>
  <c r="BA17" i="1" s="1"/>
  <c r="BB17" i="1" s="1"/>
  <c r="AA17" i="1"/>
  <c r="AN11" i="1"/>
  <c r="AO11" i="1" s="1"/>
  <c r="AP11" i="1" s="1"/>
  <c r="V11" i="1"/>
  <c r="W11" i="1"/>
  <c r="AA6" i="1"/>
  <c r="AZ6" i="1"/>
  <c r="BA6" i="1" s="1"/>
  <c r="BB6" i="1" s="1"/>
  <c r="AB6" i="1"/>
  <c r="AA23" i="1"/>
  <c r="AB23" i="1"/>
  <c r="AZ23" i="1"/>
  <c r="BA23" i="1" s="1"/>
  <c r="BB23" i="1" s="1"/>
  <c r="AA14" i="1"/>
  <c r="AZ14" i="1"/>
  <c r="BA14" i="1" s="1"/>
  <c r="BB14" i="1" s="1"/>
  <c r="AB14" i="1"/>
  <c r="W7" i="1"/>
  <c r="V7" i="1"/>
  <c r="AN7" i="1"/>
  <c r="AO7" i="1" s="1"/>
  <c r="AP7" i="1" s="1"/>
  <c r="BK48" i="1"/>
  <c r="U48" i="1"/>
  <c r="AN5" i="1"/>
  <c r="V5" i="1"/>
  <c r="W5" i="1"/>
  <c r="W36" i="1"/>
  <c r="AN36" i="1"/>
  <c r="AO36" i="1" s="1"/>
  <c r="AP36" i="1" s="1"/>
  <c r="V36" i="1"/>
  <c r="AN31" i="1"/>
  <c r="AO31" i="1" s="1"/>
  <c r="AP31" i="1" s="1"/>
  <c r="W31" i="1"/>
  <c r="V31" i="1"/>
  <c r="AA39" i="1"/>
  <c r="AZ39" i="1"/>
  <c r="BA39" i="1" s="1"/>
  <c r="BB39" i="1" s="1"/>
  <c r="AB39" i="1"/>
  <c r="AB15" i="1"/>
  <c r="AA15" i="1"/>
  <c r="AZ15" i="1"/>
  <c r="BA15" i="1" s="1"/>
  <c r="BB15" i="1" s="1"/>
  <c r="AN8" i="1"/>
  <c r="AO8" i="1" s="1"/>
  <c r="AP8" i="1" s="1"/>
  <c r="V8" i="1"/>
  <c r="W8" i="1"/>
  <c r="V41" i="1"/>
  <c r="W41" i="1"/>
  <c r="AN41" i="1"/>
  <c r="AO41" i="1" s="1"/>
  <c r="AP41" i="1" s="1"/>
  <c r="AA12" i="1"/>
  <c r="AZ12" i="1"/>
  <c r="BA12" i="1" s="1"/>
  <c r="BB12" i="1" s="1"/>
  <c r="AB12" i="1"/>
  <c r="AA22" i="1"/>
  <c r="AB22" i="1"/>
  <c r="AZ22" i="1"/>
  <c r="BA22" i="1" s="1"/>
  <c r="BB22" i="1" s="1"/>
  <c r="AD48" i="1"/>
  <c r="AZ47" i="1"/>
  <c r="BA47" i="1" s="1"/>
  <c r="BB47" i="1" s="1"/>
  <c r="AA47" i="1"/>
  <c r="AB47" i="1"/>
  <c r="AA45" i="1"/>
  <c r="AB45" i="1"/>
  <c r="AZ45" i="1"/>
  <c r="BA45" i="1" s="1"/>
  <c r="BB45" i="1" s="1"/>
  <c r="AA44" i="1"/>
  <c r="AB44" i="1"/>
  <c r="AZ44" i="1"/>
  <c r="BA44" i="1" s="1"/>
  <c r="BB44" i="1" s="1"/>
  <c r="AN39" i="1"/>
  <c r="AO39" i="1" s="1"/>
  <c r="AP39" i="1" s="1"/>
  <c r="V39" i="1"/>
  <c r="W39" i="1"/>
  <c r="AZ43" i="1"/>
  <c r="BA43" i="1" s="1"/>
  <c r="BB43" i="1" s="1"/>
  <c r="AA43" i="1"/>
  <c r="AB43" i="1"/>
  <c r="AZ37" i="1"/>
  <c r="BA37" i="1" s="1"/>
  <c r="BB37" i="1" s="1"/>
  <c r="AB37" i="1"/>
  <c r="AA37" i="1"/>
  <c r="AZ36" i="1"/>
  <c r="BA36" i="1" s="1"/>
  <c r="BB36" i="1" s="1"/>
  <c r="AB36" i="1"/>
  <c r="AA36" i="1"/>
  <c r="W35" i="1"/>
  <c r="V35" i="1"/>
  <c r="AN35" i="1"/>
  <c r="AO35" i="1" s="1"/>
  <c r="AP35" i="1" s="1"/>
  <c r="AA29" i="1"/>
  <c r="AB29" i="1"/>
  <c r="AZ29" i="1"/>
  <c r="BA29" i="1" s="1"/>
  <c r="BB29" i="1" s="1"/>
  <c r="AZ46" i="1"/>
  <c r="BA46" i="1" s="1"/>
  <c r="BB46" i="1" s="1"/>
  <c r="AA46" i="1"/>
  <c r="AB46" i="1"/>
  <c r="AB34" i="1"/>
  <c r="AZ34" i="1"/>
  <c r="BA34" i="1" s="1"/>
  <c r="BB34" i="1" s="1"/>
  <c r="AA34" i="1"/>
  <c r="AA32" i="1"/>
  <c r="AZ32" i="1"/>
  <c r="BA32" i="1" s="1"/>
  <c r="BB32" i="1" s="1"/>
  <c r="AB32" i="1"/>
  <c r="AB28" i="1"/>
  <c r="AZ28" i="1"/>
  <c r="BA28" i="1" s="1"/>
  <c r="BB28" i="1" s="1"/>
  <c r="AA28" i="1"/>
  <c r="V25" i="1"/>
  <c r="AN25" i="1"/>
  <c r="AO25" i="1" s="1"/>
  <c r="AP25" i="1" s="1"/>
  <c r="W25" i="1"/>
  <c r="AZ35" i="1"/>
  <c r="BA35" i="1" s="1"/>
  <c r="BB35" i="1" s="1"/>
  <c r="AA35" i="1"/>
  <c r="AB35" i="1"/>
  <c r="AZ42" i="1"/>
  <c r="BA42" i="1" s="1"/>
  <c r="BB42" i="1" s="1"/>
  <c r="AA42" i="1"/>
  <c r="AB42" i="1"/>
  <c r="AN37" i="1"/>
  <c r="AO37" i="1" s="1"/>
  <c r="AP37" i="1" s="1"/>
  <c r="V37" i="1"/>
  <c r="W37" i="1"/>
  <c r="AN12" i="1"/>
  <c r="AO12" i="1" s="1"/>
  <c r="AP12" i="1" s="1"/>
  <c r="V12" i="1"/>
  <c r="W12" i="1"/>
  <c r="Z48" i="1"/>
  <c r="AB5" i="1"/>
  <c r="AA5" i="1"/>
  <c r="AZ5" i="1"/>
  <c r="BA5" i="1" s="1"/>
  <c r="BB5" i="1" s="1"/>
  <c r="AZ19" i="1"/>
  <c r="BA19" i="1" s="1"/>
  <c r="BB19" i="1" s="1"/>
  <c r="AB19" i="1"/>
  <c r="AA19" i="1"/>
  <c r="AR48" i="1"/>
  <c r="AS48" i="1" s="1"/>
  <c r="AT48" i="1" s="1"/>
  <c r="AS5" i="1"/>
  <c r="AT5" i="1" s="1"/>
  <c r="W17" i="1"/>
  <c r="V17" i="1"/>
  <c r="AN17" i="1"/>
  <c r="AO17" i="1" s="1"/>
  <c r="AP17" i="1" s="1"/>
  <c r="V22" i="1"/>
  <c r="AN22" i="1"/>
  <c r="AO22" i="1" s="1"/>
  <c r="AP22" i="1" s="1"/>
  <c r="W22" i="1"/>
  <c r="AZ18" i="1"/>
  <c r="BA18" i="1" s="1"/>
  <c r="BB18" i="1" s="1"/>
  <c r="AB18" i="1"/>
  <c r="AA18" i="1"/>
  <c r="AN15" i="1"/>
  <c r="AO15" i="1" s="1"/>
  <c r="AP15" i="1" s="1"/>
  <c r="V15" i="1"/>
  <c r="W15" i="1"/>
  <c r="W13" i="1"/>
  <c r="V13" i="1"/>
  <c r="AN13" i="1"/>
  <c r="AO13" i="1" s="1"/>
  <c r="AP13" i="1" s="1"/>
  <c r="AC48" i="1"/>
  <c r="FB13" i="3" l="1"/>
  <c r="FE47" i="3"/>
  <c r="FE29" i="3"/>
  <c r="FB26" i="3"/>
  <c r="FB33" i="3"/>
  <c r="FE15" i="3"/>
  <c r="FE7" i="3"/>
  <c r="FE8" i="3"/>
  <c r="BG48" i="3"/>
  <c r="BJ48" i="3"/>
  <c r="AR48" i="3"/>
  <c r="FB42" i="3"/>
  <c r="FB7" i="3"/>
  <c r="AX48" i="3"/>
  <c r="FE36" i="3"/>
  <c r="FA48" i="3"/>
  <c r="FB18" i="3"/>
  <c r="DC48" i="3"/>
  <c r="FE17" i="3"/>
  <c r="BA48" i="3"/>
  <c r="FE43" i="3"/>
  <c r="Q48" i="3"/>
  <c r="BS48" i="3"/>
  <c r="W48" i="3"/>
  <c r="FE32" i="3"/>
  <c r="FB12" i="3"/>
  <c r="FE24" i="3"/>
  <c r="FB25" i="3"/>
  <c r="FE34" i="3"/>
  <c r="FB46" i="3"/>
  <c r="FE6" i="3"/>
  <c r="FB37" i="3"/>
  <c r="FB27" i="3"/>
  <c r="FE33" i="3"/>
  <c r="T48" i="3"/>
  <c r="BV48" i="3"/>
  <c r="FE14" i="3"/>
  <c r="FE23" i="3"/>
  <c r="FD48" i="3"/>
  <c r="Z48" i="3"/>
  <c r="FE21" i="3"/>
  <c r="CQ48" i="3"/>
  <c r="FE35" i="3"/>
  <c r="FE44" i="3"/>
  <c r="CK48" i="3"/>
  <c r="EZ48" i="3"/>
  <c r="FB48" i="3" s="1"/>
  <c r="FB5" i="3"/>
  <c r="FE26" i="3"/>
  <c r="FE18" i="3"/>
  <c r="FE45" i="3"/>
  <c r="FB39" i="3"/>
  <c r="N48" i="3"/>
  <c r="CH48" i="3"/>
  <c r="FB23" i="3"/>
  <c r="AL48" i="3"/>
  <c r="FC48" i="3"/>
  <c r="FE5" i="3"/>
  <c r="FB36" i="3"/>
  <c r="FB9" i="3"/>
  <c r="CB48" i="3"/>
  <c r="FB28" i="3"/>
  <c r="FB8" i="3"/>
  <c r="FE31" i="3"/>
  <c r="FB35" i="3"/>
  <c r="FE27" i="3"/>
  <c r="FB40" i="3"/>
  <c r="FE16" i="3"/>
  <c r="FB47" i="3"/>
  <c r="FE42" i="3"/>
  <c r="AA48" i="1"/>
  <c r="AZ48" i="1"/>
  <c r="BA48" i="1" s="1"/>
  <c r="BB48" i="1" s="1"/>
  <c r="AB48" i="1"/>
  <c r="AN48" i="1"/>
  <c r="AO48" i="1" s="1"/>
  <c r="AP48" i="1" s="1"/>
  <c r="AO5" i="1"/>
  <c r="AP5" i="1" s="1"/>
  <c r="W48" i="1"/>
  <c r="V48" i="1"/>
  <c r="FE48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<sst xmlns="http://schemas.openxmlformats.org/spreadsheetml/2006/main" count="1175" uniqueCount="388">
  <si>
    <t>DATA SALES ON AUGUST</t>
  </si>
  <si>
    <t>TOTAL DATE</t>
  </si>
  <si>
    <t>TO DATE</t>
  </si>
  <si>
    <t>TIME GONE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</si>
  <si>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</si>
  <si>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</si>
  <si>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</si>
  <si>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</si>
  <si>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</si>
  <si>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</si>
  <si>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</si>
  <si>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</si>
  <si>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</si>
  <si>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</si>
  <si>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</si>
  <si>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</si>
  <si>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</si>
  <si>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</si>
  <si>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</si>
  <si>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Headstore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</si>
  <si>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</si>
  <si>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</si>
  <si>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</si>
  <si>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</si>
  <si>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</si>
  <si>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</si>
  <si>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</si>
  <si>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</si>
  <si>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</si>
  <si>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</si>
  <si>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</si>
  <si>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</si>
  <si>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</si>
  <si>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</si>
  <si>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</si>
  <si>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</si>
  <si>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JULY</t>
  </si>
  <si>
    <t>AUGUST</t>
  </si>
  <si>
    <t>JU</t>
  </si>
  <si>
    <t>601 雅加达西北 JKT BU</t>
  </si>
  <si>
    <t>6010708-MVS SHOWROOM CENTRAL PARK</t>
  </si>
  <si>
    <t>NANDI FEBRIANA</t>
  </si>
  <si>
    <t>6010701-MVS ROXY SHOWROOM 21</t>
  </si>
  <si>
    <t>ANGGARIA</t>
  </si>
  <si>
    <t>6010702-ME ROXY PAMERAN TIMUR</t>
  </si>
  <si>
    <t>6010703-VIVO STORE WINSHOP</t>
  </si>
  <si>
    <t>NUR IRAWATI</t>
  </si>
  <si>
    <t>A100303-PAMERAN UTARA</t>
  </si>
  <si>
    <t>A100304-PAMERAN SELATAN</t>
  </si>
  <si>
    <t>6020711-vivostore emporium</t>
  </si>
  <si>
    <t>M KHOIRUDIN</t>
  </si>
  <si>
    <t>6010711-LIPPO MALL PURI 1FK02</t>
  </si>
  <si>
    <t>HERRU ILYASA</t>
  </si>
  <si>
    <t>6020706-MVS CEMPAKA SHOWROOM 2 (454)</t>
  </si>
  <si>
    <t>NOVIA HARYANTI</t>
  </si>
  <si>
    <t>6020704-MVS CEMPAKA SHOWROOM 14 (8TOKO)</t>
  </si>
  <si>
    <t>604 雅加达东南 JKT TS</t>
  </si>
  <si>
    <t>A200402-ITC-VIVO STORE 1</t>
  </si>
  <si>
    <t>Erlangga Pradita</t>
  </si>
  <si>
    <t>6080712-MVS ITC DEPOK VIVO STORE 2</t>
  </si>
  <si>
    <t>6040702-TRAN STUDIO MALL 2F059</t>
  </si>
  <si>
    <t>6040703-SAWANGAN 1F1-0320</t>
  </si>
  <si>
    <t>605 勿加泗 BEKASI</t>
  </si>
  <si>
    <t>6050701-MVS X6 DS0824</t>
  </si>
  <si>
    <t>M RIZKI</t>
  </si>
  <si>
    <t>6220701-MVS MBH-VIP VIVO STORE-DD284</t>
  </si>
  <si>
    <t>6050705-MBH 2F009</t>
  </si>
  <si>
    <t>6050706-AEON MALL DELTAMAS 1F081</t>
  </si>
  <si>
    <t>618 茂物 BOGOR</t>
  </si>
  <si>
    <t>6180706-MVS MALL CCM</t>
  </si>
  <si>
    <t>DANDI SURYA</t>
  </si>
  <si>
    <t>6180707-SC BTM</t>
  </si>
  <si>
    <t>624-万丹BANTEN</t>
  </si>
  <si>
    <t>6170707-LG BLOK D NO. 01D SKY 7</t>
  </si>
  <si>
    <t>ARIES FITRIYANTO</t>
  </si>
  <si>
    <t>A200902-LG BLOK B NO. 01B SKY M3</t>
  </si>
  <si>
    <t>6240704-TANGCITY LG017 WEST LOBBY</t>
  </si>
  <si>
    <t>A200803-LG BLOK A-B NO. 12 SKY 5</t>
  </si>
  <si>
    <t>DHANI EKO NUGROHO</t>
  </si>
  <si>
    <t>A200802-CHARLES</t>
  </si>
  <si>
    <t>6240703-TANGCITY LG009 CENTER</t>
  </si>
  <si>
    <t>6170703-4004 MVS-BNT-CCM STORE</t>
  </si>
  <si>
    <t>DWI IRAWAN ( PIC )</t>
  </si>
  <si>
    <t>6240705-CIPUTRA 2FC15</t>
  </si>
  <si>
    <t>6240709-ITC BSD 1F49-50</t>
  </si>
  <si>
    <t>6240708-ITC BSD 1F09-14</t>
  </si>
  <si>
    <t>6240707-SUPERMALL UGN3A</t>
  </si>
  <si>
    <t>ADE RIVALDI L</t>
  </si>
  <si>
    <t>6240706-SUPERMALL LGC3A</t>
  </si>
  <si>
    <t>619-万隆市区BDG KOTA</t>
  </si>
  <si>
    <t>6190701-VIVO STORE UG</t>
  </si>
  <si>
    <t>EKO PURWANTO</t>
  </si>
  <si>
    <t>A300102-VIVO STORE 4 BEC</t>
  </si>
  <si>
    <t>A300105-VIVO STORE LG F20</t>
  </si>
  <si>
    <t>A300201-VIVO STORE 1 BEC</t>
  </si>
  <si>
    <t>NENG TOTOH</t>
  </si>
  <si>
    <t>A300202-VIVO STORE LU</t>
  </si>
  <si>
    <t>6190708-BEC SC LGAA07</t>
  </si>
  <si>
    <t>615-中爪哇东SOLO</t>
  </si>
  <si>
    <t>6150702-GRANMALL SC GF-11</t>
  </si>
  <si>
    <t>BIRILYAN KUSWARA</t>
  </si>
  <si>
    <t>中爪哇西 - Purwokerto</t>
  </si>
  <si>
    <t>6130702-RITA SUPERMALL SF36-37</t>
  </si>
  <si>
    <t>FRISKA FAJAR</t>
  </si>
  <si>
    <t>614 三宝垄 Semarang</t>
  </si>
  <si>
    <t>6100702-VS Jogja City Mall</t>
  </si>
  <si>
    <t>6140706-23 SEMARANG MALL 1F065-66</t>
  </si>
  <si>
    <t>VICKY DINDA INEZ</t>
  </si>
  <si>
    <t>6140705-QUEENCITY 2F027</t>
  </si>
  <si>
    <t>EDI SUSANTO</t>
  </si>
  <si>
    <t>TOTAL</t>
  </si>
  <si>
    <t>HEADSTORE</t>
  </si>
  <si>
    <t>ID STORE</t>
  </si>
  <si>
    <t>SALES QTY &amp; VALUE PER TYPE - PERBANDINGAN AGUSTUS vs JULI (LINKED FROM PIVOT)</t>
  </si>
  <si>
    <t>Helper: Y11d(3mio&gt;) col idx</t>
  </si>
  <si>
    <t>Sheet Bulan Lalu (Pembanding):</t>
  </si>
  <si>
    <t>Sales per type juli</t>
  </si>
  <si>
    <t>3mio&lt;</t>
  </si>
  <si>
    <t>3mio&gt;</t>
  </si>
  <si>
    <t>3mio&lt; (Juli only)</t>
  </si>
  <si>
    <t>3mio&gt; (Juli only)</t>
  </si>
  <si>
    <t>Y05</t>
  </si>
  <si>
    <t>Y11d</t>
  </si>
  <si>
    <t>Watch GT 2</t>
  </si>
  <si>
    <t>Y05e</t>
  </si>
  <si>
    <t>V70</t>
  </si>
  <si>
    <t>Y31d Pro</t>
  </si>
  <si>
    <t>Y11d (3mio&gt;)</t>
  </si>
  <si>
    <t>Y31d (v1)</t>
  </si>
  <si>
    <t>V70 FE</t>
  </si>
  <si>
    <t>Y31d (v2)</t>
  </si>
  <si>
    <t>Y500</t>
  </si>
  <si>
    <t>IQOO 15R</t>
  </si>
  <si>
    <t>V60 Lite</t>
  </si>
  <si>
    <t>X300 Ultra</t>
  </si>
  <si>
    <t>IQOO 15</t>
  </si>
  <si>
    <t>IQOO Z11x</t>
  </si>
  <si>
    <t>IQOO Z11</t>
  </si>
  <si>
    <t>WATCH 3</t>
  </si>
  <si>
    <t>X300 Demo</t>
  </si>
  <si>
    <t>X300 Pro Demo</t>
  </si>
  <si>
    <t>X Fold5 DEMO</t>
  </si>
  <si>
    <t>X Fold5</t>
  </si>
  <si>
    <t>IQOO 15 Demo</t>
  </si>
  <si>
    <t>X300 PRO</t>
  </si>
  <si>
    <t>X300</t>
  </si>
  <si>
    <t>Qty Agustus</t>
  </si>
  <si>
    <t>Qty Juli</t>
  </si>
  <si>
    <t>Selisih Qty</t>
  </si>
  <si>
    <t>Value Agustus</t>
  </si>
  <si>
    <t>Value Juli</t>
  </si>
  <si>
    <t>Selisih Value</t>
  </si>
  <si>
    <t>MIX</t>
  </si>
  <si>
    <t>vs BULAN LALU · 3MIO+</t>
  </si>
  <si>
    <t>vs BULAN LALU · ALL TYPE</t>
  </si>
  <si>
    <t>HS</t>
  </si>
  <si>
    <t>STORE</t>
  </si>
  <si>
    <t>PROMOTOR</t>
  </si>
  <si>
    <t>TARGET</t>
  </si>
  <si>
    <t>EST</t>
  </si>
  <si>
    <t>MIN INC</t>
  </si>
  <si>
    <t>% 3MIO+ / ALL</t>
  </si>
  <si>
    <t>VALUE (Rp)</t>
  </si>
  <si>
    <t>QTY</t>
  </si>
  <si>
    <t>Jul</t>
  </si>
  <si>
    <t>Qty</t>
  </si>
  <si>
    <t>601-雅加达西 JAKBAR</t>
  </si>
  <si>
    <t>PUTRI SUPRIHATIN</t>
  </si>
  <si>
    <t xml:space="preserve"> RONI</t>
  </si>
  <si>
    <t>TIYAS WINARNI</t>
  </si>
  <si>
    <t>BINY PRAYOGO</t>
  </si>
  <si>
    <t>HAVIS SINUS FAUZAN</t>
  </si>
  <si>
    <t>ABDUL FALAH</t>
  </si>
  <si>
    <t>BELLA MAYA SAFIRA</t>
  </si>
  <si>
    <t>HERMAN SUPRIYATIN</t>
  </si>
  <si>
    <t>RIKY</t>
  </si>
  <si>
    <t>VICKY ARIANSYAH</t>
  </si>
  <si>
    <t>HESTI AMELIA</t>
  </si>
  <si>
    <t>DIAWAN SAPUTRA</t>
  </si>
  <si>
    <t>NUR IMAM ATTARMIDZI</t>
  </si>
  <si>
    <t>ZIONIS ILHAMI DAKHI</t>
  </si>
  <si>
    <t>APUD MAHPUDIN</t>
  </si>
  <si>
    <t>Dean dika putra mona</t>
  </si>
  <si>
    <t>MAT AMIN</t>
  </si>
  <si>
    <t>ANDES SAPUTRA</t>
  </si>
  <si>
    <t>M HUSNI HASIM</t>
  </si>
  <si>
    <t>FRISKI FERNANDO</t>
  </si>
  <si>
    <t>CEPTIANA JUNIAR</t>
  </si>
  <si>
    <t>IVAN PAHLEVI SARAGIH</t>
  </si>
  <si>
    <t>MUHAMMAD RIZKI HIDAYAT</t>
  </si>
  <si>
    <t>SELLY DARWIS</t>
  </si>
  <si>
    <t>ROSITA</t>
  </si>
  <si>
    <t xml:space="preserve">SENDI ALFAZRI </t>
  </si>
  <si>
    <t>FIRDA NAZMA NURFADILAH</t>
  </si>
  <si>
    <t>ZAINUL MUSTOFA</t>
  </si>
  <si>
    <t xml:space="preserve"> SITI ROHMAH</t>
  </si>
  <si>
    <t xml:space="preserve"> fitri adelia</t>
  </si>
  <si>
    <t xml:space="preserve"> Hervanny trisiana</t>
  </si>
  <si>
    <t>602-雅加达北 JAKUT</t>
  </si>
  <si>
    <t>Novia Haryanti</t>
  </si>
  <si>
    <t>NURFITRIYANA</t>
  </si>
  <si>
    <t>ALIA NASYABILA</t>
  </si>
  <si>
    <t>MOHAMAD YUSUF</t>
  </si>
  <si>
    <t>MUHYIDDIN</t>
  </si>
  <si>
    <t>RINI APRIANI</t>
  </si>
  <si>
    <t>M KHORUDIN</t>
  </si>
  <si>
    <t>INA HIDAYAH</t>
  </si>
  <si>
    <t>ARIF IRAWAN</t>
  </si>
  <si>
    <t>SERNIKA LAIA</t>
  </si>
  <si>
    <t>604-雅加达南JKT SEL</t>
  </si>
  <si>
    <t>ERLANGGA PRADITYA</t>
  </si>
  <si>
    <t>DEVI APRIANTI</t>
  </si>
  <si>
    <t>winda amalia</t>
  </si>
  <si>
    <t>MILA AMALIA</t>
  </si>
  <si>
    <t>ASTRI ALFIANI</t>
  </si>
  <si>
    <t>MUHAMAD RIZKI SAPUTRA</t>
  </si>
  <si>
    <t>606-雅加达南JKT SEL</t>
  </si>
  <si>
    <t>WIRA ADITYA SETIADI</t>
  </si>
  <si>
    <t>KARLES KADAPI</t>
  </si>
  <si>
    <t>KHOLIPAH</t>
  </si>
  <si>
    <t>605-勿加泗市区BKS KOTA</t>
  </si>
  <si>
    <t>AGUS WARDONO PUTRO</t>
  </si>
  <si>
    <t>PUTRI ANGGRIANI</t>
  </si>
  <si>
    <t>606-勿加泗市区BKS KOTA</t>
  </si>
  <si>
    <t>SANTI ANGGRAENI</t>
  </si>
  <si>
    <t>NARIAH AMBARWATI</t>
  </si>
  <si>
    <t>INTAN SEPIATUL HASANAH</t>
  </si>
  <si>
    <t>MIFTAHUL HUDA</t>
  </si>
  <si>
    <t>SYAIRUL ACHMAT HIDAYAT</t>
  </si>
  <si>
    <t>JULIANA JAYANA</t>
  </si>
  <si>
    <t>610-YOGYAKARTA</t>
  </si>
  <si>
    <t>RIZAL SACHRANIE</t>
  </si>
  <si>
    <t>AKHMAD ARIFUDIN</t>
  </si>
  <si>
    <t>LISSA AYU HANDHINI</t>
  </si>
  <si>
    <t>614-三宝垄SEMARANG</t>
  </si>
  <si>
    <t>DIMAS RASYID ASHARI</t>
  </si>
  <si>
    <t>JESSICA MALVA NYSA</t>
  </si>
  <si>
    <t>CINTIA DAMAYANTI</t>
  </si>
  <si>
    <t>INTAN DIAH PRIMATARI</t>
  </si>
  <si>
    <t>VICKY INEZ</t>
  </si>
  <si>
    <t>DHEA AMALIA</t>
  </si>
  <si>
    <t>DEZNA DANI PRADIPTA</t>
  </si>
  <si>
    <t>WAHYU TRI UTOMO</t>
  </si>
  <si>
    <t>618-BOGOR</t>
  </si>
  <si>
    <t>LAILA SAMIA</t>
  </si>
  <si>
    <t>mohamad sofiyan</t>
  </si>
  <si>
    <t>KAYLA NURAULIA YAZMAN</t>
  </si>
  <si>
    <t>Ardhila Riyana suci purwandari</t>
  </si>
  <si>
    <t>RICKY KURNIAWAN</t>
  </si>
  <si>
    <t>PUTERY FATIMAH AZZAHRA</t>
  </si>
  <si>
    <t>DWI ANGGRAENI</t>
  </si>
  <si>
    <t>ERI NURAJAB</t>
  </si>
  <si>
    <t>WIRA WIRAHMAN</t>
  </si>
  <si>
    <t>SUSAN SUSANTI</t>
  </si>
  <si>
    <t>DIAN HARYANTO</t>
  </si>
  <si>
    <t>PUTRI NOVALINDA SUGANDA</t>
  </si>
  <si>
    <t>SHONA LUGISTIN</t>
  </si>
  <si>
    <t>AGUSTIAN</t>
  </si>
  <si>
    <t>MELLY SHABILLA</t>
  </si>
  <si>
    <t>SUHERMAN ARISMAWAN</t>
  </si>
  <si>
    <t>ASIPA RAHMAWATI</t>
  </si>
  <si>
    <t>DEA SINDRA</t>
  </si>
  <si>
    <t>TEGUH FIRMANSYAH</t>
  </si>
  <si>
    <t>ANTON RENDI SUKMANA</t>
  </si>
  <si>
    <t>623-唐格朗东TANG TIM</t>
  </si>
  <si>
    <t>HERIANTO NDRURU</t>
  </si>
  <si>
    <t>NILAM SARI</t>
  </si>
  <si>
    <t>SITI MELIANI</t>
  </si>
  <si>
    <t>MUHAMMAD MUDZAKIR</t>
  </si>
  <si>
    <t>RIFKI PRAYOGAA</t>
  </si>
  <si>
    <t>MILA TUJUHRO</t>
  </si>
  <si>
    <t>ELFINTA VIANTI</t>
  </si>
  <si>
    <t>NABILA SALSABILA</t>
  </si>
  <si>
    <t>MUHAMAD YUSUF</t>
  </si>
  <si>
    <t>ARIES FETRIYANTO</t>
  </si>
  <si>
    <t>ANISA AGUSTIN</t>
  </si>
  <si>
    <t>DION FATULLAH</t>
  </si>
  <si>
    <t>VIOLA AGUSTIN</t>
  </si>
  <si>
    <t>MUHAMAD HILMAN</t>
  </si>
  <si>
    <t>SRI AFRIYANTI</t>
  </si>
  <si>
    <t>YOGA ADITIA</t>
  </si>
  <si>
    <t xml:space="preserve"> Fatimah</t>
  </si>
  <si>
    <t>NANI SUPRIYANTI</t>
  </si>
  <si>
    <t>DANFY INDRAWAN</t>
  </si>
  <si>
    <t>6240705-CIPUTRA 2FC15仓库</t>
  </si>
  <si>
    <t>RIZKY ALFIANSYAH</t>
  </si>
  <si>
    <t>AFRIANSYAH</t>
  </si>
  <si>
    <t>SASFA LUNA ANDUNG</t>
  </si>
  <si>
    <t>6240706-SUPERMALL 1FC3A</t>
  </si>
  <si>
    <t>Mahmudin</t>
  </si>
  <si>
    <t>ZAKIYATUL MUNAWAROH</t>
  </si>
  <si>
    <t>TIO SAPUTRA</t>
  </si>
  <si>
    <t>RIZKI SUCIANTO</t>
  </si>
  <si>
    <t>DEWI ASTRIAWANTI</t>
  </si>
  <si>
    <t>Gilang Ramadhan</t>
  </si>
  <si>
    <t>SITI NURDIANTY SHOLIHAH</t>
  </si>
  <si>
    <t>615-SOLO</t>
  </si>
  <si>
    <t>AMANDA AULIA SHOLIKHAH</t>
  </si>
  <si>
    <t>JIHAN PAHERA ALPIA</t>
  </si>
  <si>
    <t>627-西冷 SERANG</t>
  </si>
  <si>
    <t>DWI IRAWAN ALDILA JULIANSYAH</t>
  </si>
  <si>
    <t>SILVIA AYU LESTARI</t>
  </si>
  <si>
    <t>Aug</t>
  </si>
  <si>
    <t>6240707-SUPERMALL UGN3A仓库</t>
  </si>
  <si>
    <t>TARGET AUGUST</t>
  </si>
  <si>
    <t>Tgl</t>
  </si>
  <si>
    <t>Segment Price</t>
  </si>
  <si>
    <t>Values</t>
  </si>
  <si>
    <t>05/08/26 Sum of Qty</t>
  </si>
  <si>
    <t>05/08/26 Sum of SRP</t>
  </si>
  <si>
    <t>04/08/26 Sum of Qty</t>
  </si>
  <si>
    <t>04/08/26 Sum of SRP</t>
  </si>
  <si>
    <t>03/08/26 Sum of Qty</t>
  </si>
  <si>
    <t>03/08/26 Sum of SRP</t>
  </si>
  <si>
    <t>02/08/26 Sum of Qty</t>
  </si>
  <si>
    <t>02/08/26 Sum of SRP</t>
  </si>
  <si>
    <t>06/08/26 Sum of Qty</t>
  </si>
  <si>
    <t>06/08/26 Sum of SRP</t>
  </si>
  <si>
    <t>09/08/26 Sum of Qty</t>
  </si>
  <si>
    <t>09/08/26 Sum of SRP</t>
  </si>
  <si>
    <t>08/08/26 Sum of Qty</t>
  </si>
  <si>
    <t>08/08/26 Sum of SRP</t>
  </si>
  <si>
    <t>07/08/26 Sum of Qty</t>
  </si>
  <si>
    <t>07/08/26 Sum of SRP</t>
  </si>
  <si>
    <t>11/08/26 Sum of Qty</t>
  </si>
  <si>
    <t>11/08/26 Sum of SRP</t>
  </si>
  <si>
    <t>10/08/26 Sum of Qty</t>
  </si>
  <si>
    <t>10/08/26 Sum of SRP</t>
  </si>
  <si>
    <t>12/08/26 Sum of Qty</t>
  </si>
  <si>
    <t>12/08/26 Sum of SRP</t>
  </si>
  <si>
    <t>13/08/26 Sum of Qty</t>
  </si>
  <si>
    <t>13/08/26 Sum of SRP</t>
  </si>
  <si>
    <t>14/08/26 Sum of Qty</t>
  </si>
  <si>
    <t>14/08/26 Sum of SRP</t>
  </si>
  <si>
    <t>17/08/26 Sum of Qty</t>
  </si>
  <si>
    <t>17/08/26 Sum of SRP</t>
  </si>
  <si>
    <t>16/08/26 Sum of Qty</t>
  </si>
  <si>
    <t>16/08/26 Sum of SRP</t>
  </si>
  <si>
    <t>15/08/26 Sum of Qty</t>
  </si>
  <si>
    <t>15/08/26 Sum of SRP</t>
  </si>
  <si>
    <t>18/08/26 Sum of Qty</t>
  </si>
  <si>
    <t>18/08/26 Sum of SRP</t>
  </si>
  <si>
    <t>19/08/26 Sum of Qty</t>
  </si>
  <si>
    <t>19/08/26 Sum of SRP</t>
  </si>
  <si>
    <t>20/08/26 Sum of Qty</t>
  </si>
  <si>
    <t>20/08/26 Sum of SRP</t>
  </si>
  <si>
    <t>21/08/26 Sum of Qty</t>
  </si>
  <si>
    <t>21/08/26 Sum of SRP</t>
  </si>
  <si>
    <t>23/08/26 Sum of Qty</t>
  </si>
  <si>
    <t>23/08/26 Sum of SRP</t>
  </si>
  <si>
    <t>22/08/26 Sum of Qty</t>
  </si>
  <si>
    <t>22/08/26 Sum of SRP</t>
  </si>
  <si>
    <t>Total Sum of Qty</t>
  </si>
  <si>
    <t>Total Sum of SRP</t>
  </si>
  <si>
    <t>Store</t>
  </si>
  <si>
    <t>Sum of Qty</t>
  </si>
  <si>
    <t>Sum of SRP</t>
  </si>
  <si>
    <t>6170706-TANGCITY CHARLES</t>
  </si>
  <si>
    <t>6170707-TANGCITY LG BLOK D NO. 01D</t>
  </si>
  <si>
    <t>6240702-TANGCITY LG BLOK B NO. 01B</t>
  </si>
  <si>
    <t>6240701-TANGCITY LG BLOK A-B NO. 12</t>
  </si>
  <si>
    <t>6170703-BNT-CCM VIVO STORE</t>
  </si>
  <si>
    <t>6240704-TANGCITY LG017</t>
  </si>
  <si>
    <t>6240703-TANGCITY LG009</t>
  </si>
  <si>
    <t>6240707-KARAWACI UGN3A</t>
  </si>
  <si>
    <t>6240706-KARAWACI 1FC3A</t>
  </si>
  <si>
    <t>6220701-MBH-VIP VIVO STORE-DD284</t>
  </si>
  <si>
    <t>6050701-BCP VS X6 DS0824</t>
  </si>
  <si>
    <t>6190704-BEC VIVO STORE 1</t>
  </si>
  <si>
    <t>6190701-BEC VIVO STORE UG</t>
  </si>
  <si>
    <t>6190706-BEC VIVO STORE 4</t>
  </si>
  <si>
    <t>6190705-BEC VIVO STORE LG F20</t>
  </si>
  <si>
    <t>6190707-BEC VIVO STORE LU</t>
  </si>
  <si>
    <t>6180706-MALL CCM VIVO STORE</t>
  </si>
  <si>
    <t>6180707-BTM SC VIVO STORE</t>
  </si>
  <si>
    <t>6080712-ITC DEPOK VIVO STORE 2</t>
  </si>
  <si>
    <t>6040701-ITC DEPOK VIVO STORE 1</t>
  </si>
  <si>
    <t>6020711-EMPORIUM VIVO STORE</t>
  </si>
  <si>
    <t>6020706-CEMPAKA SHOWROOM 2 (454)</t>
  </si>
  <si>
    <t>6020704-CEMPAKA SHOWROOM 14(8TOKO)</t>
  </si>
  <si>
    <t>6010708-CENTRAL PARK SHOWROOM</t>
  </si>
  <si>
    <t>6010703-ROXY VS WINSHOP</t>
  </si>
  <si>
    <t>6010702-ROXY PAMERAN TIMUR</t>
  </si>
  <si>
    <t>6010701-ROXY SHOWROOM 21</t>
  </si>
  <si>
    <t>6010710-ROXY PAMERAN SELATAN</t>
  </si>
  <si>
    <t>6010709-ROXY PAMERAN UTARA</t>
  </si>
  <si>
    <t>6100702-Jogja City Mall VIVO STORE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</si>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</sst>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-13809]dd\ mmmm\ yyyy;@"/>
    <numFmt numFmtId="165" formatCode="0_ "/>
    <numFmt numFmtId="166" formatCode="#,##0.0_);[Red]\(#,##0.0\)"/>
    <numFmt numFmtId="167" formatCode="#,##0;\(#,##0\);\-"/>
    <numFmt numFmtId="168" formatCode="&quot;Rp &quot;#,##0,,&quot; jt&quot;"/>
    <numFmt numFmtId="169" formatCode="&quot;Rp &quot;#,##0.0,,&quot; jt&quot;"/>
    <numFmt numFmtId="170" formatCode="_-[$Rp-421]* #,##0_-;\-[$Rp-421]* #,##0_-;_-[$Rp-421]* &quot;-&quot;_-;_-@_-"/>
  </numFmts>
  <fonts count="28" x14ac:knownFonts="1">
    <font>
      <sz val="12"/>
      <color theme="1"/>
      <name val="Aptos Narrow"/>
      <charset val="134"/>
      <scheme val="minor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2"/>
      <color rgb="FFFFFFFF"/>
      <name val="Arial"/>
      <family val="2"/>
    </font>
    <font>
      <b/>
      <sz val="10"/>
      <color rgb="FF0000FF"/>
      <name val="Arial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b/>
      <sz val="11"/>
      <color rgb="FF000000"/>
      <name val="Calibri"/>
      <family val="2"/>
    </font>
    <font>
      <b/>
      <sz val="13"/>
      <color rgb="FF000000"/>
      <name val="Calibri"/>
      <family val="2"/>
    </font>
    <font>
      <sz val="12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1"/>
      <name val="Calibri"/>
      <family val="2"/>
    </font>
    <font>
      <b/>
      <sz val="11"/>
      <color rgb="FFFFFFFF"/>
      <name val="Aptos Narrow"/>
      <family val="2"/>
      <scheme val="minor"/>
    </font>
    <font>
      <b/>
      <sz val="10"/>
      <name val="Arial"/>
      <family val="2"/>
    </font>
    <font>
      <b/>
      <sz val="12"/>
      <color rgb="FF1F497D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1"/>
      <name val="Calibri"/>
      <family val="2"/>
    </font>
    <font>
      <b/>
      <sz val="13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0"/>
      <name val="Calibri"/>
      <family val="2"/>
    </font>
    <font>
      <sz val="10"/>
      <name val="Calibri"/>
      <family val="2"/>
    </font>
    <font>
      <b/>
      <sz val="10"/>
      <color theme="1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609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953735"/>
        <bgColor indexed="64"/>
      </patternFill>
    </fill>
    <fill>
      <patternFill patternType="solid">
        <fgColor rgb="FF4F6228"/>
        <bgColor indexed="64"/>
      </patternFill>
    </fill>
    <fill>
      <patternFill patternType="solid">
        <fgColor rgb="FFE46C0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61546678060247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theme="0" tint="-0.14999847407452621"/>
      </patternFill>
    </fill>
  </fills>
  <borders count="111">
    <border>
      <left/>
      <right/>
      <top/>
      <bottom/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/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medium">
        <color rgb="FF000000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rgb="FF000000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indexed="0"/>
      </right>
      <top style="thin">
        <color auto="1"/>
      </top>
      <bottom/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0"/>
      </right>
      <top/>
      <bottom style="thin">
        <color auto="1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0"/>
      </right>
      <top/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rgb="FF000000"/>
      </bottom>
      <diagonal/>
    </border>
    <border>
      <left/>
      <right style="thin">
        <color auto="1"/>
      </right>
      <top/>
      <bottom/>
      <diagonal/>
    </border>
    <border>
      <left style="medium">
        <color rgb="FF000000"/>
      </left>
      <right style="thin">
        <color auto="1"/>
      </right>
      <top style="thin">
        <color auto="1"/>
      </top>
      <bottom/>
      <diagonal/>
    </border>
    <border>
      <left style="medium">
        <color rgb="FF000000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 style="thin">
        <color auto="1"/>
      </left>
      <right/>
      <top style="medium">
        <color rgb="FF000000"/>
      </top>
      <bottom style="thin">
        <color auto="1"/>
      </bottom>
      <diagonal/>
    </border>
    <border>
      <left style="medium">
        <color rgb="FF000000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/>
      <right style="thin">
        <color auto="1"/>
      </right>
      <top style="medium">
        <color rgb="FF000000"/>
      </top>
      <bottom style="thin">
        <color auto="1"/>
      </bottom>
      <diagonal/>
    </border>
    <border>
      <left style="medium">
        <color rgb="FF000000"/>
      </left>
      <right/>
      <top style="medium">
        <color rgb="FF000000"/>
      </top>
      <bottom style="thin">
        <color auto="1"/>
      </bottom>
      <diagonal/>
    </border>
    <border>
      <left/>
      <right/>
      <top style="medium">
        <color rgb="FF000000"/>
      </top>
      <bottom style="thin">
        <color auto="1"/>
      </bottom>
      <diagonal/>
    </border>
    <border>
      <left style="thin">
        <color auto="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auto="1"/>
      </right>
      <top/>
      <bottom style="thin">
        <color theme="4" tint="0.39997558519241921"/>
      </bottom>
      <diagonal/>
    </border>
    <border>
      <left style="thin">
        <color auto="1"/>
      </left>
      <right/>
      <top style="thin">
        <color theme="4" tint="0.39997558519241921"/>
      </top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auto="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</borders>
  <cellStyleXfs count="4">
    <xf numFmtId="0" fontId="0" fillId="0" borderId="0"/>
    <xf numFmtId="0" fontId="2" fillId="0" borderId="0"/>
    <xf numFmtId="0" fontId="2" fillId="0" borderId="0"/>
    <xf numFmtId="9" fontId="10" fillId="0" borderId="0" applyFont="0" applyFill="0" applyBorder="0" applyAlignment="0" applyProtection="0"/>
  </cellStyleXfs>
  <cellXfs count="378">
    <xf numFmtId="0" fontId="0" fillId="0" borderId="0" xfId="0"/>
    <xf numFmtId="0" fontId="1" fillId="3" borderId="31" xfId="0" applyFont="1" applyFill="1" applyBorder="1" applyAlignment="1">
      <alignment horizontal="center"/>
    </xf>
    <xf numFmtId="0" fontId="1" fillId="3" borderId="32" xfId="0" applyFont="1" applyFill="1" applyBorder="1" applyAlignment="1">
      <alignment horizontal="center"/>
    </xf>
    <xf numFmtId="1" fontId="1" fillId="3" borderId="33" xfId="0" applyNumberFormat="1" applyFont="1" applyFill="1" applyBorder="1" applyAlignment="1">
      <alignment horizontal="center"/>
    </xf>
    <xf numFmtId="3" fontId="1" fillId="3" borderId="34" xfId="0" applyNumberFormat="1" applyFont="1" applyFill="1" applyBorder="1" applyAlignment="1">
      <alignment horizontal="center"/>
    </xf>
    <xf numFmtId="9" fontId="1" fillId="3" borderId="35" xfId="0" applyNumberFormat="1" applyFont="1" applyFill="1" applyBorder="1" applyAlignment="1">
      <alignment horizontal="center"/>
    </xf>
    <xf numFmtId="1" fontId="1" fillId="3" borderId="31" xfId="0" applyNumberFormat="1" applyFont="1" applyFill="1" applyBorder="1" applyAlignment="1">
      <alignment horizontal="center"/>
    </xf>
    <xf numFmtId="9" fontId="1" fillId="3" borderId="31" xfId="0" applyNumberFormat="1" applyFont="1" applyFill="1" applyBorder="1" applyAlignment="1">
      <alignment horizontal="center"/>
    </xf>
    <xf numFmtId="3" fontId="1" fillId="3" borderId="31" xfId="0" applyNumberFormat="1" applyFont="1" applyFill="1" applyBorder="1" applyAlignment="1">
      <alignment horizontal="center"/>
    </xf>
    <xf numFmtId="3" fontId="1" fillId="3" borderId="32" xfId="0" applyNumberFormat="1" applyFont="1" applyFill="1" applyBorder="1" applyAlignment="1">
      <alignment horizontal="center"/>
    </xf>
    <xf numFmtId="165" fontId="1" fillId="3" borderId="33" xfId="0" applyNumberFormat="1" applyFont="1" applyFill="1" applyBorder="1" applyAlignment="1">
      <alignment horizontal="center"/>
    </xf>
    <xf numFmtId="9" fontId="1" fillId="3" borderId="32" xfId="0" applyNumberFormat="1" applyFont="1" applyFill="1" applyBorder="1" applyAlignment="1">
      <alignment horizontal="center"/>
    </xf>
    <xf numFmtId="166" fontId="1" fillId="3" borderId="33" xfId="0" applyNumberFormat="1" applyFont="1" applyFill="1" applyBorder="1" applyAlignment="1">
      <alignment horizontal="center"/>
    </xf>
    <xf numFmtId="1" fontId="1" fillId="3" borderId="35" xfId="0" applyNumberFormat="1" applyFont="1" applyFill="1" applyBorder="1" applyAlignment="1">
      <alignment horizontal="center"/>
    </xf>
    <xf numFmtId="0" fontId="1" fillId="3" borderId="33" xfId="0" applyFont="1" applyFill="1" applyBorder="1" applyAlignment="1">
      <alignment horizontal="center"/>
    </xf>
    <xf numFmtId="0" fontId="1" fillId="3" borderId="35" xfId="0" applyFont="1" applyFill="1" applyBorder="1" applyAlignment="1">
      <alignment horizontal="center"/>
    </xf>
    <xf numFmtId="9" fontId="1" fillId="3" borderId="36" xfId="0" applyNumberFormat="1" applyFont="1" applyFill="1" applyBorder="1" applyAlignment="1">
      <alignment horizontal="center"/>
    </xf>
    <xf numFmtId="0" fontId="2" fillId="0" borderId="0" xfId="2"/>
    <xf numFmtId="0" fontId="7" fillId="21" borderId="44" xfId="0" applyFont="1" applyFill="1" applyBorder="1" applyAlignment="1">
      <alignment horizontal="center" vertical="center"/>
    </xf>
    <xf numFmtId="0" fontId="7" fillId="22" borderId="44" xfId="0" applyFont="1" applyFill="1" applyBorder="1" applyAlignment="1">
      <alignment horizontal="center" vertical="center"/>
    </xf>
    <xf numFmtId="0" fontId="7" fillId="22" borderId="45" xfId="0" applyFont="1" applyFill="1" applyBorder="1" applyAlignment="1">
      <alignment horizontal="center" vertical="center"/>
    </xf>
    <xf numFmtId="0" fontId="11" fillId="23" borderId="1" xfId="0" applyFont="1" applyFill="1" applyBorder="1" applyAlignment="1">
      <alignment horizontal="right" vertical="center"/>
    </xf>
    <xf numFmtId="0" fontId="11" fillId="23" borderId="2" xfId="0" applyFont="1" applyFill="1" applyBorder="1" applyAlignment="1">
      <alignment vertical="center"/>
    </xf>
    <xf numFmtId="0" fontId="11" fillId="23" borderId="6" xfId="0" applyFont="1" applyFill="1" applyBorder="1" applyAlignment="1">
      <alignment horizontal="right" vertical="center" wrapText="1"/>
    </xf>
    <xf numFmtId="9" fontId="11" fillId="23" borderId="7" xfId="3" applyFont="1" applyFill="1" applyBorder="1" applyAlignment="1">
      <alignment vertical="center" wrapText="1"/>
    </xf>
    <xf numFmtId="0" fontId="14" fillId="4" borderId="21" xfId="0" applyFont="1" applyFill="1" applyBorder="1" applyAlignment="1">
      <alignment horizontal="center" vertical="center" wrapText="1"/>
    </xf>
    <xf numFmtId="0" fontId="14" fillId="4" borderId="22" xfId="0" applyFont="1" applyFill="1" applyBorder="1" applyAlignment="1">
      <alignment horizontal="center" vertical="center" wrapText="1"/>
    </xf>
    <xf numFmtId="0" fontId="14" fillId="5" borderId="21" xfId="0" applyFont="1" applyFill="1" applyBorder="1" applyAlignment="1">
      <alignment horizontal="center" vertical="center" wrapText="1"/>
    </xf>
    <xf numFmtId="0" fontId="14" fillId="5" borderId="23" xfId="0" applyFont="1" applyFill="1" applyBorder="1" applyAlignment="1">
      <alignment horizontal="center" vertical="center" wrapText="1"/>
    </xf>
    <xf numFmtId="0" fontId="14" fillId="5" borderId="19" xfId="0" applyFont="1" applyFill="1" applyBorder="1" applyAlignment="1">
      <alignment horizontal="center" vertical="center" wrapText="1"/>
    </xf>
    <xf numFmtId="0" fontId="14" fillId="5" borderId="20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4" fillId="6" borderId="23" xfId="0" applyFont="1" applyFill="1" applyBorder="1" applyAlignment="1">
      <alignment horizontal="center" vertical="center" wrapText="1"/>
    </xf>
    <xf numFmtId="9" fontId="14" fillId="6" borderId="19" xfId="3" applyFont="1" applyFill="1" applyBorder="1" applyAlignment="1">
      <alignment horizontal="center" vertical="center" wrapText="1"/>
    </xf>
    <xf numFmtId="9" fontId="14" fillId="6" borderId="20" xfId="3" applyFont="1" applyFill="1" applyBorder="1" applyAlignment="1">
      <alignment horizontal="center" vertical="center" wrapText="1"/>
    </xf>
    <xf numFmtId="9" fontId="14" fillId="7" borderId="21" xfId="3" applyFont="1" applyFill="1" applyBorder="1" applyAlignment="1">
      <alignment horizontal="center" vertical="center" wrapText="1"/>
    </xf>
    <xf numFmtId="9" fontId="14" fillId="7" borderId="22" xfId="3" applyFont="1" applyFill="1" applyBorder="1" applyAlignment="1">
      <alignment horizontal="center" vertical="center" wrapText="1"/>
    </xf>
    <xf numFmtId="9" fontId="14" fillId="8" borderId="21" xfId="3" applyFont="1" applyFill="1" applyBorder="1" applyAlignment="1">
      <alignment horizontal="center" vertical="center" wrapText="1"/>
    </xf>
    <xf numFmtId="9" fontId="14" fillId="8" borderId="23" xfId="3" applyFont="1" applyFill="1" applyBorder="1" applyAlignment="1">
      <alignment horizontal="center" vertical="center" wrapText="1"/>
    </xf>
    <xf numFmtId="9" fontId="14" fillId="8" borderId="19" xfId="3" applyFont="1" applyFill="1" applyBorder="1" applyAlignment="1">
      <alignment horizontal="center" vertical="center" wrapText="1"/>
    </xf>
    <xf numFmtId="9" fontId="14" fillId="8" borderId="20" xfId="3" applyFont="1" applyFill="1" applyBorder="1" applyAlignment="1">
      <alignment horizontal="center" vertical="center" wrapText="1"/>
    </xf>
    <xf numFmtId="0" fontId="14" fillId="9" borderId="21" xfId="0" applyFont="1" applyFill="1" applyBorder="1" applyAlignment="1">
      <alignment horizontal="center" vertical="center" wrapText="1"/>
    </xf>
    <xf numFmtId="0" fontId="14" fillId="9" borderId="23" xfId="0" applyFont="1" applyFill="1" applyBorder="1" applyAlignment="1">
      <alignment horizontal="center" vertical="center" wrapText="1"/>
    </xf>
    <xf numFmtId="0" fontId="14" fillId="9" borderId="19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5" fillId="0" borderId="24" xfId="0" applyFont="1" applyBorder="1" applyAlignment="1">
      <alignment horizontal="center" vertical="center"/>
    </xf>
    <xf numFmtId="0" fontId="15" fillId="0" borderId="25" xfId="0" applyFont="1" applyBorder="1" applyAlignment="1">
      <alignment vertical="center"/>
    </xf>
    <xf numFmtId="0" fontId="15" fillId="0" borderId="25" xfId="0" applyFont="1" applyBorder="1" applyAlignment="1">
      <alignment horizontal="center" vertical="center"/>
    </xf>
    <xf numFmtId="0" fontId="16" fillId="0" borderId="25" xfId="0" applyFont="1" applyBorder="1"/>
    <xf numFmtId="164" fontId="17" fillId="24" borderId="25" xfId="0" applyNumberFormat="1" applyFont="1" applyFill="1" applyBorder="1" applyAlignment="1">
      <alignment horizontal="left" vertical="center"/>
    </xf>
    <xf numFmtId="0" fontId="15" fillId="0" borderId="26" xfId="0" applyFont="1" applyBorder="1" applyAlignment="1">
      <alignment horizontal="center" vertical="center"/>
    </xf>
    <xf numFmtId="1" fontId="16" fillId="0" borderId="27" xfId="0" applyNumberFormat="1" applyFont="1" applyBorder="1" applyAlignment="1">
      <alignment horizontal="center" vertical="center"/>
    </xf>
    <xf numFmtId="3" fontId="16" fillId="0" borderId="28" xfId="3" applyNumberFormat="1" applyFont="1" applyBorder="1" applyAlignment="1">
      <alignment horizontal="center" vertical="center"/>
    </xf>
    <xf numFmtId="9" fontId="16" fillId="0" borderId="29" xfId="3" applyFont="1" applyFill="1" applyBorder="1" applyAlignment="1">
      <alignment horizontal="center" vertical="center"/>
    </xf>
    <xf numFmtId="1" fontId="16" fillId="0" borderId="25" xfId="0" applyNumberFormat="1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9" fontId="16" fillId="0" borderId="25" xfId="3" applyFont="1" applyFill="1" applyBorder="1" applyAlignment="1">
      <alignment horizontal="center" vertical="center"/>
    </xf>
    <xf numFmtId="1" fontId="16" fillId="0" borderId="25" xfId="3" applyNumberFormat="1" applyFont="1" applyFill="1" applyBorder="1" applyAlignment="1">
      <alignment horizontal="center" vertical="center"/>
    </xf>
    <xf numFmtId="3" fontId="16" fillId="0" borderId="25" xfId="3" applyNumberFormat="1" applyFont="1" applyFill="1" applyBorder="1" applyAlignment="1">
      <alignment horizontal="center" vertical="center"/>
    </xf>
    <xf numFmtId="3" fontId="16" fillId="0" borderId="26" xfId="3" applyNumberFormat="1" applyFont="1" applyFill="1" applyBorder="1" applyAlignment="1">
      <alignment horizontal="center" vertical="center"/>
    </xf>
    <xf numFmtId="165" fontId="16" fillId="0" borderId="27" xfId="0" applyNumberFormat="1" applyFont="1" applyBorder="1" applyAlignment="1">
      <alignment horizontal="center" vertical="center"/>
    </xf>
    <xf numFmtId="9" fontId="15" fillId="0" borderId="29" xfId="3" applyFont="1" applyFill="1" applyBorder="1" applyAlignment="1">
      <alignment horizontal="center" vertical="center"/>
    </xf>
    <xf numFmtId="1" fontId="15" fillId="0" borderId="25" xfId="3" applyNumberFormat="1" applyFont="1" applyFill="1" applyBorder="1" applyAlignment="1">
      <alignment horizontal="center" vertical="center"/>
    </xf>
    <xf numFmtId="3" fontId="15" fillId="0" borderId="25" xfId="3" applyNumberFormat="1" applyFont="1" applyFill="1" applyBorder="1" applyAlignment="1">
      <alignment horizontal="center" vertical="center"/>
    </xf>
    <xf numFmtId="9" fontId="15" fillId="0" borderId="26" xfId="3" applyFont="1" applyFill="1" applyBorder="1" applyAlignment="1">
      <alignment horizontal="center" vertical="center"/>
    </xf>
    <xf numFmtId="166" fontId="16" fillId="0" borderId="27" xfId="3" applyNumberFormat="1" applyFont="1" applyFill="1" applyBorder="1" applyAlignment="1">
      <alignment horizontal="center" vertical="center"/>
    </xf>
    <xf numFmtId="3" fontId="16" fillId="0" borderId="28" xfId="0" applyNumberFormat="1" applyFont="1" applyBorder="1" applyAlignment="1">
      <alignment horizontal="center" vertical="center"/>
    </xf>
    <xf numFmtId="1" fontId="16" fillId="0" borderId="29" xfId="3" applyNumberFormat="1" applyFont="1" applyFill="1" applyBorder="1" applyAlignment="1">
      <alignment horizontal="center" vertical="center"/>
    </xf>
    <xf numFmtId="9" fontId="16" fillId="0" borderId="26" xfId="3" applyFont="1" applyFill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1" fontId="16" fillId="0" borderId="29" xfId="0" applyNumberFormat="1" applyFont="1" applyBorder="1" applyAlignment="1">
      <alignment horizontal="center" vertical="center"/>
    </xf>
    <xf numFmtId="3" fontId="16" fillId="0" borderId="25" xfId="0" applyNumberFormat="1" applyFont="1" applyBorder="1" applyAlignment="1">
      <alignment horizontal="center" vertical="center"/>
    </xf>
    <xf numFmtId="0" fontId="16" fillId="0" borderId="29" xfId="0" applyFont="1" applyBorder="1" applyAlignment="1">
      <alignment horizontal="center" vertical="center"/>
    </xf>
    <xf numFmtId="3" fontId="16" fillId="0" borderId="25" xfId="3" applyNumberFormat="1" applyFont="1" applyBorder="1" applyAlignment="1">
      <alignment horizontal="center" vertical="center"/>
    </xf>
    <xf numFmtId="9" fontId="16" fillId="0" borderId="30" xfId="3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6" fillId="0" borderId="6" xfId="0" applyFont="1" applyBorder="1"/>
    <xf numFmtId="0" fontId="15" fillId="0" borderId="6" xfId="0" applyFont="1" applyBorder="1" applyAlignment="1">
      <alignment vertical="center"/>
    </xf>
    <xf numFmtId="0" fontId="15" fillId="24" borderId="6" xfId="0" applyFont="1" applyFill="1" applyBorder="1" applyAlignment="1">
      <alignment horizontal="left" vertical="center"/>
    </xf>
    <xf numFmtId="0" fontId="15" fillId="0" borderId="7" xfId="0" applyFont="1" applyBorder="1" applyAlignment="1">
      <alignment horizontal="center" vertical="center"/>
    </xf>
    <xf numFmtId="1" fontId="16" fillId="0" borderId="8" xfId="0" applyNumberFormat="1" applyFont="1" applyBorder="1" applyAlignment="1">
      <alignment horizontal="center" vertical="center"/>
    </xf>
    <xf numFmtId="3" fontId="16" fillId="0" borderId="9" xfId="3" applyNumberFormat="1" applyFont="1" applyBorder="1" applyAlignment="1">
      <alignment horizontal="center" vertical="center"/>
    </xf>
    <xf numFmtId="9" fontId="16" fillId="0" borderId="10" xfId="3" applyFont="1" applyFill="1" applyBorder="1" applyAlignment="1">
      <alignment horizontal="center" vertical="center"/>
    </xf>
    <xf numFmtId="1" fontId="16" fillId="0" borderId="6" xfId="0" applyNumberFormat="1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9" fontId="16" fillId="0" borderId="6" xfId="3" applyFont="1" applyFill="1" applyBorder="1" applyAlignment="1">
      <alignment horizontal="center" vertical="center"/>
    </xf>
    <xf numFmtId="1" fontId="16" fillId="0" borderId="6" xfId="3" applyNumberFormat="1" applyFont="1" applyFill="1" applyBorder="1" applyAlignment="1">
      <alignment horizontal="center" vertical="center"/>
    </xf>
    <xf numFmtId="3" fontId="16" fillId="0" borderId="6" xfId="3" applyNumberFormat="1" applyFont="1" applyFill="1" applyBorder="1" applyAlignment="1">
      <alignment horizontal="center" vertical="center"/>
    </xf>
    <xf numFmtId="3" fontId="16" fillId="0" borderId="7" xfId="3" applyNumberFormat="1" applyFont="1" applyFill="1" applyBorder="1" applyAlignment="1">
      <alignment horizontal="center" vertical="center"/>
    </xf>
    <xf numFmtId="165" fontId="16" fillId="0" borderId="8" xfId="0" applyNumberFormat="1" applyFont="1" applyBorder="1" applyAlignment="1">
      <alignment horizontal="center" vertical="center"/>
    </xf>
    <xf numFmtId="9" fontId="15" fillId="0" borderId="10" xfId="3" applyFont="1" applyFill="1" applyBorder="1" applyAlignment="1">
      <alignment horizontal="center" vertical="center"/>
    </xf>
    <xf numFmtId="1" fontId="15" fillId="0" borderId="6" xfId="3" applyNumberFormat="1" applyFont="1" applyFill="1" applyBorder="1" applyAlignment="1">
      <alignment horizontal="center" vertical="center"/>
    </xf>
    <xf numFmtId="3" fontId="15" fillId="0" borderId="6" xfId="3" applyNumberFormat="1" applyFont="1" applyFill="1" applyBorder="1" applyAlignment="1">
      <alignment horizontal="center" vertical="center"/>
    </xf>
    <xf numFmtId="9" fontId="15" fillId="0" borderId="7" xfId="3" applyFont="1" applyFill="1" applyBorder="1" applyAlignment="1">
      <alignment horizontal="center" vertical="center"/>
    </xf>
    <xf numFmtId="166" fontId="16" fillId="0" borderId="8" xfId="3" applyNumberFormat="1" applyFont="1" applyFill="1" applyBorder="1" applyAlignment="1">
      <alignment horizontal="center" vertical="center"/>
    </xf>
    <xf numFmtId="3" fontId="16" fillId="0" borderId="9" xfId="0" applyNumberFormat="1" applyFont="1" applyBorder="1" applyAlignment="1">
      <alignment horizontal="center" vertical="center"/>
    </xf>
    <xf numFmtId="1" fontId="16" fillId="0" borderId="10" xfId="3" applyNumberFormat="1" applyFont="1" applyFill="1" applyBorder="1" applyAlignment="1">
      <alignment horizontal="center" vertical="center"/>
    </xf>
    <xf numFmtId="9" fontId="16" fillId="0" borderId="7" xfId="3" applyFont="1" applyFill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1" fontId="16" fillId="0" borderId="10" xfId="0" applyNumberFormat="1" applyFont="1" applyBorder="1" applyAlignment="1">
      <alignment horizontal="center" vertical="center"/>
    </xf>
    <xf numFmtId="3" fontId="16" fillId="0" borderId="6" xfId="0" applyNumberFormat="1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3" fontId="16" fillId="0" borderId="6" xfId="3" applyNumberFormat="1" applyFont="1" applyBorder="1" applyAlignment="1">
      <alignment horizontal="center" vertical="center"/>
    </xf>
    <xf numFmtId="9" fontId="16" fillId="0" borderId="11" xfId="3" applyFont="1" applyFill="1" applyBorder="1" applyAlignment="1">
      <alignment horizontal="center" vertical="center"/>
    </xf>
    <xf numFmtId="0" fontId="15" fillId="0" borderId="6" xfId="0" applyFont="1" applyBorder="1" applyAlignment="1">
      <alignment horizontal="left" vertical="center"/>
    </xf>
    <xf numFmtId="0" fontId="16" fillId="0" borderId="6" xfId="0" applyFont="1" applyBorder="1" applyAlignment="1">
      <alignment horizontal="left" vertical="center"/>
    </xf>
    <xf numFmtId="0" fontId="15" fillId="0" borderId="12" xfId="0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6" fillId="0" borderId="13" xfId="0" applyFont="1" applyBorder="1"/>
    <xf numFmtId="0" fontId="15" fillId="0" borderId="13" xfId="0" applyFont="1" applyBorder="1" applyAlignment="1">
      <alignment vertical="center"/>
    </xf>
    <xf numFmtId="0" fontId="15" fillId="0" borderId="13" xfId="0" applyFont="1" applyBorder="1" applyAlignment="1">
      <alignment horizontal="left" vertical="center"/>
    </xf>
    <xf numFmtId="0" fontId="15" fillId="0" borderId="14" xfId="0" applyFont="1" applyBorder="1" applyAlignment="1">
      <alignment horizontal="center" vertical="center"/>
    </xf>
    <xf numFmtId="1" fontId="16" fillId="0" borderId="15" xfId="0" applyNumberFormat="1" applyFont="1" applyBorder="1" applyAlignment="1">
      <alignment horizontal="center" vertical="center"/>
    </xf>
    <xf numFmtId="3" fontId="16" fillId="0" borderId="16" xfId="3" applyNumberFormat="1" applyFont="1" applyBorder="1" applyAlignment="1">
      <alignment horizontal="center" vertical="center"/>
    </xf>
    <xf numFmtId="9" fontId="16" fillId="0" borderId="17" xfId="3" applyFont="1" applyFill="1" applyBorder="1" applyAlignment="1">
      <alignment horizontal="center" vertical="center"/>
    </xf>
    <xf numFmtId="1" fontId="16" fillId="0" borderId="13" xfId="0" applyNumberFormat="1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9" fontId="16" fillId="0" borderId="13" xfId="3" applyFont="1" applyFill="1" applyBorder="1" applyAlignment="1">
      <alignment horizontal="center" vertical="center"/>
    </xf>
    <xf numFmtId="1" fontId="16" fillId="0" borderId="13" xfId="3" applyNumberFormat="1" applyFont="1" applyFill="1" applyBorder="1" applyAlignment="1">
      <alignment horizontal="center" vertical="center"/>
    </xf>
    <xf numFmtId="3" fontId="16" fillId="0" borderId="13" xfId="3" applyNumberFormat="1" applyFont="1" applyFill="1" applyBorder="1" applyAlignment="1">
      <alignment horizontal="center" vertical="center"/>
    </xf>
    <xf numFmtId="3" fontId="16" fillId="0" borderId="14" xfId="3" applyNumberFormat="1" applyFont="1" applyFill="1" applyBorder="1" applyAlignment="1">
      <alignment horizontal="center" vertical="center"/>
    </xf>
    <xf numFmtId="165" fontId="16" fillId="0" borderId="15" xfId="0" applyNumberFormat="1" applyFont="1" applyBorder="1" applyAlignment="1">
      <alignment horizontal="center" vertical="center"/>
    </xf>
    <xf numFmtId="9" fontId="15" fillId="0" borderId="17" xfId="3" applyFont="1" applyFill="1" applyBorder="1" applyAlignment="1">
      <alignment horizontal="center" vertical="center"/>
    </xf>
    <xf numFmtId="1" fontId="15" fillId="0" borderId="13" xfId="3" applyNumberFormat="1" applyFont="1" applyFill="1" applyBorder="1" applyAlignment="1">
      <alignment horizontal="center" vertical="center"/>
    </xf>
    <xf numFmtId="3" fontId="15" fillId="0" borderId="13" xfId="3" applyNumberFormat="1" applyFont="1" applyFill="1" applyBorder="1" applyAlignment="1">
      <alignment horizontal="center" vertical="center"/>
    </xf>
    <xf numFmtId="9" fontId="15" fillId="0" borderId="14" xfId="3" applyFont="1" applyFill="1" applyBorder="1" applyAlignment="1">
      <alignment horizontal="center" vertical="center"/>
    </xf>
    <xf numFmtId="166" fontId="16" fillId="0" borderId="15" xfId="3" applyNumberFormat="1" applyFont="1" applyFill="1" applyBorder="1" applyAlignment="1">
      <alignment horizontal="center" vertical="center"/>
    </xf>
    <xf numFmtId="3" fontId="16" fillId="0" borderId="16" xfId="0" applyNumberFormat="1" applyFont="1" applyBorder="1" applyAlignment="1">
      <alignment horizontal="center" vertical="center"/>
    </xf>
    <xf numFmtId="1" fontId="16" fillId="0" borderId="17" xfId="3" applyNumberFormat="1" applyFont="1" applyFill="1" applyBorder="1" applyAlignment="1">
      <alignment horizontal="center" vertical="center"/>
    </xf>
    <xf numFmtId="9" fontId="16" fillId="0" borderId="14" xfId="3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1" fontId="16" fillId="0" borderId="17" xfId="0" applyNumberFormat="1" applyFont="1" applyBorder="1" applyAlignment="1">
      <alignment horizontal="center" vertical="center"/>
    </xf>
    <xf numFmtId="3" fontId="16" fillId="0" borderId="13" xfId="0" applyNumberFormat="1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3" fontId="16" fillId="0" borderId="13" xfId="3" applyNumberFormat="1" applyFont="1" applyBorder="1" applyAlignment="1">
      <alignment horizontal="center" vertical="center"/>
    </xf>
    <xf numFmtId="9" fontId="16" fillId="0" borderId="18" xfId="3" applyFont="1" applyFill="1" applyBorder="1" applyAlignment="1">
      <alignment horizontal="center" vertical="center"/>
    </xf>
    <xf numFmtId="0" fontId="19" fillId="0" borderId="0" xfId="2" applyFont="1"/>
    <xf numFmtId="0" fontId="5" fillId="0" borderId="0" xfId="2" applyFont="1"/>
    <xf numFmtId="0" fontId="19" fillId="13" borderId="0" xfId="0" applyFont="1" applyFill="1" applyAlignment="1">
      <alignment horizontal="center" wrapText="1"/>
    </xf>
    <xf numFmtId="0" fontId="19" fillId="13" borderId="56" xfId="0" applyFont="1" applyFill="1" applyBorder="1" applyAlignment="1">
      <alignment horizontal="center" wrapText="1"/>
    </xf>
    <xf numFmtId="0" fontId="3" fillId="0" borderId="56" xfId="2" applyFont="1" applyBorder="1" applyAlignment="1">
      <alignment horizontal="center"/>
    </xf>
    <xf numFmtId="0" fontId="3" fillId="0" borderId="56" xfId="2" applyFont="1" applyBorder="1"/>
    <xf numFmtId="167" fontId="0" fillId="0" borderId="56" xfId="0" applyNumberFormat="1" applyBorder="1"/>
    <xf numFmtId="0" fontId="3" fillId="10" borderId="56" xfId="2" applyFont="1" applyFill="1" applyBorder="1" applyAlignment="1">
      <alignment horizontal="center"/>
    </xf>
    <xf numFmtId="0" fontId="3" fillId="10" borderId="56" xfId="2" applyFont="1" applyFill="1" applyBorder="1"/>
    <xf numFmtId="0" fontId="19" fillId="11" borderId="56" xfId="2" applyFont="1" applyFill="1" applyBorder="1"/>
    <xf numFmtId="167" fontId="19" fillId="11" borderId="56" xfId="0" applyNumberFormat="1" applyFont="1" applyFill="1" applyBorder="1"/>
    <xf numFmtId="0" fontId="13" fillId="12" borderId="37" xfId="0" applyFont="1" applyFill="1" applyBorder="1" applyAlignment="1">
      <alignment horizontal="center" vertical="center" wrapText="1"/>
    </xf>
    <xf numFmtId="0" fontId="13" fillId="12" borderId="38" xfId="0" applyFont="1" applyFill="1" applyBorder="1" applyAlignment="1">
      <alignment horizontal="center" vertical="center" wrapText="1"/>
    </xf>
    <xf numFmtId="0" fontId="13" fillId="12" borderId="39" xfId="0" applyFont="1" applyFill="1" applyBorder="1" applyAlignment="1">
      <alignment horizontal="center" vertical="center" wrapText="1"/>
    </xf>
    <xf numFmtId="1" fontId="20" fillId="15" borderId="43" xfId="0" applyNumberFormat="1" applyFont="1" applyFill="1" applyBorder="1" applyAlignment="1">
      <alignment horizontal="center" vertical="center" wrapText="1"/>
    </xf>
    <xf numFmtId="1" fontId="20" fillId="15" borderId="44" xfId="0" applyNumberFormat="1" applyFont="1" applyFill="1" applyBorder="1" applyAlignment="1">
      <alignment horizontal="center" vertical="center" wrapText="1"/>
    </xf>
    <xf numFmtId="9" fontId="20" fillId="15" borderId="45" xfId="3" applyFont="1" applyFill="1" applyBorder="1" applyAlignment="1">
      <alignment horizontal="center" vertical="center" wrapText="1"/>
    </xf>
    <xf numFmtId="0" fontId="17" fillId="0" borderId="69" xfId="0" applyFont="1" applyBorder="1" applyAlignment="1">
      <alignment vertical="center"/>
    </xf>
    <xf numFmtId="0" fontId="15" fillId="0" borderId="56" xfId="0" applyFont="1" applyBorder="1" applyAlignment="1">
      <alignment horizontal="center" vertical="center"/>
    </xf>
    <xf numFmtId="0" fontId="22" fillId="0" borderId="70" xfId="0" applyFont="1" applyBorder="1" applyAlignment="1">
      <alignment vertical="center"/>
    </xf>
    <xf numFmtId="0" fontId="15" fillId="0" borderId="71" xfId="0" applyFont="1" applyBorder="1" applyAlignment="1">
      <alignment horizontal="center" vertical="center"/>
    </xf>
    <xf numFmtId="0" fontId="22" fillId="0" borderId="72" xfId="0" applyFont="1" applyBorder="1" applyAlignment="1">
      <alignment vertical="center"/>
    </xf>
    <xf numFmtId="0" fontId="22" fillId="0" borderId="57" xfId="0" applyFont="1" applyBorder="1" applyAlignment="1">
      <alignment vertical="center"/>
    </xf>
    <xf numFmtId="1" fontId="8" fillId="0" borderId="73" xfId="0" applyNumberFormat="1" applyFont="1" applyBorder="1" applyAlignment="1">
      <alignment horizontal="center" vertical="center"/>
    </xf>
    <xf numFmtId="0" fontId="9" fillId="0" borderId="74" xfId="0" applyFont="1" applyBorder="1" applyAlignment="1">
      <alignment horizontal="center" vertical="center"/>
    </xf>
    <xf numFmtId="9" fontId="8" fillId="0" borderId="69" xfId="3" applyFont="1" applyFill="1" applyBorder="1" applyAlignment="1">
      <alignment horizontal="center" vertical="center"/>
    </xf>
    <xf numFmtId="165" fontId="8" fillId="0" borderId="70" xfId="0" applyNumberFormat="1" applyFont="1" applyBorder="1" applyAlignment="1">
      <alignment horizontal="center" vertical="center"/>
    </xf>
    <xf numFmtId="165" fontId="8" fillId="0" borderId="73" xfId="0" applyNumberFormat="1" applyFont="1" applyBorder="1" applyAlignment="1">
      <alignment horizontal="center" vertical="center"/>
    </xf>
    <xf numFmtId="1" fontId="23" fillId="0" borderId="72" xfId="3" applyNumberFormat="1" applyFont="1" applyFill="1" applyBorder="1" applyAlignment="1">
      <alignment horizontal="center" vertical="center"/>
    </xf>
    <xf numFmtId="9" fontId="24" fillId="0" borderId="70" xfId="3" applyFont="1" applyFill="1" applyBorder="1" applyAlignment="1">
      <alignment horizontal="center" vertical="center"/>
    </xf>
    <xf numFmtId="1" fontId="24" fillId="0" borderId="70" xfId="3" applyNumberFormat="1" applyFont="1" applyFill="1" applyBorder="1" applyAlignment="1">
      <alignment horizontal="center" vertical="center"/>
    </xf>
    <xf numFmtId="9" fontId="24" fillId="0" borderId="75" xfId="3" applyFont="1" applyFill="1" applyBorder="1" applyAlignment="1">
      <alignment horizontal="center" vertical="center"/>
    </xf>
    <xf numFmtId="168" fontId="24" fillId="0" borderId="73" xfId="0" applyNumberFormat="1" applyFont="1" applyBorder="1" applyAlignment="1">
      <alignment horizontal="center" vertical="center"/>
    </xf>
    <xf numFmtId="169" fontId="24" fillId="0" borderId="72" xfId="0" applyNumberFormat="1" applyFont="1" applyBorder="1" applyAlignment="1">
      <alignment horizontal="center" vertical="center"/>
    </xf>
    <xf numFmtId="0" fontId="24" fillId="0" borderId="73" xfId="0" applyFont="1" applyBorder="1" applyAlignment="1">
      <alignment horizontal="center" vertical="center"/>
    </xf>
    <xf numFmtId="0" fontId="24" fillId="0" borderId="74" xfId="0" applyFont="1" applyBorder="1" applyAlignment="1">
      <alignment horizontal="center" vertical="center"/>
    </xf>
    <xf numFmtId="0" fontId="24" fillId="0" borderId="69" xfId="0" applyFont="1" applyBorder="1" applyAlignment="1">
      <alignment horizontal="center" vertical="center"/>
    </xf>
    <xf numFmtId="1" fontId="24" fillId="0" borderId="73" xfId="0" applyNumberFormat="1" applyFont="1" applyBorder="1" applyAlignment="1">
      <alignment horizontal="center" vertical="center"/>
    </xf>
    <xf numFmtId="1" fontId="24" fillId="0" borderId="74" xfId="0" applyNumberFormat="1" applyFont="1" applyBorder="1" applyAlignment="1">
      <alignment horizontal="center" vertical="center"/>
    </xf>
    <xf numFmtId="1" fontId="24" fillId="0" borderId="69" xfId="0" applyNumberFormat="1" applyFont="1" applyBorder="1" applyAlignment="1">
      <alignment horizontal="center" vertical="center"/>
    </xf>
    <xf numFmtId="9" fontId="24" fillId="0" borderId="69" xfId="3" applyFont="1" applyFill="1" applyBorder="1" applyAlignment="1">
      <alignment horizontal="center" vertical="center"/>
    </xf>
    <xf numFmtId="0" fontId="17" fillId="0" borderId="56" xfId="0" applyFont="1" applyBorder="1" applyAlignment="1">
      <alignment vertical="center"/>
    </xf>
    <xf numFmtId="0" fontId="15" fillId="0" borderId="76" xfId="0" applyFont="1" applyBorder="1" applyAlignment="1">
      <alignment horizontal="center" vertical="center"/>
    </xf>
    <xf numFmtId="0" fontId="22" fillId="0" borderId="58" xfId="0" applyFont="1" applyBorder="1" applyAlignment="1">
      <alignment vertical="center"/>
    </xf>
    <xf numFmtId="9" fontId="24" fillId="0" borderId="77" xfId="3" applyFont="1" applyFill="1" applyBorder="1" applyAlignment="1">
      <alignment horizontal="center" vertical="center"/>
    </xf>
    <xf numFmtId="168" fontId="24" fillId="0" borderId="78" xfId="0" applyNumberFormat="1" applyFont="1" applyBorder="1" applyAlignment="1">
      <alignment horizontal="center" vertical="center"/>
    </xf>
    <xf numFmtId="169" fontId="24" fillId="0" borderId="58" xfId="0" applyNumberFormat="1" applyFont="1" applyBorder="1" applyAlignment="1">
      <alignment horizontal="center" vertical="center"/>
    </xf>
    <xf numFmtId="0" fontId="24" fillId="0" borderId="78" xfId="0" applyFont="1" applyBorder="1" applyAlignment="1">
      <alignment horizontal="center" vertical="center"/>
    </xf>
    <xf numFmtId="0" fontId="24" fillId="0" borderId="59" xfId="0" applyFont="1" applyBorder="1" applyAlignment="1">
      <alignment horizontal="center" vertical="center"/>
    </xf>
    <xf numFmtId="0" fontId="24" fillId="0" borderId="56" xfId="0" applyFont="1" applyBorder="1" applyAlignment="1">
      <alignment horizontal="center" vertical="center"/>
    </xf>
    <xf numFmtId="9" fontId="24" fillId="0" borderId="57" xfId="3" applyFont="1" applyFill="1" applyBorder="1" applyAlignment="1">
      <alignment horizontal="center" vertical="center"/>
    </xf>
    <xf numFmtId="1" fontId="24" fillId="0" borderId="78" xfId="0" applyNumberFormat="1" applyFont="1" applyBorder="1" applyAlignment="1">
      <alignment horizontal="center" vertical="center"/>
    </xf>
    <xf numFmtId="1" fontId="24" fillId="0" borderId="59" xfId="0" applyNumberFormat="1" applyFont="1" applyBorder="1" applyAlignment="1">
      <alignment horizontal="center" vertical="center"/>
    </xf>
    <xf numFmtId="1" fontId="24" fillId="0" borderId="56" xfId="0" applyNumberFormat="1" applyFont="1" applyBorder="1" applyAlignment="1">
      <alignment horizontal="center" vertical="center"/>
    </xf>
    <xf numFmtId="9" fontId="24" fillId="0" borderId="56" xfId="3" applyFont="1" applyFill="1" applyBorder="1" applyAlignment="1">
      <alignment horizontal="center" vertical="center"/>
    </xf>
    <xf numFmtId="0" fontId="15" fillId="0" borderId="69" xfId="0" applyFont="1" applyBorder="1" applyAlignment="1">
      <alignment horizontal="center" vertical="center"/>
    </xf>
    <xf numFmtId="0" fontId="15" fillId="24" borderId="56" xfId="0" applyFont="1" applyFill="1" applyBorder="1" applyAlignment="1">
      <alignment horizontal="left" vertical="center"/>
    </xf>
    <xf numFmtId="2" fontId="25" fillId="0" borderId="79" xfId="0" applyNumberFormat="1" applyFont="1" applyBorder="1"/>
    <xf numFmtId="165" fontId="8" fillId="0" borderId="80" xfId="0" applyNumberFormat="1" applyFont="1" applyBorder="1" applyAlignment="1">
      <alignment horizontal="center" vertical="center"/>
    </xf>
    <xf numFmtId="0" fontId="22" fillId="0" borderId="56" xfId="0" applyFont="1" applyBorder="1" applyAlignment="1">
      <alignment horizontal="left" vertical="center"/>
    </xf>
    <xf numFmtId="0" fontId="25" fillId="0" borderId="82" xfId="0" applyFont="1" applyBorder="1"/>
    <xf numFmtId="0" fontId="26" fillId="0" borderId="84" xfId="0" applyFont="1" applyBorder="1"/>
    <xf numFmtId="0" fontId="25" fillId="0" borderId="84" xfId="0" applyFont="1" applyBorder="1"/>
    <xf numFmtId="0" fontId="16" fillId="0" borderId="59" xfId="0" applyFont="1" applyBorder="1" applyAlignment="1">
      <alignment horizontal="left" vertical="center"/>
    </xf>
    <xf numFmtId="0" fontId="15" fillId="0" borderId="56" xfId="0" applyFont="1" applyBorder="1" applyAlignment="1">
      <alignment horizontal="left" vertical="center"/>
    </xf>
    <xf numFmtId="0" fontId="22" fillId="0" borderId="56" xfId="0" applyFont="1" applyBorder="1"/>
    <xf numFmtId="1" fontId="22" fillId="0" borderId="56" xfId="0" applyNumberFormat="1" applyFont="1" applyBorder="1" applyAlignment="1">
      <alignment horizontal="center" vertical="center"/>
    </xf>
    <xf numFmtId="1" fontId="25" fillId="0" borderId="56" xfId="0" applyNumberFormat="1" applyFont="1" applyBorder="1" applyAlignment="1">
      <alignment horizontal="center"/>
    </xf>
    <xf numFmtId="2" fontId="22" fillId="0" borderId="79" xfId="0" applyNumberFormat="1" applyFont="1" applyBorder="1"/>
    <xf numFmtId="0" fontId="15" fillId="0" borderId="56" xfId="0" applyFont="1" applyBorder="1" applyAlignment="1">
      <alignment vertical="center"/>
    </xf>
    <xf numFmtId="2" fontId="16" fillId="0" borderId="86" xfId="0" applyNumberFormat="1" applyFont="1" applyBorder="1"/>
    <xf numFmtId="2" fontId="25" fillId="0" borderId="89" xfId="0" applyNumberFormat="1" applyFont="1" applyBorder="1"/>
    <xf numFmtId="2" fontId="25" fillId="0" borderId="86" xfId="0" applyNumberFormat="1" applyFont="1" applyBorder="1"/>
    <xf numFmtId="0" fontId="15" fillId="0" borderId="57" xfId="0" applyFont="1" applyBorder="1" applyAlignment="1">
      <alignment vertical="center"/>
    </xf>
    <xf numFmtId="165" fontId="8" fillId="0" borderId="78" xfId="0" applyNumberFormat="1" applyFont="1" applyBorder="1" applyAlignment="1">
      <alignment horizontal="center" vertical="center"/>
    </xf>
    <xf numFmtId="0" fontId="15" fillId="0" borderId="71" xfId="0" applyFont="1" applyBorder="1" applyAlignment="1">
      <alignment vertical="center"/>
    </xf>
    <xf numFmtId="0" fontId="15" fillId="0" borderId="88" xfId="0" applyFont="1" applyBorder="1" applyAlignment="1">
      <alignment vertical="center"/>
    </xf>
    <xf numFmtId="0" fontId="22" fillId="0" borderId="88" xfId="0" applyFont="1" applyBorder="1" applyAlignment="1">
      <alignment vertical="center"/>
    </xf>
    <xf numFmtId="0" fontId="9" fillId="0" borderId="94" xfId="0" applyFont="1" applyBorder="1" applyAlignment="1">
      <alignment horizontal="center" vertical="center"/>
    </xf>
    <xf numFmtId="9" fontId="8" fillId="0" borderId="76" xfId="3" applyFont="1" applyFill="1" applyBorder="1" applyAlignment="1">
      <alignment horizontal="center" vertical="center"/>
    </xf>
    <xf numFmtId="165" fontId="8" fillId="0" borderId="95" xfId="0" applyNumberFormat="1" applyFont="1" applyBorder="1" applyAlignment="1">
      <alignment horizontal="center" vertical="center"/>
    </xf>
    <xf numFmtId="1" fontId="23" fillId="0" borderId="0" xfId="3" applyNumberFormat="1" applyFont="1" applyFill="1" applyBorder="1" applyAlignment="1">
      <alignment horizontal="center" vertical="center"/>
    </xf>
    <xf numFmtId="1" fontId="24" fillId="0" borderId="80" xfId="3" applyNumberFormat="1" applyFont="1" applyFill="1" applyBorder="1" applyAlignment="1">
      <alignment horizontal="center" vertical="center"/>
    </xf>
    <xf numFmtId="9" fontId="24" fillId="0" borderId="96" xfId="3" applyFont="1" applyFill="1" applyBorder="1" applyAlignment="1">
      <alignment horizontal="center" vertical="center"/>
    </xf>
    <xf numFmtId="168" fontId="24" fillId="0" borderId="95" xfId="0" applyNumberFormat="1" applyFont="1" applyBorder="1" applyAlignment="1">
      <alignment horizontal="center" vertical="center"/>
    </xf>
    <xf numFmtId="169" fontId="24" fillId="0" borderId="97" xfId="0" applyNumberFormat="1" applyFont="1" applyBorder="1" applyAlignment="1">
      <alignment horizontal="center" vertical="center"/>
    </xf>
    <xf numFmtId="0" fontId="24" fillId="0" borderId="95" xfId="0" applyFont="1" applyBorder="1" applyAlignment="1">
      <alignment horizontal="center" vertical="center"/>
    </xf>
    <xf numFmtId="0" fontId="24" fillId="0" borderId="98" xfId="0" applyFont="1" applyBorder="1" applyAlignment="1">
      <alignment horizontal="center" vertical="center"/>
    </xf>
    <xf numFmtId="0" fontId="24" fillId="0" borderId="71" xfId="0" applyFont="1" applyBorder="1" applyAlignment="1">
      <alignment horizontal="center" vertical="center"/>
    </xf>
    <xf numFmtId="9" fontId="24" fillId="0" borderId="88" xfId="3" applyFont="1" applyFill="1" applyBorder="1" applyAlignment="1">
      <alignment horizontal="center" vertical="center"/>
    </xf>
    <xf numFmtId="1" fontId="24" fillId="0" borderId="95" xfId="0" applyNumberFormat="1" applyFont="1" applyBorder="1" applyAlignment="1">
      <alignment horizontal="center" vertical="center"/>
    </xf>
    <xf numFmtId="1" fontId="24" fillId="0" borderId="98" xfId="0" applyNumberFormat="1" applyFont="1" applyBorder="1" applyAlignment="1">
      <alignment horizontal="center" vertical="center"/>
    </xf>
    <xf numFmtId="1" fontId="24" fillId="0" borderId="71" xfId="0" applyNumberFormat="1" applyFont="1" applyBorder="1" applyAlignment="1">
      <alignment horizontal="center" vertical="center"/>
    </xf>
    <xf numFmtId="9" fontId="24" fillId="0" borderId="71" xfId="3" applyFont="1" applyFill="1" applyBorder="1" applyAlignment="1">
      <alignment horizontal="center" vertical="center"/>
    </xf>
    <xf numFmtId="0" fontId="18" fillId="3" borderId="99" xfId="0" applyFont="1" applyFill="1" applyBorder="1" applyAlignment="1">
      <alignment vertical="center"/>
    </xf>
    <xf numFmtId="0" fontId="18" fillId="3" borderId="99" xfId="0" applyFont="1" applyFill="1" applyBorder="1" applyAlignment="1">
      <alignment horizontal="center" vertical="center"/>
    </xf>
    <xf numFmtId="0" fontId="18" fillId="3" borderId="100" xfId="0" applyFont="1" applyFill="1" applyBorder="1" applyAlignment="1">
      <alignment vertical="center"/>
    </xf>
    <xf numFmtId="0" fontId="6" fillId="3" borderId="100" xfId="0" applyFont="1" applyFill="1" applyBorder="1" applyAlignment="1">
      <alignment vertical="center"/>
    </xf>
    <xf numFmtId="1" fontId="6" fillId="3" borderId="101" xfId="0" applyNumberFormat="1" applyFont="1" applyFill="1" applyBorder="1" applyAlignment="1">
      <alignment horizontal="center" vertical="center"/>
    </xf>
    <xf numFmtId="1" fontId="6" fillId="3" borderId="102" xfId="0" applyNumberFormat="1" applyFont="1" applyFill="1" applyBorder="1" applyAlignment="1">
      <alignment horizontal="center" vertical="center"/>
    </xf>
    <xf numFmtId="9" fontId="6" fillId="3" borderId="99" xfId="3" applyFont="1" applyFill="1" applyBorder="1" applyAlignment="1">
      <alignment horizontal="center" vertical="center"/>
    </xf>
    <xf numFmtId="1" fontId="6" fillId="3" borderId="100" xfId="0" applyNumberFormat="1" applyFont="1" applyFill="1" applyBorder="1" applyAlignment="1">
      <alignment horizontal="center" vertical="center"/>
    </xf>
    <xf numFmtId="9" fontId="6" fillId="3" borderId="103" xfId="3" applyFont="1" applyFill="1" applyBorder="1" applyAlignment="1">
      <alignment horizontal="center" vertical="center"/>
    </xf>
    <xf numFmtId="168" fontId="6" fillId="3" borderId="101" xfId="0" applyNumberFormat="1" applyFont="1" applyFill="1" applyBorder="1" applyAlignment="1">
      <alignment horizontal="center" vertical="center"/>
    </xf>
    <xf numFmtId="169" fontId="6" fillId="3" borderId="104" xfId="0" applyNumberFormat="1" applyFont="1" applyFill="1" applyBorder="1" applyAlignment="1">
      <alignment horizontal="center" vertical="center"/>
    </xf>
    <xf numFmtId="37" fontId="6" fillId="3" borderId="101" xfId="0" applyNumberFormat="1" applyFont="1" applyFill="1" applyBorder="1" applyAlignment="1">
      <alignment horizontal="center" vertical="center"/>
    </xf>
    <xf numFmtId="37" fontId="6" fillId="3" borderId="102" xfId="0" applyNumberFormat="1" applyFont="1" applyFill="1" applyBorder="1" applyAlignment="1">
      <alignment horizontal="center" vertical="center"/>
    </xf>
    <xf numFmtId="37" fontId="6" fillId="3" borderId="99" xfId="0" applyNumberFormat="1" applyFont="1" applyFill="1" applyBorder="1" applyAlignment="1">
      <alignment horizontal="center" vertical="center"/>
    </xf>
    <xf numFmtId="37" fontId="6" fillId="3" borderId="100" xfId="0" applyNumberFormat="1" applyFont="1" applyFill="1" applyBorder="1" applyAlignment="1">
      <alignment horizontal="center" vertical="center"/>
    </xf>
    <xf numFmtId="0" fontId="6" fillId="20" borderId="41" xfId="0" applyFont="1" applyFill="1" applyBorder="1" applyAlignment="1">
      <alignment horizontal="center" vertical="center" wrapText="1"/>
    </xf>
    <xf numFmtId="0" fontId="6" fillId="20" borderId="40" xfId="0" applyFont="1" applyFill="1" applyBorder="1" applyAlignment="1">
      <alignment horizontal="center" vertical="center" wrapText="1"/>
    </xf>
    <xf numFmtId="0" fontId="6" fillId="20" borderId="42" xfId="0" applyFont="1" applyFill="1" applyBorder="1" applyAlignment="1">
      <alignment horizontal="center" vertical="center" wrapText="1"/>
    </xf>
    <xf numFmtId="0" fontId="6" fillId="20" borderId="46" xfId="0" applyFont="1" applyFill="1" applyBorder="1" applyAlignment="1">
      <alignment horizontal="center" vertical="center" wrapText="1"/>
    </xf>
    <xf numFmtId="0" fontId="6" fillId="20" borderId="0" xfId="0" applyFont="1" applyFill="1" applyAlignment="1">
      <alignment horizontal="center" vertical="center" wrapText="1"/>
    </xf>
    <xf numFmtId="0" fontId="6" fillId="20" borderId="47" xfId="0" applyFont="1" applyFill="1" applyBorder="1" applyAlignment="1">
      <alignment horizontal="center" vertical="center" wrapText="1"/>
    </xf>
    <xf numFmtId="0" fontId="21" fillId="25" borderId="60" xfId="0" applyFont="1" applyFill="1" applyBorder="1" applyAlignment="1">
      <alignment horizontal="center" vertical="center"/>
    </xf>
    <xf numFmtId="0" fontId="21" fillId="25" borderId="66" xfId="0" applyFont="1" applyFill="1" applyBorder="1" applyAlignment="1">
      <alignment horizontal="center" vertical="center"/>
    </xf>
    <xf numFmtId="0" fontId="21" fillId="25" borderId="61" xfId="0" applyFont="1" applyFill="1" applyBorder="1" applyAlignment="1">
      <alignment horizontal="center" vertical="center"/>
    </xf>
    <xf numFmtId="0" fontId="21" fillId="25" borderId="67" xfId="0" applyFont="1" applyFill="1" applyBorder="1" applyAlignment="1">
      <alignment vertical="center"/>
    </xf>
    <xf numFmtId="0" fontId="21" fillId="25" borderId="62" xfId="0" applyFont="1" applyFill="1" applyBorder="1" applyAlignment="1">
      <alignment horizontal="center" vertical="center"/>
    </xf>
    <xf numFmtId="0" fontId="21" fillId="25" borderId="68" xfId="0" applyFont="1" applyFill="1" applyBorder="1" applyAlignment="1">
      <alignment horizontal="center" vertical="center"/>
    </xf>
    <xf numFmtId="0" fontId="21" fillId="25" borderId="63" xfId="0" applyFont="1" applyFill="1" applyBorder="1" applyAlignment="1">
      <alignment horizontal="center" vertical="center"/>
    </xf>
    <xf numFmtId="0" fontId="21" fillId="25" borderId="64" xfId="0" applyFont="1" applyFill="1" applyBorder="1" applyAlignment="1">
      <alignment horizontal="center" vertical="center"/>
    </xf>
    <xf numFmtId="0" fontId="21" fillId="25" borderId="68" xfId="0" applyFont="1" applyFill="1" applyBorder="1" applyAlignment="1">
      <alignment vertical="center"/>
    </xf>
    <xf numFmtId="0" fontId="7" fillId="13" borderId="48" xfId="0" applyFont="1" applyFill="1" applyBorder="1" applyAlignment="1">
      <alignment horizontal="center" vertical="center" wrapText="1"/>
    </xf>
    <xf numFmtId="0" fontId="7" fillId="13" borderId="43" xfId="0" applyFont="1" applyFill="1" applyBorder="1" applyAlignment="1">
      <alignment horizontal="center" vertical="center" wrapText="1"/>
    </xf>
    <xf numFmtId="0" fontId="7" fillId="13" borderId="49" xfId="0" applyFont="1" applyFill="1" applyBorder="1" applyAlignment="1">
      <alignment horizontal="center" vertical="center" wrapText="1"/>
    </xf>
    <xf numFmtId="0" fontId="7" fillId="13" borderId="44" xfId="0" applyFont="1" applyFill="1" applyBorder="1" applyAlignment="1">
      <alignment horizontal="center" vertical="center" wrapText="1"/>
    </xf>
    <xf numFmtId="0" fontId="11" fillId="23" borderId="0" xfId="0" applyFont="1" applyFill="1" applyAlignment="1">
      <alignment horizontal="center" vertical="center"/>
    </xf>
    <xf numFmtId="0" fontId="18" fillId="3" borderId="40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horizontal="center" vertical="center" wrapText="1"/>
    </xf>
    <xf numFmtId="0" fontId="18" fillId="16" borderId="41" xfId="0" applyFont="1" applyFill="1" applyBorder="1" applyAlignment="1">
      <alignment horizontal="center" vertical="center" wrapText="1"/>
    </xf>
    <xf numFmtId="0" fontId="18" fillId="16" borderId="40" xfId="0" applyFont="1" applyFill="1" applyBorder="1" applyAlignment="1">
      <alignment horizontal="center" vertical="center" wrapText="1"/>
    </xf>
    <xf numFmtId="0" fontId="18" fillId="16" borderId="46" xfId="0" applyFont="1" applyFill="1" applyBorder="1" applyAlignment="1">
      <alignment horizontal="center" vertical="center" wrapText="1"/>
    </xf>
    <xf numFmtId="0" fontId="18" fillId="16" borderId="0" xfId="0" applyFont="1" applyFill="1" applyAlignment="1">
      <alignment horizontal="center" vertical="center" wrapText="1"/>
    </xf>
    <xf numFmtId="0" fontId="18" fillId="17" borderId="41" xfId="0" applyFont="1" applyFill="1" applyBorder="1" applyAlignment="1">
      <alignment horizontal="center" vertical="center" wrapText="1"/>
    </xf>
    <xf numFmtId="0" fontId="18" fillId="17" borderId="46" xfId="0" applyFont="1" applyFill="1" applyBorder="1" applyAlignment="1">
      <alignment horizontal="center" vertical="center" wrapText="1"/>
    </xf>
    <xf numFmtId="0" fontId="6" fillId="18" borderId="41" xfId="0" applyFont="1" applyFill="1" applyBorder="1" applyAlignment="1">
      <alignment horizontal="center" vertical="center" wrapText="1"/>
    </xf>
    <xf numFmtId="0" fontId="6" fillId="18" borderId="40" xfId="0" applyFont="1" applyFill="1" applyBorder="1" applyAlignment="1">
      <alignment horizontal="center" vertical="center" wrapText="1"/>
    </xf>
    <xf numFmtId="0" fontId="6" fillId="18" borderId="46" xfId="0" applyFont="1" applyFill="1" applyBorder="1" applyAlignment="1">
      <alignment horizontal="center" vertical="center" wrapText="1"/>
    </xf>
    <xf numFmtId="0" fontId="6" fillId="18" borderId="0" xfId="0" applyFont="1" applyFill="1" applyAlignment="1">
      <alignment horizontal="center" vertical="center" wrapText="1"/>
    </xf>
    <xf numFmtId="0" fontId="6" fillId="19" borderId="41" xfId="0" applyFont="1" applyFill="1" applyBorder="1" applyAlignment="1">
      <alignment horizontal="center" vertical="center" wrapText="1"/>
    </xf>
    <xf numFmtId="0" fontId="6" fillId="19" borderId="40" xfId="0" applyFont="1" applyFill="1" applyBorder="1" applyAlignment="1">
      <alignment horizontal="center" vertical="center" wrapText="1"/>
    </xf>
    <xf numFmtId="0" fontId="6" fillId="19" borderId="46" xfId="0" applyFont="1" applyFill="1" applyBorder="1" applyAlignment="1">
      <alignment horizontal="center" vertical="center" wrapText="1"/>
    </xf>
    <xf numFmtId="0" fontId="6" fillId="19" borderId="0" xfId="0" applyFont="1" applyFill="1" applyAlignment="1">
      <alignment horizontal="center" vertical="center" wrapText="1"/>
    </xf>
    <xf numFmtId="0" fontId="7" fillId="22" borderId="49" xfId="0" applyFont="1" applyFill="1" applyBorder="1" applyAlignment="1">
      <alignment horizontal="center" vertical="center"/>
    </xf>
    <xf numFmtId="0" fontId="7" fillId="22" borderId="65" xfId="0" applyFont="1" applyFill="1" applyBorder="1" applyAlignment="1">
      <alignment horizontal="center" vertical="center"/>
    </xf>
    <xf numFmtId="0" fontId="7" fillId="11" borderId="49" xfId="0" applyFont="1" applyFill="1" applyBorder="1" applyAlignment="1">
      <alignment horizontal="center" vertical="center" wrapText="1"/>
    </xf>
    <xf numFmtId="0" fontId="7" fillId="11" borderId="44" xfId="0" applyFont="1" applyFill="1" applyBorder="1" applyAlignment="1">
      <alignment horizontal="center" vertical="center" wrapText="1"/>
    </xf>
    <xf numFmtId="0" fontId="15" fillId="0" borderId="71" xfId="0" applyFont="1" applyBorder="1" applyAlignment="1">
      <alignment horizontal="center" vertical="center"/>
    </xf>
    <xf numFmtId="0" fontId="15" fillId="0" borderId="76" xfId="0" applyFont="1" applyBorder="1" applyAlignment="1">
      <alignment horizontal="center" vertical="center"/>
    </xf>
    <xf numFmtId="0" fontId="15" fillId="0" borderId="69" xfId="0" applyFont="1" applyBorder="1" applyAlignment="1">
      <alignment horizontal="center" vertical="center"/>
    </xf>
    <xf numFmtId="0" fontId="7" fillId="14" borderId="49" xfId="0" applyFont="1" applyFill="1" applyBorder="1" applyAlignment="1">
      <alignment horizontal="center" vertical="center" wrapText="1"/>
    </xf>
    <xf numFmtId="0" fontId="7" fillId="14" borderId="44" xfId="0" applyFont="1" applyFill="1" applyBorder="1" applyAlignment="1">
      <alignment horizontal="center" vertical="center" wrapText="1"/>
    </xf>
    <xf numFmtId="0" fontId="7" fillId="21" borderId="49" xfId="0" applyFont="1" applyFill="1" applyBorder="1" applyAlignment="1">
      <alignment horizontal="center" vertical="center"/>
    </xf>
    <xf numFmtId="0" fontId="15" fillId="0" borderId="81" xfId="0" applyFont="1" applyBorder="1" applyAlignment="1">
      <alignment horizontal="center" vertical="center"/>
    </xf>
    <xf numFmtId="0" fontId="15" fillId="0" borderId="83" xfId="0" applyFont="1" applyBorder="1" applyAlignment="1">
      <alignment horizontal="center" vertical="center"/>
    </xf>
    <xf numFmtId="0" fontId="15" fillId="0" borderId="91" xfId="0" applyFont="1" applyBorder="1" applyAlignment="1">
      <alignment horizontal="center" vertical="center"/>
    </xf>
    <xf numFmtId="0" fontId="15" fillId="0" borderId="92" xfId="0" applyFont="1" applyBorder="1" applyAlignment="1">
      <alignment horizontal="center" vertical="center"/>
    </xf>
    <xf numFmtId="0" fontId="15" fillId="0" borderId="93" xfId="0" applyFont="1" applyBorder="1" applyAlignment="1">
      <alignment horizontal="center" vertical="center"/>
    </xf>
    <xf numFmtId="0" fontId="15" fillId="0" borderId="85" xfId="0" applyFont="1" applyBorder="1" applyAlignment="1">
      <alignment horizontal="center" vertical="center"/>
    </xf>
    <xf numFmtId="0" fontId="15" fillId="0" borderId="87" xfId="0" applyFont="1" applyBorder="1" applyAlignment="1">
      <alignment horizontal="center" vertical="center"/>
    </xf>
    <xf numFmtId="0" fontId="15" fillId="0" borderId="88" xfId="0" applyFont="1" applyBorder="1" applyAlignment="1">
      <alignment horizontal="center" vertical="center"/>
    </xf>
    <xf numFmtId="0" fontId="15" fillId="0" borderId="80" xfId="0" applyFont="1" applyBorder="1" applyAlignment="1">
      <alignment horizontal="center" vertical="center"/>
    </xf>
    <xf numFmtId="0" fontId="15" fillId="0" borderId="90" xfId="0" applyFont="1" applyBorder="1" applyAlignment="1">
      <alignment horizontal="center" vertical="center"/>
    </xf>
    <xf numFmtId="0" fontId="12" fillId="3" borderId="51" xfId="0" applyFont="1" applyFill="1" applyBorder="1" applyAlignment="1">
      <alignment horizontal="center" vertical="center" wrapText="1"/>
    </xf>
    <xf numFmtId="0" fontId="12" fillId="3" borderId="4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2" fillId="3" borderId="52" xfId="0" applyFont="1" applyFill="1" applyBorder="1" applyAlignment="1">
      <alignment horizontal="center" vertical="center" wrapText="1"/>
    </xf>
    <xf numFmtId="0" fontId="12" fillId="3" borderId="8" xfId="0" applyFont="1" applyFill="1" applyBorder="1" applyAlignment="1">
      <alignment horizontal="center" vertical="center" wrapText="1"/>
    </xf>
    <xf numFmtId="0" fontId="12" fillId="3" borderId="10" xfId="0" applyFont="1" applyFill="1" applyBorder="1" applyAlignment="1">
      <alignment horizontal="center" vertical="center" wrapText="1"/>
    </xf>
    <xf numFmtId="0" fontId="12" fillId="3" borderId="6" xfId="0" applyFont="1" applyFill="1" applyBorder="1" applyAlignment="1">
      <alignment horizontal="center" vertical="center" wrapText="1"/>
    </xf>
    <xf numFmtId="0" fontId="12" fillId="3" borderId="11" xfId="0" applyFont="1" applyFill="1" applyBorder="1" applyAlignment="1">
      <alignment horizontal="center" vertical="center" wrapText="1"/>
    </xf>
    <xf numFmtId="0" fontId="1" fillId="3" borderId="55" xfId="0" applyFont="1" applyFill="1" applyBorder="1" applyAlignment="1">
      <alignment horizontal="left" indent="1"/>
    </xf>
    <xf numFmtId="0" fontId="1" fillId="3" borderId="31" xfId="0" applyFont="1" applyFill="1" applyBorder="1" applyAlignment="1">
      <alignment horizontal="center"/>
    </xf>
    <xf numFmtId="0" fontId="13" fillId="2" borderId="12" xfId="0" applyFont="1" applyFill="1" applyBorder="1" applyAlignment="1">
      <alignment horizontal="center" vertical="center"/>
    </xf>
    <xf numFmtId="0" fontId="13" fillId="2" borderId="53" xfId="0" applyFont="1" applyFill="1" applyBorder="1" applyAlignment="1">
      <alignment horizontal="center" vertical="center"/>
    </xf>
    <xf numFmtId="0" fontId="13" fillId="2" borderId="13" xfId="0" applyFont="1" applyFill="1" applyBorder="1" applyAlignment="1">
      <alignment horizontal="center" vertical="center"/>
    </xf>
    <xf numFmtId="0" fontId="13" fillId="2" borderId="19" xfId="0" applyFont="1" applyFill="1" applyBorder="1" applyAlignment="1">
      <alignment horizontal="center" vertical="center"/>
    </xf>
    <xf numFmtId="0" fontId="13" fillId="2" borderId="19" xfId="0" applyFont="1" applyFill="1" applyBorder="1" applyAlignment="1">
      <alignment vertical="center"/>
    </xf>
    <xf numFmtId="0" fontId="12" fillId="2" borderId="13" xfId="0" applyFont="1" applyFill="1" applyBorder="1" applyAlignment="1">
      <alignment horizontal="center" vertical="center" wrapText="1"/>
    </xf>
    <xf numFmtId="0" fontId="14" fillId="14" borderId="19" xfId="0" applyFont="1" applyFill="1" applyBorder="1" applyAlignment="1">
      <alignment horizontal="center" vertical="center" wrapText="1"/>
    </xf>
    <xf numFmtId="0" fontId="13" fillId="2" borderId="14" xfId="0" applyFont="1" applyFill="1" applyBorder="1" applyAlignment="1">
      <alignment horizontal="center" vertical="center"/>
    </xf>
    <xf numFmtId="0" fontId="13" fillId="2" borderId="20" xfId="0" applyFont="1" applyFill="1" applyBorder="1" applyAlignment="1">
      <alignment horizontal="center" vertical="center"/>
    </xf>
    <xf numFmtId="0" fontId="12" fillId="2" borderId="15" xfId="0" applyFont="1" applyFill="1" applyBorder="1" applyAlignment="1">
      <alignment horizontal="center" vertical="center" wrapText="1"/>
    </xf>
    <xf numFmtId="0" fontId="14" fillId="14" borderId="21" xfId="0" applyFont="1" applyFill="1" applyBorder="1" applyAlignment="1">
      <alignment horizontal="center" vertical="center" wrapText="1"/>
    </xf>
    <xf numFmtId="0" fontId="12" fillId="2" borderId="17" xfId="0" applyFont="1" applyFill="1" applyBorder="1" applyAlignment="1">
      <alignment horizontal="center" vertical="center" wrapText="1"/>
    </xf>
    <xf numFmtId="0" fontId="14" fillId="14" borderId="23" xfId="0" applyFont="1" applyFill="1" applyBorder="1" applyAlignment="1">
      <alignment horizontal="center" vertical="center" wrapText="1"/>
    </xf>
    <xf numFmtId="0" fontId="12" fillId="2" borderId="14" xfId="0" applyFont="1" applyFill="1" applyBorder="1" applyAlignment="1">
      <alignment horizontal="center" vertical="center" wrapText="1"/>
    </xf>
    <xf numFmtId="0" fontId="12" fillId="2" borderId="18" xfId="0" applyFont="1" applyFill="1" applyBorder="1" applyAlignment="1">
      <alignment horizontal="center" vertical="center" wrapText="1"/>
    </xf>
    <xf numFmtId="0" fontId="14" fillId="14" borderId="54" xfId="0" applyFont="1" applyFill="1" applyBorder="1" applyAlignment="1">
      <alignment horizontal="center" vertical="center" wrapText="1"/>
    </xf>
    <xf numFmtId="0" fontId="11" fillId="23" borderId="50" xfId="0" applyFont="1" applyFill="1" applyBorder="1" applyAlignment="1">
      <alignment horizontal="center" vertical="center"/>
    </xf>
    <xf numFmtId="0" fontId="11" fillId="23" borderId="1" xfId="0" applyFont="1" applyFill="1" applyBorder="1" applyAlignment="1">
      <alignment horizontal="center" vertical="center"/>
    </xf>
    <xf numFmtId="0" fontId="11" fillId="23" borderId="5" xfId="0" applyFont="1" applyFill="1" applyBorder="1" applyAlignment="1">
      <alignment horizontal="center" vertical="center"/>
    </xf>
    <xf numFmtId="0" fontId="11" fillId="23" borderId="6" xfId="0" applyFont="1" applyFill="1" applyBorder="1" applyAlignment="1">
      <alignment horizontal="center" vertical="center"/>
    </xf>
    <xf numFmtId="0" fontId="12" fillId="2" borderId="51" xfId="0" applyFont="1" applyFill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 wrapText="1"/>
    </xf>
    <xf numFmtId="0" fontId="12" fillId="2" borderId="8" xfId="0" applyFont="1" applyFill="1" applyBorder="1" applyAlignment="1">
      <alignment horizontal="center" vertical="center" wrapText="1"/>
    </xf>
    <xf numFmtId="0" fontId="12" fillId="2" borderId="9" xfId="0" applyFont="1" applyFill="1" applyBorder="1" applyAlignment="1">
      <alignment horizontal="center" vertical="center" wrapText="1"/>
    </xf>
    <xf numFmtId="0" fontId="12" fillId="2" borderId="16" xfId="0" applyFont="1" applyFill="1" applyBorder="1" applyAlignment="1">
      <alignment horizontal="center" vertical="center" wrapText="1"/>
    </xf>
    <xf numFmtId="0" fontId="12" fillId="2" borderId="4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 wrapText="1"/>
    </xf>
    <xf numFmtId="0" fontId="12" fillId="2" borderId="7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0" fontId="12" fillId="3" borderId="7" xfId="0" applyFont="1" applyFill="1" applyBorder="1" applyAlignment="1">
      <alignment horizontal="center" vertical="center" wrapText="1"/>
    </xf>
    <xf numFmtId="0" fontId="19" fillId="13" borderId="57" xfId="0" applyFont="1" applyFill="1" applyBorder="1" applyAlignment="1">
      <alignment horizontal="center" wrapText="1"/>
    </xf>
    <xf numFmtId="0" fontId="19" fillId="13" borderId="58" xfId="0" applyFont="1" applyFill="1" applyBorder="1" applyAlignment="1">
      <alignment horizontal="center" wrapText="1"/>
    </xf>
    <xf numFmtId="0" fontId="19" fillId="13" borderId="59" xfId="0" applyFont="1" applyFill="1" applyBorder="1" applyAlignment="1">
      <alignment horizontal="center" wrapText="1"/>
    </xf>
    <xf numFmtId="0" fontId="4" fillId="12" borderId="0" xfId="2" applyFont="1" applyFill="1" applyAlignment="1">
      <alignment horizontal="center"/>
    </xf>
    <xf numFmtId="0" fontId="1" fillId="2" borderId="56" xfId="2" applyFont="1" applyFill="1" applyBorder="1" applyAlignment="1">
      <alignment horizontal="center"/>
    </xf>
    <xf numFmtId="0" fontId="27" fillId="26" borderId="88" xfId="0" applyFont="1" applyFill="1" applyBorder="1"/>
    <xf numFmtId="0" fontId="27" fillId="26" borderId="97" xfId="0" applyFont="1" applyFill="1" applyBorder="1"/>
    <xf numFmtId="0" fontId="27" fillId="26" borderId="98" xfId="0" applyFont="1" applyFill="1" applyBorder="1"/>
    <xf numFmtId="0" fontId="27" fillId="26" borderId="80" xfId="0" applyFont="1" applyFill="1" applyBorder="1"/>
    <xf numFmtId="0" fontId="27" fillId="26" borderId="0" xfId="0" applyFont="1" applyFill="1"/>
    <xf numFmtId="14" fontId="27" fillId="26" borderId="0" xfId="0" applyNumberFormat="1" applyFont="1" applyFill="1"/>
    <xf numFmtId="0" fontId="27" fillId="27" borderId="0" xfId="0" applyFont="1" applyFill="1"/>
    <xf numFmtId="0" fontId="27" fillId="26" borderId="0" xfId="0" applyFont="1" applyFill="1" applyAlignment="1">
      <alignment horizontal="center"/>
    </xf>
    <xf numFmtId="0" fontId="27" fillId="26" borderId="94" xfId="0" applyFont="1" applyFill="1" applyBorder="1" applyAlignment="1">
      <alignment horizontal="center"/>
    </xf>
    <xf numFmtId="0" fontId="27" fillId="26" borderId="105" xfId="0" applyFont="1" applyFill="1" applyBorder="1" applyAlignment="1">
      <alignment horizontal="center"/>
    </xf>
    <xf numFmtId="0" fontId="27" fillId="26" borderId="106" xfId="0" applyFont="1" applyFill="1" applyBorder="1" applyAlignment="1">
      <alignment horizontal="center"/>
    </xf>
    <xf numFmtId="0" fontId="27" fillId="26" borderId="106" xfId="0" applyFont="1" applyFill="1" applyBorder="1"/>
    <xf numFmtId="0" fontId="27" fillId="27" borderId="106" xfId="0" applyFont="1" applyFill="1" applyBorder="1"/>
    <xf numFmtId="0" fontId="27" fillId="26" borderId="107" xfId="0" applyFont="1" applyFill="1" applyBorder="1" applyAlignment="1">
      <alignment horizontal="center"/>
    </xf>
    <xf numFmtId="0" fontId="27" fillId="0" borderId="80" xfId="0" applyFont="1" applyBorder="1"/>
    <xf numFmtId="0" fontId="27" fillId="0" borderId="0" xfId="0" applyFont="1"/>
    <xf numFmtId="0" fontId="26" fillId="0" borderId="0" xfId="0" applyFont="1"/>
    <xf numFmtId="0" fontId="26" fillId="0" borderId="0" xfId="0" applyFont="1" applyAlignment="1">
      <alignment horizontal="center" vertical="center"/>
    </xf>
    <xf numFmtId="170" fontId="26" fillId="0" borderId="0" xfId="0" applyNumberFormat="1" applyFont="1"/>
    <xf numFmtId="0" fontId="26" fillId="27" borderId="0" xfId="0" applyFont="1" applyFill="1"/>
    <xf numFmtId="170" fontId="26" fillId="27" borderId="0" xfId="0" applyNumberFormat="1" applyFont="1" applyFill="1"/>
    <xf numFmtId="170" fontId="26" fillId="0" borderId="94" xfId="0" applyNumberFormat="1" applyFont="1" applyBorder="1"/>
    <xf numFmtId="0" fontId="27" fillId="0" borderId="105" xfId="0" applyFont="1" applyBorder="1"/>
    <xf numFmtId="0" fontId="27" fillId="26" borderId="108" xfId="0" applyFont="1" applyFill="1" applyBorder="1"/>
    <xf numFmtId="0" fontId="27" fillId="26" borderId="109" xfId="0" applyFont="1" applyFill="1" applyBorder="1"/>
    <xf numFmtId="0" fontId="27" fillId="26" borderId="109" xfId="0" applyFont="1" applyFill="1" applyBorder="1" applyAlignment="1">
      <alignment horizontal="center" vertical="center"/>
    </xf>
    <xf numFmtId="170" fontId="27" fillId="26" borderId="109" xfId="0" applyNumberFormat="1" applyFont="1" applyFill="1" applyBorder="1"/>
    <xf numFmtId="170" fontId="27" fillId="26" borderId="110" xfId="0" applyNumberFormat="1" applyFont="1" applyFill="1" applyBorder="1"/>
  </cellXfs>
  <cellStyles count="4">
    <cellStyle name="Normal" xfId="0" builtinId="0"/>
    <cellStyle name="Normal 2" xfId="1" xr:uid="{E6704B23-7E47-314B-AF2D-F9E9CD13A1DE}"/>
    <cellStyle name="Normal 2 3" xfId="2" xr:uid="{D197CE4B-7BF6-C24D-BBF1-3F3C2D620699}"/>
    <cellStyle name="Percent" xfId="3" builtinId="5"/>
  </cellStyles>
  <dxfs count="56">
    <dxf>
      <font>
        <color rgb="FFFF0000"/>
      </font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01%20Sales%20&amp;%20Performance/2026-08-21%20Store%20perfomance.xlsx" TargetMode="External"/><Relationship Id="rId2" Type="http://schemas.openxmlformats.org/officeDocument/2006/relationships/externalLinkPath" Target="/Users/michael/Desktop/01%20Sales%20&amp;%20Performance/2026-08-21%20Store%20perfomance.xlsx" TargetMode="External"/><Relationship Id="rId1" Type="http://schemas.openxmlformats.org/officeDocument/2006/relationships/externalLinkPath" Target="/Users/michael/Desktop/01%20Sales%20&amp;%20Performance/2026-08-21%20Store%20perfomance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1%20Sales%20&amp;%20Performance/2026-08-20%20Store%20perfomance.xlsx" TargetMode="External"/><Relationship Id="rId2" Type="http://schemas.openxmlformats.org/officeDocument/2006/relationships/externalLinkPath" Target="/Users/michael/Desktop/01%20Sales%20&amp;%20Performance/2026-08-20%20Store%20perfomance.xlsx" TargetMode="External"/><Relationship Id="rId1" Type="http://schemas.openxmlformats.org/officeDocument/2006/relationships/externalLinkPath" Target="/Users/michael/Desktop/01%20Sales%20&amp;%20Performance/2026-08-20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ales per type juli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DASHBOARD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kpi store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WATCH 3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15</v>
          </cell>
          <cell r="AH8" t="str">
            <v>X300 Demo</v>
          </cell>
          <cell r="AJ8" t="str">
            <v>IQOO Z11x</v>
          </cell>
          <cell r="AL8" t="str">
            <v>IQOO Z11</v>
          </cell>
          <cell r="AN8" t="str">
            <v>X300 Pro Demo</v>
          </cell>
          <cell r="AP8" t="str">
            <v>X Fold5 DEMO</v>
          </cell>
          <cell r="AR8" t="str">
            <v>X Fold5</v>
          </cell>
          <cell r="AT8" t="str">
            <v>IQOO 15 Demo</v>
          </cell>
          <cell r="AV8" t="str">
            <v>X300 PRO</v>
          </cell>
          <cell r="AX8" t="str">
            <v xml:space="preserve">X300 </v>
          </cell>
        </row>
        <row r="10">
          <cell r="B10">
            <v>6170706</v>
          </cell>
          <cell r="D10">
            <v>26</v>
          </cell>
          <cell r="E10">
            <v>59474000</v>
          </cell>
          <cell r="F10">
            <v>15</v>
          </cell>
          <cell r="G10">
            <v>41185000</v>
          </cell>
          <cell r="L10">
            <v>3</v>
          </cell>
          <cell r="M10">
            <v>26997000</v>
          </cell>
          <cell r="N10">
            <v>4</v>
          </cell>
          <cell r="O10">
            <v>18196000</v>
          </cell>
          <cell r="R10">
            <v>1</v>
          </cell>
          <cell r="S10">
            <v>3599000</v>
          </cell>
          <cell r="T10">
            <v>7</v>
          </cell>
          <cell r="U10">
            <v>46193000</v>
          </cell>
          <cell r="V10">
            <v>3</v>
          </cell>
          <cell r="W10">
            <v>10797000</v>
          </cell>
          <cell r="X10">
            <v>4</v>
          </cell>
          <cell r="Y10">
            <v>23596000</v>
          </cell>
          <cell r="AB10">
            <v>6</v>
          </cell>
          <cell r="AC10">
            <v>31794000</v>
          </cell>
          <cell r="AH10">
            <v>2</v>
          </cell>
          <cell r="AI10">
            <v>29998000</v>
          </cell>
          <cell r="AL10">
            <v>3</v>
          </cell>
          <cell r="AM10">
            <v>17097000</v>
          </cell>
          <cell r="AT10">
            <v>3</v>
          </cell>
          <cell r="AU10">
            <v>41997000</v>
          </cell>
          <cell r="AZ10">
            <v>77</v>
          </cell>
          <cell r="BA10">
            <v>350923000</v>
          </cell>
        </row>
        <row r="11">
          <cell r="B11">
            <v>6170707</v>
          </cell>
          <cell r="D11">
            <v>32</v>
          </cell>
          <cell r="E11">
            <v>71368000</v>
          </cell>
          <cell r="F11">
            <v>6</v>
          </cell>
          <cell r="G11">
            <v>15994000</v>
          </cell>
          <cell r="L11">
            <v>5</v>
          </cell>
          <cell r="M11">
            <v>46995000</v>
          </cell>
          <cell r="N11">
            <v>6</v>
          </cell>
          <cell r="O11">
            <v>24794000</v>
          </cell>
          <cell r="P11">
            <v>1</v>
          </cell>
          <cell r="Q11">
            <v>3599000</v>
          </cell>
          <cell r="R11">
            <v>3</v>
          </cell>
          <cell r="S11">
            <v>10797000</v>
          </cell>
          <cell r="T11">
            <v>2</v>
          </cell>
          <cell r="U11">
            <v>13698000</v>
          </cell>
          <cell r="V11">
            <v>7</v>
          </cell>
          <cell r="W11">
            <v>25193000</v>
          </cell>
          <cell r="Z11">
            <v>2</v>
          </cell>
          <cell r="AA11">
            <v>21298000</v>
          </cell>
          <cell r="AB11">
            <v>1</v>
          </cell>
          <cell r="AC11">
            <v>5299000</v>
          </cell>
          <cell r="AH11">
            <v>1</v>
          </cell>
          <cell r="AI11">
            <v>14999000</v>
          </cell>
          <cell r="AJ11">
            <v>1</v>
          </cell>
          <cell r="AK11">
            <v>4799000</v>
          </cell>
          <cell r="AL11">
            <v>2</v>
          </cell>
          <cell r="AM11">
            <v>11398000</v>
          </cell>
          <cell r="AN11">
            <v>1</v>
          </cell>
          <cell r="AO11">
            <v>18999000</v>
          </cell>
          <cell r="AT11">
            <v>1</v>
          </cell>
          <cell r="AU11">
            <v>13999000</v>
          </cell>
          <cell r="AV11">
            <v>1</v>
          </cell>
          <cell r="AW11">
            <v>18999000</v>
          </cell>
          <cell r="AZ11">
            <v>72</v>
          </cell>
          <cell r="BA11">
            <v>322228000</v>
          </cell>
        </row>
        <row r="12">
          <cell r="B12">
            <v>6240702</v>
          </cell>
          <cell r="D12">
            <v>26</v>
          </cell>
          <cell r="E12">
            <v>59574000</v>
          </cell>
          <cell r="F12">
            <v>14</v>
          </cell>
          <cell r="G12">
            <v>37986000</v>
          </cell>
          <cell r="L12">
            <v>6</v>
          </cell>
          <cell r="M12">
            <v>53994000</v>
          </cell>
          <cell r="N12">
            <v>6</v>
          </cell>
          <cell r="O12">
            <v>25794000</v>
          </cell>
          <cell r="P12">
            <v>1</v>
          </cell>
          <cell r="Q12">
            <v>3599000</v>
          </cell>
          <cell r="T12">
            <v>5</v>
          </cell>
          <cell r="U12">
            <v>33195000</v>
          </cell>
          <cell r="V12">
            <v>3</v>
          </cell>
          <cell r="W12">
            <v>10797000</v>
          </cell>
          <cell r="X12">
            <v>5</v>
          </cell>
          <cell r="Y12">
            <v>28295000</v>
          </cell>
          <cell r="Z12">
            <v>3</v>
          </cell>
          <cell r="AA12">
            <v>31197000</v>
          </cell>
          <cell r="AB12">
            <v>8</v>
          </cell>
          <cell r="AC12">
            <v>43792000</v>
          </cell>
          <cell r="AH12">
            <v>1</v>
          </cell>
          <cell r="AI12">
            <v>18999000</v>
          </cell>
          <cell r="AL12">
            <v>5</v>
          </cell>
          <cell r="AM12">
            <v>28495000</v>
          </cell>
          <cell r="AT12">
            <v>2</v>
          </cell>
          <cell r="AU12">
            <v>27998000</v>
          </cell>
          <cell r="AZ12">
            <v>85</v>
          </cell>
          <cell r="BA12">
            <v>403715000</v>
          </cell>
        </row>
        <row r="13">
          <cell r="B13">
            <v>6240701</v>
          </cell>
          <cell r="D13">
            <v>32</v>
          </cell>
          <cell r="E13">
            <v>72268000</v>
          </cell>
          <cell r="F13">
            <v>14</v>
          </cell>
          <cell r="G13">
            <v>37186000</v>
          </cell>
          <cell r="L13">
            <v>2</v>
          </cell>
          <cell r="M13">
            <v>17998000</v>
          </cell>
          <cell r="N13">
            <v>9</v>
          </cell>
          <cell r="O13">
            <v>37291000</v>
          </cell>
          <cell r="R13">
            <v>4</v>
          </cell>
          <cell r="S13">
            <v>14396000</v>
          </cell>
          <cell r="T13">
            <v>7</v>
          </cell>
          <cell r="U13">
            <v>47593000</v>
          </cell>
          <cell r="X13">
            <v>2</v>
          </cell>
          <cell r="Y13">
            <v>11798000</v>
          </cell>
          <cell r="Z13">
            <v>3</v>
          </cell>
          <cell r="AA13">
            <v>29697000</v>
          </cell>
          <cell r="AB13">
            <v>1</v>
          </cell>
          <cell r="AC13">
            <v>5299000</v>
          </cell>
          <cell r="AH13">
            <v>1</v>
          </cell>
          <cell r="AI13">
            <v>18999000</v>
          </cell>
          <cell r="AJ13">
            <v>1</v>
          </cell>
          <cell r="AK13">
            <v>4799000</v>
          </cell>
          <cell r="AL13">
            <v>2</v>
          </cell>
          <cell r="AM13">
            <v>11398000</v>
          </cell>
          <cell r="AN13">
            <v>1</v>
          </cell>
          <cell r="AO13">
            <v>18999000</v>
          </cell>
          <cell r="AV13">
            <v>1</v>
          </cell>
          <cell r="AW13">
            <v>18999000</v>
          </cell>
          <cell r="AZ13">
            <v>80</v>
          </cell>
          <cell r="BA13">
            <v>346720000</v>
          </cell>
        </row>
        <row r="14">
          <cell r="B14">
            <v>6170703</v>
          </cell>
          <cell r="D14">
            <v>5</v>
          </cell>
          <cell r="E14">
            <v>11095000</v>
          </cell>
          <cell r="F14">
            <v>5</v>
          </cell>
          <cell r="G14">
            <v>13995000</v>
          </cell>
          <cell r="L14">
            <v>3</v>
          </cell>
          <cell r="M14">
            <v>26997000</v>
          </cell>
          <cell r="P14">
            <v>1</v>
          </cell>
          <cell r="Q14">
            <v>3599000</v>
          </cell>
          <cell r="T14">
            <v>2</v>
          </cell>
          <cell r="U14">
            <v>12998000</v>
          </cell>
          <cell r="X14">
            <v>1</v>
          </cell>
          <cell r="Y14">
            <v>5499000</v>
          </cell>
          <cell r="Z14">
            <v>2</v>
          </cell>
          <cell r="AA14">
            <v>19798000</v>
          </cell>
          <cell r="AB14">
            <v>2</v>
          </cell>
          <cell r="AC14">
            <v>10598000</v>
          </cell>
          <cell r="AH14">
            <v>1</v>
          </cell>
          <cell r="AI14">
            <v>14999000</v>
          </cell>
          <cell r="AL14">
            <v>3</v>
          </cell>
          <cell r="AM14">
            <v>17097000</v>
          </cell>
          <cell r="AT14">
            <v>1</v>
          </cell>
          <cell r="AU14">
            <v>13999000</v>
          </cell>
          <cell r="AZ14">
            <v>26</v>
          </cell>
          <cell r="BA14">
            <v>150674000</v>
          </cell>
        </row>
        <row r="15">
          <cell r="B15">
            <v>6240704</v>
          </cell>
          <cell r="D15">
            <v>7</v>
          </cell>
          <cell r="E15">
            <v>16093000</v>
          </cell>
          <cell r="F15">
            <v>1</v>
          </cell>
          <cell r="G15">
            <v>2399000</v>
          </cell>
          <cell r="N15">
            <v>3</v>
          </cell>
          <cell r="O15">
            <v>12697000</v>
          </cell>
          <cell r="P15">
            <v>1</v>
          </cell>
          <cell r="Q15">
            <v>3599000</v>
          </cell>
          <cell r="R15">
            <v>1</v>
          </cell>
          <cell r="S15">
            <v>3599000</v>
          </cell>
          <cell r="V15">
            <v>1</v>
          </cell>
          <cell r="W15">
            <v>3599000</v>
          </cell>
          <cell r="AH15">
            <v>2</v>
          </cell>
          <cell r="AI15">
            <v>29998000</v>
          </cell>
          <cell r="AL15">
            <v>2</v>
          </cell>
          <cell r="AM15">
            <v>11398000</v>
          </cell>
          <cell r="AZ15">
            <v>18</v>
          </cell>
          <cell r="BA15">
            <v>83382000</v>
          </cell>
        </row>
        <row r="16">
          <cell r="B16">
            <v>6240703</v>
          </cell>
          <cell r="D16">
            <v>26</v>
          </cell>
          <cell r="E16">
            <v>59174000</v>
          </cell>
          <cell r="F16">
            <v>16</v>
          </cell>
          <cell r="G16">
            <v>43584000</v>
          </cell>
          <cell r="L16">
            <v>5</v>
          </cell>
          <cell r="M16">
            <v>48995000</v>
          </cell>
          <cell r="N16">
            <v>7</v>
          </cell>
          <cell r="O16">
            <v>30493000</v>
          </cell>
          <cell r="R16">
            <v>4</v>
          </cell>
          <cell r="S16">
            <v>14396000</v>
          </cell>
          <cell r="T16">
            <v>3</v>
          </cell>
          <cell r="U16">
            <v>20197000</v>
          </cell>
          <cell r="V16">
            <v>6</v>
          </cell>
          <cell r="W16">
            <v>21594000</v>
          </cell>
          <cell r="Z16">
            <v>1</v>
          </cell>
          <cell r="AA16">
            <v>9899000</v>
          </cell>
          <cell r="AB16">
            <v>5</v>
          </cell>
          <cell r="AC16">
            <v>26495000</v>
          </cell>
          <cell r="AH16">
            <v>1</v>
          </cell>
          <cell r="AI16">
            <v>14999000</v>
          </cell>
          <cell r="AL16">
            <v>4</v>
          </cell>
          <cell r="AM16">
            <v>22796000</v>
          </cell>
          <cell r="AN16">
            <v>1</v>
          </cell>
          <cell r="AO16">
            <v>18999000</v>
          </cell>
          <cell r="AZ16">
            <v>79</v>
          </cell>
          <cell r="BA16">
            <v>331621000</v>
          </cell>
        </row>
        <row r="17">
          <cell r="B17">
            <v>6240705</v>
          </cell>
          <cell r="D17">
            <v>9</v>
          </cell>
          <cell r="E17">
            <v>20091000</v>
          </cell>
          <cell r="F17">
            <v>4</v>
          </cell>
          <cell r="G17">
            <v>10796000</v>
          </cell>
          <cell r="N17">
            <v>5</v>
          </cell>
          <cell r="O17">
            <v>21695000</v>
          </cell>
          <cell r="P17">
            <v>3</v>
          </cell>
          <cell r="Q17">
            <v>10797000</v>
          </cell>
          <cell r="X17">
            <v>2</v>
          </cell>
          <cell r="Y17">
            <v>11798000</v>
          </cell>
          <cell r="AB17">
            <v>1</v>
          </cell>
          <cell r="AC17">
            <v>5299000</v>
          </cell>
          <cell r="AH17">
            <v>2</v>
          </cell>
          <cell r="AI17">
            <v>33998000</v>
          </cell>
          <cell r="AJ17">
            <v>1</v>
          </cell>
          <cell r="AK17">
            <v>4799000</v>
          </cell>
          <cell r="AL17">
            <v>3</v>
          </cell>
          <cell r="AM17">
            <v>17097000</v>
          </cell>
          <cell r="AT17">
            <v>1</v>
          </cell>
          <cell r="AU17">
            <v>13999000</v>
          </cell>
          <cell r="AZ17">
            <v>31</v>
          </cell>
          <cell r="BA17">
            <v>150369000</v>
          </cell>
        </row>
        <row r="18">
          <cell r="B18">
            <v>6240707</v>
          </cell>
          <cell r="D18">
            <v>3</v>
          </cell>
          <cell r="E18">
            <v>6597000</v>
          </cell>
          <cell r="F18">
            <v>3</v>
          </cell>
          <cell r="G18">
            <v>7997000</v>
          </cell>
          <cell r="L18">
            <v>1</v>
          </cell>
          <cell r="M18">
            <v>8999000</v>
          </cell>
          <cell r="N18">
            <v>1</v>
          </cell>
          <cell r="O18">
            <v>3899000</v>
          </cell>
          <cell r="P18">
            <v>1</v>
          </cell>
          <cell r="Q18">
            <v>3599000</v>
          </cell>
          <cell r="T18">
            <v>1</v>
          </cell>
          <cell r="U18">
            <v>6499000</v>
          </cell>
          <cell r="X18">
            <v>1</v>
          </cell>
          <cell r="Y18">
            <v>5499000</v>
          </cell>
          <cell r="Z18">
            <v>1</v>
          </cell>
          <cell r="AA18">
            <v>9899000</v>
          </cell>
          <cell r="AD18">
            <v>1</v>
          </cell>
          <cell r="AE18">
            <v>25999000</v>
          </cell>
          <cell r="AH18">
            <v>1</v>
          </cell>
          <cell r="AI18">
            <v>14999000</v>
          </cell>
          <cell r="AL18">
            <v>2</v>
          </cell>
          <cell r="AM18">
            <v>11398000</v>
          </cell>
          <cell r="AN18">
            <v>1</v>
          </cell>
          <cell r="AO18">
            <v>18999000</v>
          </cell>
          <cell r="AT18">
            <v>1</v>
          </cell>
          <cell r="AU18">
            <v>13999000</v>
          </cell>
          <cell r="AZ18">
            <v>18</v>
          </cell>
          <cell r="BA18">
            <v>138382000</v>
          </cell>
        </row>
        <row r="19">
          <cell r="B19">
            <v>6240706</v>
          </cell>
          <cell r="D19">
            <v>3</v>
          </cell>
          <cell r="E19">
            <v>7197000</v>
          </cell>
          <cell r="F19">
            <v>4</v>
          </cell>
          <cell r="G19">
            <v>10796000</v>
          </cell>
          <cell r="L19">
            <v>3</v>
          </cell>
          <cell r="M19">
            <v>26997000</v>
          </cell>
          <cell r="N19">
            <v>2</v>
          </cell>
          <cell r="O19">
            <v>8198000</v>
          </cell>
          <cell r="P19">
            <v>1</v>
          </cell>
          <cell r="Q19">
            <v>3599000</v>
          </cell>
          <cell r="R19">
            <v>1</v>
          </cell>
          <cell r="S19">
            <v>3599000</v>
          </cell>
          <cell r="T19">
            <v>4</v>
          </cell>
          <cell r="U19">
            <v>26696000</v>
          </cell>
          <cell r="X19">
            <v>2</v>
          </cell>
          <cell r="Y19">
            <v>10998000</v>
          </cell>
          <cell r="Z19">
            <v>1</v>
          </cell>
          <cell r="AA19">
            <v>11399000</v>
          </cell>
          <cell r="AB19">
            <v>1</v>
          </cell>
          <cell r="AC19">
            <v>5299000</v>
          </cell>
          <cell r="AH19">
            <v>2</v>
          </cell>
          <cell r="AI19">
            <v>33998000</v>
          </cell>
          <cell r="AL19">
            <v>2</v>
          </cell>
          <cell r="AM19">
            <v>11398000</v>
          </cell>
          <cell r="AZ19">
            <v>26</v>
          </cell>
          <cell r="BA19">
            <v>160174000</v>
          </cell>
        </row>
        <row r="20">
          <cell r="B20">
            <v>6240709</v>
          </cell>
          <cell r="D20">
            <v>1</v>
          </cell>
          <cell r="E20">
            <v>2399000</v>
          </cell>
          <cell r="F20">
            <v>3</v>
          </cell>
          <cell r="G20">
            <v>7597000</v>
          </cell>
          <cell r="L20">
            <v>2</v>
          </cell>
          <cell r="M20">
            <v>19998000</v>
          </cell>
          <cell r="N20">
            <v>3</v>
          </cell>
          <cell r="O20">
            <v>14697000</v>
          </cell>
          <cell r="T20">
            <v>1</v>
          </cell>
          <cell r="U20">
            <v>7199000</v>
          </cell>
          <cell r="Z20">
            <v>1</v>
          </cell>
          <cell r="AA20">
            <v>9899000</v>
          </cell>
          <cell r="AB20">
            <v>1</v>
          </cell>
          <cell r="AC20">
            <v>5999000</v>
          </cell>
          <cell r="AL20">
            <v>3</v>
          </cell>
          <cell r="AM20">
            <v>19397000</v>
          </cell>
          <cell r="AZ20">
            <v>15</v>
          </cell>
          <cell r="BA20">
            <v>87185000</v>
          </cell>
        </row>
        <row r="21">
          <cell r="B21">
            <v>6240708</v>
          </cell>
          <cell r="D21">
            <v>7</v>
          </cell>
          <cell r="E21">
            <v>15593000</v>
          </cell>
          <cell r="F21">
            <v>5</v>
          </cell>
          <cell r="G21">
            <v>13195000</v>
          </cell>
          <cell r="L21">
            <v>4</v>
          </cell>
          <cell r="M21">
            <v>35996000</v>
          </cell>
          <cell r="N21">
            <v>1</v>
          </cell>
          <cell r="O21">
            <v>3899000</v>
          </cell>
          <cell r="T21">
            <v>1</v>
          </cell>
          <cell r="U21">
            <v>6499000</v>
          </cell>
          <cell r="V21">
            <v>2</v>
          </cell>
          <cell r="W21">
            <v>7198000</v>
          </cell>
          <cell r="X21">
            <v>2</v>
          </cell>
          <cell r="Y21">
            <v>11798000</v>
          </cell>
          <cell r="Z21">
            <v>1</v>
          </cell>
          <cell r="AA21">
            <v>9899000</v>
          </cell>
          <cell r="AD21">
            <v>1</v>
          </cell>
          <cell r="AE21">
            <v>25999000</v>
          </cell>
          <cell r="AH21">
            <v>5</v>
          </cell>
          <cell r="AI21">
            <v>82995000</v>
          </cell>
          <cell r="AL21">
            <v>1</v>
          </cell>
          <cell r="AM21">
            <v>7999000</v>
          </cell>
          <cell r="AT21">
            <v>2</v>
          </cell>
          <cell r="AU21">
            <v>27998000</v>
          </cell>
          <cell r="AZ21">
            <v>32</v>
          </cell>
          <cell r="BA21">
            <v>249068000</v>
          </cell>
        </row>
        <row r="22">
          <cell r="B22">
            <v>6220701</v>
          </cell>
          <cell r="D22">
            <v>15</v>
          </cell>
          <cell r="E22">
            <v>33585000</v>
          </cell>
          <cell r="F22">
            <v>5</v>
          </cell>
          <cell r="G22">
            <v>13195000</v>
          </cell>
          <cell r="L22">
            <v>3</v>
          </cell>
          <cell r="M22">
            <v>30997000</v>
          </cell>
          <cell r="N22">
            <v>5</v>
          </cell>
          <cell r="O22">
            <v>21495000</v>
          </cell>
          <cell r="T22">
            <v>6</v>
          </cell>
          <cell r="U22">
            <v>41094000</v>
          </cell>
          <cell r="V22">
            <v>1</v>
          </cell>
          <cell r="W22">
            <v>3599000</v>
          </cell>
          <cell r="X22">
            <v>2</v>
          </cell>
          <cell r="Y22">
            <v>12598000</v>
          </cell>
          <cell r="Z22">
            <v>2</v>
          </cell>
          <cell r="AA22">
            <v>19798000</v>
          </cell>
          <cell r="AB22">
            <v>2</v>
          </cell>
          <cell r="AC22">
            <v>10598000</v>
          </cell>
          <cell r="AD22">
            <v>1</v>
          </cell>
          <cell r="AE22">
            <v>29999000</v>
          </cell>
          <cell r="AH22">
            <v>3</v>
          </cell>
          <cell r="AI22">
            <v>48997000</v>
          </cell>
          <cell r="AJ22">
            <v>3</v>
          </cell>
          <cell r="AK22">
            <v>15197000</v>
          </cell>
          <cell r="AL22">
            <v>2</v>
          </cell>
          <cell r="AM22">
            <v>11398000</v>
          </cell>
          <cell r="AT22">
            <v>1</v>
          </cell>
          <cell r="AU22">
            <v>13999000</v>
          </cell>
          <cell r="AZ22">
            <v>51</v>
          </cell>
          <cell r="BA22">
            <v>306549000</v>
          </cell>
        </row>
        <row r="23">
          <cell r="B23">
            <v>6050701</v>
          </cell>
          <cell r="D23">
            <v>8</v>
          </cell>
          <cell r="E23">
            <v>17892000</v>
          </cell>
          <cell r="F23">
            <v>3</v>
          </cell>
          <cell r="G23">
            <v>7997000</v>
          </cell>
          <cell r="L23">
            <v>6</v>
          </cell>
          <cell r="M23">
            <v>55994000</v>
          </cell>
          <cell r="N23">
            <v>4</v>
          </cell>
          <cell r="O23">
            <v>15996000</v>
          </cell>
          <cell r="R23">
            <v>2</v>
          </cell>
          <cell r="S23">
            <v>7198000</v>
          </cell>
          <cell r="T23">
            <v>1</v>
          </cell>
          <cell r="U23">
            <v>6499000</v>
          </cell>
          <cell r="V23">
            <v>1</v>
          </cell>
          <cell r="W23">
            <v>3599000</v>
          </cell>
          <cell r="X23">
            <v>5</v>
          </cell>
          <cell r="Y23">
            <v>28295000</v>
          </cell>
          <cell r="Z23">
            <v>1</v>
          </cell>
          <cell r="AA23">
            <v>9899000</v>
          </cell>
          <cell r="AD23">
            <v>1</v>
          </cell>
          <cell r="AE23">
            <v>25999000</v>
          </cell>
          <cell r="AH23">
            <v>2</v>
          </cell>
          <cell r="AI23">
            <v>33998000</v>
          </cell>
          <cell r="AJ23">
            <v>3</v>
          </cell>
          <cell r="AK23">
            <v>14397000</v>
          </cell>
          <cell r="AL23">
            <v>4</v>
          </cell>
          <cell r="AM23">
            <v>22796000</v>
          </cell>
          <cell r="AT23">
            <v>1</v>
          </cell>
          <cell r="AU23">
            <v>13999000</v>
          </cell>
          <cell r="AZ23">
            <v>42</v>
          </cell>
          <cell r="BA23">
            <v>264558000</v>
          </cell>
        </row>
        <row r="24">
          <cell r="B24">
            <v>6050705</v>
          </cell>
          <cell r="D24">
            <v>10</v>
          </cell>
          <cell r="E24">
            <v>22490000</v>
          </cell>
          <cell r="F24">
            <v>7</v>
          </cell>
          <cell r="G24">
            <v>19193000</v>
          </cell>
          <cell r="H24">
            <v>1</v>
          </cell>
          <cell r="I24">
            <v>1799000</v>
          </cell>
          <cell r="L24">
            <v>5</v>
          </cell>
          <cell r="M24">
            <v>46995000</v>
          </cell>
          <cell r="N24">
            <v>4</v>
          </cell>
          <cell r="O24">
            <v>15996000</v>
          </cell>
          <cell r="P24">
            <v>1</v>
          </cell>
          <cell r="Q24">
            <v>3599000</v>
          </cell>
          <cell r="T24">
            <v>1</v>
          </cell>
          <cell r="U24">
            <v>6499000</v>
          </cell>
          <cell r="AB24">
            <v>2</v>
          </cell>
          <cell r="AC24">
            <v>11298000</v>
          </cell>
          <cell r="AJ24">
            <v>1</v>
          </cell>
          <cell r="AK24">
            <v>4799000</v>
          </cell>
          <cell r="AL24">
            <v>1</v>
          </cell>
          <cell r="AM24">
            <v>5699000</v>
          </cell>
          <cell r="AZ24">
            <v>33</v>
          </cell>
          <cell r="BA24">
            <v>138367000</v>
          </cell>
        </row>
        <row r="25">
          <cell r="B25">
            <v>6190704</v>
          </cell>
          <cell r="D25">
            <v>40</v>
          </cell>
          <cell r="E25">
            <v>88960000</v>
          </cell>
          <cell r="F25">
            <v>19</v>
          </cell>
          <cell r="G25">
            <v>51181000</v>
          </cell>
          <cell r="L25">
            <v>6</v>
          </cell>
          <cell r="M25">
            <v>55994000</v>
          </cell>
          <cell r="N25">
            <v>12</v>
          </cell>
          <cell r="O25">
            <v>51588000</v>
          </cell>
          <cell r="T25">
            <v>8</v>
          </cell>
          <cell r="U25">
            <v>55492000</v>
          </cell>
          <cell r="V25">
            <v>1</v>
          </cell>
          <cell r="W25">
            <v>3599000</v>
          </cell>
          <cell r="X25">
            <v>1</v>
          </cell>
          <cell r="Y25">
            <v>5499000</v>
          </cell>
          <cell r="AB25">
            <v>1</v>
          </cell>
          <cell r="AC25">
            <v>5299000</v>
          </cell>
          <cell r="AJ25">
            <v>4</v>
          </cell>
          <cell r="AK25">
            <v>19996000</v>
          </cell>
          <cell r="AL25">
            <v>3</v>
          </cell>
          <cell r="AM25">
            <v>17097000</v>
          </cell>
          <cell r="AZ25">
            <v>95</v>
          </cell>
          <cell r="BA25">
            <v>354705000</v>
          </cell>
        </row>
        <row r="26">
          <cell r="B26">
            <v>6190701</v>
          </cell>
          <cell r="D26">
            <v>19</v>
          </cell>
          <cell r="E26">
            <v>44681000</v>
          </cell>
          <cell r="F26">
            <v>6</v>
          </cell>
          <cell r="G26">
            <v>15594000</v>
          </cell>
          <cell r="L26">
            <v>2</v>
          </cell>
          <cell r="M26">
            <v>19998000</v>
          </cell>
          <cell r="N26">
            <v>3</v>
          </cell>
          <cell r="O26">
            <v>12097000</v>
          </cell>
          <cell r="T26">
            <v>2</v>
          </cell>
          <cell r="U26">
            <v>12998000</v>
          </cell>
          <cell r="AB26">
            <v>1</v>
          </cell>
          <cell r="AC26">
            <v>5299000</v>
          </cell>
          <cell r="AF26">
            <v>1</v>
          </cell>
          <cell r="AG26">
            <v>13999000</v>
          </cell>
          <cell r="AH26">
            <v>4</v>
          </cell>
          <cell r="AI26">
            <v>63996000</v>
          </cell>
          <cell r="AJ26">
            <v>2</v>
          </cell>
          <cell r="AK26">
            <v>9598000</v>
          </cell>
          <cell r="AN26">
            <v>2</v>
          </cell>
          <cell r="AO26">
            <v>37998000</v>
          </cell>
          <cell r="AT26">
            <v>3</v>
          </cell>
          <cell r="AU26">
            <v>41997000</v>
          </cell>
          <cell r="AZ26">
            <v>45</v>
          </cell>
          <cell r="BA26">
            <v>278255000</v>
          </cell>
        </row>
        <row r="27">
          <cell r="B27">
            <v>6190707</v>
          </cell>
          <cell r="D27">
            <v>42</v>
          </cell>
          <cell r="E27">
            <v>92758000</v>
          </cell>
          <cell r="F27">
            <v>20</v>
          </cell>
          <cell r="G27">
            <v>54780000</v>
          </cell>
          <cell r="L27">
            <v>6</v>
          </cell>
          <cell r="M27">
            <v>57994000</v>
          </cell>
          <cell r="N27">
            <v>9</v>
          </cell>
          <cell r="O27">
            <v>42691000</v>
          </cell>
          <cell r="P27">
            <v>1</v>
          </cell>
          <cell r="Q27">
            <v>3599000</v>
          </cell>
          <cell r="R27">
            <v>2</v>
          </cell>
          <cell r="S27">
            <v>7198000</v>
          </cell>
          <cell r="T27">
            <v>15</v>
          </cell>
          <cell r="U27">
            <v>100285000</v>
          </cell>
          <cell r="V27">
            <v>2</v>
          </cell>
          <cell r="W27">
            <v>7198000</v>
          </cell>
          <cell r="X27">
            <v>2</v>
          </cell>
          <cell r="Y27">
            <v>10998000</v>
          </cell>
          <cell r="Z27">
            <v>1</v>
          </cell>
          <cell r="AA27">
            <v>9899000</v>
          </cell>
          <cell r="AB27">
            <v>4</v>
          </cell>
          <cell r="AC27">
            <v>21196000</v>
          </cell>
          <cell r="AH27">
            <v>3</v>
          </cell>
          <cell r="AI27">
            <v>48997000</v>
          </cell>
          <cell r="AJ27">
            <v>3</v>
          </cell>
          <cell r="AK27">
            <v>15197000</v>
          </cell>
          <cell r="AL27">
            <v>2</v>
          </cell>
          <cell r="AM27">
            <v>12398000</v>
          </cell>
          <cell r="AN27">
            <v>1</v>
          </cell>
          <cell r="AO27">
            <v>18999000</v>
          </cell>
          <cell r="AT27">
            <v>2</v>
          </cell>
          <cell r="AU27">
            <v>27998000</v>
          </cell>
          <cell r="AZ27">
            <v>115</v>
          </cell>
          <cell r="BA27">
            <v>532185000</v>
          </cell>
        </row>
        <row r="28">
          <cell r="B28">
            <v>6190706</v>
          </cell>
          <cell r="D28">
            <v>34</v>
          </cell>
          <cell r="E28">
            <v>75166000</v>
          </cell>
          <cell r="F28">
            <v>21</v>
          </cell>
          <cell r="G28">
            <v>55979000</v>
          </cell>
          <cell r="H28">
            <v>1</v>
          </cell>
          <cell r="I28">
            <v>1799000</v>
          </cell>
          <cell r="L28">
            <v>4</v>
          </cell>
          <cell r="M28">
            <v>37996000</v>
          </cell>
          <cell r="N28">
            <v>12</v>
          </cell>
          <cell r="O28">
            <v>52588000</v>
          </cell>
          <cell r="P28">
            <v>2</v>
          </cell>
          <cell r="Q28">
            <v>7198000</v>
          </cell>
          <cell r="R28">
            <v>2</v>
          </cell>
          <cell r="S28">
            <v>7198000</v>
          </cell>
          <cell r="T28">
            <v>10</v>
          </cell>
          <cell r="U28">
            <v>67090000</v>
          </cell>
          <cell r="V28">
            <v>3</v>
          </cell>
          <cell r="W28">
            <v>10797000</v>
          </cell>
          <cell r="X28">
            <v>1</v>
          </cell>
          <cell r="Y28">
            <v>5499000</v>
          </cell>
          <cell r="Z28">
            <v>2</v>
          </cell>
          <cell r="AA28">
            <v>21298000</v>
          </cell>
          <cell r="AB28">
            <v>1</v>
          </cell>
          <cell r="AC28">
            <v>5299000</v>
          </cell>
          <cell r="AJ28">
            <v>2</v>
          </cell>
          <cell r="AK28">
            <v>9598000</v>
          </cell>
          <cell r="AZ28">
            <v>95</v>
          </cell>
          <cell r="BA28">
            <v>357505000</v>
          </cell>
        </row>
        <row r="29">
          <cell r="B29">
            <v>6190705</v>
          </cell>
          <cell r="D29">
            <v>16</v>
          </cell>
          <cell r="E29">
            <v>35584000</v>
          </cell>
          <cell r="F29">
            <v>13</v>
          </cell>
          <cell r="G29">
            <v>33587000</v>
          </cell>
          <cell r="L29">
            <v>3</v>
          </cell>
          <cell r="M29">
            <v>30997000</v>
          </cell>
          <cell r="N29">
            <v>4</v>
          </cell>
          <cell r="O29">
            <v>17196000</v>
          </cell>
          <cell r="R29">
            <v>1</v>
          </cell>
          <cell r="S29">
            <v>3599000</v>
          </cell>
          <cell r="T29">
            <v>7</v>
          </cell>
          <cell r="U29">
            <v>48293000</v>
          </cell>
          <cell r="Z29">
            <v>1</v>
          </cell>
          <cell r="AA29">
            <v>9899000</v>
          </cell>
          <cell r="AB29">
            <v>1</v>
          </cell>
          <cell r="AC29">
            <v>5299000</v>
          </cell>
          <cell r="AL29">
            <v>4</v>
          </cell>
          <cell r="AM29">
            <v>26096000</v>
          </cell>
          <cell r="AZ29">
            <v>50</v>
          </cell>
          <cell r="BA29">
            <v>210550000</v>
          </cell>
        </row>
        <row r="30">
          <cell r="B30">
            <v>6190708</v>
          </cell>
          <cell r="D30">
            <v>3</v>
          </cell>
          <cell r="E30">
            <v>6897000</v>
          </cell>
          <cell r="F30">
            <v>3</v>
          </cell>
          <cell r="G30">
            <v>8397000</v>
          </cell>
          <cell r="L30">
            <v>2</v>
          </cell>
          <cell r="M30">
            <v>19998000</v>
          </cell>
          <cell r="X30">
            <v>1</v>
          </cell>
          <cell r="Y30">
            <v>6299000</v>
          </cell>
          <cell r="AJ30">
            <v>1</v>
          </cell>
          <cell r="AK30">
            <v>4799000</v>
          </cell>
          <cell r="AL30">
            <v>2</v>
          </cell>
          <cell r="AM30">
            <v>11398000</v>
          </cell>
          <cell r="AZ30">
            <v>12</v>
          </cell>
          <cell r="BA30">
            <v>57788000</v>
          </cell>
        </row>
        <row r="31">
          <cell r="B31">
            <v>6180706</v>
          </cell>
          <cell r="D31">
            <v>19</v>
          </cell>
          <cell r="E31">
            <v>43681000</v>
          </cell>
          <cell r="F31">
            <v>11</v>
          </cell>
          <cell r="G31">
            <v>29589000</v>
          </cell>
          <cell r="L31">
            <v>8</v>
          </cell>
          <cell r="M31">
            <v>71992000</v>
          </cell>
          <cell r="N31">
            <v>7</v>
          </cell>
          <cell r="O31">
            <v>30493000</v>
          </cell>
          <cell r="P31">
            <v>1</v>
          </cell>
          <cell r="Q31">
            <v>3599000</v>
          </cell>
          <cell r="R31">
            <v>2</v>
          </cell>
          <cell r="S31">
            <v>7198000</v>
          </cell>
          <cell r="T31">
            <v>11</v>
          </cell>
          <cell r="U31">
            <v>73589000</v>
          </cell>
          <cell r="V31">
            <v>6</v>
          </cell>
          <cell r="W31">
            <v>21594000</v>
          </cell>
          <cell r="X31">
            <v>3</v>
          </cell>
          <cell r="Y31">
            <v>16497000</v>
          </cell>
          <cell r="Z31">
            <v>5</v>
          </cell>
          <cell r="AA31">
            <v>50995000</v>
          </cell>
          <cell r="AB31">
            <v>5</v>
          </cell>
          <cell r="AC31">
            <v>26495000</v>
          </cell>
          <cell r="AH31">
            <v>3</v>
          </cell>
          <cell r="AI31">
            <v>48997000</v>
          </cell>
          <cell r="AJ31">
            <v>6</v>
          </cell>
          <cell r="AK31">
            <v>28794000</v>
          </cell>
          <cell r="AL31">
            <v>9</v>
          </cell>
          <cell r="AM31">
            <v>52291000</v>
          </cell>
          <cell r="AN31">
            <v>1</v>
          </cell>
          <cell r="AO31">
            <v>18999000</v>
          </cell>
          <cell r="AT31">
            <v>1</v>
          </cell>
          <cell r="AU31">
            <v>13999000</v>
          </cell>
          <cell r="AZ31">
            <v>98</v>
          </cell>
          <cell r="BA31">
            <v>538802000</v>
          </cell>
        </row>
        <row r="32">
          <cell r="B32">
            <v>6180707</v>
          </cell>
          <cell r="D32">
            <v>5</v>
          </cell>
          <cell r="E32">
            <v>11695000</v>
          </cell>
          <cell r="F32">
            <v>5</v>
          </cell>
          <cell r="G32">
            <v>13995000</v>
          </cell>
          <cell r="L32">
            <v>2</v>
          </cell>
          <cell r="M32">
            <v>17998000</v>
          </cell>
          <cell r="N32">
            <v>4</v>
          </cell>
          <cell r="O32">
            <v>17796000</v>
          </cell>
          <cell r="T32">
            <v>1</v>
          </cell>
          <cell r="U32">
            <v>6499000</v>
          </cell>
          <cell r="AB32">
            <v>2</v>
          </cell>
          <cell r="AC32">
            <v>10598000</v>
          </cell>
          <cell r="AH32">
            <v>1</v>
          </cell>
          <cell r="AI32">
            <v>14999000</v>
          </cell>
          <cell r="AJ32">
            <v>1</v>
          </cell>
          <cell r="AK32">
            <v>4799000</v>
          </cell>
          <cell r="AL32">
            <v>1</v>
          </cell>
          <cell r="AM32">
            <v>5699000</v>
          </cell>
          <cell r="AN32">
            <v>1</v>
          </cell>
          <cell r="AO32">
            <v>18999000</v>
          </cell>
          <cell r="AT32">
            <v>1</v>
          </cell>
          <cell r="AU32">
            <v>13999000</v>
          </cell>
          <cell r="AZ32">
            <v>24</v>
          </cell>
          <cell r="BA32">
            <v>137076000</v>
          </cell>
        </row>
        <row r="33">
          <cell r="B33">
            <v>6130702</v>
          </cell>
          <cell r="D33">
            <v>6</v>
          </cell>
          <cell r="E33">
            <v>13194000</v>
          </cell>
          <cell r="F33">
            <v>6</v>
          </cell>
          <cell r="G33">
            <v>16394000</v>
          </cell>
          <cell r="J33">
            <v>1</v>
          </cell>
          <cell r="K33">
            <v>2999000</v>
          </cell>
          <cell r="L33">
            <v>2</v>
          </cell>
          <cell r="M33">
            <v>17998000</v>
          </cell>
          <cell r="N33">
            <v>1</v>
          </cell>
          <cell r="O33">
            <v>5499000</v>
          </cell>
          <cell r="R33">
            <v>1</v>
          </cell>
          <cell r="S33">
            <v>3599000</v>
          </cell>
          <cell r="T33">
            <v>2</v>
          </cell>
          <cell r="U33">
            <v>12998000</v>
          </cell>
          <cell r="V33">
            <v>3</v>
          </cell>
          <cell r="W33">
            <v>10797000</v>
          </cell>
          <cell r="X33">
            <v>3</v>
          </cell>
          <cell r="Y33">
            <v>18897000</v>
          </cell>
          <cell r="Z33">
            <v>2</v>
          </cell>
          <cell r="AA33">
            <v>21298000</v>
          </cell>
          <cell r="AB33">
            <v>2</v>
          </cell>
          <cell r="AC33">
            <v>10598000</v>
          </cell>
          <cell r="AF33">
            <v>1</v>
          </cell>
          <cell r="AG33">
            <v>13999000</v>
          </cell>
          <cell r="AJ33">
            <v>1</v>
          </cell>
          <cell r="AK33">
            <v>4799000</v>
          </cell>
          <cell r="AL33">
            <v>7</v>
          </cell>
          <cell r="AM33">
            <v>43193000</v>
          </cell>
          <cell r="AZ33">
            <v>38</v>
          </cell>
          <cell r="BA33">
            <v>196262000</v>
          </cell>
        </row>
        <row r="34">
          <cell r="B34">
            <v>6140705</v>
          </cell>
          <cell r="D34">
            <v>4</v>
          </cell>
          <cell r="E34">
            <v>9296000</v>
          </cell>
          <cell r="F34">
            <v>4</v>
          </cell>
          <cell r="G34">
            <v>11196000</v>
          </cell>
          <cell r="H34">
            <v>1</v>
          </cell>
          <cell r="I34">
            <v>1799000</v>
          </cell>
          <cell r="L34">
            <v>8</v>
          </cell>
          <cell r="M34">
            <v>75992000</v>
          </cell>
          <cell r="N34">
            <v>5</v>
          </cell>
          <cell r="O34">
            <v>20695000</v>
          </cell>
          <cell r="T34">
            <v>3</v>
          </cell>
          <cell r="U34">
            <v>19497000</v>
          </cell>
          <cell r="X34">
            <v>2</v>
          </cell>
          <cell r="Y34">
            <v>11798000</v>
          </cell>
          <cell r="Z34">
            <v>5</v>
          </cell>
          <cell r="AA34">
            <v>52495000</v>
          </cell>
          <cell r="AB34">
            <v>2</v>
          </cell>
          <cell r="AC34">
            <v>10598000</v>
          </cell>
          <cell r="AH34">
            <v>3</v>
          </cell>
          <cell r="AI34">
            <v>48997000</v>
          </cell>
          <cell r="AJ34">
            <v>1</v>
          </cell>
          <cell r="AK34">
            <v>4799000</v>
          </cell>
          <cell r="AL34">
            <v>6</v>
          </cell>
          <cell r="AM34">
            <v>35194000</v>
          </cell>
          <cell r="AN34">
            <v>1</v>
          </cell>
          <cell r="AO34">
            <v>18999000</v>
          </cell>
          <cell r="AP34">
            <v>1</v>
          </cell>
          <cell r="AQ34">
            <v>24999000</v>
          </cell>
          <cell r="AT34">
            <v>3</v>
          </cell>
          <cell r="AU34">
            <v>41997000</v>
          </cell>
          <cell r="AZ34">
            <v>49</v>
          </cell>
          <cell r="BA34">
            <v>388351000</v>
          </cell>
        </row>
        <row r="35">
          <cell r="B35">
            <v>6140706</v>
          </cell>
          <cell r="D35">
            <v>2</v>
          </cell>
          <cell r="E35">
            <v>4498000</v>
          </cell>
          <cell r="F35">
            <v>3</v>
          </cell>
          <cell r="G35">
            <v>8397000</v>
          </cell>
          <cell r="L35">
            <v>5</v>
          </cell>
          <cell r="M35">
            <v>46995000</v>
          </cell>
          <cell r="N35">
            <v>1</v>
          </cell>
          <cell r="O35">
            <v>4299000</v>
          </cell>
          <cell r="T35">
            <v>2</v>
          </cell>
          <cell r="U35">
            <v>13698000</v>
          </cell>
          <cell r="X35">
            <v>1</v>
          </cell>
          <cell r="Y35">
            <v>6299000</v>
          </cell>
          <cell r="Z35">
            <v>2</v>
          </cell>
          <cell r="AA35">
            <v>21298000</v>
          </cell>
          <cell r="AB35">
            <v>1</v>
          </cell>
          <cell r="AC35">
            <v>5299000</v>
          </cell>
          <cell r="AH35">
            <v>2</v>
          </cell>
          <cell r="AI35">
            <v>33998000</v>
          </cell>
          <cell r="AJ35">
            <v>1</v>
          </cell>
          <cell r="AK35">
            <v>4799000</v>
          </cell>
          <cell r="AP35">
            <v>1</v>
          </cell>
          <cell r="AQ35">
            <v>24999000</v>
          </cell>
          <cell r="AT35">
            <v>2</v>
          </cell>
          <cell r="AU35">
            <v>27998000</v>
          </cell>
          <cell r="AZ35">
            <v>23</v>
          </cell>
          <cell r="BA35">
            <v>202577000</v>
          </cell>
        </row>
        <row r="36">
          <cell r="B36">
            <v>6080712</v>
          </cell>
          <cell r="D36">
            <v>12</v>
          </cell>
          <cell r="E36">
            <v>26988000</v>
          </cell>
          <cell r="F36">
            <v>8</v>
          </cell>
          <cell r="G36">
            <v>21192000</v>
          </cell>
          <cell r="L36">
            <v>5</v>
          </cell>
          <cell r="M36">
            <v>44995000</v>
          </cell>
          <cell r="N36">
            <v>7</v>
          </cell>
          <cell r="O36">
            <v>31093000</v>
          </cell>
          <cell r="R36">
            <v>1</v>
          </cell>
          <cell r="S36">
            <v>3599000</v>
          </cell>
          <cell r="T36">
            <v>6</v>
          </cell>
          <cell r="U36">
            <v>38994000</v>
          </cell>
          <cell r="V36">
            <v>3</v>
          </cell>
          <cell r="W36">
            <v>10797000</v>
          </cell>
          <cell r="X36">
            <v>1</v>
          </cell>
          <cell r="Y36">
            <v>6299000</v>
          </cell>
          <cell r="Z36">
            <v>2</v>
          </cell>
          <cell r="AA36">
            <v>21298000</v>
          </cell>
          <cell r="AF36">
            <v>1</v>
          </cell>
          <cell r="AG36">
            <v>15999000</v>
          </cell>
          <cell r="AH36">
            <v>3</v>
          </cell>
          <cell r="AI36">
            <v>48997000</v>
          </cell>
          <cell r="AJ36">
            <v>2</v>
          </cell>
          <cell r="AK36">
            <v>9598000</v>
          </cell>
          <cell r="AL36">
            <v>1</v>
          </cell>
          <cell r="AM36">
            <v>5699000</v>
          </cell>
          <cell r="AN36">
            <v>1</v>
          </cell>
          <cell r="AO36">
            <v>18999000</v>
          </cell>
          <cell r="AT36">
            <v>2</v>
          </cell>
          <cell r="AU36">
            <v>27998000</v>
          </cell>
          <cell r="AZ36">
            <v>55</v>
          </cell>
          <cell r="BA36">
            <v>332545000</v>
          </cell>
        </row>
        <row r="37">
          <cell r="B37">
            <v>6040701</v>
          </cell>
          <cell r="D37">
            <v>8</v>
          </cell>
          <cell r="E37">
            <v>18292000</v>
          </cell>
          <cell r="F37">
            <v>10</v>
          </cell>
          <cell r="G37">
            <v>25590000</v>
          </cell>
          <cell r="L37">
            <v>3</v>
          </cell>
          <cell r="M37">
            <v>26997000</v>
          </cell>
          <cell r="N37">
            <v>6</v>
          </cell>
          <cell r="O37">
            <v>26394000</v>
          </cell>
          <cell r="R37">
            <v>2</v>
          </cell>
          <cell r="S37">
            <v>7198000</v>
          </cell>
          <cell r="T37">
            <v>4</v>
          </cell>
          <cell r="U37">
            <v>25996000</v>
          </cell>
          <cell r="V37">
            <v>1</v>
          </cell>
          <cell r="W37">
            <v>3599000</v>
          </cell>
          <cell r="X37">
            <v>5</v>
          </cell>
          <cell r="Y37">
            <v>28295000</v>
          </cell>
          <cell r="Z37">
            <v>2</v>
          </cell>
          <cell r="AA37">
            <v>19798000</v>
          </cell>
          <cell r="AB37">
            <v>1</v>
          </cell>
          <cell r="AC37">
            <v>5299000</v>
          </cell>
          <cell r="AF37">
            <v>1</v>
          </cell>
          <cell r="AG37">
            <v>13999000</v>
          </cell>
          <cell r="AL37">
            <v>3</v>
          </cell>
          <cell r="AM37">
            <v>17097000</v>
          </cell>
          <cell r="AZ37">
            <v>46</v>
          </cell>
          <cell r="BA37">
            <v>218554000</v>
          </cell>
        </row>
        <row r="38">
          <cell r="B38">
            <v>6040702</v>
          </cell>
          <cell r="D38">
            <v>2</v>
          </cell>
          <cell r="E38">
            <v>4498000</v>
          </cell>
          <cell r="F38">
            <v>4</v>
          </cell>
          <cell r="G38">
            <v>9996000</v>
          </cell>
          <cell r="L38">
            <v>3</v>
          </cell>
          <cell r="M38">
            <v>28997000</v>
          </cell>
          <cell r="N38">
            <v>1</v>
          </cell>
          <cell r="O38">
            <v>5499000</v>
          </cell>
          <cell r="T38">
            <v>1</v>
          </cell>
          <cell r="U38">
            <v>6499000</v>
          </cell>
          <cell r="Z38">
            <v>2</v>
          </cell>
          <cell r="AA38">
            <v>19798000</v>
          </cell>
          <cell r="AB38">
            <v>1</v>
          </cell>
          <cell r="AC38">
            <v>5299000</v>
          </cell>
          <cell r="AD38">
            <v>1</v>
          </cell>
          <cell r="AE38">
            <v>25999000</v>
          </cell>
          <cell r="AH38">
            <v>2</v>
          </cell>
          <cell r="AI38">
            <v>33998000</v>
          </cell>
          <cell r="AL38">
            <v>4</v>
          </cell>
          <cell r="AM38">
            <v>23796000</v>
          </cell>
          <cell r="AT38">
            <v>1</v>
          </cell>
          <cell r="AU38">
            <v>13999000</v>
          </cell>
          <cell r="AZ38">
            <v>22</v>
          </cell>
          <cell r="BA38">
            <v>178378000</v>
          </cell>
        </row>
        <row r="39">
          <cell r="B39">
            <v>6040703</v>
          </cell>
          <cell r="D39">
            <v>6</v>
          </cell>
          <cell r="E39">
            <v>14394000</v>
          </cell>
          <cell r="F39">
            <v>6</v>
          </cell>
          <cell r="G39">
            <v>16394000</v>
          </cell>
          <cell r="L39">
            <v>8</v>
          </cell>
          <cell r="M39">
            <v>75992000</v>
          </cell>
          <cell r="N39">
            <v>5</v>
          </cell>
          <cell r="O39">
            <v>20495000</v>
          </cell>
          <cell r="R39">
            <v>1</v>
          </cell>
          <cell r="S39">
            <v>3599000</v>
          </cell>
          <cell r="T39">
            <v>3</v>
          </cell>
          <cell r="U39">
            <v>20197000</v>
          </cell>
          <cell r="V39">
            <v>3</v>
          </cell>
          <cell r="W39">
            <v>10797000</v>
          </cell>
          <cell r="X39">
            <v>1</v>
          </cell>
          <cell r="Y39">
            <v>5499000</v>
          </cell>
          <cell r="Z39">
            <v>2</v>
          </cell>
          <cell r="AA39">
            <v>19798000</v>
          </cell>
          <cell r="AB39">
            <v>1</v>
          </cell>
          <cell r="AC39">
            <v>5999000</v>
          </cell>
          <cell r="AH39">
            <v>2</v>
          </cell>
          <cell r="AI39">
            <v>33998000</v>
          </cell>
          <cell r="AL39">
            <v>3</v>
          </cell>
          <cell r="AM39">
            <v>17097000</v>
          </cell>
          <cell r="AT39">
            <v>1</v>
          </cell>
          <cell r="AU39">
            <v>13999000</v>
          </cell>
          <cell r="AZ39">
            <v>42</v>
          </cell>
          <cell r="BA39">
            <v>258258000</v>
          </cell>
        </row>
        <row r="40">
          <cell r="B40">
            <v>6020711</v>
          </cell>
          <cell r="D40">
            <v>25</v>
          </cell>
          <cell r="E40">
            <v>56275000</v>
          </cell>
          <cell r="F40">
            <v>13</v>
          </cell>
          <cell r="G40">
            <v>34387000</v>
          </cell>
          <cell r="L40">
            <v>8</v>
          </cell>
          <cell r="M40">
            <v>73992000</v>
          </cell>
          <cell r="N40">
            <v>7</v>
          </cell>
          <cell r="O40">
            <v>29093000</v>
          </cell>
          <cell r="P40">
            <v>4</v>
          </cell>
          <cell r="Q40">
            <v>14396000</v>
          </cell>
          <cell r="R40">
            <v>1</v>
          </cell>
          <cell r="S40">
            <v>3599000</v>
          </cell>
          <cell r="T40">
            <v>11</v>
          </cell>
          <cell r="U40">
            <v>73589000</v>
          </cell>
          <cell r="V40">
            <v>2</v>
          </cell>
          <cell r="W40">
            <v>7198000</v>
          </cell>
          <cell r="Z40">
            <v>2</v>
          </cell>
          <cell r="AA40">
            <v>19798000</v>
          </cell>
          <cell r="AB40">
            <v>6</v>
          </cell>
          <cell r="AC40">
            <v>34594000</v>
          </cell>
          <cell r="AD40">
            <v>1</v>
          </cell>
          <cell r="AE40">
            <v>25999000</v>
          </cell>
          <cell r="AF40">
            <v>3</v>
          </cell>
          <cell r="AG40">
            <v>43997000</v>
          </cell>
          <cell r="AH40">
            <v>3</v>
          </cell>
          <cell r="AI40">
            <v>48997000</v>
          </cell>
          <cell r="AJ40">
            <v>3</v>
          </cell>
          <cell r="AK40">
            <v>15997000</v>
          </cell>
          <cell r="AL40">
            <v>1</v>
          </cell>
          <cell r="AM40">
            <v>6699000</v>
          </cell>
          <cell r="AN40">
            <v>1</v>
          </cell>
          <cell r="AO40">
            <v>18999000</v>
          </cell>
          <cell r="AP40">
            <v>1</v>
          </cell>
          <cell r="AQ40">
            <v>24999000</v>
          </cell>
          <cell r="AT40">
            <v>1</v>
          </cell>
          <cell r="AU40">
            <v>13999000</v>
          </cell>
          <cell r="AX40">
            <v>1</v>
          </cell>
          <cell r="AY40">
            <v>14999000</v>
          </cell>
          <cell r="AZ40">
            <v>94</v>
          </cell>
          <cell r="BA40">
            <v>561606000</v>
          </cell>
        </row>
        <row r="41">
          <cell r="B41">
            <v>6020706</v>
          </cell>
          <cell r="D41">
            <v>37</v>
          </cell>
          <cell r="E41">
            <v>84063000</v>
          </cell>
          <cell r="F41">
            <v>6</v>
          </cell>
          <cell r="G41">
            <v>16794000</v>
          </cell>
          <cell r="L41">
            <v>5</v>
          </cell>
          <cell r="M41">
            <v>44995000</v>
          </cell>
          <cell r="N41">
            <v>14</v>
          </cell>
          <cell r="O41">
            <v>60586000</v>
          </cell>
          <cell r="P41">
            <v>1</v>
          </cell>
          <cell r="Q41">
            <v>3599000</v>
          </cell>
          <cell r="R41">
            <v>2</v>
          </cell>
          <cell r="S41">
            <v>7198000</v>
          </cell>
          <cell r="T41">
            <v>8</v>
          </cell>
          <cell r="U41">
            <v>54092000</v>
          </cell>
          <cell r="V41">
            <v>3</v>
          </cell>
          <cell r="W41">
            <v>10797000</v>
          </cell>
          <cell r="X41">
            <v>1</v>
          </cell>
          <cell r="Y41">
            <v>5499000</v>
          </cell>
          <cell r="Z41">
            <v>2</v>
          </cell>
          <cell r="AA41">
            <v>19798000</v>
          </cell>
          <cell r="AB41">
            <v>1</v>
          </cell>
          <cell r="AC41">
            <v>5299000</v>
          </cell>
          <cell r="AH41">
            <v>2</v>
          </cell>
          <cell r="AI41">
            <v>37998000</v>
          </cell>
          <cell r="AJ41">
            <v>1</v>
          </cell>
          <cell r="AK41">
            <v>4799000</v>
          </cell>
          <cell r="AL41">
            <v>7</v>
          </cell>
          <cell r="AM41">
            <v>40893000</v>
          </cell>
          <cell r="AT41">
            <v>2</v>
          </cell>
          <cell r="AU41">
            <v>27998000</v>
          </cell>
          <cell r="AZ41">
            <v>92</v>
          </cell>
          <cell r="BA41">
            <v>424408000</v>
          </cell>
        </row>
        <row r="42">
          <cell r="B42">
            <v>6020704</v>
          </cell>
          <cell r="D42">
            <v>25</v>
          </cell>
          <cell r="E42">
            <v>57675000</v>
          </cell>
          <cell r="F42">
            <v>1</v>
          </cell>
          <cell r="G42">
            <v>2799000</v>
          </cell>
          <cell r="L42">
            <v>1</v>
          </cell>
          <cell r="M42">
            <v>8999000</v>
          </cell>
          <cell r="N42">
            <v>7</v>
          </cell>
          <cell r="O42">
            <v>32693000</v>
          </cell>
          <cell r="R42">
            <v>2</v>
          </cell>
          <cell r="S42">
            <v>7198000</v>
          </cell>
          <cell r="T42">
            <v>2</v>
          </cell>
          <cell r="U42">
            <v>13698000</v>
          </cell>
          <cell r="V42">
            <v>1</v>
          </cell>
          <cell r="W42">
            <v>3599000</v>
          </cell>
          <cell r="X42">
            <v>1</v>
          </cell>
          <cell r="Y42">
            <v>5499000</v>
          </cell>
          <cell r="AH42">
            <v>2</v>
          </cell>
          <cell r="AI42">
            <v>29998000</v>
          </cell>
          <cell r="AJ42">
            <v>2</v>
          </cell>
          <cell r="AK42">
            <v>9598000</v>
          </cell>
          <cell r="AZ42">
            <v>44</v>
          </cell>
          <cell r="BA42">
            <v>171756000</v>
          </cell>
        </row>
        <row r="43">
          <cell r="B43">
            <v>6010708</v>
          </cell>
          <cell r="D43">
            <v>26</v>
          </cell>
          <cell r="E43">
            <v>59074000</v>
          </cell>
          <cell r="F43">
            <v>8</v>
          </cell>
          <cell r="G43">
            <v>21592000</v>
          </cell>
          <cell r="L43">
            <v>5</v>
          </cell>
          <cell r="M43">
            <v>50995000</v>
          </cell>
          <cell r="N43">
            <v>4</v>
          </cell>
          <cell r="O43">
            <v>15996000</v>
          </cell>
          <cell r="R43">
            <v>1</v>
          </cell>
          <cell r="S43">
            <v>3599000</v>
          </cell>
          <cell r="T43">
            <v>6</v>
          </cell>
          <cell r="U43">
            <v>40394000</v>
          </cell>
          <cell r="V43">
            <v>3</v>
          </cell>
          <cell r="W43">
            <v>10797000</v>
          </cell>
          <cell r="X43">
            <v>3</v>
          </cell>
          <cell r="Y43">
            <v>18097000</v>
          </cell>
          <cell r="Z43">
            <v>3</v>
          </cell>
          <cell r="AA43">
            <v>29697000</v>
          </cell>
          <cell r="AB43">
            <v>4</v>
          </cell>
          <cell r="AC43">
            <v>22596000</v>
          </cell>
          <cell r="AD43">
            <v>5</v>
          </cell>
          <cell r="AE43">
            <v>137995000</v>
          </cell>
          <cell r="AF43">
            <v>5</v>
          </cell>
          <cell r="AG43">
            <v>69995000</v>
          </cell>
          <cell r="AJ43">
            <v>3</v>
          </cell>
          <cell r="AK43">
            <v>15997000</v>
          </cell>
          <cell r="AL43">
            <v>2</v>
          </cell>
          <cell r="AM43">
            <v>12398000</v>
          </cell>
          <cell r="AX43">
            <v>2</v>
          </cell>
          <cell r="AY43">
            <v>29998000</v>
          </cell>
          <cell r="AZ43">
            <v>80</v>
          </cell>
          <cell r="BA43">
            <v>539220000</v>
          </cell>
        </row>
        <row r="44">
          <cell r="B44">
            <v>6010703</v>
          </cell>
          <cell r="D44">
            <v>55</v>
          </cell>
          <cell r="E44">
            <v>116945000</v>
          </cell>
          <cell r="F44">
            <v>13</v>
          </cell>
          <cell r="G44">
            <v>34387000</v>
          </cell>
          <cell r="N44">
            <v>5</v>
          </cell>
          <cell r="O44">
            <v>21695000</v>
          </cell>
          <cell r="P44">
            <v>1</v>
          </cell>
          <cell r="Q44">
            <v>3599000</v>
          </cell>
          <cell r="T44">
            <v>2</v>
          </cell>
          <cell r="U44">
            <v>14398000</v>
          </cell>
          <cell r="V44">
            <v>9</v>
          </cell>
          <cell r="W44">
            <v>32391000</v>
          </cell>
          <cell r="Z44">
            <v>1</v>
          </cell>
          <cell r="AA44">
            <v>11399000</v>
          </cell>
          <cell r="AL44">
            <v>5</v>
          </cell>
          <cell r="AM44">
            <v>29495000</v>
          </cell>
          <cell r="AZ44">
            <v>91</v>
          </cell>
          <cell r="BA44">
            <v>264309000</v>
          </cell>
        </row>
        <row r="45">
          <cell r="B45">
            <v>6010702</v>
          </cell>
          <cell r="D45">
            <v>119</v>
          </cell>
          <cell r="E45">
            <v>260481000</v>
          </cell>
          <cell r="F45">
            <v>22</v>
          </cell>
          <cell r="G45">
            <v>57578000</v>
          </cell>
          <cell r="L45">
            <v>7</v>
          </cell>
          <cell r="M45">
            <v>68993000</v>
          </cell>
          <cell r="N45">
            <v>13</v>
          </cell>
          <cell r="O45">
            <v>56687000</v>
          </cell>
          <cell r="P45">
            <v>1</v>
          </cell>
          <cell r="Q45">
            <v>3599000</v>
          </cell>
          <cell r="R45">
            <v>2</v>
          </cell>
          <cell r="S45">
            <v>7198000</v>
          </cell>
          <cell r="T45">
            <v>11</v>
          </cell>
          <cell r="U45">
            <v>74289000</v>
          </cell>
          <cell r="V45">
            <v>7</v>
          </cell>
          <cell r="W45">
            <v>25193000</v>
          </cell>
          <cell r="X45">
            <v>4</v>
          </cell>
          <cell r="Y45">
            <v>23596000</v>
          </cell>
          <cell r="Z45">
            <v>2</v>
          </cell>
          <cell r="AA45">
            <v>21298000</v>
          </cell>
          <cell r="AB45">
            <v>5</v>
          </cell>
          <cell r="AC45">
            <v>27895000</v>
          </cell>
          <cell r="AD45">
            <v>1</v>
          </cell>
          <cell r="AE45">
            <v>29999000</v>
          </cell>
          <cell r="AH45">
            <v>2</v>
          </cell>
          <cell r="AI45">
            <v>33998000</v>
          </cell>
          <cell r="AL45">
            <v>6</v>
          </cell>
          <cell r="AM45">
            <v>36494000</v>
          </cell>
          <cell r="AT45">
            <v>1</v>
          </cell>
          <cell r="AU45">
            <v>13999000</v>
          </cell>
          <cell r="AZ45">
            <v>203</v>
          </cell>
          <cell r="BA45">
            <v>741297000</v>
          </cell>
        </row>
        <row r="46">
          <cell r="B46">
            <v>6010701</v>
          </cell>
          <cell r="D46">
            <v>85</v>
          </cell>
          <cell r="E46">
            <v>187215000</v>
          </cell>
          <cell r="F46">
            <v>41</v>
          </cell>
          <cell r="G46">
            <v>107559000</v>
          </cell>
          <cell r="L46">
            <v>4</v>
          </cell>
          <cell r="M46">
            <v>35996000</v>
          </cell>
          <cell r="N46">
            <v>18</v>
          </cell>
          <cell r="O46">
            <v>76382000</v>
          </cell>
          <cell r="P46">
            <v>3</v>
          </cell>
          <cell r="Q46">
            <v>10797000</v>
          </cell>
          <cell r="R46">
            <v>4</v>
          </cell>
          <cell r="S46">
            <v>14396000</v>
          </cell>
          <cell r="T46">
            <v>16</v>
          </cell>
          <cell r="U46">
            <v>106784000</v>
          </cell>
          <cell r="V46">
            <v>14</v>
          </cell>
          <cell r="W46">
            <v>50386000</v>
          </cell>
          <cell r="X46">
            <v>11</v>
          </cell>
          <cell r="Y46">
            <v>64489000</v>
          </cell>
          <cell r="Z46">
            <v>2</v>
          </cell>
          <cell r="AA46">
            <v>21298000</v>
          </cell>
          <cell r="AB46">
            <v>7</v>
          </cell>
          <cell r="AC46">
            <v>39893000</v>
          </cell>
          <cell r="AH46">
            <v>2</v>
          </cell>
          <cell r="AI46">
            <v>33998000</v>
          </cell>
          <cell r="AJ46">
            <v>2</v>
          </cell>
          <cell r="AK46">
            <v>9598000</v>
          </cell>
          <cell r="AL46">
            <v>5</v>
          </cell>
          <cell r="AM46">
            <v>28495000</v>
          </cell>
          <cell r="AN46">
            <v>1</v>
          </cell>
          <cell r="AO46">
            <v>18999000</v>
          </cell>
          <cell r="AT46">
            <v>1</v>
          </cell>
          <cell r="AU46">
            <v>13999000</v>
          </cell>
          <cell r="AZ46">
            <v>216</v>
          </cell>
          <cell r="BA46">
            <v>820284000</v>
          </cell>
        </row>
        <row r="47">
          <cell r="B47">
            <v>6010710</v>
          </cell>
          <cell r="D47">
            <v>57</v>
          </cell>
          <cell r="E47">
            <v>124243000</v>
          </cell>
          <cell r="F47">
            <v>7</v>
          </cell>
          <cell r="G47">
            <v>18793000</v>
          </cell>
          <cell r="L47">
            <v>2</v>
          </cell>
          <cell r="M47">
            <v>17998000</v>
          </cell>
          <cell r="N47">
            <v>2</v>
          </cell>
          <cell r="O47">
            <v>7798000</v>
          </cell>
          <cell r="R47">
            <v>3</v>
          </cell>
          <cell r="S47">
            <v>10797000</v>
          </cell>
          <cell r="T47">
            <v>3</v>
          </cell>
          <cell r="U47">
            <v>19497000</v>
          </cell>
          <cell r="V47">
            <v>9</v>
          </cell>
          <cell r="W47">
            <v>32391000</v>
          </cell>
          <cell r="X47">
            <v>3</v>
          </cell>
          <cell r="Y47">
            <v>16497000</v>
          </cell>
          <cell r="AH47">
            <v>6</v>
          </cell>
          <cell r="AI47">
            <v>101994000</v>
          </cell>
          <cell r="AJ47">
            <v>2</v>
          </cell>
          <cell r="AK47">
            <v>10398000</v>
          </cell>
          <cell r="AL47">
            <v>1</v>
          </cell>
          <cell r="AM47">
            <v>5699000</v>
          </cell>
          <cell r="AN47">
            <v>1</v>
          </cell>
          <cell r="AO47">
            <v>18999000</v>
          </cell>
          <cell r="AT47">
            <v>3</v>
          </cell>
          <cell r="AU47">
            <v>41997000</v>
          </cell>
          <cell r="AZ47">
            <v>99</v>
          </cell>
          <cell r="BA47">
            <v>427101000</v>
          </cell>
        </row>
        <row r="48">
          <cell r="B48">
            <v>6010709</v>
          </cell>
          <cell r="D48">
            <v>176</v>
          </cell>
          <cell r="E48">
            <v>382324000</v>
          </cell>
          <cell r="F48">
            <v>36</v>
          </cell>
          <cell r="G48">
            <v>95564000</v>
          </cell>
          <cell r="L48">
            <v>6</v>
          </cell>
          <cell r="M48">
            <v>55994000</v>
          </cell>
          <cell r="N48">
            <v>15</v>
          </cell>
          <cell r="O48">
            <v>67485000</v>
          </cell>
          <cell r="P48">
            <v>3</v>
          </cell>
          <cell r="Q48">
            <v>10797000</v>
          </cell>
          <cell r="R48">
            <v>2</v>
          </cell>
          <cell r="S48">
            <v>7198000</v>
          </cell>
          <cell r="T48">
            <v>9</v>
          </cell>
          <cell r="U48">
            <v>60591000</v>
          </cell>
          <cell r="V48">
            <v>20</v>
          </cell>
          <cell r="W48">
            <v>71980000</v>
          </cell>
          <cell r="X48">
            <v>7</v>
          </cell>
          <cell r="Y48">
            <v>41693000</v>
          </cell>
          <cell r="Z48">
            <v>1</v>
          </cell>
          <cell r="AA48">
            <v>9899000</v>
          </cell>
          <cell r="AB48">
            <v>4</v>
          </cell>
          <cell r="AC48">
            <v>21896000</v>
          </cell>
          <cell r="AD48">
            <v>1</v>
          </cell>
          <cell r="AE48">
            <v>25999000</v>
          </cell>
          <cell r="AJ48">
            <v>4</v>
          </cell>
          <cell r="AK48">
            <v>19196000</v>
          </cell>
          <cell r="AL48">
            <v>5</v>
          </cell>
          <cell r="AM48">
            <v>29495000</v>
          </cell>
          <cell r="AZ48">
            <v>289</v>
          </cell>
          <cell r="BA48">
            <v>900111000</v>
          </cell>
        </row>
        <row r="49">
          <cell r="B49">
            <v>6010711</v>
          </cell>
          <cell r="D49">
            <v>3</v>
          </cell>
          <cell r="E49">
            <v>6897000</v>
          </cell>
          <cell r="F49">
            <v>5</v>
          </cell>
          <cell r="G49">
            <v>13595000</v>
          </cell>
          <cell r="L49">
            <v>1</v>
          </cell>
          <cell r="M49">
            <v>10999000</v>
          </cell>
          <cell r="N49">
            <v>2</v>
          </cell>
          <cell r="O49">
            <v>7798000</v>
          </cell>
          <cell r="R49">
            <v>1</v>
          </cell>
          <cell r="S49">
            <v>3599000</v>
          </cell>
          <cell r="T49">
            <v>2</v>
          </cell>
          <cell r="U49">
            <v>13698000</v>
          </cell>
          <cell r="X49">
            <v>1</v>
          </cell>
          <cell r="Y49">
            <v>5499000</v>
          </cell>
          <cell r="AD49">
            <v>2</v>
          </cell>
          <cell r="AE49">
            <v>51998000</v>
          </cell>
          <cell r="AH49">
            <v>1</v>
          </cell>
          <cell r="AI49">
            <v>14999000</v>
          </cell>
          <cell r="AL49">
            <v>1</v>
          </cell>
          <cell r="AM49">
            <v>5699000</v>
          </cell>
          <cell r="AR49">
            <v>1</v>
          </cell>
          <cell r="AS49">
            <v>24999000</v>
          </cell>
          <cell r="AX49">
            <v>1</v>
          </cell>
          <cell r="AY49">
            <v>14999000</v>
          </cell>
          <cell r="AZ49">
            <v>21</v>
          </cell>
          <cell r="BA49">
            <v>174779000</v>
          </cell>
        </row>
        <row r="50">
          <cell r="B50">
            <v>6100702</v>
          </cell>
          <cell r="D50">
            <v>3</v>
          </cell>
          <cell r="E50">
            <v>6897000</v>
          </cell>
          <cell r="F50">
            <v>7</v>
          </cell>
          <cell r="G50">
            <v>17193000</v>
          </cell>
          <cell r="H50">
            <v>1</v>
          </cell>
          <cell r="I50">
            <v>1799000</v>
          </cell>
          <cell r="L50">
            <v>4</v>
          </cell>
          <cell r="M50">
            <v>35996000</v>
          </cell>
          <cell r="N50">
            <v>3</v>
          </cell>
          <cell r="O50">
            <v>13097000</v>
          </cell>
          <cell r="T50">
            <v>4</v>
          </cell>
          <cell r="U50">
            <v>25996000</v>
          </cell>
          <cell r="V50">
            <v>3</v>
          </cell>
          <cell r="W50">
            <v>10797000</v>
          </cell>
          <cell r="X50">
            <v>2</v>
          </cell>
          <cell r="Y50">
            <v>10998000</v>
          </cell>
          <cell r="Z50">
            <v>1</v>
          </cell>
          <cell r="AA50">
            <v>9899000</v>
          </cell>
          <cell r="AB50">
            <v>2</v>
          </cell>
          <cell r="AC50">
            <v>10598000</v>
          </cell>
          <cell r="AD50">
            <v>2</v>
          </cell>
          <cell r="AE50">
            <v>51998000</v>
          </cell>
          <cell r="AH50">
            <v>1</v>
          </cell>
          <cell r="AI50">
            <v>18999000</v>
          </cell>
          <cell r="AJ50">
            <v>2</v>
          </cell>
          <cell r="AK50">
            <v>9598000</v>
          </cell>
          <cell r="AL50">
            <v>3</v>
          </cell>
          <cell r="AM50">
            <v>17097000</v>
          </cell>
          <cell r="AT50">
            <v>1</v>
          </cell>
          <cell r="AU50">
            <v>13999000</v>
          </cell>
          <cell r="AV50">
            <v>1</v>
          </cell>
          <cell r="AW50">
            <v>18999000</v>
          </cell>
          <cell r="AZ50">
            <v>40</v>
          </cell>
          <cell r="BA50">
            <v>273960000</v>
          </cell>
        </row>
        <row r="51">
          <cell r="B51">
            <v>6150702</v>
          </cell>
          <cell r="D51">
            <v>1</v>
          </cell>
          <cell r="E51">
            <v>2599000</v>
          </cell>
          <cell r="F51">
            <v>2</v>
          </cell>
          <cell r="G51">
            <v>5198000</v>
          </cell>
          <cell r="AL51">
            <v>1</v>
          </cell>
          <cell r="AM51">
            <v>5699000</v>
          </cell>
          <cell r="AZ51">
            <v>4</v>
          </cell>
          <cell r="BA51">
            <v>13496000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A5">
            <v>1</v>
          </cell>
          <cell r="B5" t="str">
            <v>601 雅加达西北 JKT BU</v>
          </cell>
          <cell r="C5">
            <v>6010708</v>
          </cell>
          <cell r="D5" t="str">
            <v>6010708-MVS SHOWROOM CENTRAL PARK</v>
          </cell>
          <cell r="E5" t="str">
            <v>NANDI FEBRIANA</v>
          </cell>
        </row>
        <row r="6">
          <cell r="A6">
            <v>2</v>
          </cell>
          <cell r="B6" t="str">
            <v>601 雅加达西北 JKT BU</v>
          </cell>
          <cell r="C6">
            <v>6010701</v>
          </cell>
          <cell r="D6" t="str">
            <v>6010701-MVS ROXY SHOWROOM 21</v>
          </cell>
          <cell r="E6" t="str">
            <v>ANGGARIA</v>
          </cell>
        </row>
        <row r="7">
          <cell r="A7">
            <v>3</v>
          </cell>
          <cell r="B7" t="str">
            <v>601 雅加达西北 JKT BU</v>
          </cell>
          <cell r="C7">
            <v>6010702</v>
          </cell>
          <cell r="D7" t="str">
            <v>6010702-ME ROXY PAMERAN TIMUR</v>
          </cell>
          <cell r="E7" t="str">
            <v>ANGGARIA</v>
          </cell>
        </row>
        <row r="8">
          <cell r="A8">
            <v>4</v>
          </cell>
          <cell r="B8" t="str">
            <v>601 雅加达西北 JKT BU</v>
          </cell>
          <cell r="C8">
            <v>6010703</v>
          </cell>
          <cell r="D8" t="str">
            <v>6010703-VIVO STORE WINSHOP</v>
          </cell>
          <cell r="E8" t="str">
            <v>NUR IRAWATI</v>
          </cell>
        </row>
        <row r="9">
          <cell r="A9">
            <v>5</v>
          </cell>
          <cell r="B9" t="str">
            <v>601 雅加达西北 JKT BU</v>
          </cell>
          <cell r="C9">
            <v>6010709</v>
          </cell>
          <cell r="D9" t="str">
            <v>A100303-PAMERAN UTARA</v>
          </cell>
          <cell r="E9" t="str">
            <v>NUR IRAWATI</v>
          </cell>
        </row>
        <row r="10">
          <cell r="A10">
            <v>6</v>
          </cell>
          <cell r="B10" t="str">
            <v>601 雅加达西北 JKT BU</v>
          </cell>
          <cell r="C10">
            <v>6010710</v>
          </cell>
          <cell r="D10" t="str">
            <v>A100304-PAMERAN SELATAN</v>
          </cell>
          <cell r="E10" t="str">
            <v>NUR IRAWATI</v>
          </cell>
        </row>
        <row r="11">
          <cell r="A11">
            <v>7</v>
          </cell>
          <cell r="B11" t="str">
            <v>601 雅加达西北 JKT BU</v>
          </cell>
          <cell r="C11">
            <v>6020711</v>
          </cell>
          <cell r="D11" t="str">
            <v>6020711-vivostore emporium</v>
          </cell>
          <cell r="E11" t="str">
            <v>M KHOIRUDIN</v>
          </cell>
        </row>
        <row r="12">
          <cell r="A12">
            <v>8</v>
          </cell>
          <cell r="B12" t="str">
            <v>601 雅加达西北 JKT BU</v>
          </cell>
          <cell r="C12">
            <v>6010711</v>
          </cell>
          <cell r="D12" t="str">
            <v>6010711-LIPPO MALL PURI 1FK02</v>
          </cell>
          <cell r="E12" t="str">
            <v>HERRU ILYASA</v>
          </cell>
        </row>
        <row r="13">
          <cell r="A13">
            <v>9</v>
          </cell>
          <cell r="B13" t="str">
            <v>601 雅加达西北 JKT BU</v>
          </cell>
          <cell r="C13">
            <v>6020706</v>
          </cell>
          <cell r="D13" t="str">
            <v>6020706-MVS CEMPAKA SHOWROOM 2 (454)</v>
          </cell>
          <cell r="E13" t="str">
            <v>NOVIA HARYANTI</v>
          </cell>
        </row>
        <row r="14">
          <cell r="A14">
            <v>10</v>
          </cell>
          <cell r="B14" t="str">
            <v>601 雅加达西北 JKT BU</v>
          </cell>
          <cell r="C14">
            <v>6020704</v>
          </cell>
          <cell r="D14" t="str">
            <v>6020704-MVS CEMPAKA SHOWROOM 14 (8TOKO)</v>
          </cell>
          <cell r="E14" t="str">
            <v>NOVIA HARYANTI</v>
          </cell>
        </row>
        <row r="15">
          <cell r="A15">
            <v>11</v>
          </cell>
          <cell r="B15" t="str">
            <v>604 雅加达东南 JKT TS</v>
          </cell>
          <cell r="C15">
            <v>6040701</v>
          </cell>
          <cell r="D15" t="str">
            <v>A200402-ITC-VIVO STORE 1</v>
          </cell>
          <cell r="E15" t="str">
            <v>Erlangga Pradita</v>
          </cell>
        </row>
        <row r="16">
          <cell r="A16">
            <v>12</v>
          </cell>
          <cell r="B16" t="str">
            <v>604 雅加达东南 JKT TS</v>
          </cell>
          <cell r="C16">
            <v>6080712</v>
          </cell>
          <cell r="D16" t="str">
            <v>6080712-MVS ITC DEPOK VIVO STORE 2</v>
          </cell>
          <cell r="E16" t="str">
            <v>Erlangga Pradita</v>
          </cell>
        </row>
        <row r="17">
          <cell r="A17">
            <v>13</v>
          </cell>
          <cell r="B17" t="str">
            <v>604 雅加达东南 JKT TS</v>
          </cell>
          <cell r="C17">
            <v>6040702</v>
          </cell>
          <cell r="D17" t="str">
            <v>6040702-TRAN STUDIO MALL 2F059</v>
          </cell>
          <cell r="E17" t="str">
            <v>Erlangga Pradita</v>
          </cell>
        </row>
        <row r="18">
          <cell r="A18">
            <v>14</v>
          </cell>
          <cell r="B18" t="str">
            <v>604 雅加达东南 JKT TS</v>
          </cell>
          <cell r="C18">
            <v>6040703</v>
          </cell>
          <cell r="D18" t="str">
            <v>6040703-SAWANGAN 1F1-0320</v>
          </cell>
          <cell r="E18" t="str">
            <v>Erlangga Pradita</v>
          </cell>
        </row>
        <row r="19">
          <cell r="A19">
            <v>15</v>
          </cell>
          <cell r="B19" t="str">
            <v>605 勿加泗 BEKASI</v>
          </cell>
          <cell r="C19">
            <v>6050701</v>
          </cell>
          <cell r="D19" t="str">
            <v>6050701-MVS X6 DS0824</v>
          </cell>
          <cell r="E19" t="str">
            <v>M RIZKI</v>
          </cell>
        </row>
        <row r="20">
          <cell r="A20">
            <v>16</v>
          </cell>
          <cell r="B20" t="str">
            <v>605 勿加泗 BEKASI</v>
          </cell>
          <cell r="C20">
            <v>6220701</v>
          </cell>
          <cell r="D20" t="str">
            <v>6220701-MVS MBH-VIP VIVO STORE-DD284</v>
          </cell>
          <cell r="E20" t="str">
            <v>M RIZKI</v>
          </cell>
        </row>
        <row r="21">
          <cell r="A21">
            <v>17</v>
          </cell>
          <cell r="B21" t="str">
            <v>605 勿加泗 BEKASI</v>
          </cell>
          <cell r="C21">
            <v>6050705</v>
          </cell>
          <cell r="D21" t="str">
            <v>6050705-MBH 2F009</v>
          </cell>
          <cell r="E21" t="str">
            <v>M RIZKI</v>
          </cell>
        </row>
        <row r="22">
          <cell r="A22">
            <v>18</v>
          </cell>
          <cell r="B22" t="str">
            <v>605 勿加泗 BEKASI</v>
          </cell>
          <cell r="C22">
            <v>6050706</v>
          </cell>
          <cell r="D22" t="str">
            <v>6050706-AEON MALL DELTAMAS 1F081</v>
          </cell>
          <cell r="E22" t="str">
            <v>M RIZKI</v>
          </cell>
        </row>
        <row r="23">
          <cell r="A23">
            <v>19</v>
          </cell>
          <cell r="B23" t="str">
            <v>618 茂物 BOGOR</v>
          </cell>
          <cell r="C23">
            <v>6180706</v>
          </cell>
          <cell r="D23" t="str">
            <v>6180706-MVS MALL CCM</v>
          </cell>
          <cell r="E23" t="str">
            <v>DANDI SURYA</v>
          </cell>
        </row>
        <row r="24">
          <cell r="A24">
            <v>20</v>
          </cell>
          <cell r="B24" t="str">
            <v>618 茂物 BOGOR</v>
          </cell>
          <cell r="C24">
            <v>6180707</v>
          </cell>
          <cell r="D24" t="str">
            <v>6180707-SC BTM</v>
          </cell>
          <cell r="E24" t="str">
            <v>DANDI SURYA</v>
          </cell>
        </row>
        <row r="25">
          <cell r="A25">
            <v>21</v>
          </cell>
          <cell r="B25" t="str">
            <v>624-万丹BANTEN</v>
          </cell>
          <cell r="C25">
            <v>6170707</v>
          </cell>
          <cell r="D25" t="str">
            <v>6170707-LG BLOK D NO. 01D SKY 7</v>
          </cell>
          <cell r="E25" t="str">
            <v>ARIES FITRIYANTO</v>
          </cell>
        </row>
        <row r="26">
          <cell r="A26">
            <v>22</v>
          </cell>
          <cell r="B26" t="str">
            <v>624-万丹BANTEN</v>
          </cell>
          <cell r="C26">
            <v>6240702</v>
          </cell>
          <cell r="D26" t="str">
            <v>A200902-LG BLOK B NO. 01B SKY M3</v>
          </cell>
          <cell r="E26" t="str">
            <v>ARIES FITRIYANTO</v>
          </cell>
        </row>
        <row r="27">
          <cell r="A27">
            <v>23</v>
          </cell>
          <cell r="B27" t="str">
            <v>624-万丹BANTEN</v>
          </cell>
          <cell r="C27">
            <v>6240704</v>
          </cell>
          <cell r="D27" t="str">
            <v>6240704-TANGCITY LG017 WEST LOBBY</v>
          </cell>
          <cell r="E27" t="str">
            <v>ARIES FITRIYANTO</v>
          </cell>
        </row>
        <row r="28">
          <cell r="A28">
            <v>24</v>
          </cell>
          <cell r="B28" t="str">
            <v>624-万丹BANTEN</v>
          </cell>
          <cell r="C28">
            <v>6240701</v>
          </cell>
          <cell r="D28" t="str">
            <v>A200803-LG BLOK A-B NO. 12 SKY 5</v>
          </cell>
          <cell r="E28" t="str">
            <v>DHANI EKO NUGROHO</v>
          </cell>
        </row>
        <row r="29">
          <cell r="A29">
            <v>25</v>
          </cell>
          <cell r="B29" t="str">
            <v>624-万丹BANTEN</v>
          </cell>
          <cell r="C29">
            <v>6170706</v>
          </cell>
          <cell r="D29" t="str">
            <v>A200802-CHARLES</v>
          </cell>
          <cell r="E29" t="str">
            <v>DHANI EKO NUGROHO</v>
          </cell>
        </row>
        <row r="30">
          <cell r="A30">
            <v>26</v>
          </cell>
          <cell r="B30" t="str">
            <v>624-万丹BANTEN</v>
          </cell>
          <cell r="C30">
            <v>6240703</v>
          </cell>
          <cell r="D30" t="str">
            <v>6240703-TANGCITY LG009 CENTER</v>
          </cell>
          <cell r="E30" t="str">
            <v>DHANI EKO NUGROHO</v>
          </cell>
        </row>
        <row r="31">
          <cell r="A31">
            <v>27</v>
          </cell>
          <cell r="B31" t="str">
            <v>624-万丹BANTEN</v>
          </cell>
          <cell r="C31">
            <v>6170703</v>
          </cell>
          <cell r="D31" t="str">
            <v>6170703-4004 MVS-BNT-CCM STORE</v>
          </cell>
          <cell r="E31" t="str">
            <v>DWI IRAWAN ( PIC )</v>
          </cell>
        </row>
        <row r="32">
          <cell r="A32">
            <v>28</v>
          </cell>
          <cell r="B32" t="str">
            <v>624-万丹BANTEN</v>
          </cell>
          <cell r="C32">
            <v>6240705</v>
          </cell>
          <cell r="D32" t="str">
            <v>6240705-CIPUTRA 2FC15</v>
          </cell>
          <cell r="E32" t="str">
            <v>DHANI EKO NUGROHO</v>
          </cell>
        </row>
        <row r="33">
          <cell r="A33">
            <v>29</v>
          </cell>
          <cell r="B33" t="str">
            <v>624-万丹BANTEN</v>
          </cell>
          <cell r="C33">
            <v>6240709</v>
          </cell>
          <cell r="D33" t="str">
            <v>6240709-ITC BSD 1F49-50</v>
          </cell>
          <cell r="E33" t="str">
            <v>ARIES FITRIYANTO</v>
          </cell>
        </row>
        <row r="34">
          <cell r="A34">
            <v>30</v>
          </cell>
          <cell r="B34" t="str">
            <v>624-万丹BANTEN</v>
          </cell>
          <cell r="C34">
            <v>6240708</v>
          </cell>
          <cell r="D34" t="str">
            <v>6240708-ITC BSD 1F09-14</v>
          </cell>
          <cell r="E34" t="str">
            <v>ARIES FITRIYANTO</v>
          </cell>
        </row>
        <row r="35">
          <cell r="A35">
            <v>31</v>
          </cell>
          <cell r="B35" t="str">
            <v>624-万丹BANTEN</v>
          </cell>
          <cell r="C35">
            <v>6240707</v>
          </cell>
          <cell r="D35" t="str">
            <v>6240707-SUPERMALL UGN3A</v>
          </cell>
          <cell r="E35" t="str">
            <v>ADE RIVALDI L</v>
          </cell>
        </row>
        <row r="36">
          <cell r="A36">
            <v>32</v>
          </cell>
          <cell r="B36" t="str">
            <v>624-万丹BANTEN</v>
          </cell>
          <cell r="C36">
            <v>6240706</v>
          </cell>
          <cell r="D36" t="str">
            <v>6240706-SUPERMALL LGC3A</v>
          </cell>
          <cell r="E36" t="str">
            <v>ADE RIVALDI L</v>
          </cell>
        </row>
        <row r="37">
          <cell r="A37">
            <v>33</v>
          </cell>
          <cell r="B37" t="str">
            <v>619-万隆市区BDG KOTA</v>
          </cell>
          <cell r="C37">
            <v>6190701</v>
          </cell>
          <cell r="D37" t="str">
            <v>6190701-VIVO STORE UG</v>
          </cell>
          <cell r="E37" t="str">
            <v>EKO PURWANTO</v>
          </cell>
        </row>
        <row r="38">
          <cell r="A38">
            <v>34</v>
          </cell>
          <cell r="B38" t="str">
            <v>619-万隆市区BDG KOTA</v>
          </cell>
          <cell r="C38">
            <v>6190706</v>
          </cell>
          <cell r="D38" t="str">
            <v>A300102-VIVO STORE 4 BEC</v>
          </cell>
          <cell r="E38" t="str">
            <v>EKO PURWANTO</v>
          </cell>
        </row>
        <row r="39">
          <cell r="A39">
            <v>35</v>
          </cell>
          <cell r="B39" t="str">
            <v>619-万隆市区BDG KOTA</v>
          </cell>
          <cell r="C39">
            <v>6190705</v>
          </cell>
          <cell r="D39" t="str">
            <v>A300105-VIVO STORE LG F20</v>
          </cell>
          <cell r="E39" t="str">
            <v>EKO PURWANTO</v>
          </cell>
        </row>
        <row r="40">
          <cell r="A40">
            <v>36</v>
          </cell>
          <cell r="B40" t="str">
            <v>619-万隆市区BDG KOTA</v>
          </cell>
          <cell r="C40">
            <v>6190704</v>
          </cell>
          <cell r="D40" t="str">
            <v>A300201-VIVO STORE 1 BEC</v>
          </cell>
          <cell r="E40" t="str">
            <v>NENG TOTOH</v>
          </cell>
        </row>
        <row r="41">
          <cell r="A41">
            <v>37</v>
          </cell>
          <cell r="B41" t="str">
            <v>619-万隆市区BDG KOTA</v>
          </cell>
          <cell r="C41">
            <v>6190707</v>
          </cell>
          <cell r="D41" t="str">
            <v>A300202-VIVO STORE LU</v>
          </cell>
          <cell r="E41" t="str">
            <v>NENG TOTOH</v>
          </cell>
        </row>
        <row r="42">
          <cell r="A42">
            <v>38</v>
          </cell>
          <cell r="B42" t="str">
            <v>619-万隆市区BDG KOTA</v>
          </cell>
          <cell r="C42">
            <v>6190708</v>
          </cell>
          <cell r="D42" t="str">
            <v>6190708-BEC SC LGAA07</v>
          </cell>
          <cell r="E42" t="str">
            <v>NENG TOTOH</v>
          </cell>
        </row>
        <row r="43">
          <cell r="A43">
            <v>39</v>
          </cell>
          <cell r="B43" t="str">
            <v>615-中爪哇东SOLO</v>
          </cell>
          <cell r="C43">
            <v>6150702</v>
          </cell>
          <cell r="D43" t="str">
            <v>6150702-GRANMALL SC GF-11</v>
          </cell>
          <cell r="E43" t="str">
            <v>BIRILYAN KUSWARA</v>
          </cell>
        </row>
        <row r="44">
          <cell r="A44">
            <v>40</v>
          </cell>
          <cell r="B44" t="str">
            <v>中爪哇西 - Purwokerto</v>
          </cell>
          <cell r="C44">
            <v>6130702</v>
          </cell>
          <cell r="D44" t="str">
            <v>6130702-RITA SUPERMALL SF36-37</v>
          </cell>
          <cell r="E44" t="str">
            <v>FRISKA FAJAR</v>
          </cell>
        </row>
        <row r="45">
          <cell r="A45">
            <v>41</v>
          </cell>
          <cell r="B45" t="str">
            <v>614 三宝垄 Semarang</v>
          </cell>
          <cell r="C45">
            <v>6100702</v>
          </cell>
          <cell r="D45" t="str">
            <v>6100702-VS Jogja City Mall</v>
          </cell>
          <cell r="E45" t="str">
            <v>BIRILYAN KUSWARA</v>
          </cell>
        </row>
        <row r="46">
          <cell r="A46">
            <v>42</v>
          </cell>
          <cell r="B46" t="str">
            <v>614 三宝垄 Semarang</v>
          </cell>
          <cell r="C46">
            <v>6140706</v>
          </cell>
          <cell r="D46" t="str">
            <v>6140706-23 SEMARANG MALL 1F065-66</v>
          </cell>
          <cell r="E46" t="str">
            <v>VICKY DINDA INEZ</v>
          </cell>
        </row>
        <row r="47">
          <cell r="A47">
            <v>43</v>
          </cell>
          <cell r="B47" t="str">
            <v>614 三宝垄 Semarang</v>
          </cell>
          <cell r="C47">
            <v>6140705</v>
          </cell>
          <cell r="D47" t="str">
            <v>6140705-QUEENCITY 2F027</v>
          </cell>
          <cell r="E47" t="str">
            <v>EDI SUSANTO</v>
          </cell>
        </row>
      </sheetData>
      <sheetData sheetId="10"/>
      <sheetData sheetId="11"/>
      <sheetData sheetId="12"/>
      <sheetData sheetId="13"/>
      <sheetData sheetId="14"/>
      <sheetData sheetId="15">
        <row r="6">
          <cell r="G6" t="str">
            <v>3mio&gt;</v>
          </cell>
          <cell r="I6" t="str">
            <v>Total Sum of Qty</v>
          </cell>
          <cell r="J6" t="str">
            <v>Total Sum of SRP</v>
          </cell>
        </row>
        <row r="7">
          <cell r="D7" t="str">
            <v>Promotor</v>
          </cell>
          <cell r="G7" t="str">
            <v>Sum of Qty</v>
          </cell>
        </row>
        <row r="8">
          <cell r="D8" t="str">
            <v>DEWI ASTRIAWANTI</v>
          </cell>
          <cell r="G8">
            <v>4</v>
          </cell>
          <cell r="I8">
            <v>10</v>
          </cell>
          <cell r="J8">
            <v>35890000</v>
          </cell>
        </row>
        <row r="9">
          <cell r="D9" t="str">
            <v>SITI NURDIANTY SHOLIHAH</v>
          </cell>
          <cell r="G9">
            <v>5</v>
          </cell>
          <cell r="I9">
            <v>6</v>
          </cell>
          <cell r="J9">
            <v>27794000</v>
          </cell>
        </row>
        <row r="10">
          <cell r="D10" t="str">
            <v>NANI SUPRIYANTI</v>
          </cell>
          <cell r="G10">
            <v>2</v>
          </cell>
          <cell r="I10">
            <v>9</v>
          </cell>
          <cell r="J10">
            <v>26091000</v>
          </cell>
        </row>
        <row r="11">
          <cell r="D11" t="str">
            <v xml:space="preserve"> Fatimah</v>
          </cell>
          <cell r="G11">
            <v>1</v>
          </cell>
          <cell r="I11">
            <v>6</v>
          </cell>
          <cell r="J11">
            <v>16894000</v>
          </cell>
        </row>
        <row r="12">
          <cell r="D12" t="str">
            <v>NABILA SALSABILA</v>
          </cell>
          <cell r="G12">
            <v>7</v>
          </cell>
          <cell r="I12">
            <v>27</v>
          </cell>
          <cell r="J12">
            <v>93573000</v>
          </cell>
        </row>
        <row r="13">
          <cell r="D13" t="str">
            <v>ELFINTA VIANTI</v>
          </cell>
          <cell r="G13">
            <v>15</v>
          </cell>
          <cell r="I13">
            <v>24</v>
          </cell>
          <cell r="J13">
            <v>131076000</v>
          </cell>
        </row>
        <row r="14">
          <cell r="D14" t="str">
            <v>MUHAMAD YUSUF</v>
          </cell>
          <cell r="G14">
            <v>7</v>
          </cell>
          <cell r="I14">
            <v>12</v>
          </cell>
          <cell r="J14">
            <v>42288000</v>
          </cell>
        </row>
        <row r="15">
          <cell r="D15" t="str">
            <v>YOGA ADITIA</v>
          </cell>
          <cell r="G15">
            <v>10</v>
          </cell>
          <cell r="I15">
            <v>23</v>
          </cell>
          <cell r="J15">
            <v>91477000</v>
          </cell>
        </row>
        <row r="16">
          <cell r="D16" t="str">
            <v>MUHAMAD HILMAN</v>
          </cell>
          <cell r="G16">
            <v>7</v>
          </cell>
          <cell r="I16">
            <v>20</v>
          </cell>
          <cell r="J16">
            <v>84580000</v>
          </cell>
        </row>
        <row r="17">
          <cell r="D17" t="str">
            <v>SRI AFRIYANTI</v>
          </cell>
          <cell r="G17">
            <v>8</v>
          </cell>
          <cell r="I17">
            <v>22</v>
          </cell>
          <cell r="J17">
            <v>79378000</v>
          </cell>
        </row>
        <row r="18">
          <cell r="D18" t="str">
            <v>RIFKI PRAYOGAA</v>
          </cell>
          <cell r="G18">
            <v>12</v>
          </cell>
          <cell r="I18">
            <v>24</v>
          </cell>
          <cell r="J18">
            <v>88376000</v>
          </cell>
        </row>
        <row r="19">
          <cell r="D19" t="str">
            <v>MUHAMMAD MUDZAKIR</v>
          </cell>
          <cell r="G19">
            <v>7</v>
          </cell>
          <cell r="I19">
            <v>24</v>
          </cell>
          <cell r="J19">
            <v>75076000</v>
          </cell>
        </row>
        <row r="20">
          <cell r="D20" t="str">
            <v>MILA TUJUHRO</v>
          </cell>
          <cell r="G20">
            <v>9</v>
          </cell>
          <cell r="I20">
            <v>27</v>
          </cell>
          <cell r="J20">
            <v>92573000</v>
          </cell>
        </row>
        <row r="21">
          <cell r="D21" t="str">
            <v>SITI MELIANI</v>
          </cell>
          <cell r="G21">
            <v>5</v>
          </cell>
          <cell r="I21">
            <v>19</v>
          </cell>
          <cell r="J21">
            <v>62181000</v>
          </cell>
        </row>
        <row r="22">
          <cell r="D22" t="str">
            <v>NILAM SARI</v>
          </cell>
          <cell r="G22">
            <v>1</v>
          </cell>
          <cell r="I22">
            <v>13</v>
          </cell>
          <cell r="J22">
            <v>34787000</v>
          </cell>
        </row>
        <row r="23">
          <cell r="D23" t="str">
            <v>HERIANTO NDRURU</v>
          </cell>
          <cell r="G23">
            <v>7</v>
          </cell>
          <cell r="I23">
            <v>37</v>
          </cell>
          <cell r="J23">
            <v>113163000</v>
          </cell>
        </row>
        <row r="24">
          <cell r="D24" t="str">
            <v>SILVIA AYU LESTARI</v>
          </cell>
          <cell r="G24">
            <v>3</v>
          </cell>
          <cell r="I24">
            <v>5</v>
          </cell>
          <cell r="J24">
            <v>25195000</v>
          </cell>
        </row>
        <row r="25">
          <cell r="D25" t="str">
            <v>DWI IRAWAN ALDILA JULIANSYAH</v>
          </cell>
          <cell r="G25">
            <v>5</v>
          </cell>
          <cell r="I25">
            <v>9</v>
          </cell>
          <cell r="J25">
            <v>42291000</v>
          </cell>
        </row>
        <row r="26">
          <cell r="D26" t="str">
            <v>DION FATULLAH</v>
          </cell>
          <cell r="G26">
            <v>5</v>
          </cell>
          <cell r="I26">
            <v>21</v>
          </cell>
          <cell r="J26">
            <v>69179000</v>
          </cell>
        </row>
        <row r="27">
          <cell r="D27" t="str">
            <v>ANISA AGUSTIN</v>
          </cell>
          <cell r="G27">
            <v>6</v>
          </cell>
          <cell r="I27">
            <v>24</v>
          </cell>
          <cell r="J27">
            <v>79576000</v>
          </cell>
        </row>
        <row r="28">
          <cell r="D28" t="str">
            <v>VIOLA AGUSTIN</v>
          </cell>
          <cell r="G28">
            <v>3</v>
          </cell>
          <cell r="I28">
            <v>11</v>
          </cell>
          <cell r="J28">
            <v>34889000</v>
          </cell>
        </row>
        <row r="29">
          <cell r="D29" t="str">
            <v>RIZKY ALFIANSYAH</v>
          </cell>
          <cell r="G29">
            <v>11</v>
          </cell>
          <cell r="I29">
            <v>18</v>
          </cell>
          <cell r="J29">
            <v>100082000</v>
          </cell>
        </row>
        <row r="30">
          <cell r="D30" t="str">
            <v>APRIANSYAH</v>
          </cell>
          <cell r="G30">
            <v>7</v>
          </cell>
          <cell r="I30">
            <v>11</v>
          </cell>
          <cell r="J30">
            <v>53789000</v>
          </cell>
        </row>
        <row r="31">
          <cell r="D31" t="str">
            <v>Gilang Ramadhan</v>
          </cell>
          <cell r="G31">
            <v>10</v>
          </cell>
          <cell r="I31">
            <v>12</v>
          </cell>
          <cell r="J31">
            <v>54588000</v>
          </cell>
        </row>
        <row r="32">
          <cell r="D32" t="str">
            <v>ARIES FITRIYANTO</v>
          </cell>
          <cell r="G32">
            <v>1</v>
          </cell>
          <cell r="I32">
            <v>2</v>
          </cell>
          <cell r="J32">
            <v>5998000</v>
          </cell>
        </row>
        <row r="33">
          <cell r="D33" t="str">
            <v>Mahmudin</v>
          </cell>
          <cell r="G33">
            <v>6</v>
          </cell>
          <cell r="I33">
            <v>17</v>
          </cell>
          <cell r="J33">
            <v>66683000</v>
          </cell>
        </row>
        <row r="34">
          <cell r="D34" t="str">
            <v>SASFA LUNA ANDUNG</v>
          </cell>
          <cell r="G34">
            <v>7</v>
          </cell>
          <cell r="I34">
            <v>7</v>
          </cell>
          <cell r="J34">
            <v>36393000</v>
          </cell>
        </row>
        <row r="35">
          <cell r="D35" t="str">
            <v>ZAKIYATUL MUNAWAROH</v>
          </cell>
          <cell r="G35">
            <v>7</v>
          </cell>
          <cell r="I35">
            <v>15</v>
          </cell>
          <cell r="J35">
            <v>63485000</v>
          </cell>
        </row>
        <row r="36">
          <cell r="D36" t="str">
            <v>TIO SAPUTRA</v>
          </cell>
          <cell r="G36">
            <v>1</v>
          </cell>
          <cell r="I36">
            <v>4</v>
          </cell>
          <cell r="J36">
            <v>14896000</v>
          </cell>
        </row>
        <row r="37">
          <cell r="D37" t="str">
            <v>SANTI ANGGRAENI</v>
          </cell>
          <cell r="G37">
            <v>11</v>
          </cell>
          <cell r="I37">
            <v>26</v>
          </cell>
          <cell r="J37">
            <v>105774000</v>
          </cell>
        </row>
        <row r="38">
          <cell r="D38" t="str">
            <v>NARIAH AMBARWATI</v>
          </cell>
          <cell r="G38">
            <v>5</v>
          </cell>
          <cell r="I38">
            <v>19</v>
          </cell>
          <cell r="J38">
            <v>58081000</v>
          </cell>
        </row>
        <row r="39">
          <cell r="D39" t="str">
            <v>MIFTAHUL HUDA</v>
          </cell>
          <cell r="G39">
            <v>12</v>
          </cell>
          <cell r="I39">
            <v>16</v>
          </cell>
          <cell r="J39">
            <v>87984000</v>
          </cell>
        </row>
        <row r="40">
          <cell r="D40" t="str">
            <v>SYAIRUL ACHMAT HIDAYAT</v>
          </cell>
          <cell r="G40">
            <v>2</v>
          </cell>
          <cell r="I40">
            <v>4</v>
          </cell>
          <cell r="J40">
            <v>13396000</v>
          </cell>
        </row>
        <row r="41">
          <cell r="D41" t="str">
            <v>AGUS WARDONO PUTRO</v>
          </cell>
          <cell r="G41">
            <v>17</v>
          </cell>
          <cell r="I41">
            <v>22</v>
          </cell>
          <cell r="J41">
            <v>140878000</v>
          </cell>
        </row>
        <row r="42">
          <cell r="D42" t="str">
            <v>PUTRI ANGGRIANI</v>
          </cell>
          <cell r="G42">
            <v>5</v>
          </cell>
          <cell r="I42">
            <v>10</v>
          </cell>
          <cell r="J42">
            <v>41990000</v>
          </cell>
        </row>
        <row r="43">
          <cell r="D43" t="str">
            <v>INTAN SEPIATUL HASANAH</v>
          </cell>
          <cell r="G43">
            <v>6</v>
          </cell>
          <cell r="I43">
            <v>18</v>
          </cell>
          <cell r="J43">
            <v>62482000</v>
          </cell>
        </row>
        <row r="44">
          <cell r="D44" t="str">
            <v>SYAIRUL ACHMAT HIDAYAT</v>
          </cell>
          <cell r="G44">
            <v>2</v>
          </cell>
          <cell r="I44">
            <v>5</v>
          </cell>
          <cell r="J44">
            <v>20795000</v>
          </cell>
        </row>
        <row r="45">
          <cell r="D45" t="str">
            <v>JULIANA JAYANA</v>
          </cell>
          <cell r="G45">
            <v>3</v>
          </cell>
          <cell r="I45">
            <v>7</v>
          </cell>
          <cell r="J45">
            <v>24993000</v>
          </cell>
        </row>
        <row r="46">
          <cell r="D46" t="str">
            <v>NOVI YULIANTI</v>
          </cell>
          <cell r="G46">
            <v>1</v>
          </cell>
          <cell r="I46">
            <v>2</v>
          </cell>
          <cell r="J46">
            <v>6398000</v>
          </cell>
        </row>
        <row r="47">
          <cell r="D47" t="str">
            <v>ANTON RENDI SUKMANA</v>
          </cell>
          <cell r="G47">
            <v>3</v>
          </cell>
          <cell r="I47">
            <v>12</v>
          </cell>
          <cell r="J47">
            <v>40888000</v>
          </cell>
        </row>
        <row r="48">
          <cell r="D48" t="str">
            <v>MELLY SHABILLA</v>
          </cell>
          <cell r="G48">
            <v>7</v>
          </cell>
          <cell r="I48">
            <v>18</v>
          </cell>
          <cell r="J48">
            <v>67382000</v>
          </cell>
        </row>
        <row r="49">
          <cell r="D49" t="str">
            <v>TEGUH FIRMANSYAH</v>
          </cell>
          <cell r="G49">
            <v>7</v>
          </cell>
          <cell r="I49">
            <v>16</v>
          </cell>
          <cell r="J49">
            <v>58784000</v>
          </cell>
        </row>
        <row r="50">
          <cell r="D50" t="str">
            <v>ASIPA RAHMAWATI</v>
          </cell>
          <cell r="G50">
            <v>5</v>
          </cell>
          <cell r="I50">
            <v>24</v>
          </cell>
          <cell r="J50">
            <v>79276000</v>
          </cell>
        </row>
        <row r="51">
          <cell r="D51" t="str">
            <v>AGUSTIAN</v>
          </cell>
          <cell r="G51">
            <v>11</v>
          </cell>
          <cell r="I51">
            <v>30</v>
          </cell>
          <cell r="J51">
            <v>124970000</v>
          </cell>
        </row>
        <row r="52">
          <cell r="D52" t="str">
            <v>ERI NURAJAB</v>
          </cell>
          <cell r="G52">
            <v>13</v>
          </cell>
          <cell r="I52">
            <v>24</v>
          </cell>
          <cell r="J52">
            <v>113776000</v>
          </cell>
        </row>
        <row r="53">
          <cell r="D53" t="str">
            <v>DWI ANGGRAENI</v>
          </cell>
          <cell r="G53">
            <v>9</v>
          </cell>
          <cell r="I53">
            <v>23</v>
          </cell>
          <cell r="J53">
            <v>99977000</v>
          </cell>
        </row>
        <row r="54">
          <cell r="D54" t="str">
            <v>WIRA WIRAHMAN</v>
          </cell>
          <cell r="G54">
            <v>10</v>
          </cell>
          <cell r="I54">
            <v>31</v>
          </cell>
          <cell r="J54">
            <v>126969000</v>
          </cell>
        </row>
        <row r="55">
          <cell r="D55" t="str">
            <v>DIAN HARYANTO</v>
          </cell>
          <cell r="G55">
            <v>12</v>
          </cell>
          <cell r="I55">
            <v>22</v>
          </cell>
          <cell r="J55">
            <v>111478000</v>
          </cell>
        </row>
        <row r="56">
          <cell r="D56" t="str">
            <v>PUTRI NOVALINDA SUGANDA</v>
          </cell>
          <cell r="G56">
            <v>5</v>
          </cell>
          <cell r="I56">
            <v>12</v>
          </cell>
          <cell r="J56">
            <v>38488000</v>
          </cell>
        </row>
        <row r="57">
          <cell r="D57" t="str">
            <v>PUTERY FATIMAH AZZAHRA</v>
          </cell>
          <cell r="G57">
            <v>5</v>
          </cell>
          <cell r="I57">
            <v>12</v>
          </cell>
          <cell r="J57">
            <v>44888000</v>
          </cell>
        </row>
        <row r="58">
          <cell r="D58" t="str">
            <v>DEA SINDRA</v>
          </cell>
          <cell r="G58">
            <v>11</v>
          </cell>
          <cell r="I58">
            <v>30</v>
          </cell>
          <cell r="J58">
            <v>135670000</v>
          </cell>
        </row>
        <row r="59">
          <cell r="D59" t="str">
            <v>SHONA LUGISTIN</v>
          </cell>
          <cell r="G59">
            <v>9</v>
          </cell>
          <cell r="I59">
            <v>25</v>
          </cell>
          <cell r="J59">
            <v>94275000</v>
          </cell>
        </row>
        <row r="60">
          <cell r="D60" t="str">
            <v>SUHERMAN ARISMAWAN</v>
          </cell>
          <cell r="G60">
            <v>14</v>
          </cell>
          <cell r="I60">
            <v>28</v>
          </cell>
          <cell r="J60">
            <v>108272000</v>
          </cell>
        </row>
        <row r="61">
          <cell r="D61" t="str">
            <v>SUSAN SUSANTI</v>
          </cell>
          <cell r="G61">
            <v>9</v>
          </cell>
          <cell r="I61">
            <v>23</v>
          </cell>
          <cell r="J61">
            <v>71177000</v>
          </cell>
        </row>
        <row r="62">
          <cell r="D62" t="str">
            <v>RICKY KURNIAWAN</v>
          </cell>
          <cell r="G62">
            <v>2</v>
          </cell>
          <cell r="I62">
            <v>12</v>
          </cell>
          <cell r="J62">
            <v>34688000</v>
          </cell>
        </row>
        <row r="63">
          <cell r="D63" t="str">
            <v>Ardhila Riyana suci purwandari</v>
          </cell>
          <cell r="G63">
            <v>8</v>
          </cell>
          <cell r="I63">
            <v>16</v>
          </cell>
          <cell r="J63">
            <v>65584000</v>
          </cell>
        </row>
        <row r="64">
          <cell r="D64" t="str">
            <v>mohamad sofiyan</v>
          </cell>
          <cell r="G64">
            <v>18</v>
          </cell>
          <cell r="I64">
            <v>38</v>
          </cell>
          <cell r="J64">
            <v>148562000</v>
          </cell>
        </row>
        <row r="65">
          <cell r="D65" t="str">
            <v>LAILA SAMIA</v>
          </cell>
          <cell r="G65">
            <v>10</v>
          </cell>
          <cell r="I65">
            <v>25</v>
          </cell>
          <cell r="J65">
            <v>94775000</v>
          </cell>
        </row>
        <row r="66">
          <cell r="D66" t="str">
            <v>KAYLA NURAULIA YAZMAN</v>
          </cell>
          <cell r="G66">
            <v>10</v>
          </cell>
          <cell r="I66">
            <v>19</v>
          </cell>
          <cell r="J66">
            <v>78581000</v>
          </cell>
        </row>
        <row r="67">
          <cell r="D67" t="str">
            <v>LISSA AYU HANDHINI</v>
          </cell>
          <cell r="G67">
            <v>13</v>
          </cell>
          <cell r="I67">
            <v>25</v>
          </cell>
          <cell r="J67">
            <v>122275000</v>
          </cell>
        </row>
        <row r="68">
          <cell r="D68" t="str">
            <v>AKHMAD ARIFUDIN</v>
          </cell>
          <cell r="G68">
            <v>12</v>
          </cell>
          <cell r="I68">
            <v>20</v>
          </cell>
          <cell r="J68">
            <v>94380000</v>
          </cell>
        </row>
        <row r="69">
          <cell r="D69" t="str">
            <v>DEZNA DANI PRADIPTA</v>
          </cell>
          <cell r="G69">
            <v>7</v>
          </cell>
          <cell r="I69">
            <v>9</v>
          </cell>
          <cell r="J69">
            <v>62491000</v>
          </cell>
        </row>
        <row r="70">
          <cell r="D70" t="str">
            <v>DHEA AMALIA</v>
          </cell>
          <cell r="G70">
            <v>1</v>
          </cell>
          <cell r="I70">
            <v>2</v>
          </cell>
          <cell r="J70">
            <v>28798000</v>
          </cell>
        </row>
        <row r="71">
          <cell r="D71" t="str">
            <v>WAHYU TRI UTOMO</v>
          </cell>
          <cell r="G71">
            <v>3</v>
          </cell>
          <cell r="I71">
            <v>8</v>
          </cell>
          <cell r="J71">
            <v>40892000</v>
          </cell>
        </row>
        <row r="72">
          <cell r="D72" t="str">
            <v>JESSICA MALVA NYSA</v>
          </cell>
          <cell r="G72">
            <v>1</v>
          </cell>
          <cell r="I72">
            <v>1</v>
          </cell>
          <cell r="J72">
            <v>6899000</v>
          </cell>
        </row>
        <row r="73">
          <cell r="D73" t="str">
            <v>DIMAS RASYID ASHARI</v>
          </cell>
          <cell r="G73">
            <v>11</v>
          </cell>
          <cell r="I73">
            <v>13</v>
          </cell>
          <cell r="J73">
            <v>92087000</v>
          </cell>
        </row>
        <row r="74">
          <cell r="D74" t="str">
            <v>CINTIA DAMAYANTI</v>
          </cell>
          <cell r="G74">
            <v>14</v>
          </cell>
          <cell r="I74">
            <v>22</v>
          </cell>
          <cell r="J74">
            <v>112478000</v>
          </cell>
        </row>
        <row r="75">
          <cell r="D75" t="str">
            <v>INTAN DIAH PRIMATARI</v>
          </cell>
          <cell r="I75">
            <v>1</v>
          </cell>
          <cell r="J75">
            <v>2099000</v>
          </cell>
        </row>
        <row r="76">
          <cell r="D76" t="str">
            <v>winda amalia</v>
          </cell>
          <cell r="G76">
            <v>9</v>
          </cell>
          <cell r="I76">
            <v>14</v>
          </cell>
          <cell r="J76">
            <v>69986000</v>
          </cell>
        </row>
        <row r="77">
          <cell r="D77" t="str">
            <v>DEVI APRIANTI</v>
          </cell>
          <cell r="G77">
            <v>7</v>
          </cell>
          <cell r="I77">
            <v>17</v>
          </cell>
          <cell r="J77">
            <v>67083000</v>
          </cell>
        </row>
        <row r="78">
          <cell r="D78" t="str">
            <v>MILA AMALIA</v>
          </cell>
          <cell r="G78">
            <v>1</v>
          </cell>
          <cell r="I78">
            <v>1</v>
          </cell>
          <cell r="J78">
            <v>8399000</v>
          </cell>
        </row>
        <row r="79">
          <cell r="D79" t="str">
            <v>KARLES KADAPI</v>
          </cell>
          <cell r="G79">
            <v>6</v>
          </cell>
          <cell r="I79">
            <v>13</v>
          </cell>
          <cell r="J79">
            <v>73387000</v>
          </cell>
        </row>
        <row r="80">
          <cell r="D80" t="str">
            <v>KHOLIPAH</v>
          </cell>
          <cell r="G80">
            <v>6</v>
          </cell>
          <cell r="I80">
            <v>10</v>
          </cell>
          <cell r="J80">
            <v>56590000</v>
          </cell>
        </row>
        <row r="81">
          <cell r="D81" t="str">
            <v>WIRA ADITYA SETIADI</v>
          </cell>
          <cell r="G81">
            <v>13</v>
          </cell>
          <cell r="I81">
            <v>28</v>
          </cell>
          <cell r="J81">
            <v>138672000</v>
          </cell>
        </row>
        <row r="82">
          <cell r="D82" t="str">
            <v>KARINA MAYA ROSILAWATI</v>
          </cell>
          <cell r="I82">
            <v>3</v>
          </cell>
          <cell r="J82">
            <v>7797000</v>
          </cell>
        </row>
        <row r="83">
          <cell r="D83" t="str">
            <v>MUHAMAD RIZKI SAPUTRA</v>
          </cell>
          <cell r="G83">
            <v>9</v>
          </cell>
          <cell r="I83">
            <v>18</v>
          </cell>
          <cell r="J83">
            <v>76682000</v>
          </cell>
        </row>
        <row r="84">
          <cell r="D84" t="str">
            <v>ASTRI ALFIANI</v>
          </cell>
          <cell r="G84">
            <v>13</v>
          </cell>
          <cell r="I84">
            <v>26</v>
          </cell>
          <cell r="J84">
            <v>102474000</v>
          </cell>
        </row>
        <row r="85">
          <cell r="D85" t="str">
            <v>INA HIDAYAH</v>
          </cell>
          <cell r="G85">
            <v>20</v>
          </cell>
          <cell r="I85">
            <v>30</v>
          </cell>
          <cell r="J85">
            <v>170770000</v>
          </cell>
        </row>
        <row r="86">
          <cell r="D86" t="str">
            <v>ARIF IRAWAN</v>
          </cell>
          <cell r="G86">
            <v>13</v>
          </cell>
          <cell r="I86">
            <v>24</v>
          </cell>
          <cell r="J86">
            <v>164476000</v>
          </cell>
        </row>
        <row r="87">
          <cell r="D87" t="str">
            <v>SERNIKA LAIA</v>
          </cell>
          <cell r="G87">
            <v>9</v>
          </cell>
          <cell r="I87">
            <v>15</v>
          </cell>
          <cell r="J87">
            <v>119585000</v>
          </cell>
        </row>
        <row r="88">
          <cell r="D88" t="str">
            <v>RINI APRIANI</v>
          </cell>
          <cell r="G88">
            <v>5</v>
          </cell>
          <cell r="I88">
            <v>22</v>
          </cell>
          <cell r="J88">
            <v>65378000</v>
          </cell>
        </row>
        <row r="89">
          <cell r="D89" t="str">
            <v>MUHYIDDIN</v>
          </cell>
          <cell r="G89">
            <v>14</v>
          </cell>
          <cell r="I89">
            <v>35</v>
          </cell>
          <cell r="J89">
            <v>117865000</v>
          </cell>
        </row>
        <row r="90">
          <cell r="D90" t="str">
            <v>MOHAMAD YUSUF</v>
          </cell>
          <cell r="G90">
            <v>8</v>
          </cell>
          <cell r="I90">
            <v>18</v>
          </cell>
          <cell r="J90">
            <v>66782000</v>
          </cell>
        </row>
        <row r="91">
          <cell r="D91" t="str">
            <v>NURFITRIYANA</v>
          </cell>
          <cell r="G91">
            <v>11</v>
          </cell>
          <cell r="I91">
            <v>19</v>
          </cell>
          <cell r="J91">
            <v>79281000</v>
          </cell>
        </row>
        <row r="92">
          <cell r="D92" t="str">
            <v>ALIA NASYABILA</v>
          </cell>
          <cell r="G92">
            <v>7</v>
          </cell>
          <cell r="I92">
            <v>19</v>
          </cell>
          <cell r="J92">
            <v>59781000</v>
          </cell>
        </row>
        <row r="93">
          <cell r="D93" t="str">
            <v xml:space="preserve">SENDI ALFAZRI </v>
          </cell>
          <cell r="G93">
            <v>6</v>
          </cell>
          <cell r="I93">
            <v>12</v>
          </cell>
          <cell r="J93">
            <v>96688000</v>
          </cell>
        </row>
        <row r="94">
          <cell r="D94" t="str">
            <v>ZAINUL MUSTOFA</v>
          </cell>
          <cell r="G94">
            <v>11</v>
          </cell>
          <cell r="I94">
            <v>17</v>
          </cell>
          <cell r="J94">
            <v>82083000</v>
          </cell>
        </row>
        <row r="95">
          <cell r="D95" t="str">
            <v>FIRDA NAZMA NURFADILAH</v>
          </cell>
          <cell r="G95">
            <v>7</v>
          </cell>
          <cell r="I95">
            <v>12</v>
          </cell>
          <cell r="J95">
            <v>77688000</v>
          </cell>
        </row>
        <row r="96">
          <cell r="D96" t="str">
            <v>MAT AMIN</v>
          </cell>
          <cell r="G96">
            <v>10</v>
          </cell>
          <cell r="I96">
            <v>32</v>
          </cell>
          <cell r="J96">
            <v>104268000</v>
          </cell>
        </row>
        <row r="97">
          <cell r="D97" t="str">
            <v>APUD MAHPUDIN</v>
          </cell>
          <cell r="G97">
            <v>6</v>
          </cell>
          <cell r="I97">
            <v>29</v>
          </cell>
          <cell r="J97">
            <v>84571000</v>
          </cell>
        </row>
        <row r="98">
          <cell r="D98" t="str">
            <v>Dean dika putra mona</v>
          </cell>
          <cell r="G98">
            <v>3</v>
          </cell>
          <cell r="I98">
            <v>32</v>
          </cell>
          <cell r="J98">
            <v>78668000</v>
          </cell>
        </row>
        <row r="99">
          <cell r="D99" t="str">
            <v>MUHAMMAD RIZKI HIDAYAT</v>
          </cell>
          <cell r="G99">
            <v>9</v>
          </cell>
          <cell r="I99">
            <v>32</v>
          </cell>
          <cell r="J99">
            <v>105368000</v>
          </cell>
        </row>
        <row r="100">
          <cell r="D100" t="str">
            <v>ANDES SAPUTRA</v>
          </cell>
          <cell r="G100">
            <v>10</v>
          </cell>
          <cell r="I100">
            <v>51</v>
          </cell>
          <cell r="J100">
            <v>140749000</v>
          </cell>
        </row>
        <row r="101">
          <cell r="D101" t="str">
            <v>FRISKI FERNANDO</v>
          </cell>
          <cell r="G101">
            <v>12</v>
          </cell>
          <cell r="I101">
            <v>39</v>
          </cell>
          <cell r="J101">
            <v>117061000</v>
          </cell>
        </row>
        <row r="102">
          <cell r="D102" t="str">
            <v>IVAN PAHLEVI SARAGIH</v>
          </cell>
          <cell r="G102">
            <v>16</v>
          </cell>
          <cell r="I102">
            <v>51</v>
          </cell>
          <cell r="J102">
            <v>162849000</v>
          </cell>
        </row>
        <row r="103">
          <cell r="D103" t="str">
            <v>SELLY DARWIS</v>
          </cell>
          <cell r="G103">
            <v>4</v>
          </cell>
          <cell r="I103">
            <v>27</v>
          </cell>
          <cell r="J103">
            <v>64673000</v>
          </cell>
        </row>
        <row r="104">
          <cell r="D104" t="str">
            <v>M HUSNI HASIM</v>
          </cell>
          <cell r="G104">
            <v>6</v>
          </cell>
          <cell r="I104">
            <v>38</v>
          </cell>
          <cell r="J104">
            <v>96862000</v>
          </cell>
        </row>
        <row r="105">
          <cell r="D105" t="str">
            <v>ROSITA</v>
          </cell>
          <cell r="G105">
            <v>9</v>
          </cell>
          <cell r="I105">
            <v>41</v>
          </cell>
          <cell r="J105">
            <v>112959000</v>
          </cell>
        </row>
        <row r="106">
          <cell r="D106" t="str">
            <v>ZIONIS ILHAMI DAKHI</v>
          </cell>
          <cell r="G106">
            <v>2</v>
          </cell>
          <cell r="I106">
            <v>30</v>
          </cell>
          <cell r="J106">
            <v>72070000</v>
          </cell>
        </row>
        <row r="107">
          <cell r="D107" t="str">
            <v>NUR IMAM ATTARMIDZI</v>
          </cell>
          <cell r="G107">
            <v>9</v>
          </cell>
          <cell r="I107">
            <v>44</v>
          </cell>
          <cell r="J107">
            <v>115356000</v>
          </cell>
        </row>
        <row r="108">
          <cell r="D108" t="str">
            <v>CEPTIANA JUNIAR</v>
          </cell>
          <cell r="G108">
            <v>5</v>
          </cell>
          <cell r="I108">
            <v>41</v>
          </cell>
          <cell r="J108">
            <v>107959000</v>
          </cell>
        </row>
        <row r="109">
          <cell r="D109" t="str">
            <v>BELLA MAYA SAFIRA</v>
          </cell>
          <cell r="G109">
            <v>9</v>
          </cell>
          <cell r="I109">
            <v>39</v>
          </cell>
          <cell r="J109">
            <v>119861000</v>
          </cell>
        </row>
        <row r="110">
          <cell r="D110" t="str">
            <v>VICKY ARIANSYAH</v>
          </cell>
          <cell r="G110">
            <v>7</v>
          </cell>
          <cell r="I110">
            <v>31</v>
          </cell>
          <cell r="J110">
            <v>92569000</v>
          </cell>
        </row>
        <row r="111">
          <cell r="D111" t="str">
            <v>RIKY</v>
          </cell>
          <cell r="G111">
            <v>13</v>
          </cell>
          <cell r="I111">
            <v>36</v>
          </cell>
          <cell r="J111">
            <v>122364000</v>
          </cell>
        </row>
        <row r="112">
          <cell r="D112" t="str">
            <v>HERMAN SUPRIYATIN</v>
          </cell>
          <cell r="G112">
            <v>14</v>
          </cell>
          <cell r="I112">
            <v>44</v>
          </cell>
          <cell r="J112">
            <v>137056000</v>
          </cell>
        </row>
        <row r="113">
          <cell r="D113" t="str">
            <v>HESTI AMELIA</v>
          </cell>
          <cell r="G113">
            <v>5</v>
          </cell>
          <cell r="I113">
            <v>38</v>
          </cell>
          <cell r="J113">
            <v>100262000</v>
          </cell>
        </row>
        <row r="114">
          <cell r="D114" t="str">
            <v>DIAWAN SAPUTRA</v>
          </cell>
          <cell r="G114">
            <v>5</v>
          </cell>
          <cell r="I114">
            <v>33</v>
          </cell>
          <cell r="J114">
            <v>92267000</v>
          </cell>
        </row>
        <row r="115">
          <cell r="D115" t="str">
            <v>ABDUL FALAH</v>
          </cell>
          <cell r="G115">
            <v>24</v>
          </cell>
          <cell r="I115">
            <v>42</v>
          </cell>
          <cell r="J115">
            <v>182658000</v>
          </cell>
        </row>
        <row r="116">
          <cell r="D116" t="str">
            <v xml:space="preserve"> RONI</v>
          </cell>
          <cell r="G116">
            <v>15</v>
          </cell>
          <cell r="I116">
            <v>35</v>
          </cell>
          <cell r="J116">
            <v>116365000</v>
          </cell>
        </row>
        <row r="117">
          <cell r="D117" t="str">
            <v>HAVIS SINUS FAUZAN</v>
          </cell>
          <cell r="G117">
            <v>9</v>
          </cell>
          <cell r="I117">
            <v>35</v>
          </cell>
          <cell r="J117">
            <v>111565000</v>
          </cell>
        </row>
        <row r="118">
          <cell r="D118" t="str">
            <v>TIYAS WINARNI</v>
          </cell>
          <cell r="G118">
            <v>14</v>
          </cell>
          <cell r="I118">
            <v>31</v>
          </cell>
          <cell r="J118">
            <v>114369000</v>
          </cell>
        </row>
        <row r="119">
          <cell r="D119" t="str">
            <v>BINY PRAYOGO</v>
          </cell>
          <cell r="G119">
            <v>16</v>
          </cell>
          <cell r="I119">
            <v>31</v>
          </cell>
          <cell r="J119">
            <v>133269000</v>
          </cell>
        </row>
        <row r="120">
          <cell r="D120" t="str">
            <v>PUTRI SUPRIHATIN</v>
          </cell>
          <cell r="G120">
            <v>10</v>
          </cell>
          <cell r="I120">
            <v>32</v>
          </cell>
          <cell r="J120">
            <v>96968000</v>
          </cell>
        </row>
        <row r="121">
          <cell r="D121" t="str">
            <v xml:space="preserve"> Hervanny trisiana</v>
          </cell>
          <cell r="G121">
            <v>9</v>
          </cell>
          <cell r="I121">
            <v>24</v>
          </cell>
          <cell r="J121">
            <v>132976000</v>
          </cell>
        </row>
        <row r="122">
          <cell r="D122" t="str">
            <v xml:space="preserve"> fitri adelia</v>
          </cell>
          <cell r="G122">
            <v>7</v>
          </cell>
          <cell r="I122">
            <v>14</v>
          </cell>
          <cell r="J122">
            <v>55286000</v>
          </cell>
        </row>
        <row r="123">
          <cell r="D123" t="str">
            <v xml:space="preserve"> SITI ROHMAH</v>
          </cell>
          <cell r="G123">
            <v>10</v>
          </cell>
          <cell r="I123">
            <v>15</v>
          </cell>
          <cell r="J123">
            <v>83385000</v>
          </cell>
        </row>
        <row r="124">
          <cell r="D124" t="str">
            <v>RIZAL SACHRANIE</v>
          </cell>
          <cell r="G124">
            <v>15</v>
          </cell>
          <cell r="I124">
            <v>21</v>
          </cell>
          <cell r="J124">
            <v>121179000</v>
          </cell>
        </row>
        <row r="125">
          <cell r="D125" t="str">
            <v>SERA ASMARANI</v>
          </cell>
          <cell r="I125">
            <v>1</v>
          </cell>
          <cell r="J125">
            <v>1799000</v>
          </cell>
        </row>
        <row r="126">
          <cell r="D126" t="str">
            <v>AMANDA AULIA SHOLIKHAH</v>
          </cell>
          <cell r="G126">
            <v>2</v>
          </cell>
          <cell r="I126">
            <v>3</v>
          </cell>
          <cell r="J126">
            <v>13197000</v>
          </cell>
        </row>
        <row r="127">
          <cell r="D127" t="str">
            <v>JIHAN PAHERA ALPIA</v>
          </cell>
          <cell r="G127">
            <v>3</v>
          </cell>
          <cell r="I127">
            <v>3</v>
          </cell>
          <cell r="J127">
            <v>14597000</v>
          </cell>
        </row>
        <row r="128">
          <cell r="G128">
            <v>946</v>
          </cell>
          <cell r="I128">
            <v>2477</v>
          </cell>
          <cell r="J128">
            <v>9512723000</v>
          </cell>
        </row>
      </sheetData>
      <sheetData sheetId="16">
        <row r="5">
          <cell r="E5" t="str">
            <v>Segment Price</v>
          </cell>
          <cell r="F5" t="str">
            <v>Values</v>
          </cell>
        </row>
        <row r="6">
          <cell r="E6" t="str">
            <v>3mio&lt;</v>
          </cell>
          <cell r="G6" t="str">
            <v>3mio&gt;</v>
          </cell>
          <cell r="I6" t="str">
            <v>Total Sum of Qty</v>
          </cell>
        </row>
        <row r="7">
          <cell r="D7" t="str">
            <v>Promotor</v>
          </cell>
          <cell r="E7" t="str">
            <v>Sum of Qty</v>
          </cell>
          <cell r="F7" t="str">
            <v>Sum of SRP</v>
          </cell>
          <cell r="G7" t="str">
            <v>Sum of Qty</v>
          </cell>
          <cell r="H7" t="str">
            <v>Sum of SRP</v>
          </cell>
        </row>
        <row r="8">
          <cell r="D8" t="str">
            <v>DEWI ASTRIAWANTI</v>
          </cell>
          <cell r="E8">
            <v>10</v>
          </cell>
          <cell r="F8">
            <v>23990000</v>
          </cell>
          <cell r="G8">
            <v>18</v>
          </cell>
          <cell r="H8">
            <v>191582000</v>
          </cell>
          <cell r="I8">
            <v>28</v>
          </cell>
        </row>
        <row r="9">
          <cell r="D9" t="str">
            <v>SITI NURDIANTY SHOLIHAH</v>
          </cell>
          <cell r="E9">
            <v>5</v>
          </cell>
          <cell r="F9">
            <v>11795000</v>
          </cell>
          <cell r="G9">
            <v>6</v>
          </cell>
          <cell r="H9">
            <v>43394000</v>
          </cell>
          <cell r="I9">
            <v>11</v>
          </cell>
        </row>
        <row r="10">
          <cell r="D10" t="str">
            <v>RIZKI SUCIANTO</v>
          </cell>
          <cell r="G10">
            <v>1</v>
          </cell>
          <cell r="H10">
            <v>14999000</v>
          </cell>
          <cell r="I10">
            <v>1</v>
          </cell>
        </row>
        <row r="11">
          <cell r="D11" t="str">
            <v>NANI SUPRIYANTI</v>
          </cell>
          <cell r="E11">
            <v>8</v>
          </cell>
          <cell r="F11">
            <v>18492000</v>
          </cell>
          <cell r="G11">
            <v>4</v>
          </cell>
          <cell r="H11">
            <v>29196000</v>
          </cell>
          <cell r="I11">
            <v>12</v>
          </cell>
        </row>
        <row r="12">
          <cell r="D12" t="str">
            <v xml:space="preserve"> Fatimah</v>
          </cell>
          <cell r="E12">
            <v>3</v>
          </cell>
          <cell r="F12">
            <v>7497000</v>
          </cell>
          <cell r="G12">
            <v>6</v>
          </cell>
          <cell r="H12">
            <v>35694000</v>
          </cell>
          <cell r="I12">
            <v>9</v>
          </cell>
        </row>
        <row r="13">
          <cell r="D13" t="str">
            <v>NABILA SALSABILA</v>
          </cell>
          <cell r="E13">
            <v>19</v>
          </cell>
          <cell r="F13">
            <v>47081000</v>
          </cell>
          <cell r="G13">
            <v>16</v>
          </cell>
          <cell r="H13">
            <v>105084000</v>
          </cell>
          <cell r="I13">
            <v>35</v>
          </cell>
        </row>
        <row r="14">
          <cell r="D14" t="str">
            <v>ELFINTA VIANTI</v>
          </cell>
          <cell r="E14">
            <v>20</v>
          </cell>
          <cell r="F14">
            <v>49280000</v>
          </cell>
          <cell r="G14">
            <v>15</v>
          </cell>
          <cell r="H14">
            <v>86085000</v>
          </cell>
          <cell r="I14">
            <v>35</v>
          </cell>
        </row>
        <row r="15">
          <cell r="D15" t="str">
            <v>MUHAMAD YUSUF</v>
          </cell>
          <cell r="E15">
            <v>17</v>
          </cell>
          <cell r="F15">
            <v>40083000</v>
          </cell>
          <cell r="G15">
            <v>18</v>
          </cell>
          <cell r="H15">
            <v>104982000</v>
          </cell>
          <cell r="I15">
            <v>35</v>
          </cell>
        </row>
        <row r="16">
          <cell r="D16" t="str">
            <v>YOGA ADITIA</v>
          </cell>
          <cell r="E16">
            <v>17</v>
          </cell>
          <cell r="F16">
            <v>41983000</v>
          </cell>
          <cell r="G16">
            <v>18</v>
          </cell>
          <cell r="H16">
            <v>111782000</v>
          </cell>
          <cell r="I16">
            <v>35</v>
          </cell>
        </row>
        <row r="17">
          <cell r="D17" t="str">
            <v>MUHAMAD HILMAN</v>
          </cell>
          <cell r="E17">
            <v>16</v>
          </cell>
          <cell r="F17">
            <v>38784000</v>
          </cell>
          <cell r="G17">
            <v>19</v>
          </cell>
          <cell r="H17">
            <v>130381000</v>
          </cell>
          <cell r="I17">
            <v>35</v>
          </cell>
        </row>
        <row r="18">
          <cell r="D18" t="str">
            <v>SRI AFRIYANTI</v>
          </cell>
          <cell r="E18">
            <v>18</v>
          </cell>
          <cell r="F18">
            <v>42382000</v>
          </cell>
          <cell r="G18">
            <v>17</v>
          </cell>
          <cell r="H18">
            <v>110583000</v>
          </cell>
          <cell r="I18">
            <v>35</v>
          </cell>
        </row>
        <row r="19">
          <cell r="D19" t="str">
            <v>RIFKI PRAYOGAA</v>
          </cell>
          <cell r="E19">
            <v>22</v>
          </cell>
          <cell r="F19">
            <v>51378000</v>
          </cell>
          <cell r="G19">
            <v>13</v>
          </cell>
          <cell r="H19">
            <v>71087000</v>
          </cell>
          <cell r="I19">
            <v>35</v>
          </cell>
        </row>
        <row r="20">
          <cell r="D20" t="str">
            <v>MUHAMMAD MUDZAKIR</v>
          </cell>
          <cell r="E20">
            <v>19</v>
          </cell>
          <cell r="F20">
            <v>45481000</v>
          </cell>
          <cell r="G20">
            <v>17</v>
          </cell>
          <cell r="H20">
            <v>109283000</v>
          </cell>
          <cell r="I20">
            <v>36</v>
          </cell>
        </row>
        <row r="21">
          <cell r="D21" t="str">
            <v>MILA TUJUHRO</v>
          </cell>
          <cell r="E21">
            <v>11</v>
          </cell>
          <cell r="F21">
            <v>27289000</v>
          </cell>
          <cell r="G21">
            <v>12</v>
          </cell>
          <cell r="H21">
            <v>98188000</v>
          </cell>
          <cell r="I21">
            <v>23</v>
          </cell>
        </row>
        <row r="22">
          <cell r="D22" t="str">
            <v>SITI MELIANI</v>
          </cell>
          <cell r="E22">
            <v>24</v>
          </cell>
          <cell r="F22">
            <v>57676000</v>
          </cell>
          <cell r="G22">
            <v>11</v>
          </cell>
          <cell r="H22">
            <v>78589000</v>
          </cell>
          <cell r="I22">
            <v>35</v>
          </cell>
        </row>
        <row r="23">
          <cell r="D23" t="str">
            <v>NILAM SARI</v>
          </cell>
          <cell r="E23">
            <v>9</v>
          </cell>
          <cell r="F23">
            <v>20991000</v>
          </cell>
          <cell r="G23">
            <v>14</v>
          </cell>
          <cell r="H23">
            <v>112386000</v>
          </cell>
          <cell r="I23">
            <v>23</v>
          </cell>
        </row>
        <row r="24">
          <cell r="D24" t="str">
            <v>HERIANTO NDRURU</v>
          </cell>
          <cell r="E24">
            <v>19</v>
          </cell>
          <cell r="F24">
            <v>48881000</v>
          </cell>
          <cell r="G24">
            <v>17</v>
          </cell>
          <cell r="H24">
            <v>95583000</v>
          </cell>
          <cell r="I24">
            <v>36</v>
          </cell>
        </row>
        <row r="25">
          <cell r="D25" t="str">
            <v>DWI IRAWAN ALDILA JULIANSYAH</v>
          </cell>
          <cell r="E25">
            <v>5</v>
          </cell>
          <cell r="F25">
            <v>12195000</v>
          </cell>
          <cell r="G25">
            <v>8</v>
          </cell>
          <cell r="H25">
            <v>64592000</v>
          </cell>
          <cell r="I25">
            <v>13</v>
          </cell>
        </row>
        <row r="26">
          <cell r="D26" t="str">
            <v>SILVIA AYU LESTARI</v>
          </cell>
          <cell r="E26">
            <v>5</v>
          </cell>
          <cell r="F26">
            <v>12895000</v>
          </cell>
          <cell r="G26">
            <v>12</v>
          </cell>
          <cell r="H26">
            <v>89088000</v>
          </cell>
          <cell r="I26">
            <v>17</v>
          </cell>
        </row>
        <row r="27">
          <cell r="D27" t="str">
            <v>PINKAN LESTARI</v>
          </cell>
          <cell r="E27">
            <v>9</v>
          </cell>
          <cell r="F27">
            <v>21791000</v>
          </cell>
          <cell r="G27">
            <v>9</v>
          </cell>
          <cell r="H27">
            <v>58491000</v>
          </cell>
          <cell r="I27">
            <v>18</v>
          </cell>
        </row>
        <row r="28">
          <cell r="D28" t="str">
            <v>DION FATULLAH</v>
          </cell>
          <cell r="E28">
            <v>19</v>
          </cell>
          <cell r="F28">
            <v>43481000</v>
          </cell>
          <cell r="G28">
            <v>16</v>
          </cell>
          <cell r="H28">
            <v>119384000</v>
          </cell>
          <cell r="I28">
            <v>35</v>
          </cell>
        </row>
        <row r="29">
          <cell r="D29" t="str">
            <v>ANISA AGUSTIN</v>
          </cell>
          <cell r="E29">
            <v>22</v>
          </cell>
          <cell r="F29">
            <v>49778000</v>
          </cell>
          <cell r="G29">
            <v>14</v>
          </cell>
          <cell r="H29">
            <v>84586000</v>
          </cell>
          <cell r="I29">
            <v>36</v>
          </cell>
        </row>
        <row r="30">
          <cell r="D30" t="str">
            <v>RIZKY ALFIANSYAH</v>
          </cell>
          <cell r="E30">
            <v>14</v>
          </cell>
          <cell r="F30">
            <v>33186000</v>
          </cell>
          <cell r="G30">
            <v>20</v>
          </cell>
          <cell r="H30">
            <v>131380000</v>
          </cell>
          <cell r="I30">
            <v>34</v>
          </cell>
        </row>
        <row r="31">
          <cell r="D31" t="str">
            <v>DANFY INDRAWAN</v>
          </cell>
          <cell r="E31">
            <v>2</v>
          </cell>
          <cell r="F31">
            <v>5198000</v>
          </cell>
          <cell r="G31">
            <v>2</v>
          </cell>
          <cell r="H31">
            <v>10498000</v>
          </cell>
          <cell r="I31">
            <v>4</v>
          </cell>
        </row>
        <row r="32">
          <cell r="D32" t="str">
            <v>Gilang Ramadhan</v>
          </cell>
          <cell r="E32">
            <v>6</v>
          </cell>
          <cell r="F32">
            <v>14194000</v>
          </cell>
          <cell r="G32">
            <v>13</v>
          </cell>
          <cell r="H32">
            <v>96787000</v>
          </cell>
          <cell r="I32">
            <v>19</v>
          </cell>
        </row>
        <row r="33">
          <cell r="D33" t="str">
            <v>CAHAYA SALSABILA MARSELI</v>
          </cell>
          <cell r="G33">
            <v>1</v>
          </cell>
          <cell r="H33">
            <v>4899000</v>
          </cell>
          <cell r="I33">
            <v>1</v>
          </cell>
        </row>
        <row r="34">
          <cell r="D34" t="str">
            <v>DHEA RUSPITA RIZKY</v>
          </cell>
          <cell r="E34">
            <v>3</v>
          </cell>
          <cell r="F34">
            <v>7997000</v>
          </cell>
          <cell r="G34">
            <v>4</v>
          </cell>
          <cell r="H34">
            <v>51396000</v>
          </cell>
          <cell r="I34">
            <v>7</v>
          </cell>
        </row>
        <row r="35">
          <cell r="D35" t="str">
            <v>Mahmudin</v>
          </cell>
          <cell r="E35">
            <v>4</v>
          </cell>
          <cell r="F35">
            <v>9396000</v>
          </cell>
          <cell r="G35">
            <v>9</v>
          </cell>
          <cell r="H35">
            <v>79091000</v>
          </cell>
          <cell r="I35">
            <v>13</v>
          </cell>
        </row>
        <row r="36">
          <cell r="D36" t="str">
            <v>ZAKIYATUL MUNAWAROH</v>
          </cell>
          <cell r="E36">
            <v>7</v>
          </cell>
          <cell r="F36">
            <v>17993000</v>
          </cell>
          <cell r="G36">
            <v>15</v>
          </cell>
          <cell r="H36">
            <v>93485000</v>
          </cell>
          <cell r="I36">
            <v>22</v>
          </cell>
        </row>
        <row r="37">
          <cell r="D37" t="str">
            <v>TIO SAPUTRA</v>
          </cell>
          <cell r="E37">
            <v>1</v>
          </cell>
          <cell r="F37">
            <v>2399000</v>
          </cell>
          <cell r="G37">
            <v>7</v>
          </cell>
          <cell r="H37">
            <v>64793000</v>
          </cell>
          <cell r="I37">
            <v>8</v>
          </cell>
        </row>
        <row r="38">
          <cell r="D38" t="str">
            <v>ELVIANUS ZEGA</v>
          </cell>
          <cell r="E38">
            <v>15</v>
          </cell>
          <cell r="F38">
            <v>35085000</v>
          </cell>
          <cell r="G38">
            <v>15</v>
          </cell>
          <cell r="H38">
            <v>100585000</v>
          </cell>
          <cell r="I38">
            <v>30</v>
          </cell>
        </row>
        <row r="39">
          <cell r="D39" t="str">
            <v>SANTI ANGGRAENI</v>
          </cell>
          <cell r="E39">
            <v>11</v>
          </cell>
          <cell r="F39">
            <v>25489000</v>
          </cell>
          <cell r="G39">
            <v>23</v>
          </cell>
          <cell r="H39">
            <v>199177000</v>
          </cell>
          <cell r="I39">
            <v>34</v>
          </cell>
        </row>
        <row r="40">
          <cell r="D40" t="str">
            <v>INTAN SEPIATUL HASANAH</v>
          </cell>
          <cell r="E40">
            <v>3</v>
          </cell>
          <cell r="F40">
            <v>7697000</v>
          </cell>
          <cell r="G40">
            <v>8</v>
          </cell>
          <cell r="H40">
            <v>42192000</v>
          </cell>
          <cell r="I40">
            <v>11</v>
          </cell>
        </row>
        <row r="41">
          <cell r="D41" t="str">
            <v>MIFTAHUL HUDA</v>
          </cell>
          <cell r="E41">
            <v>11</v>
          </cell>
          <cell r="F41">
            <v>25689000</v>
          </cell>
          <cell r="G41">
            <v>6</v>
          </cell>
          <cell r="H41">
            <v>41394000</v>
          </cell>
          <cell r="I41">
            <v>17</v>
          </cell>
        </row>
        <row r="42">
          <cell r="D42" t="str">
            <v>SYAIRUL ACHMAT HIDAYAT</v>
          </cell>
          <cell r="E42">
            <v>5</v>
          </cell>
          <cell r="F42">
            <v>12895000</v>
          </cell>
          <cell r="G42">
            <v>4</v>
          </cell>
          <cell r="H42">
            <v>27496000</v>
          </cell>
          <cell r="I42">
            <v>9</v>
          </cell>
        </row>
        <row r="43">
          <cell r="D43" t="str">
            <v>AGUS WARDONO PUTRO</v>
          </cell>
          <cell r="E43">
            <v>6</v>
          </cell>
          <cell r="F43">
            <v>14094000</v>
          </cell>
          <cell r="G43">
            <v>13</v>
          </cell>
          <cell r="H43">
            <v>89987000</v>
          </cell>
          <cell r="I43">
            <v>19</v>
          </cell>
        </row>
        <row r="44">
          <cell r="D44" t="str">
            <v>PUTRI ANGGRIANI</v>
          </cell>
          <cell r="E44">
            <v>10</v>
          </cell>
          <cell r="F44">
            <v>24590000</v>
          </cell>
          <cell r="G44">
            <v>25</v>
          </cell>
          <cell r="H44">
            <v>196875000</v>
          </cell>
          <cell r="I44">
            <v>35</v>
          </cell>
        </row>
        <row r="45">
          <cell r="D45" t="str">
            <v>ANTON RENDI SUKMANA</v>
          </cell>
          <cell r="E45">
            <v>7</v>
          </cell>
          <cell r="F45">
            <v>17893000</v>
          </cell>
          <cell r="G45">
            <v>7</v>
          </cell>
          <cell r="H45">
            <v>47793000</v>
          </cell>
          <cell r="I45">
            <v>14</v>
          </cell>
        </row>
        <row r="46">
          <cell r="D46" t="str">
            <v>MELLY SHABILLA</v>
          </cell>
          <cell r="E46">
            <v>18</v>
          </cell>
          <cell r="F46">
            <v>42782000</v>
          </cell>
          <cell r="G46">
            <v>17</v>
          </cell>
          <cell r="H46">
            <v>117083000</v>
          </cell>
          <cell r="I46">
            <v>35</v>
          </cell>
        </row>
        <row r="47">
          <cell r="D47" t="str">
            <v>TEGUH FIRMANSYAH</v>
          </cell>
          <cell r="E47">
            <v>17</v>
          </cell>
          <cell r="F47">
            <v>40283000</v>
          </cell>
          <cell r="G47">
            <v>18</v>
          </cell>
          <cell r="H47">
            <v>168282000</v>
          </cell>
          <cell r="I47">
            <v>35</v>
          </cell>
        </row>
        <row r="48">
          <cell r="D48" t="str">
            <v>ASIPA RAHMAWATI</v>
          </cell>
          <cell r="E48">
            <v>23</v>
          </cell>
          <cell r="F48">
            <v>57577000</v>
          </cell>
          <cell r="G48">
            <v>12</v>
          </cell>
          <cell r="H48">
            <v>82688000</v>
          </cell>
          <cell r="I48">
            <v>35</v>
          </cell>
        </row>
        <row r="49">
          <cell r="D49" t="str">
            <v>AGUSTIAN</v>
          </cell>
          <cell r="E49">
            <v>18</v>
          </cell>
          <cell r="F49">
            <v>42782000</v>
          </cell>
          <cell r="G49">
            <v>19</v>
          </cell>
          <cell r="H49">
            <v>117181000</v>
          </cell>
          <cell r="I49">
            <v>37</v>
          </cell>
        </row>
        <row r="50">
          <cell r="D50" t="str">
            <v>ERI NURAJAB</v>
          </cell>
          <cell r="E50">
            <v>19</v>
          </cell>
          <cell r="F50">
            <v>45681000</v>
          </cell>
          <cell r="G50">
            <v>17</v>
          </cell>
          <cell r="H50">
            <v>106783000</v>
          </cell>
          <cell r="I50">
            <v>36</v>
          </cell>
        </row>
        <row r="51">
          <cell r="D51" t="str">
            <v>PUTRI NOVALINDA SUGANDA</v>
          </cell>
          <cell r="E51">
            <v>16</v>
          </cell>
          <cell r="F51">
            <v>38884000</v>
          </cell>
          <cell r="G51">
            <v>10</v>
          </cell>
          <cell r="H51">
            <v>58690000</v>
          </cell>
          <cell r="I51">
            <v>26</v>
          </cell>
        </row>
        <row r="52">
          <cell r="D52" t="str">
            <v>WIRA WIRAHMAN</v>
          </cell>
          <cell r="E52">
            <v>18</v>
          </cell>
          <cell r="F52">
            <v>41282000</v>
          </cell>
          <cell r="G52">
            <v>17</v>
          </cell>
          <cell r="H52">
            <v>93283000</v>
          </cell>
          <cell r="I52">
            <v>35</v>
          </cell>
        </row>
        <row r="53">
          <cell r="D53" t="str">
            <v>SUSAN SUSANTI</v>
          </cell>
          <cell r="E53">
            <v>12</v>
          </cell>
          <cell r="F53">
            <v>28388000</v>
          </cell>
          <cell r="G53">
            <v>7</v>
          </cell>
          <cell r="H53">
            <v>36993000</v>
          </cell>
          <cell r="I53">
            <v>19</v>
          </cell>
        </row>
        <row r="54">
          <cell r="D54" t="str">
            <v>DWI ANGGRAENI</v>
          </cell>
          <cell r="E54">
            <v>25</v>
          </cell>
          <cell r="F54">
            <v>59075000</v>
          </cell>
          <cell r="G54">
            <v>10</v>
          </cell>
          <cell r="H54">
            <v>65590000</v>
          </cell>
          <cell r="I54">
            <v>35</v>
          </cell>
        </row>
        <row r="55">
          <cell r="D55" t="str">
            <v>DIAN HARYANTO</v>
          </cell>
          <cell r="E55">
            <v>17</v>
          </cell>
          <cell r="F55">
            <v>41283000</v>
          </cell>
          <cell r="G55">
            <v>18</v>
          </cell>
          <cell r="H55">
            <v>141182000</v>
          </cell>
          <cell r="I55">
            <v>35</v>
          </cell>
        </row>
        <row r="56">
          <cell r="D56" t="str">
            <v>DEA SINDRA</v>
          </cell>
          <cell r="E56">
            <v>23</v>
          </cell>
          <cell r="F56">
            <v>55577000</v>
          </cell>
          <cell r="G56">
            <v>15</v>
          </cell>
          <cell r="H56">
            <v>90985000</v>
          </cell>
          <cell r="I56">
            <v>38</v>
          </cell>
        </row>
        <row r="57">
          <cell r="D57" t="str">
            <v>SHONA LUGISTIN</v>
          </cell>
          <cell r="E57">
            <v>22</v>
          </cell>
          <cell r="F57">
            <v>52278000</v>
          </cell>
          <cell r="G57">
            <v>16</v>
          </cell>
          <cell r="H57">
            <v>102684000</v>
          </cell>
          <cell r="I57">
            <v>38</v>
          </cell>
        </row>
        <row r="58">
          <cell r="D58" t="str">
            <v>SUHERMAN ARISMAWAN</v>
          </cell>
          <cell r="E58">
            <v>23</v>
          </cell>
          <cell r="F58">
            <v>54877000</v>
          </cell>
          <cell r="G58">
            <v>13</v>
          </cell>
          <cell r="H58">
            <v>77487000</v>
          </cell>
          <cell r="I58">
            <v>36</v>
          </cell>
        </row>
        <row r="59">
          <cell r="D59" t="str">
            <v>PUTERY FATIMAH AZZAHRA</v>
          </cell>
          <cell r="E59">
            <v>12</v>
          </cell>
          <cell r="F59">
            <v>29288000</v>
          </cell>
          <cell r="G59">
            <v>6</v>
          </cell>
          <cell r="H59">
            <v>26194000</v>
          </cell>
          <cell r="I59">
            <v>18</v>
          </cell>
        </row>
        <row r="60">
          <cell r="D60" t="str">
            <v>RICKY KURNIAWAN</v>
          </cell>
          <cell r="E60">
            <v>18</v>
          </cell>
          <cell r="F60">
            <v>43582000</v>
          </cell>
          <cell r="G60">
            <v>17</v>
          </cell>
          <cell r="H60">
            <v>207783000</v>
          </cell>
          <cell r="I60">
            <v>35</v>
          </cell>
        </row>
        <row r="61">
          <cell r="D61" t="str">
            <v>Ardhila Riyana suci purwandari</v>
          </cell>
          <cell r="E61">
            <v>14</v>
          </cell>
          <cell r="F61">
            <v>36686000</v>
          </cell>
          <cell r="G61">
            <v>17</v>
          </cell>
          <cell r="H61">
            <v>128983000</v>
          </cell>
          <cell r="I61">
            <v>31</v>
          </cell>
        </row>
        <row r="62">
          <cell r="D62" t="str">
            <v>mohamad sofiyan</v>
          </cell>
          <cell r="E62">
            <v>19</v>
          </cell>
          <cell r="F62">
            <v>46081000</v>
          </cell>
          <cell r="G62">
            <v>47</v>
          </cell>
          <cell r="H62">
            <v>293753000</v>
          </cell>
          <cell r="I62">
            <v>66</v>
          </cell>
        </row>
        <row r="63">
          <cell r="D63" t="str">
            <v>LAILA SAMIA</v>
          </cell>
          <cell r="E63">
            <v>18</v>
          </cell>
          <cell r="F63">
            <v>43782000</v>
          </cell>
          <cell r="G63">
            <v>25</v>
          </cell>
          <cell r="H63">
            <v>179575000</v>
          </cell>
          <cell r="I63">
            <v>43</v>
          </cell>
        </row>
        <row r="64">
          <cell r="D64" t="str">
            <v>DEVI RETNASARI</v>
          </cell>
          <cell r="E64">
            <v>4</v>
          </cell>
          <cell r="F64">
            <v>10396000</v>
          </cell>
          <cell r="G64">
            <v>9</v>
          </cell>
          <cell r="H64">
            <v>76691000</v>
          </cell>
          <cell r="I64">
            <v>13</v>
          </cell>
        </row>
        <row r="65">
          <cell r="D65" t="str">
            <v>KAYLA NURAULIA YAZMAN</v>
          </cell>
          <cell r="E65">
            <v>3</v>
          </cell>
          <cell r="F65">
            <v>7697000</v>
          </cell>
          <cell r="G65">
            <v>4</v>
          </cell>
          <cell r="H65">
            <v>20496000</v>
          </cell>
          <cell r="I65">
            <v>7</v>
          </cell>
        </row>
        <row r="66">
          <cell r="D66" t="str">
            <v>LISSA AYU HANDHINI</v>
          </cell>
          <cell r="E66">
            <v>4</v>
          </cell>
          <cell r="F66">
            <v>10096000</v>
          </cell>
          <cell r="G66">
            <v>10</v>
          </cell>
          <cell r="H66">
            <v>72190000</v>
          </cell>
          <cell r="I66">
            <v>14</v>
          </cell>
        </row>
        <row r="67">
          <cell r="D67" t="str">
            <v>NABILA NUR DIYAH PUTRI</v>
          </cell>
          <cell r="E67">
            <v>6</v>
          </cell>
          <cell r="F67">
            <v>14594000</v>
          </cell>
          <cell r="G67">
            <v>6</v>
          </cell>
          <cell r="H67">
            <v>39694000</v>
          </cell>
          <cell r="I67">
            <v>12</v>
          </cell>
        </row>
        <row r="68">
          <cell r="D68" t="str">
            <v>AKHMAD ARIFUDIN</v>
          </cell>
          <cell r="E68">
            <v>8</v>
          </cell>
          <cell r="F68">
            <v>19992000</v>
          </cell>
          <cell r="G68">
            <v>15</v>
          </cell>
          <cell r="H68">
            <v>114185000</v>
          </cell>
          <cell r="I68">
            <v>23</v>
          </cell>
        </row>
        <row r="69">
          <cell r="D69" t="str">
            <v>FRISKA FAJAR MUARIF</v>
          </cell>
          <cell r="E69">
            <v>1</v>
          </cell>
          <cell r="F69">
            <v>2999000</v>
          </cell>
          <cell r="I69">
            <v>1</v>
          </cell>
        </row>
        <row r="70">
          <cell r="D70" t="str">
            <v>DEZNA DANI PRADIPTA</v>
          </cell>
          <cell r="E70">
            <v>2</v>
          </cell>
          <cell r="F70">
            <v>4998000</v>
          </cell>
          <cell r="G70">
            <v>8</v>
          </cell>
          <cell r="H70">
            <v>78992000</v>
          </cell>
          <cell r="I70">
            <v>10</v>
          </cell>
        </row>
        <row r="71">
          <cell r="D71" t="str">
            <v>PANDU YOGIA ADIWIDIA</v>
          </cell>
          <cell r="E71">
            <v>3</v>
          </cell>
          <cell r="F71">
            <v>8397000</v>
          </cell>
          <cell r="G71">
            <v>7</v>
          </cell>
          <cell r="H71">
            <v>65693000</v>
          </cell>
          <cell r="I71">
            <v>10</v>
          </cell>
        </row>
        <row r="72">
          <cell r="D72" t="str">
            <v>DHEA AMALIA</v>
          </cell>
          <cell r="E72">
            <v>1</v>
          </cell>
          <cell r="F72">
            <v>2099000</v>
          </cell>
          <cell r="G72">
            <v>8</v>
          </cell>
          <cell r="H72">
            <v>86392000</v>
          </cell>
          <cell r="I72">
            <v>9</v>
          </cell>
        </row>
        <row r="73">
          <cell r="D73" t="str">
            <v>JESSICA MALVA NYSA</v>
          </cell>
          <cell r="E73">
            <v>1</v>
          </cell>
          <cell r="F73">
            <v>2799000</v>
          </cell>
          <cell r="G73">
            <v>18</v>
          </cell>
          <cell r="H73">
            <v>177682000</v>
          </cell>
          <cell r="I73">
            <v>19</v>
          </cell>
        </row>
        <row r="74">
          <cell r="D74" t="str">
            <v>DIMAS RASYID ASHARI</v>
          </cell>
          <cell r="E74">
            <v>7</v>
          </cell>
          <cell r="F74">
            <v>17793000</v>
          </cell>
          <cell r="G74">
            <v>14</v>
          </cell>
          <cell r="H74">
            <v>119886000</v>
          </cell>
          <cell r="I74">
            <v>21</v>
          </cell>
        </row>
        <row r="75">
          <cell r="D75" t="str">
            <v>CINTIA DAMAYANTI</v>
          </cell>
          <cell r="E75">
            <v>4</v>
          </cell>
          <cell r="F75">
            <v>9396000</v>
          </cell>
          <cell r="G75">
            <v>14</v>
          </cell>
          <cell r="H75">
            <v>111986000</v>
          </cell>
          <cell r="I75">
            <v>18</v>
          </cell>
        </row>
        <row r="76">
          <cell r="D76" t="str">
            <v>MILA AMALIA</v>
          </cell>
          <cell r="E76">
            <v>6</v>
          </cell>
          <cell r="F76">
            <v>14294000</v>
          </cell>
          <cell r="G76">
            <v>16</v>
          </cell>
          <cell r="H76">
            <v>82484000</v>
          </cell>
          <cell r="I76">
            <v>22</v>
          </cell>
        </row>
        <row r="77">
          <cell r="D77" t="str">
            <v>winda amalia</v>
          </cell>
          <cell r="E77">
            <v>11</v>
          </cell>
          <cell r="F77">
            <v>26189000</v>
          </cell>
          <cell r="G77">
            <v>19</v>
          </cell>
          <cell r="H77">
            <v>183581000</v>
          </cell>
          <cell r="I77">
            <v>30</v>
          </cell>
        </row>
        <row r="78">
          <cell r="D78" t="str">
            <v>DEVI APRIANTI</v>
          </cell>
          <cell r="E78">
            <v>6</v>
          </cell>
          <cell r="F78">
            <v>14894000</v>
          </cell>
          <cell r="G78">
            <v>7</v>
          </cell>
          <cell r="H78">
            <v>56193000</v>
          </cell>
          <cell r="I78">
            <v>13</v>
          </cell>
        </row>
        <row r="79">
          <cell r="D79" t="str">
            <v>KARLES KADAPI</v>
          </cell>
          <cell r="E79">
            <v>6</v>
          </cell>
          <cell r="F79">
            <v>15194000</v>
          </cell>
          <cell r="G79">
            <v>18</v>
          </cell>
          <cell r="H79">
            <v>151282000</v>
          </cell>
          <cell r="I79">
            <v>24</v>
          </cell>
        </row>
        <row r="80">
          <cell r="D80" t="str">
            <v>KHOLIPAH</v>
          </cell>
          <cell r="E80">
            <v>6</v>
          </cell>
          <cell r="F80">
            <v>15594000</v>
          </cell>
          <cell r="G80">
            <v>14</v>
          </cell>
          <cell r="H80">
            <v>83386000</v>
          </cell>
          <cell r="I80">
            <v>20</v>
          </cell>
        </row>
        <row r="81">
          <cell r="D81" t="str">
            <v>WIRA ADITYA SETIADI</v>
          </cell>
          <cell r="E81">
            <v>8</v>
          </cell>
          <cell r="F81">
            <v>19692000</v>
          </cell>
          <cell r="G81">
            <v>20</v>
          </cell>
          <cell r="H81">
            <v>187180000</v>
          </cell>
          <cell r="I81">
            <v>28</v>
          </cell>
        </row>
        <row r="82">
          <cell r="D82" t="str">
            <v>MUHAMAD RIZKI SAPUTRA</v>
          </cell>
          <cell r="E82">
            <v>7</v>
          </cell>
          <cell r="F82">
            <v>17993000</v>
          </cell>
          <cell r="G82">
            <v>17</v>
          </cell>
          <cell r="H82">
            <v>106883000</v>
          </cell>
          <cell r="I82">
            <v>24</v>
          </cell>
        </row>
        <row r="83">
          <cell r="D83" t="str">
            <v>ASTRI ALFIANI</v>
          </cell>
          <cell r="E83">
            <v>15</v>
          </cell>
          <cell r="F83">
            <v>35885000</v>
          </cell>
          <cell r="G83">
            <v>17</v>
          </cell>
          <cell r="H83">
            <v>96883000</v>
          </cell>
          <cell r="I83">
            <v>32</v>
          </cell>
        </row>
        <row r="84">
          <cell r="D84" t="str">
            <v>INA HIDAYAH</v>
          </cell>
          <cell r="E84">
            <v>24</v>
          </cell>
          <cell r="F84">
            <v>56176000</v>
          </cell>
          <cell r="G84">
            <v>31</v>
          </cell>
          <cell r="H84">
            <v>248669000</v>
          </cell>
          <cell r="I84">
            <v>55</v>
          </cell>
        </row>
        <row r="85">
          <cell r="D85" t="str">
            <v>ARIF IRAWAN</v>
          </cell>
          <cell r="E85">
            <v>14</v>
          </cell>
          <cell r="F85">
            <v>34386000</v>
          </cell>
          <cell r="G85">
            <v>32</v>
          </cell>
          <cell r="H85">
            <v>261968000</v>
          </cell>
          <cell r="I85">
            <v>46</v>
          </cell>
        </row>
        <row r="86">
          <cell r="D86" t="str">
            <v>TUBAGUS HAIDIR EGGY</v>
          </cell>
          <cell r="E86">
            <v>5</v>
          </cell>
          <cell r="F86">
            <v>12495000</v>
          </cell>
          <cell r="G86">
            <v>4</v>
          </cell>
          <cell r="H86">
            <v>34596000</v>
          </cell>
          <cell r="I86">
            <v>9</v>
          </cell>
        </row>
        <row r="87">
          <cell r="D87" t="str">
            <v>SERNIKA LAIA</v>
          </cell>
          <cell r="E87">
            <v>1</v>
          </cell>
          <cell r="F87">
            <v>2399000</v>
          </cell>
          <cell r="I87">
            <v>1</v>
          </cell>
        </row>
        <row r="88">
          <cell r="D88" t="str">
            <v>RINI APRIANI</v>
          </cell>
          <cell r="E88">
            <v>19</v>
          </cell>
          <cell r="F88">
            <v>43581000</v>
          </cell>
          <cell r="G88">
            <v>17</v>
          </cell>
          <cell r="H88">
            <v>108183000</v>
          </cell>
          <cell r="I88">
            <v>36</v>
          </cell>
        </row>
        <row r="89">
          <cell r="D89" t="str">
            <v>MUHYIDDIN</v>
          </cell>
          <cell r="E89">
            <v>11</v>
          </cell>
          <cell r="F89">
            <v>27989000</v>
          </cell>
          <cell r="G89">
            <v>26</v>
          </cell>
          <cell r="H89">
            <v>163074000</v>
          </cell>
          <cell r="I89">
            <v>37</v>
          </cell>
        </row>
        <row r="90">
          <cell r="D90" t="str">
            <v>MOHAMAD YUSUF</v>
          </cell>
          <cell r="E90">
            <v>19</v>
          </cell>
          <cell r="F90">
            <v>44281000</v>
          </cell>
          <cell r="G90">
            <v>16</v>
          </cell>
          <cell r="H90">
            <v>104084000</v>
          </cell>
          <cell r="I90">
            <v>35</v>
          </cell>
        </row>
        <row r="91">
          <cell r="D91" t="str">
            <v>NURFITRIYANA</v>
          </cell>
          <cell r="E91">
            <v>22</v>
          </cell>
          <cell r="F91">
            <v>51978000</v>
          </cell>
          <cell r="G91">
            <v>14</v>
          </cell>
          <cell r="H91">
            <v>73186000</v>
          </cell>
          <cell r="I91">
            <v>36</v>
          </cell>
        </row>
        <row r="92">
          <cell r="D92" t="str">
            <v>ALIA NASYABILA</v>
          </cell>
          <cell r="E92">
            <v>9</v>
          </cell>
          <cell r="F92">
            <v>21391000</v>
          </cell>
          <cell r="G92">
            <v>9</v>
          </cell>
          <cell r="H92">
            <v>61191000</v>
          </cell>
          <cell r="I92">
            <v>18</v>
          </cell>
        </row>
        <row r="93">
          <cell r="D93" t="str">
            <v xml:space="preserve">SENDI ALFAZRI </v>
          </cell>
          <cell r="E93">
            <v>5</v>
          </cell>
          <cell r="F93">
            <v>12595000</v>
          </cell>
          <cell r="G93">
            <v>7</v>
          </cell>
          <cell r="H93">
            <v>77193000</v>
          </cell>
          <cell r="I93">
            <v>12</v>
          </cell>
        </row>
        <row r="94">
          <cell r="D94" t="str">
            <v>ZAINUL MUSTOFA</v>
          </cell>
          <cell r="E94">
            <v>5</v>
          </cell>
          <cell r="F94">
            <v>12795000</v>
          </cell>
          <cell r="G94">
            <v>6</v>
          </cell>
          <cell r="H94">
            <v>49494000</v>
          </cell>
          <cell r="I94">
            <v>11</v>
          </cell>
        </row>
        <row r="95">
          <cell r="D95" t="str">
            <v>FIRDA NAZMA NURFADILAH</v>
          </cell>
          <cell r="E95">
            <v>4</v>
          </cell>
          <cell r="F95">
            <v>10696000</v>
          </cell>
          <cell r="G95">
            <v>11</v>
          </cell>
          <cell r="H95">
            <v>152389000</v>
          </cell>
          <cell r="I95">
            <v>15</v>
          </cell>
        </row>
        <row r="96">
          <cell r="D96" t="str">
            <v>MAT AMIN</v>
          </cell>
          <cell r="E96">
            <v>24</v>
          </cell>
          <cell r="F96">
            <v>57076000</v>
          </cell>
          <cell r="G96">
            <v>16</v>
          </cell>
          <cell r="H96">
            <v>90484000</v>
          </cell>
          <cell r="I96">
            <v>40</v>
          </cell>
        </row>
        <row r="97">
          <cell r="D97" t="str">
            <v>APUD MAHPUDIN</v>
          </cell>
          <cell r="E97">
            <v>23</v>
          </cell>
          <cell r="F97">
            <v>51877000</v>
          </cell>
          <cell r="G97">
            <v>17</v>
          </cell>
          <cell r="H97">
            <v>196083000</v>
          </cell>
          <cell r="I97">
            <v>40</v>
          </cell>
        </row>
        <row r="98">
          <cell r="D98" t="str">
            <v>Dean dika putra mona</v>
          </cell>
          <cell r="E98">
            <v>33</v>
          </cell>
          <cell r="F98">
            <v>71867000</v>
          </cell>
          <cell r="G98">
            <v>7</v>
          </cell>
          <cell r="H98">
            <v>32193000</v>
          </cell>
          <cell r="I98">
            <v>40</v>
          </cell>
        </row>
        <row r="99">
          <cell r="D99" t="str">
            <v>MUHAMMAD RIZKI HIDAYAT</v>
          </cell>
          <cell r="E99">
            <v>34</v>
          </cell>
          <cell r="F99">
            <v>76966000</v>
          </cell>
          <cell r="G99">
            <v>11</v>
          </cell>
          <cell r="H99">
            <v>53989000</v>
          </cell>
          <cell r="I99">
            <v>45</v>
          </cell>
        </row>
        <row r="100">
          <cell r="D100" t="str">
            <v>ANDES SAPUTRA</v>
          </cell>
          <cell r="E100">
            <v>45</v>
          </cell>
          <cell r="F100">
            <v>102455000</v>
          </cell>
          <cell r="G100">
            <v>20</v>
          </cell>
          <cell r="H100">
            <v>106380000</v>
          </cell>
          <cell r="I100">
            <v>65</v>
          </cell>
        </row>
        <row r="101">
          <cell r="D101" t="str">
            <v>FRISKI FERNANDO</v>
          </cell>
          <cell r="E101">
            <v>48</v>
          </cell>
          <cell r="F101">
            <v>107752000</v>
          </cell>
          <cell r="G101">
            <v>10</v>
          </cell>
          <cell r="H101">
            <v>47190000</v>
          </cell>
          <cell r="I101">
            <v>58</v>
          </cell>
        </row>
        <row r="102">
          <cell r="D102" t="str">
            <v>CEPTIANA JUNIAR</v>
          </cell>
          <cell r="E102">
            <v>34</v>
          </cell>
          <cell r="F102">
            <v>77466000</v>
          </cell>
          <cell r="G102">
            <v>9</v>
          </cell>
          <cell r="H102">
            <v>37691000</v>
          </cell>
          <cell r="I102">
            <v>43</v>
          </cell>
        </row>
        <row r="103">
          <cell r="D103" t="str">
            <v>IVAN PAHLEVI SARAGIH</v>
          </cell>
          <cell r="E103">
            <v>29</v>
          </cell>
          <cell r="F103">
            <v>64671000</v>
          </cell>
          <cell r="G103">
            <v>23</v>
          </cell>
          <cell r="H103">
            <v>151577000</v>
          </cell>
          <cell r="I103">
            <v>52</v>
          </cell>
        </row>
        <row r="104">
          <cell r="D104" t="str">
            <v>SELLY DARWIS</v>
          </cell>
          <cell r="E104">
            <v>44</v>
          </cell>
          <cell r="F104">
            <v>97156000</v>
          </cell>
          <cell r="G104">
            <v>2</v>
          </cell>
          <cell r="H104">
            <v>12598000</v>
          </cell>
          <cell r="I104">
            <v>46</v>
          </cell>
        </row>
        <row r="105">
          <cell r="D105" t="str">
            <v>M HUSNI HASIM</v>
          </cell>
          <cell r="E105">
            <v>36</v>
          </cell>
          <cell r="F105">
            <v>82464000</v>
          </cell>
          <cell r="G105">
            <v>8</v>
          </cell>
          <cell r="H105">
            <v>39492000</v>
          </cell>
          <cell r="I105">
            <v>44</v>
          </cell>
        </row>
        <row r="106">
          <cell r="D106" t="str">
            <v>ZIONIS ILHAMI DAKHI</v>
          </cell>
          <cell r="E106">
            <v>27</v>
          </cell>
          <cell r="F106">
            <v>59073000</v>
          </cell>
          <cell r="G106">
            <v>5</v>
          </cell>
          <cell r="H106">
            <v>21595000</v>
          </cell>
          <cell r="I106">
            <v>32</v>
          </cell>
        </row>
        <row r="107">
          <cell r="D107" t="str">
            <v>SANDI SANTOSO</v>
          </cell>
          <cell r="E107">
            <v>18</v>
          </cell>
          <cell r="F107">
            <v>41482000</v>
          </cell>
          <cell r="G107">
            <v>10</v>
          </cell>
          <cell r="H107">
            <v>51490000</v>
          </cell>
          <cell r="I107">
            <v>28</v>
          </cell>
        </row>
        <row r="108">
          <cell r="D108" t="str">
            <v>NUR IMAM ATTARMIDZI</v>
          </cell>
          <cell r="E108">
            <v>35</v>
          </cell>
          <cell r="F108">
            <v>77565000</v>
          </cell>
          <cell r="G108">
            <v>10</v>
          </cell>
          <cell r="H108">
            <v>50190000</v>
          </cell>
          <cell r="I108">
            <v>45</v>
          </cell>
        </row>
        <row r="109">
          <cell r="D109" t="str">
            <v>BELLA MAYA SAFIRA</v>
          </cell>
          <cell r="E109">
            <v>25</v>
          </cell>
          <cell r="F109">
            <v>58575000</v>
          </cell>
          <cell r="G109">
            <v>25</v>
          </cell>
          <cell r="H109">
            <v>148275000</v>
          </cell>
          <cell r="I109">
            <v>50</v>
          </cell>
        </row>
        <row r="110">
          <cell r="D110" t="str">
            <v>VICKY ARIANSYAH</v>
          </cell>
          <cell r="E110">
            <v>25</v>
          </cell>
          <cell r="F110">
            <v>58475000</v>
          </cell>
          <cell r="G110">
            <v>15</v>
          </cell>
          <cell r="H110">
            <v>102085000</v>
          </cell>
          <cell r="I110">
            <v>40</v>
          </cell>
        </row>
        <row r="111">
          <cell r="D111" t="str">
            <v>RIKY</v>
          </cell>
          <cell r="E111">
            <v>34</v>
          </cell>
          <cell r="F111">
            <v>75666000</v>
          </cell>
          <cell r="G111">
            <v>18</v>
          </cell>
          <cell r="H111">
            <v>119282000</v>
          </cell>
          <cell r="I111">
            <v>52</v>
          </cell>
        </row>
        <row r="112">
          <cell r="D112" t="str">
            <v>HERMAN SUPRIYATIN</v>
          </cell>
          <cell r="E112">
            <v>46</v>
          </cell>
          <cell r="F112">
            <v>102054000</v>
          </cell>
          <cell r="G112">
            <v>9</v>
          </cell>
          <cell r="H112">
            <v>41091000</v>
          </cell>
          <cell r="I112">
            <v>55</v>
          </cell>
        </row>
        <row r="113">
          <cell r="D113" t="str">
            <v>HESTI AMELIA</v>
          </cell>
          <cell r="E113">
            <v>28</v>
          </cell>
          <cell r="F113">
            <v>63472000</v>
          </cell>
          <cell r="G113">
            <v>15</v>
          </cell>
          <cell r="H113">
            <v>119885000</v>
          </cell>
          <cell r="I113">
            <v>43</v>
          </cell>
        </row>
        <row r="114">
          <cell r="D114" t="str">
            <v>DIAWAN SAPUTRA</v>
          </cell>
          <cell r="E114">
            <v>21</v>
          </cell>
          <cell r="F114">
            <v>47479000</v>
          </cell>
          <cell r="G114">
            <v>9</v>
          </cell>
          <cell r="H114">
            <v>48991000</v>
          </cell>
          <cell r="I114">
            <v>30</v>
          </cell>
        </row>
        <row r="115">
          <cell r="D115" t="str">
            <v>ABDUL FALAH</v>
          </cell>
          <cell r="E115">
            <v>26</v>
          </cell>
          <cell r="F115">
            <v>61774000</v>
          </cell>
          <cell r="G115">
            <v>30</v>
          </cell>
          <cell r="H115">
            <v>165570000</v>
          </cell>
          <cell r="I115">
            <v>56</v>
          </cell>
        </row>
        <row r="116">
          <cell r="D116" t="str">
            <v xml:space="preserve"> RONI</v>
          </cell>
          <cell r="E116">
            <v>31</v>
          </cell>
          <cell r="F116">
            <v>71069000</v>
          </cell>
          <cell r="G116">
            <v>12</v>
          </cell>
          <cell r="H116">
            <v>67188000</v>
          </cell>
          <cell r="I116">
            <v>43</v>
          </cell>
        </row>
        <row r="117">
          <cell r="D117" t="str">
            <v>HAVIS SINUS FAUZAN</v>
          </cell>
          <cell r="E117">
            <v>26</v>
          </cell>
          <cell r="F117">
            <v>62974000</v>
          </cell>
          <cell r="G117">
            <v>16</v>
          </cell>
          <cell r="H117">
            <v>77084000</v>
          </cell>
          <cell r="I117">
            <v>42</v>
          </cell>
        </row>
        <row r="118">
          <cell r="D118" t="str">
            <v>TIYAS WINARNI</v>
          </cell>
          <cell r="E118">
            <v>29</v>
          </cell>
          <cell r="F118">
            <v>68871000</v>
          </cell>
          <cell r="G118">
            <v>17</v>
          </cell>
          <cell r="H118">
            <v>94783000</v>
          </cell>
          <cell r="I118">
            <v>46</v>
          </cell>
        </row>
        <row r="119">
          <cell r="D119" t="str">
            <v>BINY PRAYOGO</v>
          </cell>
          <cell r="E119">
            <v>24</v>
          </cell>
          <cell r="F119">
            <v>55576000</v>
          </cell>
          <cell r="G119">
            <v>16</v>
          </cell>
          <cell r="H119">
            <v>88384000</v>
          </cell>
          <cell r="I119">
            <v>40</v>
          </cell>
        </row>
        <row r="120">
          <cell r="D120" t="str">
            <v>PUTRI SUPRIHATIN</v>
          </cell>
          <cell r="E120">
            <v>25</v>
          </cell>
          <cell r="F120">
            <v>58375000</v>
          </cell>
          <cell r="G120">
            <v>18</v>
          </cell>
          <cell r="H120">
            <v>143082000</v>
          </cell>
          <cell r="I120">
            <v>43</v>
          </cell>
        </row>
        <row r="121">
          <cell r="D121" t="str">
            <v xml:space="preserve"> Hervanny trisiana</v>
          </cell>
          <cell r="E121">
            <v>10</v>
          </cell>
          <cell r="F121">
            <v>23990000</v>
          </cell>
          <cell r="G121">
            <v>27</v>
          </cell>
          <cell r="H121">
            <v>299173000</v>
          </cell>
          <cell r="I121">
            <v>37</v>
          </cell>
        </row>
        <row r="122">
          <cell r="D122" t="str">
            <v xml:space="preserve"> fitri adelia</v>
          </cell>
          <cell r="E122">
            <v>10</v>
          </cell>
          <cell r="F122">
            <v>22590000</v>
          </cell>
          <cell r="G122">
            <v>27</v>
          </cell>
          <cell r="H122">
            <v>258973000</v>
          </cell>
          <cell r="I122">
            <v>37</v>
          </cell>
        </row>
        <row r="123">
          <cell r="D123" t="str">
            <v xml:space="preserve"> SITI ROHMAH</v>
          </cell>
          <cell r="E123">
            <v>16</v>
          </cell>
          <cell r="F123">
            <v>38584000</v>
          </cell>
          <cell r="G123">
            <v>20</v>
          </cell>
          <cell r="H123">
            <v>214080000</v>
          </cell>
          <cell r="I123">
            <v>36</v>
          </cell>
        </row>
        <row r="124">
          <cell r="D124" t="str">
            <v>ANNAS WICAKSONO</v>
          </cell>
          <cell r="E124">
            <v>8</v>
          </cell>
          <cell r="F124">
            <v>19292000</v>
          </cell>
          <cell r="G124">
            <v>29</v>
          </cell>
          <cell r="H124">
            <v>257271000</v>
          </cell>
          <cell r="I124">
            <v>37</v>
          </cell>
        </row>
        <row r="125">
          <cell r="D125" t="str">
            <v>RIZAL SACHRANIE</v>
          </cell>
          <cell r="E125">
            <v>5</v>
          </cell>
          <cell r="F125">
            <v>11595000</v>
          </cell>
          <cell r="G125">
            <v>7</v>
          </cell>
          <cell r="H125">
            <v>71993000</v>
          </cell>
          <cell r="I125">
            <v>12</v>
          </cell>
        </row>
        <row r="126">
          <cell r="D126" t="str">
            <v>JIHAN PAHERA ALPIA</v>
          </cell>
          <cell r="E126">
            <v>1</v>
          </cell>
          <cell r="F126">
            <v>2399000</v>
          </cell>
          <cell r="G126">
            <v>2</v>
          </cell>
          <cell r="H126">
            <v>12398000</v>
          </cell>
          <cell r="I126">
            <v>3</v>
          </cell>
        </row>
        <row r="127">
          <cell r="D127" t="str">
            <v>AMANDA AULIA SHOLIKHAH</v>
          </cell>
          <cell r="E127">
            <v>4</v>
          </cell>
          <cell r="F127">
            <v>10596000</v>
          </cell>
          <cell r="G127">
            <v>1</v>
          </cell>
          <cell r="H127">
            <v>6499000</v>
          </cell>
          <cell r="I127">
            <v>5</v>
          </cell>
        </row>
        <row r="128">
          <cell r="D128" t="str">
            <v>SYAIRUL ACHMAT HIDAYAT</v>
          </cell>
          <cell r="E128">
            <v>1</v>
          </cell>
          <cell r="F128">
            <v>2799000</v>
          </cell>
          <cell r="G128">
            <v>7</v>
          </cell>
          <cell r="H128">
            <v>39193000</v>
          </cell>
          <cell r="I128">
            <v>8</v>
          </cell>
        </row>
        <row r="129">
          <cell r="E129">
            <v>1806</v>
          </cell>
          <cell r="F129">
            <v>4252994000</v>
          </cell>
          <cell r="G129">
            <v>1636</v>
          </cell>
          <cell r="H129">
            <v>11830064000</v>
          </cell>
          <cell r="I129">
            <v>3442</v>
          </cell>
        </row>
      </sheetData>
      <sheetData sheetId="17">
        <row r="5">
          <cell r="A5" t="str">
            <v>Sum of SRP</v>
          </cell>
        </row>
      </sheetData>
      <sheetData sheetId="18"/>
      <sheetData sheetId="19">
        <row r="5">
          <cell r="A5" t="str">
            <v>Sum of Qty</v>
          </cell>
        </row>
      </sheetData>
      <sheetData sheetId="20">
        <row r="5">
          <cell r="A5" t="str">
            <v>Sum of Qty</v>
          </cell>
        </row>
      </sheetData>
      <sheetData sheetId="21"/>
      <sheetData sheetId="22"/>
      <sheetData sheetId="23">
        <row r="6">
          <cell r="A6" t="str">
            <v>Sum of Qty</v>
          </cell>
        </row>
      </sheetData>
      <sheetData sheetId="24"/>
      <sheetData sheetId="25">
        <row r="10">
          <cell r="B10">
            <v>6170706</v>
          </cell>
          <cell r="D10">
            <v>16</v>
          </cell>
          <cell r="E10">
            <v>38884000</v>
          </cell>
          <cell r="F10">
            <v>31</v>
          </cell>
          <cell r="G10">
            <v>83169000</v>
          </cell>
          <cell r="J10">
            <v>9</v>
          </cell>
          <cell r="K10">
            <v>18891000</v>
          </cell>
          <cell r="N10">
            <v>5</v>
          </cell>
          <cell r="O10">
            <v>20295000</v>
          </cell>
          <cell r="T10">
            <v>2</v>
          </cell>
          <cell r="U10">
            <v>15198000</v>
          </cell>
          <cell r="V10">
            <v>2</v>
          </cell>
          <cell r="W10">
            <v>7198000</v>
          </cell>
          <cell r="X10">
            <v>1</v>
          </cell>
          <cell r="Y10">
            <v>6299000</v>
          </cell>
          <cell r="AB10">
            <v>2</v>
          </cell>
          <cell r="AC10">
            <v>11798000</v>
          </cell>
          <cell r="AJ10">
            <v>1</v>
          </cell>
          <cell r="AK10">
            <v>8399000</v>
          </cell>
        </row>
        <row r="11">
          <cell r="B11">
            <v>6170707</v>
          </cell>
          <cell r="D11">
            <v>18</v>
          </cell>
          <cell r="E11">
            <v>44382000</v>
          </cell>
          <cell r="F11">
            <v>18</v>
          </cell>
          <cell r="G11">
            <v>47982000</v>
          </cell>
          <cell r="J11">
            <v>6</v>
          </cell>
          <cell r="K11">
            <v>12594000</v>
          </cell>
          <cell r="N11">
            <v>4</v>
          </cell>
          <cell r="O11">
            <v>19196000</v>
          </cell>
          <cell r="R11">
            <v>1</v>
          </cell>
          <cell r="S11">
            <v>3599000</v>
          </cell>
          <cell r="T11">
            <v>2</v>
          </cell>
          <cell r="U11">
            <v>14998000</v>
          </cell>
          <cell r="X11">
            <v>2</v>
          </cell>
          <cell r="Y11">
            <v>10998000</v>
          </cell>
          <cell r="AB11">
            <v>4</v>
          </cell>
          <cell r="AC11">
            <v>22996000</v>
          </cell>
          <cell r="AJ11">
            <v>1</v>
          </cell>
          <cell r="AK11">
            <v>6899000</v>
          </cell>
        </row>
        <row r="12">
          <cell r="B12">
            <v>6240702</v>
          </cell>
          <cell r="D12">
            <v>9</v>
          </cell>
          <cell r="E12">
            <v>22191000</v>
          </cell>
          <cell r="F12">
            <v>19</v>
          </cell>
          <cell r="G12">
            <v>49581000</v>
          </cell>
          <cell r="J12">
            <v>12</v>
          </cell>
          <cell r="K12">
            <v>25188000</v>
          </cell>
          <cell r="L12">
            <v>3</v>
          </cell>
          <cell r="M12">
            <v>28997000</v>
          </cell>
          <cell r="N12">
            <v>9</v>
          </cell>
          <cell r="O12">
            <v>40491000</v>
          </cell>
          <cell r="T12">
            <v>5</v>
          </cell>
          <cell r="U12">
            <v>39995000</v>
          </cell>
          <cell r="V12">
            <v>1</v>
          </cell>
          <cell r="W12">
            <v>3599000</v>
          </cell>
          <cell r="X12">
            <v>2</v>
          </cell>
          <cell r="Y12">
            <v>10998000</v>
          </cell>
          <cell r="Z12">
            <v>1</v>
          </cell>
          <cell r="AA12">
            <v>11999000</v>
          </cell>
          <cell r="AB12">
            <v>4</v>
          </cell>
          <cell r="AC12">
            <v>22396000</v>
          </cell>
        </row>
        <row r="13">
          <cell r="B13">
            <v>6240701</v>
          </cell>
          <cell r="D13">
            <v>14</v>
          </cell>
          <cell r="E13">
            <v>34586000</v>
          </cell>
          <cell r="F13">
            <v>24</v>
          </cell>
          <cell r="G13">
            <v>63576000</v>
          </cell>
          <cell r="J13">
            <v>9</v>
          </cell>
          <cell r="K13">
            <v>18891000</v>
          </cell>
          <cell r="L13">
            <v>1</v>
          </cell>
          <cell r="M13">
            <v>9999000</v>
          </cell>
          <cell r="N13">
            <v>17</v>
          </cell>
          <cell r="O13">
            <v>76883000</v>
          </cell>
          <cell r="R13">
            <v>3</v>
          </cell>
          <cell r="S13">
            <v>10797000</v>
          </cell>
          <cell r="T13">
            <v>1</v>
          </cell>
          <cell r="U13">
            <v>6499000</v>
          </cell>
          <cell r="X13">
            <v>3</v>
          </cell>
          <cell r="Y13">
            <v>17297000</v>
          </cell>
          <cell r="AB13">
            <v>2</v>
          </cell>
          <cell r="AC13">
            <v>11798000</v>
          </cell>
          <cell r="AH13">
            <v>1</v>
          </cell>
          <cell r="AI13">
            <v>5699000</v>
          </cell>
        </row>
        <row r="14">
          <cell r="B14">
            <v>6170703</v>
          </cell>
          <cell r="D14">
            <v>2</v>
          </cell>
          <cell r="E14">
            <v>4898000</v>
          </cell>
          <cell r="F14">
            <v>3</v>
          </cell>
          <cell r="G14">
            <v>7597000</v>
          </cell>
          <cell r="J14">
            <v>1</v>
          </cell>
          <cell r="K14">
            <v>2099000</v>
          </cell>
          <cell r="L14">
            <v>1</v>
          </cell>
          <cell r="M14">
            <v>9999000</v>
          </cell>
          <cell r="N14">
            <v>1</v>
          </cell>
          <cell r="O14">
            <v>4299000</v>
          </cell>
          <cell r="P14">
            <v>1</v>
          </cell>
          <cell r="Q14">
            <v>3599000</v>
          </cell>
          <cell r="R14">
            <v>1</v>
          </cell>
          <cell r="S14">
            <v>3599000</v>
          </cell>
          <cell r="T14">
            <v>1</v>
          </cell>
          <cell r="U14">
            <v>6999000</v>
          </cell>
          <cell r="X14">
            <v>1</v>
          </cell>
          <cell r="Y14">
            <v>5499000</v>
          </cell>
          <cell r="Z14">
            <v>1</v>
          </cell>
          <cell r="AA14">
            <v>11999000</v>
          </cell>
          <cell r="AJ14">
            <v>1</v>
          </cell>
          <cell r="AK14">
            <v>6899000</v>
          </cell>
        </row>
        <row r="15">
          <cell r="B15">
            <v>6240704</v>
          </cell>
          <cell r="D15">
            <v>1</v>
          </cell>
          <cell r="E15">
            <v>2299000</v>
          </cell>
          <cell r="F15">
            <v>5</v>
          </cell>
          <cell r="G15">
            <v>13995000</v>
          </cell>
          <cell r="J15">
            <v>6</v>
          </cell>
          <cell r="K15">
            <v>12594000</v>
          </cell>
          <cell r="N15">
            <v>2</v>
          </cell>
          <cell r="O15">
            <v>8598000</v>
          </cell>
          <cell r="X15">
            <v>1</v>
          </cell>
          <cell r="Y15">
            <v>5499000</v>
          </cell>
        </row>
        <row r="16">
          <cell r="B16">
            <v>6240703</v>
          </cell>
          <cell r="D16">
            <v>13</v>
          </cell>
          <cell r="E16">
            <v>31687000</v>
          </cell>
          <cell r="F16">
            <v>13</v>
          </cell>
          <cell r="G16">
            <v>35587000</v>
          </cell>
          <cell r="J16">
            <v>8</v>
          </cell>
          <cell r="K16">
            <v>16792000</v>
          </cell>
          <cell r="L16">
            <v>1</v>
          </cell>
          <cell r="M16">
            <v>9999000</v>
          </cell>
          <cell r="N16">
            <v>10</v>
          </cell>
          <cell r="O16">
            <v>42790000</v>
          </cell>
          <cell r="P16">
            <v>1</v>
          </cell>
          <cell r="Q16">
            <v>3599000</v>
          </cell>
          <cell r="R16">
            <v>2</v>
          </cell>
          <cell r="S16">
            <v>7198000</v>
          </cell>
          <cell r="T16">
            <v>4</v>
          </cell>
          <cell r="U16">
            <v>31996000</v>
          </cell>
          <cell r="V16">
            <v>3</v>
          </cell>
          <cell r="W16">
            <v>10797000</v>
          </cell>
          <cell r="Z16">
            <v>1</v>
          </cell>
          <cell r="AA16">
            <v>11999000</v>
          </cell>
          <cell r="AB16">
            <v>4</v>
          </cell>
          <cell r="AC16">
            <v>23596000</v>
          </cell>
          <cell r="AD16">
            <v>1</v>
          </cell>
          <cell r="AE16">
            <v>25999000</v>
          </cell>
          <cell r="AJ16">
            <v>2</v>
          </cell>
          <cell r="AK16">
            <v>14898000</v>
          </cell>
        </row>
        <row r="17">
          <cell r="B17">
            <v>6240705</v>
          </cell>
          <cell r="D17">
            <v>3</v>
          </cell>
          <cell r="E17">
            <v>7797000</v>
          </cell>
          <cell r="F17">
            <v>6</v>
          </cell>
          <cell r="G17">
            <v>16394000</v>
          </cell>
          <cell r="J17">
            <v>2</v>
          </cell>
          <cell r="K17">
            <v>4198000</v>
          </cell>
          <cell r="L17">
            <v>2</v>
          </cell>
          <cell r="M17">
            <v>19998000</v>
          </cell>
          <cell r="N17">
            <v>3</v>
          </cell>
          <cell r="O17">
            <v>12097000</v>
          </cell>
          <cell r="T17">
            <v>4</v>
          </cell>
          <cell r="U17">
            <v>30496000</v>
          </cell>
          <cell r="X17">
            <v>4</v>
          </cell>
          <cell r="Y17">
            <v>22796000</v>
          </cell>
          <cell r="Z17">
            <v>1</v>
          </cell>
          <cell r="AA17">
            <v>11999000</v>
          </cell>
          <cell r="AB17">
            <v>1</v>
          </cell>
          <cell r="AC17">
            <v>5899000</v>
          </cell>
          <cell r="AJ17">
            <v>3</v>
          </cell>
          <cell r="AK17">
            <v>22197000</v>
          </cell>
        </row>
        <row r="18">
          <cell r="B18">
            <v>6240707</v>
          </cell>
          <cell r="D18">
            <v>2</v>
          </cell>
          <cell r="E18">
            <v>5198000</v>
          </cell>
          <cell r="F18">
            <v>5</v>
          </cell>
          <cell r="G18">
            <v>13995000</v>
          </cell>
          <cell r="J18">
            <v>4</v>
          </cell>
          <cell r="K18">
            <v>8396000</v>
          </cell>
          <cell r="L18">
            <v>1</v>
          </cell>
          <cell r="M18">
            <v>9999000</v>
          </cell>
          <cell r="N18">
            <v>5</v>
          </cell>
          <cell r="O18">
            <v>25095000</v>
          </cell>
          <cell r="R18">
            <v>1</v>
          </cell>
          <cell r="S18">
            <v>3599000</v>
          </cell>
          <cell r="V18">
            <v>1</v>
          </cell>
          <cell r="W18">
            <v>3599000</v>
          </cell>
          <cell r="X18">
            <v>2</v>
          </cell>
          <cell r="Y18">
            <v>11798000</v>
          </cell>
          <cell r="AB18">
            <v>2</v>
          </cell>
          <cell r="AC18">
            <v>12998000</v>
          </cell>
          <cell r="AJ18">
            <v>1</v>
          </cell>
          <cell r="AK18">
            <v>8399000</v>
          </cell>
        </row>
        <row r="19">
          <cell r="B19">
            <v>6240706</v>
          </cell>
          <cell r="D19">
            <v>3</v>
          </cell>
          <cell r="E19">
            <v>6897000</v>
          </cell>
          <cell r="F19">
            <v>6</v>
          </cell>
          <cell r="G19">
            <v>16394000</v>
          </cell>
          <cell r="J19">
            <v>2</v>
          </cell>
          <cell r="K19">
            <v>4198000</v>
          </cell>
          <cell r="L19">
            <v>1</v>
          </cell>
          <cell r="M19">
            <v>9999000</v>
          </cell>
          <cell r="N19">
            <v>3</v>
          </cell>
          <cell r="O19">
            <v>13697000</v>
          </cell>
          <cell r="T19">
            <v>2</v>
          </cell>
          <cell r="U19">
            <v>14998000</v>
          </cell>
          <cell r="AB19">
            <v>1</v>
          </cell>
          <cell r="AC19">
            <v>5299000</v>
          </cell>
          <cell r="AJ19">
            <v>1</v>
          </cell>
          <cell r="AK19">
            <v>6899000</v>
          </cell>
        </row>
        <row r="20">
          <cell r="B20">
            <v>6240709</v>
          </cell>
          <cell r="D20">
            <v>1</v>
          </cell>
          <cell r="E20">
            <v>2299000</v>
          </cell>
          <cell r="F20">
            <v>1</v>
          </cell>
          <cell r="G20">
            <v>2399000</v>
          </cell>
          <cell r="J20">
            <v>1</v>
          </cell>
          <cell r="K20">
            <v>2099000</v>
          </cell>
          <cell r="N20">
            <v>5</v>
          </cell>
          <cell r="O20">
            <v>20695000</v>
          </cell>
          <cell r="T20">
            <v>1</v>
          </cell>
          <cell r="U20">
            <v>6499000</v>
          </cell>
          <cell r="V20">
            <v>1</v>
          </cell>
          <cell r="W20">
            <v>3599000</v>
          </cell>
          <cell r="X20">
            <v>1</v>
          </cell>
          <cell r="Y20">
            <v>5499000</v>
          </cell>
          <cell r="AB20">
            <v>2</v>
          </cell>
          <cell r="AC20">
            <v>11798000</v>
          </cell>
          <cell r="AH20">
            <v>1</v>
          </cell>
          <cell r="AI20">
            <v>5699000</v>
          </cell>
        </row>
        <row r="21">
          <cell r="B21">
            <v>6240708</v>
          </cell>
          <cell r="D21">
            <v>1</v>
          </cell>
          <cell r="E21">
            <v>2599000</v>
          </cell>
          <cell r="F21">
            <v>5</v>
          </cell>
          <cell r="G21">
            <v>13595000</v>
          </cell>
          <cell r="J21">
            <v>1</v>
          </cell>
          <cell r="K21">
            <v>2099000</v>
          </cell>
          <cell r="N21">
            <v>5</v>
          </cell>
          <cell r="O21">
            <v>20295000</v>
          </cell>
          <cell r="P21">
            <v>1</v>
          </cell>
          <cell r="Q21">
            <v>3599000</v>
          </cell>
          <cell r="T21">
            <v>2</v>
          </cell>
          <cell r="U21">
            <v>15998000</v>
          </cell>
          <cell r="X21">
            <v>1</v>
          </cell>
          <cell r="Y21">
            <v>5499000</v>
          </cell>
        </row>
        <row r="22">
          <cell r="B22">
            <v>6220701</v>
          </cell>
          <cell r="D22">
            <v>16</v>
          </cell>
          <cell r="E22">
            <v>37984000</v>
          </cell>
          <cell r="F22">
            <v>12</v>
          </cell>
          <cell r="G22">
            <v>33188000</v>
          </cell>
          <cell r="J22">
            <v>1</v>
          </cell>
          <cell r="K22">
            <v>2099000</v>
          </cell>
          <cell r="L22">
            <v>2</v>
          </cell>
          <cell r="M22">
            <v>19998000</v>
          </cell>
          <cell r="N22">
            <v>6</v>
          </cell>
          <cell r="O22">
            <v>25394000</v>
          </cell>
          <cell r="P22">
            <v>1</v>
          </cell>
          <cell r="Q22">
            <v>3599000</v>
          </cell>
          <cell r="V22">
            <v>1</v>
          </cell>
          <cell r="W22">
            <v>3599000</v>
          </cell>
          <cell r="X22">
            <v>1</v>
          </cell>
          <cell r="Y22">
            <v>6299000</v>
          </cell>
          <cell r="AB22">
            <v>2</v>
          </cell>
          <cell r="AC22">
            <v>11898000</v>
          </cell>
          <cell r="AH22">
            <v>2</v>
          </cell>
          <cell r="AI22">
            <v>11398000</v>
          </cell>
          <cell r="AJ22">
            <v>1</v>
          </cell>
          <cell r="AK22">
            <v>8399000</v>
          </cell>
        </row>
        <row r="23">
          <cell r="B23">
            <v>6050701</v>
          </cell>
          <cell r="D23">
            <v>2</v>
          </cell>
          <cell r="E23">
            <v>4898000</v>
          </cell>
          <cell r="F23">
            <v>7</v>
          </cell>
          <cell r="G23">
            <v>19593000</v>
          </cell>
          <cell r="J23">
            <v>1</v>
          </cell>
          <cell r="K23">
            <v>2099000</v>
          </cell>
          <cell r="L23">
            <v>4</v>
          </cell>
          <cell r="M23">
            <v>39996000</v>
          </cell>
          <cell r="N23">
            <v>5</v>
          </cell>
          <cell r="O23">
            <v>22895000</v>
          </cell>
          <cell r="T23">
            <v>3</v>
          </cell>
          <cell r="U23">
            <v>21497000</v>
          </cell>
          <cell r="V23">
            <v>1</v>
          </cell>
          <cell r="W23">
            <v>3599000</v>
          </cell>
          <cell r="Z23">
            <v>2</v>
          </cell>
          <cell r="AA23">
            <v>23998000</v>
          </cell>
          <cell r="AB23">
            <v>1</v>
          </cell>
          <cell r="AC23">
            <v>5299000</v>
          </cell>
          <cell r="AH23">
            <v>2</v>
          </cell>
          <cell r="AI23">
            <v>11398000</v>
          </cell>
          <cell r="AJ23">
            <v>4</v>
          </cell>
          <cell r="AK23">
            <v>27596000</v>
          </cell>
        </row>
        <row r="24">
          <cell r="B24">
            <v>6050705</v>
          </cell>
          <cell r="F24">
            <v>4</v>
          </cell>
          <cell r="G24">
            <v>10396000</v>
          </cell>
          <cell r="J24">
            <v>2</v>
          </cell>
          <cell r="K24">
            <v>4198000</v>
          </cell>
          <cell r="L24">
            <v>1</v>
          </cell>
          <cell r="M24">
            <v>9999000</v>
          </cell>
          <cell r="N24">
            <v>7</v>
          </cell>
          <cell r="O24">
            <v>31293000</v>
          </cell>
          <cell r="P24">
            <v>1</v>
          </cell>
          <cell r="Q24">
            <v>3599000</v>
          </cell>
          <cell r="R24">
            <v>1</v>
          </cell>
          <cell r="S24">
            <v>3599000</v>
          </cell>
          <cell r="X24">
            <v>1</v>
          </cell>
          <cell r="Y24">
            <v>6299000</v>
          </cell>
          <cell r="Z24">
            <v>2</v>
          </cell>
          <cell r="AA24">
            <v>23998000</v>
          </cell>
          <cell r="AJ24">
            <v>1</v>
          </cell>
          <cell r="AK24">
            <v>7999000</v>
          </cell>
        </row>
        <row r="25">
          <cell r="B25">
            <v>6050706</v>
          </cell>
          <cell r="D25">
            <v>6</v>
          </cell>
          <cell r="E25">
            <v>15294000</v>
          </cell>
          <cell r="F25">
            <v>11</v>
          </cell>
          <cell r="G25">
            <v>29589000</v>
          </cell>
          <cell r="J25">
            <v>3</v>
          </cell>
          <cell r="K25">
            <v>6297000</v>
          </cell>
          <cell r="N25">
            <v>5</v>
          </cell>
          <cell r="O25">
            <v>21695000</v>
          </cell>
          <cell r="R25">
            <v>1</v>
          </cell>
          <cell r="S25">
            <v>3599000</v>
          </cell>
          <cell r="T25">
            <v>2</v>
          </cell>
          <cell r="U25">
            <v>13998000</v>
          </cell>
          <cell r="X25">
            <v>3</v>
          </cell>
          <cell r="Y25">
            <v>17297000</v>
          </cell>
          <cell r="AJ25">
            <v>1</v>
          </cell>
          <cell r="AK25">
            <v>6899000</v>
          </cell>
        </row>
        <row r="26">
          <cell r="B26">
            <v>6190704</v>
          </cell>
          <cell r="D26">
            <v>10</v>
          </cell>
          <cell r="E26">
            <v>24490000</v>
          </cell>
          <cell r="F26">
            <v>15</v>
          </cell>
          <cell r="G26">
            <v>37585000</v>
          </cell>
          <cell r="J26">
            <v>24</v>
          </cell>
          <cell r="K26">
            <v>50376000</v>
          </cell>
          <cell r="L26">
            <v>3</v>
          </cell>
          <cell r="M26">
            <v>28997000</v>
          </cell>
          <cell r="N26">
            <v>14</v>
          </cell>
          <cell r="O26">
            <v>66186000</v>
          </cell>
          <cell r="P26">
            <v>1</v>
          </cell>
          <cell r="Q26">
            <v>3599000</v>
          </cell>
          <cell r="R26">
            <v>1</v>
          </cell>
          <cell r="S26">
            <v>3599000</v>
          </cell>
          <cell r="T26">
            <v>5</v>
          </cell>
          <cell r="U26">
            <v>36895000</v>
          </cell>
          <cell r="V26">
            <v>2</v>
          </cell>
          <cell r="W26">
            <v>7198000</v>
          </cell>
          <cell r="X26">
            <v>2</v>
          </cell>
          <cell r="Y26">
            <v>11798000</v>
          </cell>
          <cell r="Z26">
            <v>2</v>
          </cell>
          <cell r="AA26">
            <v>23998000</v>
          </cell>
          <cell r="AB26">
            <v>2</v>
          </cell>
          <cell r="AC26">
            <v>11798000</v>
          </cell>
          <cell r="AD26">
            <v>1</v>
          </cell>
          <cell r="AE26">
            <v>25999000</v>
          </cell>
          <cell r="AH26">
            <v>1</v>
          </cell>
          <cell r="AI26">
            <v>5699000</v>
          </cell>
        </row>
        <row r="27">
          <cell r="B27">
            <v>6190701</v>
          </cell>
          <cell r="D27">
            <v>5</v>
          </cell>
          <cell r="E27">
            <v>11795000</v>
          </cell>
          <cell r="F27">
            <v>10</v>
          </cell>
          <cell r="G27">
            <v>25990000</v>
          </cell>
          <cell r="J27">
            <v>9</v>
          </cell>
          <cell r="K27">
            <v>18891000</v>
          </cell>
          <cell r="N27">
            <v>7</v>
          </cell>
          <cell r="O27">
            <v>27693000</v>
          </cell>
          <cell r="P27">
            <v>1</v>
          </cell>
          <cell r="Q27">
            <v>3599000</v>
          </cell>
          <cell r="AB27">
            <v>1</v>
          </cell>
          <cell r="AC27">
            <v>5299000</v>
          </cell>
          <cell r="AH27">
            <v>1</v>
          </cell>
          <cell r="AI27">
            <v>5699000</v>
          </cell>
          <cell r="AJ27">
            <v>1</v>
          </cell>
          <cell r="AK27">
            <v>6899000</v>
          </cell>
        </row>
        <row r="28">
          <cell r="B28">
            <v>6190707</v>
          </cell>
          <cell r="D28">
            <v>26</v>
          </cell>
          <cell r="E28">
            <v>63974000</v>
          </cell>
          <cell r="F28">
            <v>22</v>
          </cell>
          <cell r="G28">
            <v>59178000</v>
          </cell>
          <cell r="J28">
            <v>10</v>
          </cell>
          <cell r="K28">
            <v>20990000</v>
          </cell>
          <cell r="L28">
            <v>2</v>
          </cell>
          <cell r="M28">
            <v>19998000</v>
          </cell>
          <cell r="N28">
            <v>13</v>
          </cell>
          <cell r="O28">
            <v>60887000</v>
          </cell>
          <cell r="T28">
            <v>2</v>
          </cell>
          <cell r="U28">
            <v>15998000</v>
          </cell>
          <cell r="V28">
            <v>1</v>
          </cell>
          <cell r="W28">
            <v>3599000</v>
          </cell>
          <cell r="X28">
            <v>1</v>
          </cell>
          <cell r="Y28">
            <v>5499000</v>
          </cell>
          <cell r="Z28">
            <v>2</v>
          </cell>
          <cell r="AA28">
            <v>23998000</v>
          </cell>
          <cell r="AB28">
            <v>4</v>
          </cell>
          <cell r="AC28">
            <v>22996000</v>
          </cell>
          <cell r="AH28">
            <v>1</v>
          </cell>
          <cell r="AI28">
            <v>5699000</v>
          </cell>
          <cell r="AJ28">
            <v>4</v>
          </cell>
          <cell r="AK28">
            <v>27596000</v>
          </cell>
        </row>
        <row r="29">
          <cell r="B29">
            <v>6190706</v>
          </cell>
          <cell r="D29">
            <v>17</v>
          </cell>
          <cell r="E29">
            <v>41783000</v>
          </cell>
          <cell r="F29">
            <v>29</v>
          </cell>
          <cell r="G29">
            <v>76371000</v>
          </cell>
          <cell r="J29">
            <v>10</v>
          </cell>
          <cell r="K29">
            <v>20990000</v>
          </cell>
          <cell r="L29">
            <v>2</v>
          </cell>
          <cell r="M29">
            <v>19998000</v>
          </cell>
          <cell r="N29">
            <v>21</v>
          </cell>
          <cell r="O29">
            <v>97479000</v>
          </cell>
          <cell r="P29">
            <v>1</v>
          </cell>
          <cell r="Q29">
            <v>3599000</v>
          </cell>
          <cell r="T29">
            <v>4</v>
          </cell>
          <cell r="U29">
            <v>30396000</v>
          </cell>
          <cell r="X29">
            <v>5</v>
          </cell>
          <cell r="Y29">
            <v>28295000</v>
          </cell>
          <cell r="Z29">
            <v>1</v>
          </cell>
          <cell r="AA29">
            <v>11999000</v>
          </cell>
          <cell r="AB29">
            <v>2</v>
          </cell>
          <cell r="AC29">
            <v>11198000</v>
          </cell>
          <cell r="AD29">
            <v>3</v>
          </cell>
          <cell r="AE29">
            <v>77997000</v>
          </cell>
          <cell r="AH29">
            <v>2</v>
          </cell>
          <cell r="AI29">
            <v>11398000</v>
          </cell>
          <cell r="AJ29">
            <v>3</v>
          </cell>
          <cell r="AK29">
            <v>20697000</v>
          </cell>
        </row>
        <row r="30">
          <cell r="B30">
            <v>6190705</v>
          </cell>
          <cell r="D30">
            <v>4</v>
          </cell>
          <cell r="E30">
            <v>9796000</v>
          </cell>
          <cell r="F30">
            <v>8</v>
          </cell>
          <cell r="G30">
            <v>19992000</v>
          </cell>
          <cell r="J30">
            <v>2</v>
          </cell>
          <cell r="K30">
            <v>4198000</v>
          </cell>
          <cell r="N30">
            <v>8</v>
          </cell>
          <cell r="O30">
            <v>33792000</v>
          </cell>
          <cell r="P30">
            <v>1</v>
          </cell>
          <cell r="Q30">
            <v>3599000</v>
          </cell>
          <cell r="Z30">
            <v>1</v>
          </cell>
          <cell r="AA30">
            <v>11999000</v>
          </cell>
        </row>
        <row r="31">
          <cell r="B31">
            <v>6190708</v>
          </cell>
          <cell r="D31">
            <v>2</v>
          </cell>
          <cell r="E31">
            <v>4598000</v>
          </cell>
          <cell r="F31">
            <v>6</v>
          </cell>
          <cell r="G31">
            <v>15994000</v>
          </cell>
          <cell r="J31">
            <v>1</v>
          </cell>
          <cell r="K31">
            <v>2099000</v>
          </cell>
          <cell r="L31">
            <v>1</v>
          </cell>
          <cell r="M31">
            <v>9999000</v>
          </cell>
          <cell r="N31">
            <v>2</v>
          </cell>
          <cell r="O31">
            <v>8198000</v>
          </cell>
        </row>
        <row r="32">
          <cell r="B32">
            <v>6180706</v>
          </cell>
          <cell r="D32">
            <v>10</v>
          </cell>
          <cell r="E32">
            <v>24490000</v>
          </cell>
          <cell r="F32">
            <v>17</v>
          </cell>
          <cell r="G32">
            <v>44783000</v>
          </cell>
          <cell r="J32">
            <v>17</v>
          </cell>
          <cell r="K32">
            <v>35683000</v>
          </cell>
          <cell r="L32">
            <v>2</v>
          </cell>
          <cell r="M32">
            <v>19998000</v>
          </cell>
          <cell r="N32">
            <v>11</v>
          </cell>
          <cell r="O32">
            <v>50289000</v>
          </cell>
          <cell r="R32">
            <v>2</v>
          </cell>
          <cell r="S32">
            <v>7198000</v>
          </cell>
          <cell r="T32">
            <v>5</v>
          </cell>
          <cell r="U32">
            <v>39995000</v>
          </cell>
          <cell r="V32">
            <v>3</v>
          </cell>
          <cell r="W32">
            <v>10797000</v>
          </cell>
          <cell r="X32">
            <v>2</v>
          </cell>
          <cell r="Y32">
            <v>11798000</v>
          </cell>
          <cell r="AB32">
            <v>8</v>
          </cell>
          <cell r="AC32">
            <v>45992000</v>
          </cell>
          <cell r="AH32">
            <v>3</v>
          </cell>
          <cell r="AI32">
            <v>17097000</v>
          </cell>
          <cell r="AJ32">
            <v>2</v>
          </cell>
          <cell r="AK32">
            <v>13798000</v>
          </cell>
        </row>
        <row r="33">
          <cell r="B33">
            <v>6180707</v>
          </cell>
          <cell r="D33">
            <v>3</v>
          </cell>
          <cell r="E33">
            <v>7497000</v>
          </cell>
          <cell r="F33">
            <v>5</v>
          </cell>
          <cell r="G33">
            <v>13195000</v>
          </cell>
          <cell r="N33">
            <v>2</v>
          </cell>
          <cell r="O33">
            <v>9798000</v>
          </cell>
          <cell r="R33">
            <v>1</v>
          </cell>
          <cell r="S33">
            <v>3599000</v>
          </cell>
          <cell r="T33">
            <v>3</v>
          </cell>
          <cell r="U33">
            <v>21997000</v>
          </cell>
          <cell r="V33">
            <v>1</v>
          </cell>
          <cell r="W33">
            <v>3599000</v>
          </cell>
          <cell r="AB33">
            <v>1</v>
          </cell>
          <cell r="AC33">
            <v>5899000</v>
          </cell>
        </row>
        <row r="34">
          <cell r="B34">
            <v>6130702</v>
          </cell>
          <cell r="D34">
            <v>3</v>
          </cell>
          <cell r="E34">
            <v>7197000</v>
          </cell>
          <cell r="F34">
            <v>13</v>
          </cell>
          <cell r="G34">
            <v>33987000</v>
          </cell>
          <cell r="J34">
            <v>4</v>
          </cell>
          <cell r="K34">
            <v>8396000</v>
          </cell>
          <cell r="L34">
            <v>4</v>
          </cell>
          <cell r="M34">
            <v>38996000</v>
          </cell>
          <cell r="N34">
            <v>8</v>
          </cell>
          <cell r="O34">
            <v>34792000</v>
          </cell>
          <cell r="T34">
            <v>2</v>
          </cell>
          <cell r="U34">
            <v>13998000</v>
          </cell>
          <cell r="V34">
            <v>1</v>
          </cell>
          <cell r="W34">
            <v>3599000</v>
          </cell>
          <cell r="X34">
            <v>1</v>
          </cell>
          <cell r="Y34">
            <v>6299000</v>
          </cell>
          <cell r="Z34">
            <v>2</v>
          </cell>
          <cell r="AA34">
            <v>23998000</v>
          </cell>
          <cell r="AB34">
            <v>3</v>
          </cell>
          <cell r="AC34">
            <v>17697000</v>
          </cell>
          <cell r="AH34">
            <v>1</v>
          </cell>
          <cell r="AI34">
            <v>5699000</v>
          </cell>
          <cell r="AJ34">
            <v>3</v>
          </cell>
          <cell r="AK34">
            <v>21997000</v>
          </cell>
        </row>
        <row r="35">
          <cell r="B35">
            <v>6140705</v>
          </cell>
          <cell r="D35">
            <v>3</v>
          </cell>
          <cell r="E35">
            <v>7497000</v>
          </cell>
          <cell r="F35">
            <v>3</v>
          </cell>
          <cell r="G35">
            <v>7597000</v>
          </cell>
          <cell r="J35">
            <v>5</v>
          </cell>
          <cell r="K35">
            <v>10495000</v>
          </cell>
          <cell r="L35">
            <v>2</v>
          </cell>
          <cell r="M35">
            <v>19998000</v>
          </cell>
          <cell r="N35">
            <v>7</v>
          </cell>
          <cell r="O35">
            <v>30093000</v>
          </cell>
          <cell r="T35">
            <v>3</v>
          </cell>
          <cell r="U35">
            <v>20997000</v>
          </cell>
          <cell r="Z35">
            <v>1</v>
          </cell>
          <cell r="AA35">
            <v>11999000</v>
          </cell>
          <cell r="AB35">
            <v>3</v>
          </cell>
          <cell r="AC35">
            <v>17697000</v>
          </cell>
          <cell r="AD35">
            <v>1</v>
          </cell>
          <cell r="AE35">
            <v>25999000</v>
          </cell>
          <cell r="AH35">
            <v>2</v>
          </cell>
          <cell r="AI35">
            <v>11398000</v>
          </cell>
          <cell r="AJ35">
            <v>7</v>
          </cell>
          <cell r="AK35">
            <v>49793000</v>
          </cell>
        </row>
        <row r="36">
          <cell r="B36">
            <v>6140706</v>
          </cell>
          <cell r="D36">
            <v>2</v>
          </cell>
          <cell r="E36">
            <v>4898000</v>
          </cell>
          <cell r="F36">
            <v>4</v>
          </cell>
          <cell r="G36">
            <v>10796000</v>
          </cell>
          <cell r="J36">
            <v>2</v>
          </cell>
          <cell r="K36">
            <v>4198000</v>
          </cell>
          <cell r="L36">
            <v>2</v>
          </cell>
          <cell r="M36">
            <v>19998000</v>
          </cell>
          <cell r="N36">
            <v>1</v>
          </cell>
          <cell r="O36">
            <v>3899000</v>
          </cell>
          <cell r="T36">
            <v>1</v>
          </cell>
          <cell r="U36">
            <v>6999000</v>
          </cell>
          <cell r="X36">
            <v>2</v>
          </cell>
          <cell r="Y36">
            <v>12598000</v>
          </cell>
          <cell r="Z36">
            <v>1</v>
          </cell>
          <cell r="AA36">
            <v>11999000</v>
          </cell>
          <cell r="AD36">
            <v>1</v>
          </cell>
          <cell r="AE36">
            <v>25999000</v>
          </cell>
          <cell r="AJ36">
            <v>2</v>
          </cell>
          <cell r="AK36">
            <v>13798000</v>
          </cell>
        </row>
        <row r="37">
          <cell r="B37">
            <v>6080712</v>
          </cell>
          <cell r="D37">
            <v>2</v>
          </cell>
          <cell r="E37">
            <v>4898000</v>
          </cell>
          <cell r="F37">
            <v>10</v>
          </cell>
          <cell r="G37">
            <v>27590000</v>
          </cell>
          <cell r="J37">
            <v>3</v>
          </cell>
          <cell r="K37">
            <v>6297000</v>
          </cell>
          <cell r="L37">
            <v>2</v>
          </cell>
          <cell r="M37">
            <v>20998000</v>
          </cell>
          <cell r="N37">
            <v>7</v>
          </cell>
          <cell r="O37">
            <v>33493000</v>
          </cell>
          <cell r="T37">
            <v>1</v>
          </cell>
          <cell r="U37">
            <v>7999000</v>
          </cell>
          <cell r="X37">
            <v>3</v>
          </cell>
          <cell r="Y37">
            <v>18097000</v>
          </cell>
          <cell r="AB37">
            <v>2</v>
          </cell>
          <cell r="AC37">
            <v>11998000</v>
          </cell>
          <cell r="AH37">
            <v>1</v>
          </cell>
          <cell r="AI37">
            <v>5699000</v>
          </cell>
          <cell r="AJ37">
            <v>1</v>
          </cell>
          <cell r="AK37">
            <v>8399000</v>
          </cell>
        </row>
        <row r="38">
          <cell r="B38">
            <v>6040701</v>
          </cell>
          <cell r="D38">
            <v>9</v>
          </cell>
          <cell r="E38">
            <v>22491000</v>
          </cell>
          <cell r="F38">
            <v>9</v>
          </cell>
          <cell r="G38">
            <v>23591000</v>
          </cell>
          <cell r="J38">
            <v>4</v>
          </cell>
          <cell r="K38">
            <v>8396000</v>
          </cell>
          <cell r="L38">
            <v>1</v>
          </cell>
          <cell r="M38">
            <v>9999000</v>
          </cell>
          <cell r="N38">
            <v>11</v>
          </cell>
          <cell r="O38">
            <v>49289000</v>
          </cell>
          <cell r="T38">
            <v>4</v>
          </cell>
          <cell r="U38">
            <v>29196000</v>
          </cell>
          <cell r="V38">
            <v>1</v>
          </cell>
          <cell r="W38">
            <v>3599000</v>
          </cell>
          <cell r="X38">
            <v>3</v>
          </cell>
          <cell r="Y38">
            <v>17297000</v>
          </cell>
          <cell r="AJ38">
            <v>2</v>
          </cell>
          <cell r="AK38">
            <v>15298000</v>
          </cell>
        </row>
        <row r="39">
          <cell r="B39">
            <v>6040702</v>
          </cell>
          <cell r="D39">
            <v>5</v>
          </cell>
          <cell r="E39">
            <v>12695000</v>
          </cell>
          <cell r="F39">
            <v>6</v>
          </cell>
          <cell r="G39">
            <v>15594000</v>
          </cell>
          <cell r="J39">
            <v>7</v>
          </cell>
          <cell r="K39">
            <v>14693000</v>
          </cell>
          <cell r="L39">
            <v>1</v>
          </cell>
          <cell r="M39">
            <v>10999000</v>
          </cell>
          <cell r="N39">
            <v>1</v>
          </cell>
          <cell r="O39">
            <v>4299000</v>
          </cell>
          <cell r="P39">
            <v>1</v>
          </cell>
          <cell r="Q39">
            <v>3599000</v>
          </cell>
          <cell r="T39">
            <v>1</v>
          </cell>
          <cell r="U39">
            <v>6499000</v>
          </cell>
          <cell r="V39">
            <v>2</v>
          </cell>
          <cell r="W39">
            <v>7198000</v>
          </cell>
          <cell r="X39">
            <v>2</v>
          </cell>
          <cell r="Y39">
            <v>11798000</v>
          </cell>
          <cell r="AD39">
            <v>1</v>
          </cell>
          <cell r="AE39">
            <v>29999000</v>
          </cell>
          <cell r="AJ39">
            <v>4</v>
          </cell>
          <cell r="AK39">
            <v>29096000</v>
          </cell>
        </row>
        <row r="40">
          <cell r="B40">
            <v>6040703</v>
          </cell>
          <cell r="D40">
            <v>5</v>
          </cell>
          <cell r="E40">
            <v>12695000</v>
          </cell>
          <cell r="F40">
            <v>3</v>
          </cell>
          <cell r="G40">
            <v>7997000</v>
          </cell>
          <cell r="H40">
            <v>1</v>
          </cell>
          <cell r="I40">
            <v>1799000</v>
          </cell>
          <cell r="J40">
            <v>2</v>
          </cell>
          <cell r="K40">
            <v>4198000</v>
          </cell>
          <cell r="L40">
            <v>3</v>
          </cell>
          <cell r="M40">
            <v>29997000</v>
          </cell>
          <cell r="N40">
            <v>2</v>
          </cell>
          <cell r="O40">
            <v>8198000</v>
          </cell>
          <cell r="T40">
            <v>2</v>
          </cell>
          <cell r="U40">
            <v>14998000</v>
          </cell>
          <cell r="X40">
            <v>1</v>
          </cell>
          <cell r="Y40">
            <v>6299000</v>
          </cell>
          <cell r="AB40">
            <v>1</v>
          </cell>
          <cell r="AC40">
            <v>6499000</v>
          </cell>
          <cell r="AD40">
            <v>1</v>
          </cell>
          <cell r="AE40">
            <v>25999000</v>
          </cell>
          <cell r="AH40">
            <v>2</v>
          </cell>
          <cell r="AI40">
            <v>11298000</v>
          </cell>
        </row>
        <row r="41">
          <cell r="B41">
            <v>6020711</v>
          </cell>
          <cell r="D41">
            <v>9</v>
          </cell>
          <cell r="E41">
            <v>20991000</v>
          </cell>
          <cell r="F41">
            <v>13</v>
          </cell>
          <cell r="G41">
            <v>33187000</v>
          </cell>
          <cell r="H41">
            <v>1</v>
          </cell>
          <cell r="I41">
            <v>1799000</v>
          </cell>
          <cell r="J41">
            <v>4</v>
          </cell>
          <cell r="K41">
            <v>8396000</v>
          </cell>
          <cell r="L41">
            <v>4</v>
          </cell>
          <cell r="M41">
            <v>39996000</v>
          </cell>
          <cell r="N41">
            <v>9</v>
          </cell>
          <cell r="O41">
            <v>40491000</v>
          </cell>
          <cell r="R41">
            <v>2</v>
          </cell>
          <cell r="S41">
            <v>7198000</v>
          </cell>
          <cell r="T41">
            <v>10</v>
          </cell>
          <cell r="U41">
            <v>77490000</v>
          </cell>
          <cell r="X41">
            <v>2</v>
          </cell>
          <cell r="Y41">
            <v>10998000</v>
          </cell>
          <cell r="Z41">
            <v>3</v>
          </cell>
          <cell r="AA41">
            <v>35997000</v>
          </cell>
          <cell r="AB41">
            <v>4</v>
          </cell>
          <cell r="AC41">
            <v>23596000</v>
          </cell>
          <cell r="AD41">
            <v>5</v>
          </cell>
          <cell r="AE41">
            <v>133995000</v>
          </cell>
          <cell r="AJ41">
            <v>3</v>
          </cell>
          <cell r="AK41">
            <v>20697000</v>
          </cell>
        </row>
        <row r="42">
          <cell r="B42">
            <v>6020706</v>
          </cell>
          <cell r="D42">
            <v>21</v>
          </cell>
          <cell r="E42">
            <v>50979000</v>
          </cell>
          <cell r="F42">
            <v>11</v>
          </cell>
          <cell r="G42">
            <v>30389000</v>
          </cell>
          <cell r="J42">
            <v>16</v>
          </cell>
          <cell r="K42">
            <v>33584000</v>
          </cell>
          <cell r="N42">
            <v>11</v>
          </cell>
          <cell r="O42">
            <v>51889000</v>
          </cell>
          <cell r="R42">
            <v>4</v>
          </cell>
          <cell r="S42">
            <v>14396000</v>
          </cell>
          <cell r="V42">
            <v>2</v>
          </cell>
          <cell r="W42">
            <v>7198000</v>
          </cell>
          <cell r="X42">
            <v>2</v>
          </cell>
          <cell r="Y42">
            <v>12598000</v>
          </cell>
          <cell r="AB42">
            <v>6</v>
          </cell>
          <cell r="AC42">
            <v>34894000</v>
          </cell>
          <cell r="AH42">
            <v>1</v>
          </cell>
          <cell r="AI42">
            <v>5699000</v>
          </cell>
          <cell r="AJ42">
            <v>1</v>
          </cell>
          <cell r="AK42">
            <v>8399000</v>
          </cell>
        </row>
        <row r="43">
          <cell r="B43">
            <v>6020704</v>
          </cell>
          <cell r="D43">
            <v>7</v>
          </cell>
          <cell r="E43">
            <v>17293000</v>
          </cell>
          <cell r="F43">
            <v>7</v>
          </cell>
          <cell r="G43">
            <v>18393000</v>
          </cell>
          <cell r="J43">
            <v>6</v>
          </cell>
          <cell r="K43">
            <v>12594000</v>
          </cell>
          <cell r="N43">
            <v>9</v>
          </cell>
          <cell r="O43">
            <v>39091000</v>
          </cell>
          <cell r="R43">
            <v>1</v>
          </cell>
          <cell r="S43">
            <v>3599000</v>
          </cell>
          <cell r="T43">
            <v>2</v>
          </cell>
          <cell r="U43">
            <v>14998000</v>
          </cell>
          <cell r="V43">
            <v>1</v>
          </cell>
          <cell r="W43">
            <v>3599000</v>
          </cell>
          <cell r="X43">
            <v>1</v>
          </cell>
          <cell r="Y43">
            <v>5499000</v>
          </cell>
          <cell r="AB43">
            <v>3</v>
          </cell>
          <cell r="AC43">
            <v>17097000</v>
          </cell>
          <cell r="AJ43">
            <v>1</v>
          </cell>
          <cell r="AK43">
            <v>6899000</v>
          </cell>
        </row>
        <row r="44">
          <cell r="B44">
            <v>6010708</v>
          </cell>
          <cell r="D44">
            <v>11</v>
          </cell>
          <cell r="E44">
            <v>28289000</v>
          </cell>
          <cell r="F44">
            <v>8</v>
          </cell>
          <cell r="G44">
            <v>21192000</v>
          </cell>
          <cell r="J44">
            <v>8</v>
          </cell>
          <cell r="K44">
            <v>16792000</v>
          </cell>
          <cell r="L44">
            <v>2</v>
          </cell>
          <cell r="M44">
            <v>19998000</v>
          </cell>
          <cell r="N44">
            <v>7</v>
          </cell>
          <cell r="O44">
            <v>32493000</v>
          </cell>
          <cell r="T44">
            <v>5</v>
          </cell>
          <cell r="U44">
            <v>39995000</v>
          </cell>
          <cell r="X44">
            <v>1</v>
          </cell>
          <cell r="Y44">
            <v>5499000</v>
          </cell>
          <cell r="AB44">
            <v>7</v>
          </cell>
          <cell r="AC44">
            <v>41293000</v>
          </cell>
          <cell r="AD44">
            <v>2</v>
          </cell>
          <cell r="AE44">
            <v>51998000</v>
          </cell>
          <cell r="AH44">
            <v>1</v>
          </cell>
          <cell r="AI44">
            <v>5699000</v>
          </cell>
          <cell r="AJ44">
            <v>1</v>
          </cell>
          <cell r="AK44">
            <v>8399000</v>
          </cell>
        </row>
        <row r="45">
          <cell r="B45">
            <v>6010703</v>
          </cell>
          <cell r="D45">
            <v>7</v>
          </cell>
          <cell r="E45">
            <v>16393000</v>
          </cell>
          <cell r="F45">
            <v>18</v>
          </cell>
          <cell r="G45">
            <v>46782000</v>
          </cell>
          <cell r="J45">
            <v>74</v>
          </cell>
          <cell r="K45">
            <v>155326000</v>
          </cell>
          <cell r="N45">
            <v>9</v>
          </cell>
          <cell r="O45">
            <v>37291000</v>
          </cell>
          <cell r="R45">
            <v>1</v>
          </cell>
          <cell r="S45">
            <v>3599000</v>
          </cell>
          <cell r="T45">
            <v>1</v>
          </cell>
          <cell r="U45">
            <v>7999000</v>
          </cell>
          <cell r="V45">
            <v>1</v>
          </cell>
          <cell r="W45">
            <v>3599000</v>
          </cell>
          <cell r="X45">
            <v>2</v>
          </cell>
          <cell r="Y45">
            <v>11798000</v>
          </cell>
          <cell r="AH45">
            <v>1</v>
          </cell>
          <cell r="AI45">
            <v>5699000</v>
          </cell>
          <cell r="AJ45">
            <v>1</v>
          </cell>
          <cell r="AK45">
            <v>6899000</v>
          </cell>
        </row>
        <row r="46">
          <cell r="B46">
            <v>6010702</v>
          </cell>
          <cell r="D46">
            <v>40</v>
          </cell>
          <cell r="E46">
            <v>97060000</v>
          </cell>
          <cell r="F46">
            <v>44</v>
          </cell>
          <cell r="G46">
            <v>117156000</v>
          </cell>
          <cell r="J46">
            <v>84</v>
          </cell>
          <cell r="K46">
            <v>176316000</v>
          </cell>
          <cell r="L46">
            <v>3</v>
          </cell>
          <cell r="M46">
            <v>29997000</v>
          </cell>
          <cell r="N46">
            <v>35</v>
          </cell>
          <cell r="O46">
            <v>155865000</v>
          </cell>
          <cell r="P46">
            <v>3</v>
          </cell>
          <cell r="Q46">
            <v>10797000</v>
          </cell>
          <cell r="T46">
            <v>2</v>
          </cell>
          <cell r="U46">
            <v>15998000</v>
          </cell>
          <cell r="X46">
            <v>5</v>
          </cell>
          <cell r="Y46">
            <v>28295000</v>
          </cell>
          <cell r="AB46">
            <v>1</v>
          </cell>
          <cell r="AC46">
            <v>5299000</v>
          </cell>
          <cell r="AH46">
            <v>1</v>
          </cell>
          <cell r="AI46">
            <v>5599000</v>
          </cell>
          <cell r="AJ46">
            <v>3</v>
          </cell>
          <cell r="AK46">
            <v>21997000</v>
          </cell>
        </row>
        <row r="47">
          <cell r="B47">
            <v>6010701</v>
          </cell>
          <cell r="D47">
            <v>40</v>
          </cell>
          <cell r="E47">
            <v>96760000</v>
          </cell>
          <cell r="F47">
            <v>40</v>
          </cell>
          <cell r="G47">
            <v>106360000</v>
          </cell>
          <cell r="J47">
            <v>38</v>
          </cell>
          <cell r="K47">
            <v>79762000</v>
          </cell>
          <cell r="L47">
            <v>2</v>
          </cell>
          <cell r="M47">
            <v>19998000</v>
          </cell>
          <cell r="N47">
            <v>46</v>
          </cell>
          <cell r="O47">
            <v>214754000</v>
          </cell>
          <cell r="P47">
            <v>5</v>
          </cell>
          <cell r="Q47">
            <v>17995000</v>
          </cell>
          <cell r="R47">
            <v>9</v>
          </cell>
          <cell r="S47">
            <v>32391000</v>
          </cell>
          <cell r="T47">
            <v>8</v>
          </cell>
          <cell r="U47">
            <v>63992000</v>
          </cell>
          <cell r="V47">
            <v>4</v>
          </cell>
          <cell r="W47">
            <v>14396000</v>
          </cell>
          <cell r="X47">
            <v>6</v>
          </cell>
          <cell r="Y47">
            <v>36194000</v>
          </cell>
          <cell r="AB47">
            <v>2</v>
          </cell>
          <cell r="AC47">
            <v>11798000</v>
          </cell>
          <cell r="AD47">
            <v>1</v>
          </cell>
          <cell r="AE47">
            <v>25999000</v>
          </cell>
          <cell r="AH47">
            <v>1</v>
          </cell>
          <cell r="AI47">
            <v>5699000</v>
          </cell>
          <cell r="AJ47">
            <v>4</v>
          </cell>
          <cell r="AK47">
            <v>29096000</v>
          </cell>
        </row>
        <row r="48">
          <cell r="B48">
            <v>6010710</v>
          </cell>
          <cell r="D48">
            <v>13</v>
          </cell>
          <cell r="E48">
            <v>32287000</v>
          </cell>
          <cell r="F48">
            <v>17</v>
          </cell>
          <cell r="G48">
            <v>43983000</v>
          </cell>
          <cell r="J48">
            <v>44</v>
          </cell>
          <cell r="K48">
            <v>92356000</v>
          </cell>
          <cell r="N48">
            <v>9</v>
          </cell>
          <cell r="O48">
            <v>39291000</v>
          </cell>
          <cell r="R48">
            <v>2</v>
          </cell>
          <cell r="S48">
            <v>7198000</v>
          </cell>
          <cell r="T48">
            <v>2</v>
          </cell>
          <cell r="U48">
            <v>15998000</v>
          </cell>
          <cell r="V48">
            <v>1</v>
          </cell>
          <cell r="W48">
            <v>3599000</v>
          </cell>
          <cell r="X48">
            <v>2</v>
          </cell>
          <cell r="Y48">
            <v>11798000</v>
          </cell>
          <cell r="AH48">
            <v>1</v>
          </cell>
          <cell r="AI48">
            <v>5699000</v>
          </cell>
          <cell r="AJ48">
            <v>2</v>
          </cell>
          <cell r="AK48">
            <v>15298000</v>
          </cell>
        </row>
        <row r="49">
          <cell r="B49">
            <v>6010709</v>
          </cell>
          <cell r="D49">
            <v>52</v>
          </cell>
          <cell r="E49">
            <v>124048000</v>
          </cell>
          <cell r="F49">
            <v>50</v>
          </cell>
          <cell r="G49">
            <v>130750000</v>
          </cell>
          <cell r="H49">
            <v>1</v>
          </cell>
          <cell r="I49">
            <v>1799000</v>
          </cell>
          <cell r="J49">
            <v>110</v>
          </cell>
          <cell r="K49">
            <v>230890000</v>
          </cell>
          <cell r="L49">
            <v>2</v>
          </cell>
          <cell r="M49">
            <v>18998000</v>
          </cell>
          <cell r="N49">
            <v>23</v>
          </cell>
          <cell r="O49">
            <v>100477000</v>
          </cell>
          <cell r="P49">
            <v>3</v>
          </cell>
          <cell r="Q49">
            <v>10797000</v>
          </cell>
          <cell r="R49">
            <v>9</v>
          </cell>
          <cell r="S49">
            <v>32391000</v>
          </cell>
          <cell r="T49">
            <v>4</v>
          </cell>
          <cell r="U49">
            <v>30496000</v>
          </cell>
          <cell r="V49">
            <v>12</v>
          </cell>
          <cell r="W49">
            <v>43188000</v>
          </cell>
          <cell r="X49">
            <v>3</v>
          </cell>
          <cell r="Y49">
            <v>16497000</v>
          </cell>
          <cell r="AB49">
            <v>7</v>
          </cell>
          <cell r="AC49">
            <v>40693000</v>
          </cell>
          <cell r="AH49">
            <v>1</v>
          </cell>
          <cell r="AI49">
            <v>5699000</v>
          </cell>
          <cell r="AJ49">
            <v>2</v>
          </cell>
          <cell r="AK49">
            <v>13798000</v>
          </cell>
        </row>
        <row r="50">
          <cell r="B50">
            <v>6010711</v>
          </cell>
          <cell r="D50">
            <v>6</v>
          </cell>
          <cell r="E50">
            <v>14394000</v>
          </cell>
          <cell r="F50">
            <v>8</v>
          </cell>
          <cell r="G50">
            <v>21192000</v>
          </cell>
          <cell r="J50">
            <v>3</v>
          </cell>
          <cell r="K50">
            <v>6297000</v>
          </cell>
          <cell r="L50">
            <v>1</v>
          </cell>
          <cell r="M50">
            <v>9999000</v>
          </cell>
          <cell r="N50">
            <v>9</v>
          </cell>
          <cell r="O50">
            <v>39491000</v>
          </cell>
          <cell r="V50">
            <v>2</v>
          </cell>
          <cell r="W50">
            <v>7198000</v>
          </cell>
          <cell r="X50">
            <v>3</v>
          </cell>
          <cell r="Y50">
            <v>18097000</v>
          </cell>
          <cell r="Z50">
            <v>1</v>
          </cell>
          <cell r="AA50">
            <v>11999000</v>
          </cell>
          <cell r="AB50">
            <v>1</v>
          </cell>
          <cell r="AC50">
            <v>6499000</v>
          </cell>
          <cell r="AD50">
            <v>3</v>
          </cell>
          <cell r="AE50">
            <v>81997000</v>
          </cell>
          <cell r="AF50">
            <v>1</v>
          </cell>
          <cell r="AG50">
            <v>15999000</v>
          </cell>
          <cell r="AJ50">
            <v>3</v>
          </cell>
          <cell r="AK50">
            <v>23297000</v>
          </cell>
        </row>
        <row r="51">
          <cell r="B51">
            <v>6100702</v>
          </cell>
          <cell r="F51">
            <v>4</v>
          </cell>
          <cell r="G51">
            <v>9996000</v>
          </cell>
          <cell r="H51">
            <v>1</v>
          </cell>
          <cell r="I51">
            <v>1799000</v>
          </cell>
          <cell r="J51">
            <v>2</v>
          </cell>
          <cell r="K51">
            <v>4198000</v>
          </cell>
          <cell r="L51">
            <v>1</v>
          </cell>
          <cell r="M51">
            <v>9999000</v>
          </cell>
          <cell r="N51">
            <v>5</v>
          </cell>
          <cell r="O51">
            <v>21895000</v>
          </cell>
          <cell r="R51">
            <v>1</v>
          </cell>
          <cell r="S51">
            <v>3599000</v>
          </cell>
          <cell r="V51">
            <v>3</v>
          </cell>
          <cell r="W51">
            <v>10797000</v>
          </cell>
          <cell r="Z51">
            <v>1</v>
          </cell>
          <cell r="AA51">
            <v>11999000</v>
          </cell>
          <cell r="AB51">
            <v>2</v>
          </cell>
          <cell r="AC51">
            <v>11798000</v>
          </cell>
          <cell r="AD51">
            <v>1</v>
          </cell>
          <cell r="AE51">
            <v>29999000</v>
          </cell>
          <cell r="AJ51">
            <v>1</v>
          </cell>
          <cell r="AK51">
            <v>6899000</v>
          </cell>
        </row>
        <row r="52">
          <cell r="B52">
            <v>6150702</v>
          </cell>
          <cell r="D52">
            <v>1</v>
          </cell>
          <cell r="E52">
            <v>2599000</v>
          </cell>
          <cell r="N52">
            <v>1</v>
          </cell>
          <cell r="O52">
            <v>4299000</v>
          </cell>
          <cell r="V52">
            <v>1</v>
          </cell>
          <cell r="W52">
            <v>3599000</v>
          </cell>
          <cell r="X52">
            <v>3</v>
          </cell>
          <cell r="Y52">
            <v>17297000</v>
          </cell>
        </row>
      </sheetData>
      <sheetData sheetId="26"/>
      <sheetData sheetId="27"/>
      <sheetData sheetId="28"/>
      <sheetData sheetId="29"/>
      <sheetData sheetId="30"/>
      <sheetData sheetId="31">
        <row r="2">
          <cell r="E2" t="str">
            <v>DEVICE</v>
          </cell>
          <cell r="I2" t="str">
            <v>3MIO+</v>
          </cell>
          <cell r="M2" t="str">
            <v>VALUE</v>
          </cell>
          <cell r="Q2" t="str">
            <v>VAS</v>
          </cell>
        </row>
        <row r="3">
          <cell r="C3" t="str">
            <v>ID Store</v>
          </cell>
          <cell r="D3" t="str">
            <v>Store</v>
          </cell>
          <cell r="E3" t="str">
            <v>TARGET
TOKO</v>
          </cell>
          <cell r="F3" t="str">
            <v>TOTAL
PC</v>
          </cell>
          <cell r="G3" t="str">
            <v>/PC</v>
          </cell>
          <cell r="H3" t="str">
            <v>TARGET TOKO
+ 10%</v>
          </cell>
          <cell r="I3" t="str">
            <v>TARGET TOKO</v>
          </cell>
          <cell r="J3" t="str">
            <v>TOTAL
PC</v>
          </cell>
          <cell r="K3" t="str">
            <v>/PC</v>
          </cell>
          <cell r="L3" t="str">
            <v>TARGET TOKO
+ 10%</v>
          </cell>
          <cell r="M3" t="str">
            <v>TARGET TOKO</v>
          </cell>
          <cell r="N3" t="str">
            <v>TOTAL
PC</v>
          </cell>
          <cell r="O3" t="str">
            <v>/PC</v>
          </cell>
          <cell r="P3" t="str">
            <v>TARGET/PC
+ 10%</v>
          </cell>
          <cell r="Q3" t="str">
            <v>ACC</v>
          </cell>
          <cell r="R3" t="str">
            <v>QOALA</v>
          </cell>
          <cell r="S3" t="str">
            <v>BCA
INSURANCE</v>
          </cell>
          <cell r="T3" t="str">
            <v>INDOSAT</v>
          </cell>
          <cell r="U3" t="str">
            <v>TSEL</v>
          </cell>
        </row>
        <row r="5">
          <cell r="C5">
            <v>6010708</v>
          </cell>
          <cell r="D5" t="str">
            <v>6010708-MVS SHOWROOM CENTRAL PARK</v>
          </cell>
          <cell r="E5">
            <v>120</v>
          </cell>
          <cell r="F5">
            <v>3</v>
          </cell>
          <cell r="G5">
            <v>40</v>
          </cell>
          <cell r="I5">
            <v>65</v>
          </cell>
          <cell r="J5">
            <v>3</v>
          </cell>
          <cell r="K5">
            <v>21.6666666666667</v>
          </cell>
          <cell r="M5">
            <v>840000000</v>
          </cell>
          <cell r="N5">
            <v>3</v>
          </cell>
          <cell r="O5">
            <v>280000000</v>
          </cell>
          <cell r="Q5">
            <v>12</v>
          </cell>
          <cell r="R5">
            <v>4200000</v>
          </cell>
          <cell r="S5">
            <v>840000</v>
          </cell>
          <cell r="T5">
            <v>3.6</v>
          </cell>
          <cell r="U5">
            <v>36</v>
          </cell>
        </row>
        <row r="6">
          <cell r="C6">
            <v>6010701</v>
          </cell>
          <cell r="D6" t="str">
            <v>6010701-MVS ROXY SHOWROOM 21</v>
          </cell>
          <cell r="E6">
            <v>260</v>
          </cell>
          <cell r="F6">
            <v>6</v>
          </cell>
          <cell r="G6">
            <v>43.3333333333333</v>
          </cell>
          <cell r="I6">
            <v>130</v>
          </cell>
          <cell r="J6">
            <v>6</v>
          </cell>
          <cell r="K6">
            <v>21.6666666666667</v>
          </cell>
          <cell r="M6">
            <v>962000000</v>
          </cell>
          <cell r="N6">
            <v>6</v>
          </cell>
          <cell r="O6">
            <v>160333333.33333299</v>
          </cell>
          <cell r="Q6">
            <v>26</v>
          </cell>
          <cell r="R6">
            <v>4810000</v>
          </cell>
          <cell r="S6">
            <v>962000</v>
          </cell>
          <cell r="T6">
            <v>7.8</v>
          </cell>
          <cell r="U6">
            <v>78</v>
          </cell>
        </row>
        <row r="7">
          <cell r="C7">
            <v>6010702</v>
          </cell>
          <cell r="D7" t="str">
            <v>6010702-ME ROXY PAMERAN TIMUR</v>
          </cell>
          <cell r="E7">
            <v>260</v>
          </cell>
          <cell r="F7">
            <v>6</v>
          </cell>
          <cell r="G7">
            <v>43.3333333333333</v>
          </cell>
          <cell r="I7">
            <v>130</v>
          </cell>
          <cell r="J7">
            <v>6</v>
          </cell>
          <cell r="K7">
            <v>21.6666666666667</v>
          </cell>
          <cell r="M7">
            <v>962000000</v>
          </cell>
          <cell r="N7">
            <v>6</v>
          </cell>
          <cell r="O7">
            <v>160333333.33333299</v>
          </cell>
          <cell r="Q7">
            <v>26</v>
          </cell>
          <cell r="R7">
            <v>4810000</v>
          </cell>
          <cell r="S7">
            <v>962000</v>
          </cell>
          <cell r="T7">
            <v>7.8</v>
          </cell>
          <cell r="U7">
            <v>78</v>
          </cell>
        </row>
        <row r="8">
          <cell r="C8">
            <v>6010703</v>
          </cell>
          <cell r="D8" t="str">
            <v>6010703-VIVO STORE WINSHOP</v>
          </cell>
          <cell r="E8">
            <v>120</v>
          </cell>
          <cell r="F8">
            <v>3</v>
          </cell>
          <cell r="G8">
            <v>40</v>
          </cell>
          <cell r="I8">
            <v>50</v>
          </cell>
          <cell r="J8">
            <v>3</v>
          </cell>
          <cell r="K8">
            <v>16.6666666666667</v>
          </cell>
          <cell r="M8">
            <v>420000000</v>
          </cell>
          <cell r="N8">
            <v>3</v>
          </cell>
          <cell r="O8">
            <v>140000000</v>
          </cell>
          <cell r="Q8">
            <v>12</v>
          </cell>
          <cell r="R8">
            <v>2100000</v>
          </cell>
          <cell r="S8">
            <v>420000</v>
          </cell>
          <cell r="T8">
            <v>3.6</v>
          </cell>
          <cell r="U8">
            <v>36</v>
          </cell>
        </row>
        <row r="9">
          <cell r="C9">
            <v>6010709</v>
          </cell>
          <cell r="D9" t="str">
            <v>A100303-PAMERAN UTARA</v>
          </cell>
          <cell r="E9">
            <v>320</v>
          </cell>
          <cell r="F9">
            <v>7</v>
          </cell>
          <cell r="G9">
            <v>45.714285714285701</v>
          </cell>
          <cell r="I9">
            <v>135</v>
          </cell>
          <cell r="J9">
            <v>7</v>
          </cell>
          <cell r="K9">
            <v>19.285714285714299</v>
          </cell>
          <cell r="M9">
            <v>1120000000</v>
          </cell>
          <cell r="N9">
            <v>7</v>
          </cell>
          <cell r="O9">
            <v>160000000</v>
          </cell>
          <cell r="Q9">
            <v>32</v>
          </cell>
          <cell r="R9">
            <v>5600000</v>
          </cell>
          <cell r="S9">
            <v>1120000</v>
          </cell>
          <cell r="T9">
            <v>9.6</v>
          </cell>
          <cell r="U9">
            <v>96</v>
          </cell>
        </row>
        <row r="10">
          <cell r="C10">
            <v>6010710</v>
          </cell>
          <cell r="D10" t="str">
            <v>A100304-PAMERAN SELATAN</v>
          </cell>
          <cell r="E10">
            <v>110</v>
          </cell>
          <cell r="F10">
            <v>4</v>
          </cell>
          <cell r="G10">
            <v>27.5</v>
          </cell>
          <cell r="I10">
            <v>55</v>
          </cell>
          <cell r="J10">
            <v>4</v>
          </cell>
          <cell r="K10">
            <v>13.75</v>
          </cell>
          <cell r="M10">
            <v>385000000</v>
          </cell>
          <cell r="N10">
            <v>4</v>
          </cell>
          <cell r="O10">
            <v>96250000</v>
          </cell>
          <cell r="Q10">
            <v>11</v>
          </cell>
          <cell r="R10">
            <v>1925000</v>
          </cell>
          <cell r="S10">
            <v>385000</v>
          </cell>
          <cell r="T10">
            <v>3.3</v>
          </cell>
          <cell r="U10">
            <v>33</v>
          </cell>
        </row>
        <row r="11">
          <cell r="C11">
            <v>6010711</v>
          </cell>
          <cell r="D11" t="str">
            <v>6010711-LIPPO MALL PURI 1FK02</v>
          </cell>
          <cell r="E11">
            <v>50</v>
          </cell>
          <cell r="F11">
            <v>3</v>
          </cell>
          <cell r="G11">
            <v>16.6666666666667</v>
          </cell>
          <cell r="I11">
            <v>0</v>
          </cell>
          <cell r="J11">
            <v>3</v>
          </cell>
          <cell r="K11">
            <v>0</v>
          </cell>
          <cell r="M11">
            <v>350000000</v>
          </cell>
          <cell r="N11">
            <v>3</v>
          </cell>
          <cell r="O11">
            <v>116666666.666667</v>
          </cell>
          <cell r="Q11">
            <v>5</v>
          </cell>
          <cell r="R11">
            <v>1750000</v>
          </cell>
          <cell r="S11">
            <v>350000</v>
          </cell>
          <cell r="T11">
            <v>1.5</v>
          </cell>
          <cell r="U11">
            <v>15</v>
          </cell>
        </row>
        <row r="12">
          <cell r="C12">
            <v>6020711</v>
          </cell>
          <cell r="D12" t="str">
            <v>6020711-vivostore emporium</v>
          </cell>
          <cell r="E12">
            <v>120</v>
          </cell>
          <cell r="F12">
            <v>3</v>
          </cell>
          <cell r="G12">
            <v>40</v>
          </cell>
          <cell r="I12">
            <v>65</v>
          </cell>
          <cell r="J12">
            <v>3</v>
          </cell>
          <cell r="K12">
            <v>21.6666666666667</v>
          </cell>
          <cell r="M12">
            <v>840000000</v>
          </cell>
          <cell r="N12">
            <v>3</v>
          </cell>
          <cell r="O12">
            <v>280000000</v>
          </cell>
          <cell r="Q12">
            <v>12</v>
          </cell>
          <cell r="R12">
            <v>4200000</v>
          </cell>
          <cell r="S12">
            <v>840000</v>
          </cell>
          <cell r="T12">
            <v>3.6</v>
          </cell>
          <cell r="U12">
            <v>36</v>
          </cell>
        </row>
        <row r="13">
          <cell r="C13">
            <v>6020706</v>
          </cell>
          <cell r="D13" t="str">
            <v>6020706-MVS CEMPAKA SHOWROOM 2 (454)</v>
          </cell>
          <cell r="E13">
            <v>100</v>
          </cell>
          <cell r="F13">
            <v>3</v>
          </cell>
          <cell r="G13">
            <v>33.3333333333333</v>
          </cell>
          <cell r="I13">
            <v>50</v>
          </cell>
          <cell r="J13">
            <v>3</v>
          </cell>
          <cell r="K13">
            <v>16.6666666666667</v>
          </cell>
          <cell r="M13">
            <v>430000000</v>
          </cell>
          <cell r="N13">
            <v>3</v>
          </cell>
          <cell r="O13">
            <v>143333333.33333299</v>
          </cell>
          <cell r="Q13">
            <v>10</v>
          </cell>
          <cell r="R13">
            <v>2150000</v>
          </cell>
          <cell r="S13">
            <v>430000</v>
          </cell>
          <cell r="T13">
            <v>3</v>
          </cell>
          <cell r="U13">
            <v>30</v>
          </cell>
        </row>
        <row r="14">
          <cell r="C14">
            <v>6020704</v>
          </cell>
          <cell r="D14" t="str">
            <v>6020704-MVS CEMPAKA SHOWROOM 14 (8TOKO)</v>
          </cell>
          <cell r="E14">
            <v>60</v>
          </cell>
          <cell r="F14">
            <v>3</v>
          </cell>
          <cell r="G14">
            <v>20</v>
          </cell>
          <cell r="I14">
            <v>40</v>
          </cell>
          <cell r="J14">
            <v>3</v>
          </cell>
          <cell r="K14">
            <v>13.3333333333333</v>
          </cell>
          <cell r="M14">
            <v>258000000</v>
          </cell>
          <cell r="N14">
            <v>3</v>
          </cell>
          <cell r="O14">
            <v>86000000</v>
          </cell>
          <cell r="Q14">
            <v>6</v>
          </cell>
          <cell r="R14">
            <v>1290000</v>
          </cell>
          <cell r="S14">
            <v>258000</v>
          </cell>
          <cell r="T14">
            <v>1.8</v>
          </cell>
          <cell r="U14">
            <v>18</v>
          </cell>
        </row>
        <row r="15">
          <cell r="C15">
            <v>6040701</v>
          </cell>
          <cell r="D15" t="str">
            <v>A200402-ITC-VIVO STORE 1</v>
          </cell>
          <cell r="E15">
            <v>50</v>
          </cell>
          <cell r="F15">
            <v>2</v>
          </cell>
          <cell r="G15">
            <v>25</v>
          </cell>
          <cell r="I15">
            <v>29</v>
          </cell>
          <cell r="J15">
            <v>2</v>
          </cell>
          <cell r="K15">
            <v>14.5</v>
          </cell>
          <cell r="M15">
            <v>215000000</v>
          </cell>
          <cell r="N15">
            <v>2</v>
          </cell>
          <cell r="O15">
            <v>107500000</v>
          </cell>
          <cell r="Q15">
            <v>5</v>
          </cell>
          <cell r="R15">
            <v>1075000</v>
          </cell>
          <cell r="S15">
            <v>215000</v>
          </cell>
          <cell r="T15">
            <v>1.5</v>
          </cell>
          <cell r="U15">
            <v>15</v>
          </cell>
        </row>
        <row r="16">
          <cell r="C16">
            <v>6080712</v>
          </cell>
          <cell r="D16" t="str">
            <v>6080712-MVS ITC DEPOK VIVO STORE 2</v>
          </cell>
          <cell r="E16">
            <v>60</v>
          </cell>
          <cell r="F16">
            <v>3</v>
          </cell>
          <cell r="G16">
            <v>20</v>
          </cell>
          <cell r="I16">
            <v>40</v>
          </cell>
          <cell r="J16">
            <v>3</v>
          </cell>
          <cell r="K16">
            <v>13.3333333333333</v>
          </cell>
          <cell r="M16">
            <v>258000000</v>
          </cell>
          <cell r="N16">
            <v>3</v>
          </cell>
          <cell r="O16">
            <v>86000000</v>
          </cell>
          <cell r="Q16">
            <v>6</v>
          </cell>
          <cell r="R16">
            <v>1290000</v>
          </cell>
          <cell r="S16">
            <v>258000</v>
          </cell>
          <cell r="T16">
            <v>1.8</v>
          </cell>
          <cell r="U16">
            <v>18</v>
          </cell>
        </row>
        <row r="17">
          <cell r="C17">
            <v>6040702</v>
          </cell>
          <cell r="D17" t="str">
            <v>6040702-Tran Studio Mall 2F059</v>
          </cell>
          <cell r="E17">
            <v>30</v>
          </cell>
          <cell r="F17">
            <v>2</v>
          </cell>
          <cell r="G17">
            <v>15</v>
          </cell>
          <cell r="I17">
            <v>30</v>
          </cell>
          <cell r="J17">
            <v>3</v>
          </cell>
          <cell r="K17">
            <v>10</v>
          </cell>
          <cell r="M17">
            <v>210000000</v>
          </cell>
          <cell r="N17">
            <v>3</v>
          </cell>
          <cell r="O17">
            <v>70000000</v>
          </cell>
          <cell r="Q17">
            <v>3</v>
          </cell>
          <cell r="R17">
            <v>1050000</v>
          </cell>
          <cell r="S17">
            <v>210000</v>
          </cell>
          <cell r="T17">
            <v>0.9</v>
          </cell>
          <cell r="U17">
            <v>9</v>
          </cell>
        </row>
        <row r="18">
          <cell r="C18">
            <v>6040703</v>
          </cell>
          <cell r="D18" t="str">
            <v>6040703-SAWANGAN 1F1-0320</v>
          </cell>
          <cell r="E18">
            <v>40</v>
          </cell>
          <cell r="F18">
            <v>2</v>
          </cell>
          <cell r="G18">
            <v>20</v>
          </cell>
          <cell r="I18">
            <v>30</v>
          </cell>
          <cell r="J18">
            <v>2</v>
          </cell>
          <cell r="K18">
            <v>15</v>
          </cell>
          <cell r="M18">
            <v>220000000</v>
          </cell>
          <cell r="N18">
            <v>2</v>
          </cell>
          <cell r="O18">
            <v>110000000</v>
          </cell>
          <cell r="Q18">
            <v>4</v>
          </cell>
          <cell r="R18">
            <v>1100000</v>
          </cell>
          <cell r="S18">
            <v>220000</v>
          </cell>
          <cell r="T18">
            <v>1.2</v>
          </cell>
          <cell r="U18">
            <v>12</v>
          </cell>
        </row>
        <row r="19">
          <cell r="C19">
            <v>6050701</v>
          </cell>
          <cell r="D19" t="str">
            <v>6050701-MVS X6 DS0824</v>
          </cell>
          <cell r="E19">
            <v>60</v>
          </cell>
          <cell r="F19">
            <v>2</v>
          </cell>
          <cell r="G19">
            <v>30</v>
          </cell>
          <cell r="I19">
            <v>35</v>
          </cell>
          <cell r="J19">
            <v>2</v>
          </cell>
          <cell r="K19">
            <v>17.5</v>
          </cell>
          <cell r="M19">
            <v>330000000</v>
          </cell>
          <cell r="N19">
            <v>2</v>
          </cell>
          <cell r="O19">
            <v>165000000</v>
          </cell>
          <cell r="Q19">
            <v>6</v>
          </cell>
          <cell r="R19">
            <v>1650000</v>
          </cell>
          <cell r="S19">
            <v>330000</v>
          </cell>
          <cell r="T19">
            <v>1.8</v>
          </cell>
          <cell r="U19">
            <v>18</v>
          </cell>
        </row>
        <row r="20">
          <cell r="C20">
            <v>6050705</v>
          </cell>
          <cell r="D20" t="str">
            <v>6050705-MBH 2F009</v>
          </cell>
          <cell r="E20">
            <v>20</v>
          </cell>
          <cell r="F20">
            <v>1</v>
          </cell>
          <cell r="M20">
            <v>440000000</v>
          </cell>
          <cell r="Q20">
            <v>8</v>
          </cell>
          <cell r="R20">
            <v>2200000</v>
          </cell>
          <cell r="S20">
            <v>440000</v>
          </cell>
          <cell r="T20">
            <v>2.4</v>
          </cell>
          <cell r="U20">
            <v>24</v>
          </cell>
        </row>
        <row r="21">
          <cell r="C21">
            <v>6220701</v>
          </cell>
          <cell r="D21" t="str">
            <v>6220701-MVS MBH-VIP VIVO STORE-DD284</v>
          </cell>
          <cell r="E21">
            <v>80</v>
          </cell>
          <cell r="F21">
            <v>3</v>
          </cell>
          <cell r="G21">
            <v>26.6666666666667</v>
          </cell>
          <cell r="I21">
            <v>45</v>
          </cell>
          <cell r="J21">
            <v>3</v>
          </cell>
          <cell r="K21">
            <v>15</v>
          </cell>
          <cell r="M21">
            <v>90000000</v>
          </cell>
          <cell r="N21">
            <v>3</v>
          </cell>
          <cell r="O21">
            <v>30000000</v>
          </cell>
          <cell r="Q21">
            <v>2</v>
          </cell>
          <cell r="R21">
            <v>450000</v>
          </cell>
          <cell r="S21">
            <v>90000</v>
          </cell>
          <cell r="T21">
            <v>0.6</v>
          </cell>
          <cell r="U21">
            <v>6</v>
          </cell>
        </row>
        <row r="22">
          <cell r="C22">
            <v>6050706</v>
          </cell>
          <cell r="D22" t="str">
            <v>6050706-AEON MALL DELTAMAS 1F081</v>
          </cell>
          <cell r="E22">
            <v>30</v>
          </cell>
          <cell r="M22">
            <v>165000000</v>
          </cell>
          <cell r="Q22">
            <v>3</v>
          </cell>
          <cell r="R22">
            <v>825000</v>
          </cell>
          <cell r="S22">
            <v>165000</v>
          </cell>
          <cell r="T22">
            <v>0.9</v>
          </cell>
          <cell r="U22">
            <v>9</v>
          </cell>
        </row>
        <row r="23">
          <cell r="C23">
            <v>6180706</v>
          </cell>
          <cell r="D23" t="str">
            <v>6180706-MVS MALL CCM</v>
          </cell>
          <cell r="E23">
            <v>120</v>
          </cell>
          <cell r="F23">
            <v>3</v>
          </cell>
          <cell r="G23">
            <v>40</v>
          </cell>
          <cell r="I23">
            <v>65</v>
          </cell>
          <cell r="J23">
            <v>3</v>
          </cell>
          <cell r="K23">
            <v>21.6666666666667</v>
          </cell>
          <cell r="M23">
            <v>624000000</v>
          </cell>
          <cell r="N23">
            <v>3</v>
          </cell>
          <cell r="O23">
            <v>208000000</v>
          </cell>
          <cell r="Q23">
            <v>12</v>
          </cell>
          <cell r="R23">
            <v>3120000</v>
          </cell>
          <cell r="S23">
            <v>624000</v>
          </cell>
          <cell r="T23">
            <v>3.6</v>
          </cell>
          <cell r="U23">
            <v>36</v>
          </cell>
        </row>
        <row r="24">
          <cell r="C24">
            <v>6180707</v>
          </cell>
          <cell r="D24" t="str">
            <v>6180707-SC BTM</v>
          </cell>
          <cell r="E24">
            <v>20</v>
          </cell>
          <cell r="F24">
            <v>1</v>
          </cell>
          <cell r="G24">
            <v>20</v>
          </cell>
          <cell r="I24">
            <v>15</v>
          </cell>
          <cell r="J24">
            <v>1</v>
          </cell>
          <cell r="K24">
            <v>15</v>
          </cell>
          <cell r="M24">
            <v>100000000</v>
          </cell>
          <cell r="N24">
            <v>1</v>
          </cell>
          <cell r="O24">
            <v>100000000</v>
          </cell>
          <cell r="Q24">
            <v>2</v>
          </cell>
          <cell r="R24">
            <v>100000</v>
          </cell>
          <cell r="S24">
            <v>100000</v>
          </cell>
          <cell r="T24">
            <v>0.6</v>
          </cell>
          <cell r="U24">
            <v>6</v>
          </cell>
        </row>
        <row r="25">
          <cell r="C25">
            <v>6170707</v>
          </cell>
          <cell r="D25" t="str">
            <v>6170707-LG BLOK D NO. 01D SKY 7</v>
          </cell>
          <cell r="E25">
            <v>80</v>
          </cell>
          <cell r="F25">
            <v>3</v>
          </cell>
          <cell r="G25">
            <v>26.6666666666667</v>
          </cell>
          <cell r="I25">
            <v>36</v>
          </cell>
          <cell r="J25">
            <v>3</v>
          </cell>
          <cell r="K25">
            <v>12</v>
          </cell>
          <cell r="M25">
            <v>344000000</v>
          </cell>
          <cell r="N25">
            <v>3</v>
          </cell>
          <cell r="O25">
            <v>114666666.666667</v>
          </cell>
          <cell r="Q25">
            <v>8</v>
          </cell>
          <cell r="R25">
            <v>1720000</v>
          </cell>
          <cell r="S25">
            <v>344000</v>
          </cell>
          <cell r="T25">
            <v>2.4</v>
          </cell>
          <cell r="U25">
            <v>24</v>
          </cell>
        </row>
        <row r="26">
          <cell r="C26">
            <v>6240702</v>
          </cell>
          <cell r="D26" t="str">
            <v>A200902-LG BLOK B NO. 01B SKY M3</v>
          </cell>
          <cell r="E26">
            <v>100</v>
          </cell>
          <cell r="F26">
            <v>3</v>
          </cell>
          <cell r="G26">
            <v>33.3333333333333</v>
          </cell>
          <cell r="I26">
            <v>50</v>
          </cell>
          <cell r="J26">
            <v>3</v>
          </cell>
          <cell r="K26">
            <v>16.6666666666667</v>
          </cell>
          <cell r="M26">
            <v>430000000</v>
          </cell>
          <cell r="N26">
            <v>3</v>
          </cell>
          <cell r="O26">
            <v>143333333.33333299</v>
          </cell>
          <cell r="Q26">
            <v>10</v>
          </cell>
          <cell r="R26">
            <v>2150000</v>
          </cell>
          <cell r="S26">
            <v>430000</v>
          </cell>
          <cell r="T26">
            <v>3</v>
          </cell>
          <cell r="U26">
            <v>30</v>
          </cell>
        </row>
        <row r="27">
          <cell r="C27">
            <v>6240704</v>
          </cell>
          <cell r="D27" t="str">
            <v>6240704-TANGCITY LG017 WEST LOBBY</v>
          </cell>
          <cell r="E27">
            <v>30</v>
          </cell>
          <cell r="F27">
            <v>2</v>
          </cell>
          <cell r="G27">
            <v>15</v>
          </cell>
          <cell r="I27">
            <v>22</v>
          </cell>
          <cell r="J27">
            <v>2</v>
          </cell>
          <cell r="K27">
            <v>11</v>
          </cell>
          <cell r="M27">
            <v>129000000</v>
          </cell>
          <cell r="N27">
            <v>2</v>
          </cell>
          <cell r="O27">
            <v>64500000</v>
          </cell>
          <cell r="Q27">
            <v>3</v>
          </cell>
          <cell r="R27">
            <v>350000</v>
          </cell>
          <cell r="S27">
            <v>150000</v>
          </cell>
          <cell r="T27">
            <v>0.9</v>
          </cell>
          <cell r="U27">
            <v>9</v>
          </cell>
        </row>
        <row r="28">
          <cell r="C28">
            <v>6240701</v>
          </cell>
          <cell r="D28" t="str">
            <v>A200803-LG BLOK A-B NO. 12 SKY 5</v>
          </cell>
          <cell r="E28">
            <v>90</v>
          </cell>
          <cell r="F28">
            <v>4</v>
          </cell>
          <cell r="G28">
            <v>22.5</v>
          </cell>
          <cell r="I28">
            <v>47</v>
          </cell>
          <cell r="J28">
            <v>4</v>
          </cell>
          <cell r="K28">
            <v>11.75</v>
          </cell>
          <cell r="M28">
            <v>387000000</v>
          </cell>
          <cell r="N28">
            <v>4</v>
          </cell>
          <cell r="O28">
            <v>96750000</v>
          </cell>
          <cell r="Q28">
            <v>9</v>
          </cell>
          <cell r="R28">
            <v>1935000</v>
          </cell>
          <cell r="S28">
            <v>387000</v>
          </cell>
          <cell r="T28">
            <v>2.7</v>
          </cell>
          <cell r="U28">
            <v>27</v>
          </cell>
        </row>
        <row r="29">
          <cell r="C29">
            <v>6170706</v>
          </cell>
          <cell r="D29" t="str">
            <v>A200802-CHARLES</v>
          </cell>
          <cell r="E29">
            <v>90</v>
          </cell>
          <cell r="F29">
            <v>3</v>
          </cell>
          <cell r="G29">
            <v>30</v>
          </cell>
          <cell r="I29">
            <v>40</v>
          </cell>
          <cell r="J29">
            <v>3</v>
          </cell>
          <cell r="K29">
            <v>13.3333333333333</v>
          </cell>
          <cell r="M29">
            <v>387000000</v>
          </cell>
          <cell r="N29">
            <v>3</v>
          </cell>
          <cell r="O29">
            <v>129000000</v>
          </cell>
          <cell r="Q29">
            <v>9</v>
          </cell>
          <cell r="R29">
            <v>1935000</v>
          </cell>
          <cell r="S29">
            <v>387000</v>
          </cell>
          <cell r="T29">
            <v>2.7</v>
          </cell>
          <cell r="U29">
            <v>27</v>
          </cell>
        </row>
        <row r="30">
          <cell r="C30">
            <v>6240703</v>
          </cell>
          <cell r="D30" t="str">
            <v>6240703-TANGCITY LG009 CENTER</v>
          </cell>
          <cell r="E30">
            <v>90</v>
          </cell>
          <cell r="F30">
            <v>2</v>
          </cell>
          <cell r="G30">
            <v>45</v>
          </cell>
          <cell r="I30">
            <v>36</v>
          </cell>
          <cell r="J30">
            <v>2</v>
          </cell>
          <cell r="K30">
            <v>18</v>
          </cell>
          <cell r="M30">
            <v>387000000</v>
          </cell>
          <cell r="N30">
            <v>2</v>
          </cell>
          <cell r="O30">
            <v>193500000</v>
          </cell>
          <cell r="Q30">
            <v>9</v>
          </cell>
          <cell r="R30">
            <v>1935000</v>
          </cell>
          <cell r="S30">
            <v>387000</v>
          </cell>
          <cell r="T30">
            <v>2.7</v>
          </cell>
          <cell r="U30">
            <v>27</v>
          </cell>
        </row>
        <row r="31">
          <cell r="C31">
            <v>6170703</v>
          </cell>
          <cell r="D31" t="str">
            <v>6170703-4004 MVS-BNT-CCM STORE</v>
          </cell>
          <cell r="E31">
            <v>30</v>
          </cell>
          <cell r="F31">
            <v>2</v>
          </cell>
          <cell r="G31">
            <v>15</v>
          </cell>
          <cell r="I31">
            <v>18</v>
          </cell>
          <cell r="J31">
            <v>2</v>
          </cell>
          <cell r="K31">
            <v>9</v>
          </cell>
          <cell r="M31">
            <v>150000000</v>
          </cell>
          <cell r="N31">
            <v>2</v>
          </cell>
          <cell r="O31">
            <v>75000000</v>
          </cell>
          <cell r="Q31">
            <v>3</v>
          </cell>
          <cell r="R31">
            <v>200000</v>
          </cell>
          <cell r="S31">
            <v>100000</v>
          </cell>
          <cell r="T31">
            <v>0.9</v>
          </cell>
          <cell r="U31">
            <v>9</v>
          </cell>
        </row>
        <row r="32">
          <cell r="C32">
            <v>6240705</v>
          </cell>
          <cell r="D32" t="str">
            <v>6240705-CIPUTRA 2FC15</v>
          </cell>
          <cell r="E32">
            <v>40</v>
          </cell>
          <cell r="F32">
            <v>2</v>
          </cell>
          <cell r="G32">
            <v>20</v>
          </cell>
          <cell r="I32">
            <v>18</v>
          </cell>
          <cell r="J32">
            <v>2</v>
          </cell>
          <cell r="K32">
            <v>9</v>
          </cell>
          <cell r="M32">
            <v>172000000</v>
          </cell>
          <cell r="N32">
            <v>2</v>
          </cell>
          <cell r="O32">
            <v>86000000</v>
          </cell>
          <cell r="Q32">
            <v>4</v>
          </cell>
          <cell r="R32">
            <v>100000</v>
          </cell>
          <cell r="S32">
            <v>50000</v>
          </cell>
          <cell r="T32">
            <v>1.2</v>
          </cell>
          <cell r="U32">
            <v>12</v>
          </cell>
        </row>
        <row r="33">
          <cell r="C33">
            <v>6240707</v>
          </cell>
          <cell r="D33" t="str">
            <v>6240707-SUPERMALL UGN3A</v>
          </cell>
          <cell r="E33">
            <v>30</v>
          </cell>
          <cell r="F33">
            <v>2</v>
          </cell>
          <cell r="G33">
            <v>15</v>
          </cell>
          <cell r="I33">
            <v>18</v>
          </cell>
          <cell r="J33">
            <v>2</v>
          </cell>
          <cell r="K33">
            <v>9</v>
          </cell>
          <cell r="M33">
            <v>165000000</v>
          </cell>
          <cell r="N33">
            <v>2</v>
          </cell>
          <cell r="O33">
            <v>82500000</v>
          </cell>
          <cell r="Q33">
            <v>3</v>
          </cell>
          <cell r="R33">
            <v>825000</v>
          </cell>
          <cell r="S33">
            <v>165000</v>
          </cell>
          <cell r="T33">
            <v>0.9</v>
          </cell>
          <cell r="U33">
            <v>9</v>
          </cell>
        </row>
        <row r="34">
          <cell r="C34">
            <v>6240706</v>
          </cell>
          <cell r="D34" t="str">
            <v>6240706-SUPERMALL LGC3A</v>
          </cell>
          <cell r="E34">
            <v>30</v>
          </cell>
          <cell r="F34">
            <v>2</v>
          </cell>
          <cell r="G34">
            <v>15</v>
          </cell>
          <cell r="I34">
            <v>18</v>
          </cell>
          <cell r="J34">
            <v>2</v>
          </cell>
          <cell r="K34">
            <v>9</v>
          </cell>
          <cell r="M34">
            <v>165000000</v>
          </cell>
          <cell r="N34">
            <v>2</v>
          </cell>
          <cell r="O34">
            <v>82500000</v>
          </cell>
          <cell r="Q34">
            <v>3</v>
          </cell>
          <cell r="R34">
            <v>825000</v>
          </cell>
          <cell r="S34">
            <v>165000</v>
          </cell>
          <cell r="T34">
            <v>0.9</v>
          </cell>
          <cell r="U34">
            <v>9</v>
          </cell>
        </row>
        <row r="35">
          <cell r="C35">
            <v>6240708</v>
          </cell>
          <cell r="D35" t="str">
            <v>6240708-ITC BSD 1F09-14</v>
          </cell>
          <cell r="E35">
            <v>30</v>
          </cell>
          <cell r="F35">
            <v>2</v>
          </cell>
          <cell r="G35">
            <v>15</v>
          </cell>
          <cell r="I35">
            <v>0</v>
          </cell>
          <cell r="J35">
            <v>2</v>
          </cell>
          <cell r="K35">
            <v>0</v>
          </cell>
          <cell r="M35">
            <v>150000000</v>
          </cell>
          <cell r="N35">
            <v>2</v>
          </cell>
          <cell r="O35">
            <v>75000000</v>
          </cell>
          <cell r="Q35">
            <v>3</v>
          </cell>
          <cell r="R35">
            <v>750000</v>
          </cell>
          <cell r="S35">
            <v>150000</v>
          </cell>
          <cell r="T35">
            <v>0.9</v>
          </cell>
          <cell r="U35">
            <v>9</v>
          </cell>
        </row>
        <row r="36">
          <cell r="C36">
            <v>6240709</v>
          </cell>
          <cell r="D36" t="str">
            <v>6240709-ITC BSD 1F49-50</v>
          </cell>
          <cell r="E36">
            <v>30</v>
          </cell>
          <cell r="F36">
            <v>2</v>
          </cell>
          <cell r="G36">
            <v>15</v>
          </cell>
          <cell r="I36">
            <v>0</v>
          </cell>
          <cell r="J36">
            <v>2</v>
          </cell>
          <cell r="K36">
            <v>0</v>
          </cell>
          <cell r="M36">
            <v>150000000</v>
          </cell>
          <cell r="N36">
            <v>2</v>
          </cell>
          <cell r="O36">
            <v>75000000</v>
          </cell>
          <cell r="Q36">
            <v>3</v>
          </cell>
          <cell r="R36">
            <v>750000</v>
          </cell>
          <cell r="S36">
            <v>150000</v>
          </cell>
          <cell r="T36">
            <v>0.9</v>
          </cell>
          <cell r="U36">
            <v>9</v>
          </cell>
        </row>
        <row r="37">
          <cell r="C37">
            <v>6190701</v>
          </cell>
          <cell r="D37" t="str">
            <v>6190701-VIVO STORE UG</v>
          </cell>
          <cell r="E37">
            <v>50</v>
          </cell>
          <cell r="F37">
            <v>2</v>
          </cell>
          <cell r="G37">
            <v>25</v>
          </cell>
          <cell r="I37">
            <v>32</v>
          </cell>
          <cell r="J37">
            <v>2</v>
          </cell>
          <cell r="K37">
            <v>16</v>
          </cell>
          <cell r="M37">
            <v>215000000</v>
          </cell>
          <cell r="N37">
            <v>2</v>
          </cell>
          <cell r="O37">
            <v>107500000</v>
          </cell>
          <cell r="Q37">
            <v>5</v>
          </cell>
          <cell r="R37">
            <v>1075000</v>
          </cell>
          <cell r="S37">
            <v>215000</v>
          </cell>
          <cell r="T37">
            <v>1.5</v>
          </cell>
          <cell r="U37">
            <v>15</v>
          </cell>
        </row>
        <row r="38">
          <cell r="C38">
            <v>6190706</v>
          </cell>
          <cell r="D38" t="str">
            <v>A300102-VIVO STORE 4 BEC</v>
          </cell>
          <cell r="E38">
            <v>110</v>
          </cell>
          <cell r="F38">
            <v>4</v>
          </cell>
          <cell r="G38">
            <v>27.5</v>
          </cell>
          <cell r="I38">
            <v>61</v>
          </cell>
          <cell r="J38">
            <v>4</v>
          </cell>
          <cell r="K38">
            <v>15.25</v>
          </cell>
          <cell r="M38">
            <v>473000000</v>
          </cell>
          <cell r="N38">
            <v>4</v>
          </cell>
          <cell r="O38">
            <v>118250000</v>
          </cell>
          <cell r="Q38">
            <v>11</v>
          </cell>
          <cell r="R38">
            <v>2365000</v>
          </cell>
          <cell r="S38">
            <v>473000</v>
          </cell>
          <cell r="T38">
            <v>3.3</v>
          </cell>
          <cell r="U38">
            <v>33</v>
          </cell>
        </row>
        <row r="39">
          <cell r="C39">
            <v>6190705</v>
          </cell>
          <cell r="D39" t="str">
            <v>A300105-VIVO STORE LG F20</v>
          </cell>
          <cell r="E39">
            <v>60</v>
          </cell>
          <cell r="F39">
            <v>2</v>
          </cell>
          <cell r="G39">
            <v>30</v>
          </cell>
          <cell r="I39">
            <v>29</v>
          </cell>
          <cell r="J39">
            <v>2</v>
          </cell>
          <cell r="K39">
            <v>14.5</v>
          </cell>
          <cell r="M39">
            <v>258000000</v>
          </cell>
          <cell r="N39">
            <v>2</v>
          </cell>
          <cell r="O39">
            <v>129000000</v>
          </cell>
          <cell r="Q39">
            <v>6</v>
          </cell>
          <cell r="R39">
            <v>1290000</v>
          </cell>
          <cell r="S39">
            <v>258000</v>
          </cell>
          <cell r="T39">
            <v>1.8</v>
          </cell>
          <cell r="U39">
            <v>18</v>
          </cell>
        </row>
        <row r="40">
          <cell r="C40">
            <v>6190704</v>
          </cell>
          <cell r="D40" t="str">
            <v>A300201-VIVO STORE 1 BEC</v>
          </cell>
          <cell r="E40">
            <v>120</v>
          </cell>
          <cell r="F40">
            <v>4</v>
          </cell>
          <cell r="G40">
            <v>30</v>
          </cell>
          <cell r="I40">
            <v>50</v>
          </cell>
          <cell r="J40">
            <v>4</v>
          </cell>
          <cell r="K40">
            <v>12.5</v>
          </cell>
          <cell r="M40">
            <v>516000000</v>
          </cell>
          <cell r="N40">
            <v>4</v>
          </cell>
          <cell r="O40">
            <v>129000000</v>
          </cell>
          <cell r="Q40">
            <v>12</v>
          </cell>
          <cell r="R40">
            <v>2580000</v>
          </cell>
          <cell r="S40">
            <v>516000</v>
          </cell>
          <cell r="T40">
            <v>3.6</v>
          </cell>
          <cell r="U40">
            <v>36</v>
          </cell>
        </row>
        <row r="41">
          <cell r="C41">
            <v>6190707</v>
          </cell>
          <cell r="D41" t="str">
            <v>A300202-VIVO STORE LU</v>
          </cell>
          <cell r="E41">
            <v>120</v>
          </cell>
          <cell r="F41">
            <v>4</v>
          </cell>
          <cell r="G41">
            <v>30</v>
          </cell>
          <cell r="I41">
            <v>58</v>
          </cell>
          <cell r="J41">
            <v>4</v>
          </cell>
          <cell r="K41">
            <v>14.5</v>
          </cell>
          <cell r="M41">
            <v>516000000</v>
          </cell>
          <cell r="N41">
            <v>4</v>
          </cell>
          <cell r="O41">
            <v>129000000</v>
          </cell>
          <cell r="Q41">
            <v>12</v>
          </cell>
          <cell r="R41">
            <v>2580000</v>
          </cell>
          <cell r="S41">
            <v>516000</v>
          </cell>
          <cell r="T41">
            <v>3.6</v>
          </cell>
          <cell r="U41">
            <v>36</v>
          </cell>
        </row>
        <row r="42">
          <cell r="C42">
            <v>6190708</v>
          </cell>
          <cell r="D42" t="str">
            <v>6190708-BEC SC LGAA07</v>
          </cell>
          <cell r="E42">
            <v>20</v>
          </cell>
          <cell r="M42">
            <v>86000000</v>
          </cell>
          <cell r="Q42">
            <v>2</v>
          </cell>
          <cell r="R42">
            <v>430000</v>
          </cell>
          <cell r="S42">
            <v>86000</v>
          </cell>
          <cell r="T42">
            <v>0.6</v>
          </cell>
          <cell r="U42">
            <v>6</v>
          </cell>
        </row>
        <row r="43">
          <cell r="C43">
            <v>6150702</v>
          </cell>
          <cell r="D43" t="str">
            <v>6150702-GRANMALL SC GF-11</v>
          </cell>
          <cell r="E43">
            <v>20</v>
          </cell>
          <cell r="M43">
            <v>80000000</v>
          </cell>
          <cell r="Q43">
            <v>2</v>
          </cell>
          <cell r="R43">
            <v>400000</v>
          </cell>
          <cell r="S43">
            <v>80000</v>
          </cell>
          <cell r="T43">
            <v>0.6</v>
          </cell>
          <cell r="U43">
            <v>6</v>
          </cell>
        </row>
        <row r="44">
          <cell r="C44">
            <v>6100702</v>
          </cell>
          <cell r="D44" t="str">
            <v>6100702-VS Jogja City Mall</v>
          </cell>
          <cell r="E44">
            <v>50</v>
          </cell>
          <cell r="F44">
            <v>1</v>
          </cell>
          <cell r="G44">
            <v>50</v>
          </cell>
          <cell r="I44">
            <v>22</v>
          </cell>
          <cell r="J44">
            <v>1</v>
          </cell>
          <cell r="K44">
            <v>22</v>
          </cell>
          <cell r="M44">
            <v>350000000</v>
          </cell>
          <cell r="N44">
            <v>1</v>
          </cell>
          <cell r="O44">
            <v>350000000</v>
          </cell>
          <cell r="Q44">
            <v>5</v>
          </cell>
          <cell r="R44">
            <v>1750000</v>
          </cell>
          <cell r="S44">
            <v>350000</v>
          </cell>
          <cell r="T44">
            <v>1.5</v>
          </cell>
          <cell r="U44">
            <v>15</v>
          </cell>
        </row>
        <row r="45">
          <cell r="C45">
            <v>6130702</v>
          </cell>
          <cell r="D45" t="str">
            <v>6130702-RITA SUPERMALL SF36-37</v>
          </cell>
          <cell r="E45">
            <v>60</v>
          </cell>
          <cell r="F45">
            <v>4</v>
          </cell>
          <cell r="G45">
            <v>15</v>
          </cell>
          <cell r="I45">
            <v>40</v>
          </cell>
          <cell r="J45">
            <v>4</v>
          </cell>
          <cell r="K45">
            <v>10</v>
          </cell>
          <cell r="M45">
            <v>300000000</v>
          </cell>
          <cell r="N45">
            <v>4</v>
          </cell>
          <cell r="O45">
            <v>75000000</v>
          </cell>
          <cell r="Q45">
            <v>6</v>
          </cell>
          <cell r="R45">
            <v>1500000</v>
          </cell>
          <cell r="S45">
            <v>300000</v>
          </cell>
          <cell r="T45">
            <v>1.8</v>
          </cell>
          <cell r="U45">
            <v>18</v>
          </cell>
        </row>
        <row r="46">
          <cell r="C46">
            <v>6140706</v>
          </cell>
          <cell r="D46" t="str">
            <v>6140706-23 SEMARANG MALL 1F065-66</v>
          </cell>
          <cell r="E46">
            <v>30</v>
          </cell>
          <cell r="F46">
            <v>2</v>
          </cell>
          <cell r="M46">
            <v>210000000</v>
          </cell>
          <cell r="Q46">
            <v>3</v>
          </cell>
          <cell r="R46">
            <v>1050000</v>
          </cell>
          <cell r="S46">
            <v>210000</v>
          </cell>
          <cell r="T46">
            <v>0.9</v>
          </cell>
          <cell r="U46">
            <v>9</v>
          </cell>
        </row>
        <row r="47">
          <cell r="C47">
            <v>6140705</v>
          </cell>
          <cell r="D47" t="str">
            <v>6140705-QUEENCITY 2F027</v>
          </cell>
          <cell r="E47">
            <v>60</v>
          </cell>
          <cell r="F47">
            <v>3</v>
          </cell>
          <cell r="G47">
            <v>20</v>
          </cell>
          <cell r="I47">
            <v>15</v>
          </cell>
          <cell r="J47">
            <v>3</v>
          </cell>
          <cell r="K47">
            <v>5</v>
          </cell>
          <cell r="M47">
            <v>420000000</v>
          </cell>
          <cell r="N47">
            <v>3</v>
          </cell>
          <cell r="O47">
            <v>140000000</v>
          </cell>
          <cell r="Q47">
            <v>6</v>
          </cell>
          <cell r="R47">
            <v>2100000</v>
          </cell>
          <cell r="S47">
            <v>420000</v>
          </cell>
          <cell r="T47">
            <v>1.8</v>
          </cell>
          <cell r="U47">
            <v>18</v>
          </cell>
        </row>
        <row r="48">
          <cell r="E48">
            <v>3400</v>
          </cell>
          <cell r="F48">
            <v>115</v>
          </cell>
          <cell r="I48">
            <v>1619</v>
          </cell>
          <cell r="J48">
            <v>113</v>
          </cell>
          <cell r="M48">
            <v>15659000000</v>
          </cell>
          <cell r="N48">
            <v>113</v>
          </cell>
          <cell r="O48">
            <v>138575221.238938</v>
          </cell>
          <cell r="Q48">
            <v>340</v>
          </cell>
          <cell r="R48">
            <v>76290000</v>
          </cell>
          <cell r="S48">
            <v>15508000</v>
          </cell>
          <cell r="T48">
            <v>102</v>
          </cell>
          <cell r="U48">
            <v>1020</v>
          </cell>
        </row>
        <row r="49">
          <cell r="E49">
            <v>3400</v>
          </cell>
          <cell r="I49">
            <v>1619</v>
          </cell>
        </row>
      </sheetData>
      <sheetData sheetId="32"/>
      <sheetData sheetId="33"/>
      <sheetData sheetId="34"/>
      <sheetData sheetId="35"/>
      <sheetData sheetId="36">
        <row r="6">
          <cell r="A6" t="str">
            <v>Sum of Qty</v>
          </cell>
        </row>
      </sheetData>
      <sheetData sheetId="37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539220000</v>
          </cell>
          <cell r="D17">
            <v>80</v>
          </cell>
          <cell r="E17">
            <v>6740250</v>
          </cell>
        </row>
        <row r="18">
          <cell r="A18">
            <v>6010701</v>
          </cell>
          <cell r="B18" t="str">
            <v>6010701-MVS ROXY SHOWROOM 21</v>
          </cell>
          <cell r="C18">
            <v>820284000</v>
          </cell>
          <cell r="D18">
            <v>216</v>
          </cell>
          <cell r="E18">
            <v>3797611.111111111</v>
          </cell>
        </row>
        <row r="19">
          <cell r="A19">
            <v>6010702</v>
          </cell>
          <cell r="B19" t="str">
            <v>6010702-ME ROXY PAMERAN TIMUR</v>
          </cell>
          <cell r="C19">
            <v>741297000</v>
          </cell>
          <cell r="D19">
            <v>203</v>
          </cell>
          <cell r="E19">
            <v>3651709.3596059112</v>
          </cell>
        </row>
        <row r="20">
          <cell r="A20">
            <v>6010703</v>
          </cell>
          <cell r="B20" t="str">
            <v>6010703-VIVO STORE WINSHOP</v>
          </cell>
          <cell r="C20">
            <v>264309000</v>
          </cell>
          <cell r="D20">
            <v>91</v>
          </cell>
          <cell r="E20">
            <v>2904494.5054945056</v>
          </cell>
        </row>
        <row r="21">
          <cell r="A21">
            <v>6020711</v>
          </cell>
          <cell r="B21" t="str">
            <v>6020711-vivostore emporium</v>
          </cell>
          <cell r="C21">
            <v>561606000</v>
          </cell>
          <cell r="D21">
            <v>94</v>
          </cell>
          <cell r="E21">
            <v>5974531.9148936169</v>
          </cell>
        </row>
        <row r="22">
          <cell r="A22">
            <v>6010711</v>
          </cell>
          <cell r="B22" t="str">
            <v>6010711-LIPPO MALL PURI 1FK02</v>
          </cell>
          <cell r="C22">
            <v>174779000</v>
          </cell>
          <cell r="D22">
            <v>21</v>
          </cell>
          <cell r="E22">
            <v>8322809.5238095243</v>
          </cell>
        </row>
        <row r="23">
          <cell r="A23">
            <v>6020706</v>
          </cell>
          <cell r="B23" t="str">
            <v>6020706-MVS CEMPAKA SHOWROOM 2 (454)</v>
          </cell>
          <cell r="C23">
            <v>424408000</v>
          </cell>
          <cell r="D23">
            <v>92</v>
          </cell>
          <cell r="E23">
            <v>4613130.4347826084</v>
          </cell>
        </row>
        <row r="24">
          <cell r="A24">
            <v>6020704</v>
          </cell>
          <cell r="B24" t="str">
            <v>6020704-MVS CEMPAKA SHOWROOM 14 (8TOKO)</v>
          </cell>
          <cell r="C24">
            <v>171756000</v>
          </cell>
          <cell r="D24">
            <v>44</v>
          </cell>
          <cell r="E24">
            <v>3903545.4545454546</v>
          </cell>
        </row>
        <row r="25">
          <cell r="A25">
            <v>6080712</v>
          </cell>
          <cell r="B25" t="str">
            <v>6080712-MVS ITC DEPOK VIVO STORE 2</v>
          </cell>
          <cell r="C25">
            <v>332545000</v>
          </cell>
          <cell r="D25">
            <v>55</v>
          </cell>
          <cell r="E25">
            <v>6046272.7272727275</v>
          </cell>
        </row>
        <row r="26">
          <cell r="A26">
            <v>6040702</v>
          </cell>
          <cell r="B26" t="str">
            <v>6040702-TRAN STUDIO MALL 2F059</v>
          </cell>
          <cell r="C26">
            <v>178378000</v>
          </cell>
          <cell r="D26">
            <v>22</v>
          </cell>
          <cell r="E26">
            <v>8108090.9090909092</v>
          </cell>
        </row>
        <row r="27">
          <cell r="A27">
            <v>6040703</v>
          </cell>
          <cell r="B27" t="str">
            <v>6040703-SAWANGAN 1F1-0320</v>
          </cell>
          <cell r="C27">
            <v>258258000</v>
          </cell>
          <cell r="D27">
            <v>42</v>
          </cell>
          <cell r="E27">
            <v>6149000</v>
          </cell>
        </row>
        <row r="28">
          <cell r="A28">
            <v>6050701</v>
          </cell>
          <cell r="B28" t="str">
            <v>6050701-MVS X6 DS0824</v>
          </cell>
          <cell r="C28">
            <v>264558000</v>
          </cell>
          <cell r="D28">
            <v>42</v>
          </cell>
          <cell r="E28">
            <v>6299000</v>
          </cell>
        </row>
        <row r="29">
          <cell r="A29">
            <v>6220701</v>
          </cell>
          <cell r="B29" t="str">
            <v>6220701-MVS MBH-VIP VIVO STORE-DD284</v>
          </cell>
          <cell r="C29">
            <v>306549000</v>
          </cell>
          <cell r="D29">
            <v>51</v>
          </cell>
          <cell r="E29">
            <v>6010764.7058823528</v>
          </cell>
        </row>
        <row r="30">
          <cell r="A30">
            <v>6180706</v>
          </cell>
          <cell r="B30" t="str">
            <v>6180706-MVS MALL CCM</v>
          </cell>
          <cell r="C30">
            <v>538802000</v>
          </cell>
          <cell r="D30">
            <v>98</v>
          </cell>
          <cell r="E30">
            <v>5497979.5918367347</v>
          </cell>
        </row>
        <row r="31">
          <cell r="A31">
            <v>6180707</v>
          </cell>
          <cell r="B31" t="str">
            <v>6180707-SC BTM</v>
          </cell>
          <cell r="C31">
            <v>137076000</v>
          </cell>
          <cell r="D31">
            <v>24</v>
          </cell>
          <cell r="E31">
            <v>5711500</v>
          </cell>
        </row>
        <row r="32">
          <cell r="A32">
            <v>6170707</v>
          </cell>
          <cell r="B32" t="str">
            <v>6170707-LG BLOK D NO. 01D</v>
          </cell>
          <cell r="C32">
            <v>322228000</v>
          </cell>
          <cell r="D32">
            <v>72</v>
          </cell>
          <cell r="E32">
            <v>4475388.888888889</v>
          </cell>
        </row>
        <row r="33">
          <cell r="A33">
            <v>6170706</v>
          </cell>
          <cell r="B33" t="str">
            <v>A200802-CHARLES</v>
          </cell>
          <cell r="C33">
            <v>350923000</v>
          </cell>
          <cell r="D33">
            <v>77</v>
          </cell>
          <cell r="E33">
            <v>4557441.5584415589</v>
          </cell>
        </row>
        <row r="34">
          <cell r="A34">
            <v>6240704</v>
          </cell>
          <cell r="B34" t="str">
            <v>6240704-TANGCITY LG017 WEST LOBBY</v>
          </cell>
          <cell r="C34">
            <v>83382000</v>
          </cell>
          <cell r="D34">
            <v>18</v>
          </cell>
          <cell r="E34">
            <v>4632333.333333333</v>
          </cell>
        </row>
        <row r="35">
          <cell r="A35">
            <v>6240703</v>
          </cell>
          <cell r="B35" t="str">
            <v>6240703-TANGCITY LG009 CENTER</v>
          </cell>
          <cell r="C35">
            <v>331621000</v>
          </cell>
          <cell r="D35">
            <v>79</v>
          </cell>
          <cell r="E35">
            <v>4197734.1772151897</v>
          </cell>
        </row>
        <row r="36">
          <cell r="A36">
            <v>6240705</v>
          </cell>
          <cell r="B36" t="str">
            <v>6240705-CIPUTRA 2FC15</v>
          </cell>
          <cell r="C36">
            <v>150369000</v>
          </cell>
          <cell r="D36">
            <v>31</v>
          </cell>
          <cell r="E36">
            <v>4850612.9032258065</v>
          </cell>
        </row>
        <row r="37">
          <cell r="A37">
            <v>6240709</v>
          </cell>
          <cell r="B37" t="str">
            <v>6240709-ITC BSD 1F49-50</v>
          </cell>
          <cell r="C37">
            <v>87185000</v>
          </cell>
          <cell r="D37">
            <v>15</v>
          </cell>
          <cell r="E37">
            <v>5812333.333333333</v>
          </cell>
        </row>
        <row r="38">
          <cell r="A38">
            <v>6240708</v>
          </cell>
          <cell r="B38" t="str">
            <v>6240708-ITC BSD 1F09-14</v>
          </cell>
          <cell r="C38">
            <v>249068000</v>
          </cell>
          <cell r="D38">
            <v>32</v>
          </cell>
          <cell r="E38">
            <v>7783375</v>
          </cell>
        </row>
        <row r="39">
          <cell r="A39">
            <v>6240707</v>
          </cell>
          <cell r="B39" t="str">
            <v>6240707-SUPERMALL UGN3A仓库</v>
          </cell>
          <cell r="C39">
            <v>138382000</v>
          </cell>
          <cell r="D39">
            <v>18</v>
          </cell>
          <cell r="E39">
            <v>7687888.888888889</v>
          </cell>
        </row>
        <row r="40">
          <cell r="A40">
            <v>6240706</v>
          </cell>
          <cell r="B40" t="str">
            <v>6240706-SUPERMALL LGC3A</v>
          </cell>
          <cell r="C40">
            <v>160174000</v>
          </cell>
          <cell r="D40">
            <v>26</v>
          </cell>
          <cell r="E40">
            <v>6160538.461538462</v>
          </cell>
        </row>
        <row r="41">
          <cell r="A41">
            <v>6170703</v>
          </cell>
          <cell r="B41" t="str">
            <v>6170703-4004 MVS-BNT-CCM STORE</v>
          </cell>
          <cell r="C41">
            <v>150674000</v>
          </cell>
          <cell r="D41">
            <v>26</v>
          </cell>
          <cell r="E41">
            <v>5795153.846153846</v>
          </cell>
        </row>
        <row r="42">
          <cell r="A42">
            <v>6190701</v>
          </cell>
          <cell r="B42" t="str">
            <v>6190701-VIVO STORE UG</v>
          </cell>
          <cell r="C42">
            <v>278255000</v>
          </cell>
          <cell r="D42">
            <v>45</v>
          </cell>
          <cell r="E42">
            <v>6183444.444444444</v>
          </cell>
        </row>
        <row r="43">
          <cell r="A43">
            <v>6190704</v>
          </cell>
          <cell r="B43" t="str">
            <v>A300201-VIVO STORE 1 BEC</v>
          </cell>
          <cell r="C43">
            <v>354705000</v>
          </cell>
          <cell r="D43">
            <v>95</v>
          </cell>
          <cell r="E43">
            <v>3733736.8421052634</v>
          </cell>
        </row>
        <row r="44">
          <cell r="A44">
            <v>6190707</v>
          </cell>
          <cell r="B44" t="str">
            <v>A300202-VIVO STORE LU</v>
          </cell>
          <cell r="C44">
            <v>532185000</v>
          </cell>
          <cell r="D44">
            <v>115</v>
          </cell>
          <cell r="E44">
            <v>4627695.6521739131</v>
          </cell>
        </row>
        <row r="45">
          <cell r="A45">
            <v>6100702</v>
          </cell>
          <cell r="B45" t="str">
            <v>6100702-VS Jogja City Mall</v>
          </cell>
          <cell r="C45">
            <v>273960000</v>
          </cell>
          <cell r="D45">
            <v>40</v>
          </cell>
          <cell r="E45">
            <v>6849000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196262000</v>
          </cell>
          <cell r="D47">
            <v>38</v>
          </cell>
          <cell r="E47">
            <v>5164789.4736842103</v>
          </cell>
        </row>
        <row r="48">
          <cell r="A48">
            <v>6140705</v>
          </cell>
          <cell r="B48" t="str">
            <v>6140705-QUEENCITY 2F027</v>
          </cell>
          <cell r="C48">
            <v>388351000</v>
          </cell>
          <cell r="D48">
            <v>49</v>
          </cell>
          <cell r="E48">
            <v>7925530.6122448975</v>
          </cell>
        </row>
        <row r="49">
          <cell r="A49">
            <v>6190705</v>
          </cell>
          <cell r="B49" t="str">
            <v>A300105-VIVO STORE LG F20</v>
          </cell>
          <cell r="C49">
            <v>210550000</v>
          </cell>
          <cell r="D49">
            <v>50</v>
          </cell>
          <cell r="E49">
            <v>4211000</v>
          </cell>
        </row>
        <row r="50">
          <cell r="A50">
            <v>6190706</v>
          </cell>
          <cell r="B50" t="str">
            <v>A300102-VIVO STORE 4 BEC</v>
          </cell>
          <cell r="C50">
            <v>357505000</v>
          </cell>
          <cell r="D50">
            <v>95</v>
          </cell>
          <cell r="E50">
            <v>3763210.5263157897</v>
          </cell>
        </row>
        <row r="51">
          <cell r="A51">
            <v>6240702</v>
          </cell>
          <cell r="B51" t="str">
            <v>A200902-LG BLOK B NO. 01B</v>
          </cell>
          <cell r="C51">
            <v>403715000</v>
          </cell>
          <cell r="D51">
            <v>85</v>
          </cell>
          <cell r="E51">
            <v>4749588.2352941176</v>
          </cell>
        </row>
        <row r="52">
          <cell r="A52">
            <v>6240701</v>
          </cell>
          <cell r="B52" t="str">
            <v>A200803-LG BLOK A-B NO. 12</v>
          </cell>
          <cell r="C52">
            <v>346720000</v>
          </cell>
          <cell r="D52">
            <v>80</v>
          </cell>
          <cell r="E52">
            <v>4334000</v>
          </cell>
        </row>
        <row r="53">
          <cell r="A53">
            <v>6040701</v>
          </cell>
          <cell r="B53" t="str">
            <v>A200402-ITC-VIVO STORE 1</v>
          </cell>
          <cell r="C53">
            <v>218554000</v>
          </cell>
          <cell r="D53">
            <v>46</v>
          </cell>
          <cell r="E53">
            <v>4751173.9130434785</v>
          </cell>
        </row>
        <row r="54">
          <cell r="A54">
            <v>6010710</v>
          </cell>
          <cell r="B54" t="str">
            <v>A100304-PAMERAN SELATAN</v>
          </cell>
          <cell r="C54">
            <v>427101000</v>
          </cell>
          <cell r="D54">
            <v>99</v>
          </cell>
          <cell r="E54">
            <v>4314151.5151515156</v>
          </cell>
        </row>
        <row r="55">
          <cell r="A55">
            <v>6010709</v>
          </cell>
          <cell r="B55" t="str">
            <v>A100303-PAMERAN UTARA</v>
          </cell>
          <cell r="C55">
            <v>900111000</v>
          </cell>
          <cell r="D55">
            <v>289</v>
          </cell>
          <cell r="E55">
            <v>3114570.9342560554</v>
          </cell>
        </row>
        <row r="56">
          <cell r="C56">
            <v>12625805000</v>
          </cell>
          <cell r="D56">
            <v>2695</v>
          </cell>
          <cell r="E56" t="e">
            <v>#DIV/0!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ales per type juli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DASHBOARD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kpi store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7">
          <cell r="D7" t="str">
            <v>3mio&lt;</v>
          </cell>
          <cell r="L7" t="str">
            <v>3mio&gt;</v>
          </cell>
          <cell r="AZ7" t="str">
            <v>Total Sum of Qty</v>
          </cell>
          <cell r="BA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WATCH 3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15</v>
          </cell>
          <cell r="AH8" t="str">
            <v>X300 Demo</v>
          </cell>
          <cell r="AJ8" t="str">
            <v>IQOO Z11x</v>
          </cell>
          <cell r="AL8" t="str">
            <v>IQOO Z11</v>
          </cell>
          <cell r="AN8" t="str">
            <v>X300 Pro Demo</v>
          </cell>
          <cell r="AP8" t="str">
            <v>X Fold5 DEMO</v>
          </cell>
          <cell r="AR8" t="str">
            <v>X Fold5</v>
          </cell>
          <cell r="AT8" t="str">
            <v>IQOO 15 Demo</v>
          </cell>
          <cell r="AV8" t="str">
            <v>X300 PRO</v>
          </cell>
          <cell r="AX8" t="str">
            <v xml:space="preserve">X300 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A5">
            <v>1</v>
          </cell>
        </row>
      </sheetData>
      <sheetData sheetId="10"/>
      <sheetData sheetId="11"/>
      <sheetData sheetId="12"/>
      <sheetData sheetId="13"/>
      <sheetData sheetId="14"/>
      <sheetData sheetId="15">
        <row r="6">
          <cell r="G6" t="str">
            <v>3mio&gt;</v>
          </cell>
        </row>
      </sheetData>
      <sheetData sheetId="16">
        <row r="5">
          <cell r="E5" t="str">
            <v>Segment Price</v>
          </cell>
        </row>
      </sheetData>
      <sheetData sheetId="17">
        <row r="5">
          <cell r="A5" t="str">
            <v>Sum of SRP</v>
          </cell>
        </row>
      </sheetData>
      <sheetData sheetId="18"/>
      <sheetData sheetId="19">
        <row r="5">
          <cell r="A5" t="str">
            <v>Sum of Qty</v>
          </cell>
        </row>
      </sheetData>
      <sheetData sheetId="20">
        <row r="5">
          <cell r="A5" t="str">
            <v>Sum of Qty</v>
          </cell>
        </row>
      </sheetData>
      <sheetData sheetId="21"/>
      <sheetData sheetId="22"/>
      <sheetData sheetId="23">
        <row r="6">
          <cell r="A6" t="str">
            <v>Sum of Qty</v>
          </cell>
        </row>
      </sheetData>
      <sheetData sheetId="24"/>
      <sheetData sheetId="25">
        <row r="10">
          <cell r="B10">
            <v>6170706</v>
          </cell>
        </row>
      </sheetData>
      <sheetData sheetId="26"/>
      <sheetData sheetId="27"/>
      <sheetData sheetId="28"/>
      <sheetData sheetId="29"/>
      <sheetData sheetId="30"/>
      <sheetData sheetId="31">
        <row r="2">
          <cell r="E2" t="str">
            <v>DEVICE</v>
          </cell>
        </row>
      </sheetData>
      <sheetData sheetId="32"/>
      <sheetData sheetId="33"/>
      <sheetData sheetId="34"/>
      <sheetData sheetId="35"/>
      <sheetData sheetId="36">
        <row r="6">
          <cell r="A6" t="str">
            <v>Sum of Qty</v>
          </cell>
        </row>
      </sheetData>
      <sheetData sheetId="37">
        <row r="3">
          <cell r="D3" t="str">
            <v>Sales / Retur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48"/>
  <sheetViews>
    <sheetView topLeftCell="C1" workbookViewId="0">
      <selection activeCell="H22" sqref="A1:BQ48"/>
    </sheetView>
  </sheetViews>
  <sheetFormatPr baseColWidth="10" defaultColWidth="11" defaultRowHeight="16" x14ac:dyDescent="0.2"/>
  <cols>
    <col min="4" max="4" width="50.83203125" customWidth="1"/>
    <col min="8" max="8" width="13.6640625" bestFit="1" customWidth="1"/>
    <col min="18" max="18" width="12.6640625" bestFit="1" customWidth="1"/>
    <col min="20" max="20" width="14.1640625" bestFit="1" customWidth="1"/>
  </cols>
  <sheetData>
    <row r="1" spans="1:69" ht="16" customHeight="1" x14ac:dyDescent="0.2">
      <c r="A1" s="328" t="s">
        <v>0</v>
      </c>
      <c r="B1" s="329"/>
      <c r="C1" s="329"/>
      <c r="D1" s="21" t="s">
        <v>1</v>
      </c>
      <c r="E1" s="21" t="s">
        <v>2</v>
      </c>
      <c r="F1" s="22" t="s">
        <v>3</v>
      </c>
      <c r="G1" s="332" t="s">
        <v>304</v>
      </c>
      <c r="H1" s="333"/>
      <c r="I1" s="332" t="s">
        <v>4</v>
      </c>
      <c r="J1" s="337"/>
      <c r="K1" s="338"/>
      <c r="L1" s="338"/>
      <c r="M1" s="338"/>
      <c r="N1" s="338"/>
      <c r="O1" s="338"/>
      <c r="P1" s="338"/>
      <c r="Q1" s="338"/>
      <c r="R1" s="338"/>
      <c r="S1" s="338"/>
      <c r="T1" s="339"/>
      <c r="U1" s="332" t="s">
        <v>5</v>
      </c>
      <c r="V1" s="337"/>
      <c r="W1" s="338"/>
      <c r="X1" s="338"/>
      <c r="Y1" s="338"/>
      <c r="Z1" s="338"/>
      <c r="AA1" s="338"/>
      <c r="AB1" s="339"/>
      <c r="AC1" s="332" t="s">
        <v>6</v>
      </c>
      <c r="AD1" s="333"/>
      <c r="AE1" s="332" t="s">
        <v>7</v>
      </c>
      <c r="AF1" s="337"/>
      <c r="AG1" s="338"/>
      <c r="AH1" s="339"/>
      <c r="AI1" s="302" t="s">
        <v>8</v>
      </c>
      <c r="AJ1" s="303"/>
      <c r="AK1" s="304"/>
      <c r="AL1" s="304"/>
      <c r="AM1" s="304"/>
      <c r="AN1" s="304"/>
      <c r="AO1" s="304"/>
      <c r="AP1" s="304"/>
      <c r="AQ1" s="304"/>
      <c r="AR1" s="304"/>
      <c r="AS1" s="304"/>
      <c r="AT1" s="304"/>
      <c r="AU1" s="304"/>
      <c r="AV1" s="304"/>
      <c r="AW1" s="304"/>
      <c r="AX1" s="304"/>
      <c r="AY1" s="304"/>
      <c r="AZ1" s="304"/>
      <c r="BA1" s="304"/>
      <c r="BB1" s="343"/>
      <c r="BC1" s="302" t="s">
        <v>9</v>
      </c>
      <c r="BD1" s="303"/>
      <c r="BE1" s="304"/>
      <c r="BF1" s="304"/>
      <c r="BG1" s="304"/>
      <c r="BH1" s="304"/>
      <c r="BI1" s="304"/>
      <c r="BJ1" s="304"/>
      <c r="BK1" s="304"/>
      <c r="BL1" s="304"/>
      <c r="BM1" s="304"/>
      <c r="BN1" s="304"/>
      <c r="BO1" s="304"/>
      <c r="BP1" s="304"/>
      <c r="BQ1" s="305"/>
    </row>
    <row r="2" spans="1:69" ht="16" customHeight="1" x14ac:dyDescent="0.2">
      <c r="A2" s="330"/>
      <c r="B2" s="331"/>
      <c r="C2" s="331"/>
      <c r="D2" s="23">
        <v>31</v>
      </c>
      <c r="E2" s="23">
        <v>23</v>
      </c>
      <c r="F2" s="24">
        <f>E2/D2</f>
        <v>0.74193548387096775</v>
      </c>
      <c r="G2" s="334"/>
      <c r="H2" s="335"/>
      <c r="I2" s="334"/>
      <c r="J2" s="340"/>
      <c r="K2" s="341"/>
      <c r="L2" s="341"/>
      <c r="M2" s="341"/>
      <c r="N2" s="341"/>
      <c r="O2" s="341"/>
      <c r="P2" s="341"/>
      <c r="Q2" s="341"/>
      <c r="R2" s="341"/>
      <c r="S2" s="341"/>
      <c r="T2" s="342"/>
      <c r="U2" s="334"/>
      <c r="V2" s="340"/>
      <c r="W2" s="341"/>
      <c r="X2" s="341"/>
      <c r="Y2" s="341"/>
      <c r="Z2" s="341"/>
      <c r="AA2" s="341"/>
      <c r="AB2" s="342"/>
      <c r="AC2" s="334"/>
      <c r="AD2" s="335"/>
      <c r="AE2" s="334"/>
      <c r="AF2" s="340"/>
      <c r="AG2" s="341"/>
      <c r="AH2" s="342"/>
      <c r="AI2" s="306"/>
      <c r="AJ2" s="307"/>
      <c r="AK2" s="308"/>
      <c r="AL2" s="308"/>
      <c r="AM2" s="308"/>
      <c r="AN2" s="308"/>
      <c r="AO2" s="308"/>
      <c r="AP2" s="308"/>
      <c r="AQ2" s="308"/>
      <c r="AR2" s="308"/>
      <c r="AS2" s="308"/>
      <c r="AT2" s="308"/>
      <c r="AU2" s="308"/>
      <c r="AV2" s="308"/>
      <c r="AW2" s="308"/>
      <c r="AX2" s="308"/>
      <c r="AY2" s="308"/>
      <c r="AZ2" s="308"/>
      <c r="BA2" s="308"/>
      <c r="BB2" s="344"/>
      <c r="BC2" s="306" t="s">
        <v>10</v>
      </c>
      <c r="BD2" s="307"/>
      <c r="BE2" s="308"/>
      <c r="BF2" s="308" t="s">
        <v>11</v>
      </c>
      <c r="BG2" s="308"/>
      <c r="BH2" s="308"/>
      <c r="BI2" s="308" t="s">
        <v>12</v>
      </c>
      <c r="BJ2" s="308"/>
      <c r="BK2" s="308"/>
      <c r="BL2" s="308" t="s">
        <v>13</v>
      </c>
      <c r="BM2" s="308"/>
      <c r="BN2" s="308"/>
      <c r="BO2" s="308" t="s">
        <v>14</v>
      </c>
      <c r="BP2" s="308"/>
      <c r="BQ2" s="309"/>
    </row>
    <row r="3" spans="1:69" ht="16" customHeight="1" x14ac:dyDescent="0.2">
      <c r="A3" s="312" t="s">
        <v>15</v>
      </c>
      <c r="B3" s="314" t="s">
        <v>16</v>
      </c>
      <c r="C3" s="314" t="s">
        <v>17</v>
      </c>
      <c r="D3" s="314" t="s">
        <v>18</v>
      </c>
      <c r="E3" s="314" t="s">
        <v>19</v>
      </c>
      <c r="F3" s="319" t="s">
        <v>20</v>
      </c>
      <c r="G3" s="321"/>
      <c r="H3" s="336"/>
      <c r="I3" s="321"/>
      <c r="J3" s="323"/>
      <c r="K3" s="317"/>
      <c r="L3" s="317"/>
      <c r="M3" s="317"/>
      <c r="N3" s="317"/>
      <c r="O3" s="317"/>
      <c r="P3" s="317"/>
      <c r="Q3" s="317"/>
      <c r="R3" s="317"/>
      <c r="S3" s="317"/>
      <c r="T3" s="325"/>
      <c r="U3" s="321"/>
      <c r="V3" s="323"/>
      <c r="W3" s="317"/>
      <c r="X3" s="317"/>
      <c r="Y3" s="317"/>
      <c r="Z3" s="317"/>
      <c r="AA3" s="317"/>
      <c r="AB3" s="325"/>
      <c r="AC3" s="321"/>
      <c r="AD3" s="336"/>
      <c r="AE3" s="321"/>
      <c r="AF3" s="323"/>
      <c r="AG3" s="317"/>
      <c r="AH3" s="325"/>
      <c r="AI3" s="321" t="s">
        <v>21</v>
      </c>
      <c r="AJ3" s="323"/>
      <c r="AK3" s="317"/>
      <c r="AL3" s="317"/>
      <c r="AM3" s="317" t="s">
        <v>22</v>
      </c>
      <c r="AN3" s="317"/>
      <c r="AO3" s="317"/>
      <c r="AP3" s="317"/>
      <c r="AQ3" s="317" t="s">
        <v>23</v>
      </c>
      <c r="AR3" s="317"/>
      <c r="AS3" s="317"/>
      <c r="AT3" s="317"/>
      <c r="AU3" s="317" t="s">
        <v>24</v>
      </c>
      <c r="AV3" s="317"/>
      <c r="AW3" s="317"/>
      <c r="AX3" s="317"/>
      <c r="AY3" s="317" t="s">
        <v>25</v>
      </c>
      <c r="AZ3" s="317"/>
      <c r="BA3" s="317"/>
      <c r="BB3" s="325"/>
      <c r="BC3" s="321" t="s">
        <v>26</v>
      </c>
      <c r="BD3" s="323" t="s">
        <v>27</v>
      </c>
      <c r="BE3" s="317" t="s">
        <v>28</v>
      </c>
      <c r="BF3" s="317" t="s">
        <v>29</v>
      </c>
      <c r="BG3" s="317" t="s">
        <v>27</v>
      </c>
      <c r="BH3" s="317" t="s">
        <v>28</v>
      </c>
      <c r="BI3" s="317" t="s">
        <v>30</v>
      </c>
      <c r="BJ3" s="317" t="s">
        <v>27</v>
      </c>
      <c r="BK3" s="317" t="s">
        <v>28</v>
      </c>
      <c r="BL3" s="317" t="s">
        <v>31</v>
      </c>
      <c r="BM3" s="317" t="s">
        <v>27</v>
      </c>
      <c r="BN3" s="317" t="s">
        <v>28</v>
      </c>
      <c r="BO3" s="317" t="s">
        <v>32</v>
      </c>
      <c r="BP3" s="317" t="s">
        <v>27</v>
      </c>
      <c r="BQ3" s="326" t="s">
        <v>28</v>
      </c>
    </row>
    <row r="4" spans="1:69" ht="29" thickBot="1" x14ac:dyDescent="0.25">
      <c r="A4" s="313"/>
      <c r="B4" s="315"/>
      <c r="C4" s="316"/>
      <c r="D4" s="315"/>
      <c r="E4" s="315"/>
      <c r="F4" s="320"/>
      <c r="G4" s="25" t="s">
        <v>21</v>
      </c>
      <c r="H4" s="26" t="s">
        <v>24</v>
      </c>
      <c r="I4" s="27" t="s">
        <v>21</v>
      </c>
      <c r="J4" s="28" t="s">
        <v>28</v>
      </c>
      <c r="K4" s="29" t="s">
        <v>33</v>
      </c>
      <c r="L4" s="29" t="s">
        <v>34</v>
      </c>
      <c r="M4" s="29" t="s">
        <v>23</v>
      </c>
      <c r="N4" s="29" t="s">
        <v>28</v>
      </c>
      <c r="O4" s="29" t="s">
        <v>7</v>
      </c>
      <c r="P4" s="29" t="s">
        <v>28</v>
      </c>
      <c r="Q4" s="29" t="s">
        <v>35</v>
      </c>
      <c r="R4" s="29" t="s">
        <v>24</v>
      </c>
      <c r="S4" s="29" t="s">
        <v>28</v>
      </c>
      <c r="T4" s="30" t="s">
        <v>33</v>
      </c>
      <c r="U4" s="31" t="s">
        <v>21</v>
      </c>
      <c r="V4" s="32" t="s">
        <v>28</v>
      </c>
      <c r="W4" s="33" t="s">
        <v>33</v>
      </c>
      <c r="X4" s="33" t="s">
        <v>23</v>
      </c>
      <c r="Y4" s="33" t="s">
        <v>33</v>
      </c>
      <c r="Z4" s="33" t="s">
        <v>24</v>
      </c>
      <c r="AA4" s="33" t="s">
        <v>33</v>
      </c>
      <c r="AB4" s="34" t="s">
        <v>28</v>
      </c>
      <c r="AC4" s="35" t="s">
        <v>21</v>
      </c>
      <c r="AD4" s="36" t="s">
        <v>24</v>
      </c>
      <c r="AE4" s="37" t="s">
        <v>36</v>
      </c>
      <c r="AF4" s="38" t="s">
        <v>37</v>
      </c>
      <c r="AG4" s="39" t="s">
        <v>33</v>
      </c>
      <c r="AH4" s="40" t="s">
        <v>28</v>
      </c>
      <c r="AI4" s="41" t="s">
        <v>36</v>
      </c>
      <c r="AJ4" s="42" t="s">
        <v>37</v>
      </c>
      <c r="AK4" s="43" t="s">
        <v>33</v>
      </c>
      <c r="AL4" s="43" t="s">
        <v>28</v>
      </c>
      <c r="AM4" s="43" t="s">
        <v>36</v>
      </c>
      <c r="AN4" s="43" t="s">
        <v>37</v>
      </c>
      <c r="AO4" s="43" t="s">
        <v>33</v>
      </c>
      <c r="AP4" s="43" t="s">
        <v>28</v>
      </c>
      <c r="AQ4" s="43" t="s">
        <v>36</v>
      </c>
      <c r="AR4" s="43" t="s">
        <v>37</v>
      </c>
      <c r="AS4" s="43" t="s">
        <v>33</v>
      </c>
      <c r="AT4" s="43" t="s">
        <v>38</v>
      </c>
      <c r="AU4" s="43" t="s">
        <v>36</v>
      </c>
      <c r="AV4" s="43" t="s">
        <v>37</v>
      </c>
      <c r="AW4" s="43" t="s">
        <v>33</v>
      </c>
      <c r="AX4" s="43" t="s">
        <v>28</v>
      </c>
      <c r="AY4" s="43" t="s">
        <v>36</v>
      </c>
      <c r="AZ4" s="43" t="s">
        <v>37</v>
      </c>
      <c r="BA4" s="43" t="s">
        <v>33</v>
      </c>
      <c r="BB4" s="44" t="s">
        <v>28</v>
      </c>
      <c r="BC4" s="322"/>
      <c r="BD4" s="324"/>
      <c r="BE4" s="318"/>
      <c r="BF4" s="318"/>
      <c r="BG4" s="318"/>
      <c r="BH4" s="318"/>
      <c r="BI4" s="318"/>
      <c r="BJ4" s="318"/>
      <c r="BK4" s="318"/>
      <c r="BL4" s="318"/>
      <c r="BM4" s="318"/>
      <c r="BN4" s="318"/>
      <c r="BO4" s="318"/>
      <c r="BP4" s="318"/>
      <c r="BQ4" s="327"/>
    </row>
    <row r="5" spans="1:69" x14ac:dyDescent="0.2">
      <c r="A5" s="45">
        <v>1</v>
      </c>
      <c r="B5" s="46" t="s">
        <v>39</v>
      </c>
      <c r="C5" s="47">
        <v>6010708</v>
      </c>
      <c r="D5" s="48" t="s">
        <v>40</v>
      </c>
      <c r="E5" s="49" t="s">
        <v>41</v>
      </c>
      <c r="F5" s="50">
        <v>3</v>
      </c>
      <c r="G5" s="51">
        <f>IFERROR(VLOOKUP(C5,'[1]TARGET THIS MONTH'!C:E,3,0),0)</f>
        <v>120</v>
      </c>
      <c r="H5" s="52">
        <f>IFERROR(VLOOKUP(C5,'[1]TARGET THIS MONTH'!C:M,11,0),0)</f>
        <v>840000000</v>
      </c>
      <c r="I5" s="51">
        <f>IFERROR(GETPIVOTDATA("Sum of Qty",'[1]DEVICE &amp; VALUE'!$A$6,"ID Store",$C5),0)</f>
        <v>53</v>
      </c>
      <c r="J5" s="53">
        <f t="shared" ref="J5:J48" si="0">I5/G5</f>
        <v>0.44166666666666665</v>
      </c>
      <c r="K5" s="54">
        <f t="shared" ref="K5:K48" si="1">I5-G5</f>
        <v>-67</v>
      </c>
      <c r="L5" s="55">
        <f>IFERROR(GETPIVOTDATA("Sum of Qty",[1]PF!$A$5,"ID Store",$C5),0)</f>
        <v>8</v>
      </c>
      <c r="M5" s="55">
        <f>IFERROR(GETPIVOTDATA("Sum of Qty",'[1]DEVICE &amp; VALUE'!$A$6,"ID Store",$C5,"Segment Price","3mio&gt;"),0)</f>
        <v>26</v>
      </c>
      <c r="N5" s="56">
        <f t="shared" ref="N5:N47" si="2">IFERROR(M5/I5,0)</f>
        <v>0.49056603773584906</v>
      </c>
      <c r="O5" s="57">
        <f>IFERROR(GETPIVOTDATA("Sum of Qty",[1]IQOO!$A$6,"ID Store",$C5),0)</f>
        <v>1</v>
      </c>
      <c r="P5" s="56">
        <f t="shared" ref="P5:P47" si="3">IFERROR(O5/I5,0)</f>
        <v>1.8867924528301886E-2</v>
      </c>
      <c r="Q5" s="56">
        <f t="shared" ref="Q5:Q47" si="4">IFERROR(M5/I5,0)</f>
        <v>0.49056603773584906</v>
      </c>
      <c r="R5" s="58">
        <f>IFERROR(GETPIVOTDATA("Sum of SRP",'[1]DEVICE &amp; VALUE'!$A$6,"ID Store",$C5),0)</f>
        <v>271647000</v>
      </c>
      <c r="S5" s="56">
        <f t="shared" ref="S5:S47" si="5">IFERROR(R5/H5,0)</f>
        <v>0.32338928571428571</v>
      </c>
      <c r="T5" s="59">
        <f t="shared" ref="T5:T48" si="6">R5-H5</f>
        <v>-568353000</v>
      </c>
      <c r="U5" s="60">
        <f t="shared" ref="U5:U47" si="7">I5/$E$2*$D$2</f>
        <v>71.434782608695656</v>
      </c>
      <c r="V5" s="61">
        <f t="shared" ref="V5:V47" si="8">IFERROR(U5/G5,0)</f>
        <v>0.59528985507246379</v>
      </c>
      <c r="W5" s="62">
        <f t="shared" ref="W5:W48" si="9">U5-G5</f>
        <v>-48.565217391304344</v>
      </c>
      <c r="X5" s="62">
        <f t="shared" ref="X5:X47" si="10">M5/$E$2*$D$2</f>
        <v>35.043478260869563</v>
      </c>
      <c r="Y5" s="62">
        <f t="shared" ref="Y5:Y48" si="11">X5-G5</f>
        <v>-84.956521739130437</v>
      </c>
      <c r="Z5" s="63">
        <f t="shared" ref="Z5:Z47" si="12">R5/$E$2*$D$2</f>
        <v>366132913.04347825</v>
      </c>
      <c r="AA5" s="63">
        <f t="shared" ref="AA5:AA48" si="13">Z5-H5</f>
        <v>-473867086.95652175</v>
      </c>
      <c r="AB5" s="64">
        <f t="shared" ref="AB5:AB47" si="14">IFERROR(Z5/H5,0)</f>
        <v>0.43587251552795031</v>
      </c>
      <c r="AC5" s="65">
        <f t="shared" ref="AC5:AC47" si="15">IFERROR(($G5-$I5)/($D$2-$E$2),0)</f>
        <v>8.375</v>
      </c>
      <c r="AD5" s="66">
        <f t="shared" ref="AD5:AD47" si="16">IFERROR(($H5-$R5)/($D$2-$E$2),0)</f>
        <v>71044125</v>
      </c>
      <c r="AE5" s="51">
        <f>IFERROR(GETPIVOTDATA("Sum of Qty",'[1]DATA LAST MONTH IQOO'!$A$6,"ID Store",$C5),0)</f>
        <v>13</v>
      </c>
      <c r="AF5" s="67">
        <f>IFERROR(GETPIVOTDATA("Sum of Qty",[1]IQOO!$A$6,"ID Store",$C5),0)</f>
        <v>1</v>
      </c>
      <c r="AG5" s="54">
        <f t="shared" ref="AG5:AG48" si="17">AF5-AE5</f>
        <v>-12</v>
      </c>
      <c r="AH5" s="68">
        <f t="shared" ref="AH5:AH47" si="18">IFERROR(AG5/AE5,0)</f>
        <v>-0.92307692307692313</v>
      </c>
      <c r="AI5" s="69">
        <f>IFERROR(GETPIVOTDATA("Sum of Qty",'[1]DATA LAST MONTH DEVICE'!$A$6,"ID Store",$C5),0)</f>
        <v>80</v>
      </c>
      <c r="AJ5" s="70">
        <f t="shared" ref="AJ5:AJ47" si="19">I5</f>
        <v>53</v>
      </c>
      <c r="AK5" s="54">
        <f t="shared" ref="AK5:AK48" si="20">AJ5-AI5</f>
        <v>-27</v>
      </c>
      <c r="AL5" s="56">
        <f t="shared" ref="AL5:AL47" si="21">IFERROR(AK5/AI5,0)</f>
        <v>-0.33750000000000002</v>
      </c>
      <c r="AM5" s="55">
        <f>IFERROR(GETPIVOTDATA("Sum of Qty",'[1]Store 3mio+ last month'!$A$6,"ID Store",$C5),0)</f>
        <v>110</v>
      </c>
      <c r="AN5" s="54">
        <f t="shared" ref="AN5:AN47" si="22">VLOOKUP(C:C,C:U,19,0)</f>
        <v>71.434782608695656</v>
      </c>
      <c r="AO5" s="54">
        <f t="shared" ref="AO5:AO48" si="23">AN5-AM5</f>
        <v>-38.565217391304344</v>
      </c>
      <c r="AP5" s="56">
        <f t="shared" ref="AP5:AP47" si="24">IFERROR(AO5/AM5,0)</f>
        <v>-0.35059288537549405</v>
      </c>
      <c r="AQ5" s="55">
        <f>IFERROR(GETPIVOTDATA("Sum of Qty",'[1]DATA LAST MONTH DEVICE'!$A$6,"ID Store",$C5,"Segment Price","3mio&gt;"),0)</f>
        <v>46</v>
      </c>
      <c r="AR5" s="57">
        <f t="shared" ref="AR5:AR47" si="25">M5</f>
        <v>26</v>
      </c>
      <c r="AS5" s="57">
        <f t="shared" ref="AS5:AS48" si="26">AR5-AQ5</f>
        <v>-20</v>
      </c>
      <c r="AT5" s="56">
        <f t="shared" ref="AT5:AT47" si="27">IFERROR(AS5/AQ5,0)</f>
        <v>-0.43478260869565216</v>
      </c>
      <c r="AU5" s="71">
        <f>IFERROR(GETPIVOTDATA("Sum of SRP",'[1]DATA LAST MONTH DEVICE'!$A$6,"ID Store",$C5),0)</f>
        <v>539220000</v>
      </c>
      <c r="AV5" s="71">
        <f t="shared" ref="AV5:AV47" si="28">R5</f>
        <v>271647000</v>
      </c>
      <c r="AW5" s="71">
        <f t="shared" ref="AW5:AW48" si="29">AV5-AU5</f>
        <v>-267573000</v>
      </c>
      <c r="AX5" s="56">
        <f t="shared" ref="AX5:AX47" si="30">IFERROR(AW5/AU5,0)</f>
        <v>-0.49622232113052184</v>
      </c>
      <c r="AY5" s="71">
        <f>IFERROR(VLOOKUP(C5,'[1]DATA SALES LAST MONTH'!A:E,5,0),0)</f>
        <v>6740250</v>
      </c>
      <c r="AZ5" s="58">
        <f t="shared" ref="AZ5:AZ47" si="31">IFERROR(Z5/U5,0)</f>
        <v>5125415.0943396222</v>
      </c>
      <c r="BA5" s="58">
        <f t="shared" ref="BA5:BA48" si="32">AZ5-AY5</f>
        <v>-1614834.9056603778</v>
      </c>
      <c r="BB5" s="68">
        <f t="shared" ref="BB5:BB47" si="33">IFERROR(BA5/AY5,0)</f>
        <v>-0.23958086208380666</v>
      </c>
      <c r="BC5" s="51">
        <f>IFERROR(VLOOKUP(C5,'[1]TARGET THIS MONTH'!C:U,15,0),0)</f>
        <v>12</v>
      </c>
      <c r="BD5" s="72">
        <f>IFERROR(GETPIVOTDATA("Sum of Qty",[1]ACC!$A$5,"ID Store",$C5),0)</f>
        <v>26</v>
      </c>
      <c r="BE5" s="56">
        <f t="shared" ref="BE5:BE47" si="34">IFERROR(BD5/BC5,0)</f>
        <v>2.1666666666666665</v>
      </c>
      <c r="BF5" s="73">
        <f>IFERROR(VLOOKUP(C5,'[1]TARGET THIS MONTH'!C:U,16,0),0)</f>
        <v>4200000</v>
      </c>
      <c r="BG5" s="73">
        <f>IFERROR(GETPIVOTDATA("Sum of SRP",'[1]Insurance by Store'!$A$5,"ID Store",$C5,"Product Type","Qoala"),0)</f>
        <v>1771000</v>
      </c>
      <c r="BH5" s="56">
        <f t="shared" ref="BH5:BH47" si="35">IFERROR(BG5/BF5,0)</f>
        <v>0.42166666666666669</v>
      </c>
      <c r="BI5" s="73">
        <f>IFERROR(VLOOKUP(C5,'[1]TARGET THIS MONTH'!C:U,17,0),0)</f>
        <v>840000</v>
      </c>
      <c r="BJ5" s="73">
        <f>IFERROR(GETPIVOTDATA("Sum of SRP",'[1]Insurance by Store'!$A$5,"ID Store",$C5,"Product Type","Vivo Care"),0)</f>
        <v>0</v>
      </c>
      <c r="BK5" s="56">
        <f t="shared" ref="BK5:BK47" si="36">IFERROR(BJ5/BI5,0)</f>
        <v>0</v>
      </c>
      <c r="BL5" s="54">
        <f>IFERROR(VLOOKUP(C5,'[1]TARGET THIS MONTH'!C:U,18,0),0)</f>
        <v>3.6</v>
      </c>
      <c r="BM5" s="55">
        <f>IFERROR(GETPIVOTDATA("Sum of Qty",'[1]Operator by Store'!$A$5,"ID Store",$C5,"Product Type","Indosat"),0)</f>
        <v>0</v>
      </c>
      <c r="BN5" s="56">
        <f t="shared" ref="BN5:BN47" si="37">IFERROR(BM5/BL5,0)</f>
        <v>0</v>
      </c>
      <c r="BO5" s="54">
        <f>VLOOKUP(C5,'[1]TARGET THIS MONTH'!C:U,19,0)</f>
        <v>36</v>
      </c>
      <c r="BP5" s="55">
        <f>IFERROR(GETPIVOTDATA("Sum of Qty",'[1]Operator by Store'!$A$5,"ID Store",$C5,"Product Type","Telkomsel"),0)</f>
        <v>0</v>
      </c>
      <c r="BQ5" s="74">
        <f t="shared" ref="BQ5:BQ47" si="38">IFERROR(BP5/BO5,0)</f>
        <v>0</v>
      </c>
    </row>
    <row r="6" spans="1:69" x14ac:dyDescent="0.2">
      <c r="A6" s="75">
        <v>2</v>
      </c>
      <c r="B6" s="76" t="s">
        <v>39</v>
      </c>
      <c r="C6" s="77">
        <v>6010701</v>
      </c>
      <c r="D6" s="78" t="s">
        <v>42</v>
      </c>
      <c r="E6" s="79" t="s">
        <v>43</v>
      </c>
      <c r="F6" s="80">
        <v>6</v>
      </c>
      <c r="G6" s="81">
        <f>IFERROR(VLOOKUP(C6,'[1]TARGET THIS MONTH'!C:E,3,0),0)</f>
        <v>260</v>
      </c>
      <c r="H6" s="82">
        <f>IFERROR(VLOOKUP(C6,'[1]TARGET THIS MONTH'!C:M,11,0),0)</f>
        <v>962000000</v>
      </c>
      <c r="I6" s="81">
        <f>IFERROR(GETPIVOTDATA("Sum of Qty",'[1]DEVICE &amp; VALUE'!$A$6,"ID Store",$C6),0)</f>
        <v>206</v>
      </c>
      <c r="J6" s="83">
        <f t="shared" si="0"/>
        <v>0.79230769230769227</v>
      </c>
      <c r="K6" s="84">
        <f t="shared" si="1"/>
        <v>-54</v>
      </c>
      <c r="L6" s="85">
        <f>IFERROR(GETPIVOTDATA("Sum of Qty",[1]PF!$A$5,"ID Store",$C6),0)</f>
        <v>65</v>
      </c>
      <c r="M6" s="85">
        <f>IFERROR(GETPIVOTDATA("Sum of Qty",'[1]DEVICE &amp; VALUE'!$A$6,"ID Store",$C6,"Segment Price","3mio&gt;"),0)</f>
        <v>88</v>
      </c>
      <c r="N6" s="86">
        <f t="shared" si="2"/>
        <v>0.42718446601941745</v>
      </c>
      <c r="O6" s="87">
        <f>IFERROR(GETPIVOTDATA("Sum of Qty",[1]IQOO!$A$6,"ID Store",$C6),0)</f>
        <v>4</v>
      </c>
      <c r="P6" s="86">
        <f t="shared" si="3"/>
        <v>1.9417475728155338E-2</v>
      </c>
      <c r="Q6" s="86">
        <f t="shared" si="4"/>
        <v>0.42718446601941745</v>
      </c>
      <c r="R6" s="88">
        <f>IFERROR(GETPIVOTDATA("Sum of SRP",'[1]DEVICE &amp; VALUE'!$A$6,"ID Store",$C6),0)</f>
        <v>755194000</v>
      </c>
      <c r="S6" s="86">
        <f t="shared" si="5"/>
        <v>0.78502494802494804</v>
      </c>
      <c r="T6" s="89">
        <f t="shared" si="6"/>
        <v>-206806000</v>
      </c>
      <c r="U6" s="90">
        <f t="shared" si="7"/>
        <v>277.6521739130435</v>
      </c>
      <c r="V6" s="91">
        <f t="shared" si="8"/>
        <v>1.0678929765886289</v>
      </c>
      <c r="W6" s="92">
        <f t="shared" si="9"/>
        <v>17.652173913043498</v>
      </c>
      <c r="X6" s="92">
        <f t="shared" si="10"/>
        <v>118.60869565217392</v>
      </c>
      <c r="Y6" s="92">
        <f t="shared" si="11"/>
        <v>-141.39130434782606</v>
      </c>
      <c r="Z6" s="93">
        <f t="shared" si="12"/>
        <v>1017870173.9130435</v>
      </c>
      <c r="AA6" s="93">
        <f t="shared" si="13"/>
        <v>55870173.913043499</v>
      </c>
      <c r="AB6" s="94">
        <f t="shared" si="14"/>
        <v>1.0580771038597125</v>
      </c>
      <c r="AC6" s="95">
        <f t="shared" si="15"/>
        <v>6.75</v>
      </c>
      <c r="AD6" s="96">
        <f t="shared" si="16"/>
        <v>25850750</v>
      </c>
      <c r="AE6" s="81">
        <f>IFERROR(GETPIVOTDATA("Sum of Qty",'[1]DATA LAST MONTH IQOO'!$A$6,"ID Store",$C6),0)</f>
        <v>10</v>
      </c>
      <c r="AF6" s="97">
        <f>IFERROR(GETPIVOTDATA("Sum of Qty",[1]IQOO!$A$6,"ID Store",$C6),0)</f>
        <v>4</v>
      </c>
      <c r="AG6" s="84">
        <f t="shared" si="17"/>
        <v>-6</v>
      </c>
      <c r="AH6" s="98">
        <f t="shared" si="18"/>
        <v>-0.6</v>
      </c>
      <c r="AI6" s="99">
        <f>IFERROR(GETPIVOTDATA("Sum of Qty",'[1]DATA LAST MONTH DEVICE'!$A$6,"ID Store",$C6),0)</f>
        <v>216</v>
      </c>
      <c r="AJ6" s="100">
        <f t="shared" si="19"/>
        <v>206</v>
      </c>
      <c r="AK6" s="84">
        <f t="shared" si="20"/>
        <v>-10</v>
      </c>
      <c r="AL6" s="86">
        <f t="shared" si="21"/>
        <v>-4.6296296296296294E-2</v>
      </c>
      <c r="AM6" s="85">
        <f>IFERROR(GETPIVOTDATA("Sum of Qty",'[1]Store 3mio+ last month'!$A$6,"ID Store",$C6),0)</f>
        <v>270</v>
      </c>
      <c r="AN6" s="84">
        <f t="shared" si="22"/>
        <v>277.6521739130435</v>
      </c>
      <c r="AO6" s="84">
        <f t="shared" si="23"/>
        <v>7.652173913043498</v>
      </c>
      <c r="AP6" s="86">
        <f t="shared" si="24"/>
        <v>2.8341384863124066E-2</v>
      </c>
      <c r="AQ6" s="85">
        <f>IFERROR(GETPIVOTDATA("Sum of Qty",'[1]DATA LAST MONTH DEVICE'!$A$6,"ID Store",$C6,"Segment Price","3mio&gt;"),0)</f>
        <v>90</v>
      </c>
      <c r="AR6" s="87">
        <f t="shared" si="25"/>
        <v>88</v>
      </c>
      <c r="AS6" s="87">
        <f t="shared" si="26"/>
        <v>-2</v>
      </c>
      <c r="AT6" s="86">
        <f t="shared" si="27"/>
        <v>-2.2222222222222223E-2</v>
      </c>
      <c r="AU6" s="101">
        <f>IFERROR(GETPIVOTDATA("Sum of SRP",'[1]DATA LAST MONTH DEVICE'!$A$6,"ID Store",$C6),0)</f>
        <v>820284000</v>
      </c>
      <c r="AV6" s="101">
        <f t="shared" si="28"/>
        <v>755194000</v>
      </c>
      <c r="AW6" s="101">
        <f t="shared" si="29"/>
        <v>-65090000</v>
      </c>
      <c r="AX6" s="86">
        <f t="shared" si="30"/>
        <v>-7.9350566389201793E-2</v>
      </c>
      <c r="AY6" s="101">
        <f>IFERROR(VLOOKUP(C6,'[1]DATA SALES LAST MONTH'!A:E,5,0),0)</f>
        <v>3797611.111111111</v>
      </c>
      <c r="AZ6" s="88">
        <f t="shared" si="31"/>
        <v>3665990.2912621358</v>
      </c>
      <c r="BA6" s="88">
        <f t="shared" si="32"/>
        <v>-131620.81984897517</v>
      </c>
      <c r="BB6" s="98">
        <f t="shared" si="33"/>
        <v>-3.4658846311007699E-2</v>
      </c>
      <c r="BC6" s="81">
        <f>IFERROR(VLOOKUP(C6,'[1]TARGET THIS MONTH'!C:U,15,0),0)</f>
        <v>26</v>
      </c>
      <c r="BD6" s="102">
        <f>IFERROR(GETPIVOTDATA("Sum of Qty",[1]ACC!$A$5,"ID Store",$C6),0)</f>
        <v>84</v>
      </c>
      <c r="BE6" s="86">
        <f t="shared" si="34"/>
        <v>3.2307692307692308</v>
      </c>
      <c r="BF6" s="103">
        <f>IFERROR(VLOOKUP(C6,'[1]TARGET THIS MONTH'!C:U,16,0),0)</f>
        <v>4810000</v>
      </c>
      <c r="BG6" s="103">
        <f>IFERROR(GETPIVOTDATA("Sum of SRP",'[1]Insurance by Store'!$A$5,"ID Store",$C6,"Product Type","Qoala"),0)</f>
        <v>5156000</v>
      </c>
      <c r="BH6" s="86">
        <f t="shared" si="35"/>
        <v>1.0719334719334719</v>
      </c>
      <c r="BI6" s="103">
        <f>IFERROR(VLOOKUP(C6,'[1]TARGET THIS MONTH'!C:U,17,0),0)</f>
        <v>962000</v>
      </c>
      <c r="BJ6" s="103">
        <f>IFERROR(GETPIVOTDATA("Sum of SRP",'[1]Insurance by Store'!$A$5,"ID Store",$C6,"Product Type","Vivo Care"),0)</f>
        <v>0</v>
      </c>
      <c r="BK6" s="86">
        <f t="shared" si="36"/>
        <v>0</v>
      </c>
      <c r="BL6" s="84">
        <f>IFERROR(VLOOKUP(C6,'[1]TARGET THIS MONTH'!C:U,18,0),0)</f>
        <v>7.8</v>
      </c>
      <c r="BM6" s="85">
        <f>IFERROR(GETPIVOTDATA("Sum of Qty",'[1]Operator by Store'!$A$5,"ID Store",$C6,"Product Type","Indosat"),0)</f>
        <v>5</v>
      </c>
      <c r="BN6" s="86">
        <f t="shared" si="37"/>
        <v>0.64102564102564108</v>
      </c>
      <c r="BO6" s="84">
        <f>VLOOKUP(C6,'[1]TARGET THIS MONTH'!C:U,19,0)</f>
        <v>78</v>
      </c>
      <c r="BP6" s="85">
        <f>IFERROR(GETPIVOTDATA("Sum of Qty",'[1]Operator by Store'!$A$5,"ID Store",$C6,"Product Type","Telkomsel"),0)</f>
        <v>0</v>
      </c>
      <c r="BQ6" s="104">
        <f t="shared" si="38"/>
        <v>0</v>
      </c>
    </row>
    <row r="7" spans="1:69" x14ac:dyDescent="0.2">
      <c r="A7" s="75">
        <v>3</v>
      </c>
      <c r="B7" s="76" t="s">
        <v>39</v>
      </c>
      <c r="C7" s="77">
        <v>6010702</v>
      </c>
      <c r="D7" s="78" t="s">
        <v>44</v>
      </c>
      <c r="E7" s="79" t="s">
        <v>43</v>
      </c>
      <c r="F7" s="80">
        <v>7</v>
      </c>
      <c r="G7" s="81">
        <f>IFERROR(VLOOKUP(C7,'[1]TARGET THIS MONTH'!C:E,3,0),0)</f>
        <v>260</v>
      </c>
      <c r="H7" s="82">
        <f>IFERROR(VLOOKUP(C7,'[1]TARGET THIS MONTH'!C:M,11,0),0)</f>
        <v>962000000</v>
      </c>
      <c r="I7" s="81">
        <f>IFERROR(GETPIVOTDATA("Sum of Qty",'[1]DEVICE &amp; VALUE'!$A$6,"ID Store",$C7),0)</f>
        <v>221</v>
      </c>
      <c r="J7" s="83">
        <f t="shared" si="0"/>
        <v>0.85</v>
      </c>
      <c r="K7" s="84">
        <f t="shared" si="1"/>
        <v>-39</v>
      </c>
      <c r="L7" s="85">
        <f>IFERROR(GETPIVOTDATA("Sum of Qty",[1]PF!$A$5,"ID Store",$C7),0)</f>
        <v>40</v>
      </c>
      <c r="M7" s="85">
        <f>IFERROR(GETPIVOTDATA("Sum of Qty",'[1]DEVICE &amp; VALUE'!$A$6,"ID Store",$C7,"Segment Price","3mio&gt;"),0)</f>
        <v>53</v>
      </c>
      <c r="N7" s="86">
        <f t="shared" si="2"/>
        <v>0.23981900452488689</v>
      </c>
      <c r="O7" s="87">
        <f>IFERROR(GETPIVOTDATA("Sum of Qty",[1]IQOO!$A$6,"ID Store",$C7),0)</f>
        <v>3</v>
      </c>
      <c r="P7" s="86">
        <f t="shared" si="3"/>
        <v>1.3574660633484163E-2</v>
      </c>
      <c r="Q7" s="86">
        <f t="shared" si="4"/>
        <v>0.23981900452488689</v>
      </c>
      <c r="R7" s="88">
        <f>IFERROR(GETPIVOTDATA("Sum of SRP",'[1]DEVICE &amp; VALUE'!$A$6,"ID Store",$C7),0)</f>
        <v>664379000</v>
      </c>
      <c r="S7" s="86">
        <f t="shared" si="5"/>
        <v>0.69062266112266113</v>
      </c>
      <c r="T7" s="89">
        <f t="shared" si="6"/>
        <v>-297621000</v>
      </c>
      <c r="U7" s="90">
        <f t="shared" si="7"/>
        <v>297.86956521739125</v>
      </c>
      <c r="V7" s="91">
        <f t="shared" si="8"/>
        <v>1.1456521739130432</v>
      </c>
      <c r="W7" s="92">
        <f t="shared" si="9"/>
        <v>37.869565217391255</v>
      </c>
      <c r="X7" s="92">
        <f t="shared" si="10"/>
        <v>71.434782608695656</v>
      </c>
      <c r="Y7" s="92">
        <f t="shared" si="11"/>
        <v>-188.56521739130434</v>
      </c>
      <c r="Z7" s="93">
        <f t="shared" si="12"/>
        <v>895467347.826087</v>
      </c>
      <c r="AA7" s="93">
        <f t="shared" si="13"/>
        <v>-66532652.173913002</v>
      </c>
      <c r="AB7" s="94">
        <f t="shared" si="14"/>
        <v>0.9308392389044563</v>
      </c>
      <c r="AC7" s="95">
        <f t="shared" si="15"/>
        <v>4.875</v>
      </c>
      <c r="AD7" s="96">
        <f t="shared" si="16"/>
        <v>37202625</v>
      </c>
      <c r="AE7" s="81">
        <f>IFERROR(GETPIVOTDATA("Sum of Qty",'[1]DATA LAST MONTH IQOO'!$A$6,"ID Store",$C7),0)</f>
        <v>8</v>
      </c>
      <c r="AF7" s="97">
        <f>IFERROR(GETPIVOTDATA("Sum of Qty",[1]IQOO!$A$6,"ID Store",$C7),0)</f>
        <v>3</v>
      </c>
      <c r="AG7" s="84">
        <f t="shared" si="17"/>
        <v>-5</v>
      </c>
      <c r="AH7" s="98">
        <f t="shared" si="18"/>
        <v>-0.625</v>
      </c>
      <c r="AI7" s="99">
        <f>IFERROR(GETPIVOTDATA("Sum of Qty",'[1]DATA LAST MONTH DEVICE'!$A$6,"ID Store",$C7),0)</f>
        <v>203</v>
      </c>
      <c r="AJ7" s="100">
        <f t="shared" si="19"/>
        <v>221</v>
      </c>
      <c r="AK7" s="84">
        <f t="shared" si="20"/>
        <v>18</v>
      </c>
      <c r="AL7" s="86">
        <f t="shared" si="21"/>
        <v>8.8669950738916259E-2</v>
      </c>
      <c r="AM7" s="85">
        <f>IFERROR(GETPIVOTDATA("Sum of Qty",'[1]Store 3mio+ last month'!$A$6,"ID Store",$C7),0)</f>
        <v>270</v>
      </c>
      <c r="AN7" s="84">
        <f t="shared" si="22"/>
        <v>297.86956521739125</v>
      </c>
      <c r="AO7" s="84">
        <f t="shared" si="23"/>
        <v>27.869565217391255</v>
      </c>
      <c r="AP7" s="86">
        <f t="shared" si="24"/>
        <v>0.1032206119162639</v>
      </c>
      <c r="AQ7" s="85">
        <f>IFERROR(GETPIVOTDATA("Sum of Qty",'[1]DATA LAST MONTH DEVICE'!$A$6,"ID Store",$C7,"Segment Price","3mio&gt;"),0)</f>
        <v>62</v>
      </c>
      <c r="AR7" s="87">
        <f t="shared" si="25"/>
        <v>53</v>
      </c>
      <c r="AS7" s="87">
        <f t="shared" si="26"/>
        <v>-9</v>
      </c>
      <c r="AT7" s="86">
        <f t="shared" si="27"/>
        <v>-0.14516129032258066</v>
      </c>
      <c r="AU7" s="101">
        <f>IFERROR(GETPIVOTDATA("Sum of SRP",'[1]DATA LAST MONTH DEVICE'!$A$6,"ID Store",$C7),0)</f>
        <v>741297000</v>
      </c>
      <c r="AV7" s="101">
        <f t="shared" si="28"/>
        <v>664379000</v>
      </c>
      <c r="AW7" s="101">
        <f t="shared" si="29"/>
        <v>-76918000</v>
      </c>
      <c r="AX7" s="86">
        <f t="shared" si="30"/>
        <v>-0.10376138039139508</v>
      </c>
      <c r="AY7" s="101">
        <f>IFERROR(VLOOKUP(C7,'[1]DATA SALES LAST MONTH'!A:E,5,0),0)</f>
        <v>3651709.3596059112</v>
      </c>
      <c r="AZ7" s="88">
        <f t="shared" si="31"/>
        <v>3006239.8190045254</v>
      </c>
      <c r="BA7" s="88">
        <f t="shared" si="32"/>
        <v>-645469.54060138576</v>
      </c>
      <c r="BB7" s="98">
        <f t="shared" si="33"/>
        <v>-0.17675819103824961</v>
      </c>
      <c r="BC7" s="81">
        <f>IFERROR(VLOOKUP(C7,'[1]TARGET THIS MONTH'!C:U,15,0),0)</f>
        <v>26</v>
      </c>
      <c r="BD7" s="102">
        <f>IFERROR(GETPIVOTDATA("Sum of Qty",[1]ACC!$A$5,"ID Store",$C7),0)</f>
        <v>59</v>
      </c>
      <c r="BE7" s="86">
        <f t="shared" si="34"/>
        <v>2.2692307692307692</v>
      </c>
      <c r="BF7" s="103">
        <f>IFERROR(VLOOKUP(C7,'[1]TARGET THIS MONTH'!C:U,16,0),0)</f>
        <v>4810000</v>
      </c>
      <c r="BG7" s="103">
        <f>IFERROR(GETPIVOTDATA("Sum of SRP",'[1]Insurance by Store'!$A$5,"ID Store",$C7,"Product Type","Qoala"),0)</f>
        <v>3657000</v>
      </c>
      <c r="BH7" s="86">
        <f t="shared" si="35"/>
        <v>0.76029106029106031</v>
      </c>
      <c r="BI7" s="103">
        <f>IFERROR(VLOOKUP(C7,'[1]TARGET THIS MONTH'!C:U,17,0),0)</f>
        <v>962000</v>
      </c>
      <c r="BJ7" s="103">
        <f>IFERROR(GETPIVOTDATA("Sum of SRP",'[1]Insurance by Store'!$A$5,"ID Store",$C7,"Product Type","Vivo Care"),0)</f>
        <v>0</v>
      </c>
      <c r="BK7" s="86">
        <f t="shared" si="36"/>
        <v>0</v>
      </c>
      <c r="BL7" s="84">
        <f>IFERROR(VLOOKUP(C7,'[1]TARGET THIS MONTH'!C:U,18,0),0)</f>
        <v>7.8</v>
      </c>
      <c r="BM7" s="85">
        <f>IFERROR(GETPIVOTDATA("Sum of Qty",'[1]Operator by Store'!$A$5,"ID Store",$C7,"Product Type","Indosat"),0)</f>
        <v>5</v>
      </c>
      <c r="BN7" s="86">
        <f t="shared" si="37"/>
        <v>0.64102564102564108</v>
      </c>
      <c r="BO7" s="84">
        <f>VLOOKUP(C7,'[1]TARGET THIS MONTH'!C:U,19,0)</f>
        <v>78</v>
      </c>
      <c r="BP7" s="85">
        <f>IFERROR(GETPIVOTDATA("Sum of Qty",'[1]Operator by Store'!$A$5,"ID Store",$C7,"Product Type","Telkomsel"),0)</f>
        <v>0</v>
      </c>
      <c r="BQ7" s="104">
        <f t="shared" si="38"/>
        <v>0</v>
      </c>
    </row>
    <row r="8" spans="1:69" x14ac:dyDescent="0.2">
      <c r="A8" s="75">
        <v>4</v>
      </c>
      <c r="B8" s="76" t="s">
        <v>39</v>
      </c>
      <c r="C8" s="77">
        <v>6010703</v>
      </c>
      <c r="D8" s="78" t="s">
        <v>45</v>
      </c>
      <c r="E8" s="79" t="s">
        <v>46</v>
      </c>
      <c r="F8" s="80">
        <v>3</v>
      </c>
      <c r="G8" s="81">
        <f>IFERROR(VLOOKUP(C8,'[1]TARGET THIS MONTH'!C:E,3,0),0)</f>
        <v>120</v>
      </c>
      <c r="H8" s="82">
        <f>IFERROR(VLOOKUP(C8,'[1]TARGET THIS MONTH'!C:M,11,0),0)</f>
        <v>420000000</v>
      </c>
      <c r="I8" s="81">
        <f>IFERROR(GETPIVOTDATA("Sum of Qty",'[1]DEVICE &amp; VALUE'!$A$6,"ID Store",$C8),0)</f>
        <v>115</v>
      </c>
      <c r="J8" s="83">
        <f t="shared" si="0"/>
        <v>0.95833333333333337</v>
      </c>
      <c r="K8" s="84">
        <f t="shared" si="1"/>
        <v>-5</v>
      </c>
      <c r="L8" s="85">
        <f>IFERROR(GETPIVOTDATA("Sum of Qty",[1]PF!$A$5,"ID Store",$C8),0)</f>
        <v>13</v>
      </c>
      <c r="M8" s="85">
        <f>IFERROR(GETPIVOTDATA("Sum of Qty",'[1]DEVICE &amp; VALUE'!$A$6,"ID Store",$C8,"Segment Price","3mio&gt;"),0)</f>
        <v>16</v>
      </c>
      <c r="N8" s="86">
        <f t="shared" si="2"/>
        <v>0.1391304347826087</v>
      </c>
      <c r="O8" s="87">
        <f>IFERROR(GETPIVOTDATA("Sum of Qty",[1]IQOO!$A$6,"ID Store",$C8),0)</f>
        <v>2</v>
      </c>
      <c r="P8" s="86">
        <f t="shared" si="3"/>
        <v>1.7391304347826087E-2</v>
      </c>
      <c r="Q8" s="86">
        <f t="shared" si="4"/>
        <v>0.1391304347826087</v>
      </c>
      <c r="R8" s="88">
        <f>IFERROR(GETPIVOTDATA("Sum of SRP",'[1]DEVICE &amp; VALUE'!$A$6,"ID Store",$C8),0)</f>
        <v>295385000</v>
      </c>
      <c r="S8" s="86">
        <f t="shared" si="5"/>
        <v>0.703297619047619</v>
      </c>
      <c r="T8" s="89">
        <f t="shared" si="6"/>
        <v>-124615000</v>
      </c>
      <c r="U8" s="90">
        <f t="shared" si="7"/>
        <v>155</v>
      </c>
      <c r="V8" s="91">
        <f t="shared" si="8"/>
        <v>1.2916666666666667</v>
      </c>
      <c r="W8" s="92">
        <f t="shared" si="9"/>
        <v>35</v>
      </c>
      <c r="X8" s="92">
        <f t="shared" si="10"/>
        <v>21.565217391304348</v>
      </c>
      <c r="Y8" s="92">
        <f t="shared" si="11"/>
        <v>-98.434782608695656</v>
      </c>
      <c r="Z8" s="93">
        <f t="shared" si="12"/>
        <v>398127608.69565219</v>
      </c>
      <c r="AA8" s="93">
        <f t="shared" si="13"/>
        <v>-21872391.304347813</v>
      </c>
      <c r="AB8" s="94">
        <f t="shared" si="14"/>
        <v>0.94792287784679097</v>
      </c>
      <c r="AC8" s="95">
        <f t="shared" si="15"/>
        <v>0.625</v>
      </c>
      <c r="AD8" s="96">
        <f t="shared" si="16"/>
        <v>15576875</v>
      </c>
      <c r="AE8" s="81">
        <f>IFERROR(GETPIVOTDATA("Sum of Qty",'[1]DATA LAST MONTH IQOO'!$A$6,"ID Store",$C8),0)</f>
        <v>6</v>
      </c>
      <c r="AF8" s="97">
        <f>IFERROR(GETPIVOTDATA("Sum of Qty",[1]IQOO!$A$6,"ID Store",$C8),0)</f>
        <v>2</v>
      </c>
      <c r="AG8" s="84">
        <f t="shared" si="17"/>
        <v>-4</v>
      </c>
      <c r="AH8" s="98">
        <f t="shared" si="18"/>
        <v>-0.66666666666666663</v>
      </c>
      <c r="AI8" s="99">
        <f>IFERROR(GETPIVOTDATA("Sum of Qty",'[1]DATA LAST MONTH DEVICE'!$A$6,"ID Store",$C8),0)</f>
        <v>91</v>
      </c>
      <c r="AJ8" s="100">
        <f t="shared" si="19"/>
        <v>115</v>
      </c>
      <c r="AK8" s="84">
        <f t="shared" si="20"/>
        <v>24</v>
      </c>
      <c r="AL8" s="86">
        <f t="shared" si="21"/>
        <v>0.26373626373626374</v>
      </c>
      <c r="AM8" s="85">
        <f>IFERROR(GETPIVOTDATA("Sum of Qty",'[1]Store 3mio+ last month'!$A$6,"ID Store",$C8),0)</f>
        <v>105</v>
      </c>
      <c r="AN8" s="84">
        <f t="shared" si="22"/>
        <v>155</v>
      </c>
      <c r="AO8" s="84">
        <f t="shared" si="23"/>
        <v>50</v>
      </c>
      <c r="AP8" s="86">
        <f t="shared" si="24"/>
        <v>0.47619047619047616</v>
      </c>
      <c r="AQ8" s="85">
        <f>IFERROR(GETPIVOTDATA("Sum of Qty",'[1]DATA LAST MONTH DEVICE'!$A$6,"ID Store",$C8,"Segment Price","3mio&gt;"),0)</f>
        <v>23</v>
      </c>
      <c r="AR8" s="87">
        <f t="shared" si="25"/>
        <v>16</v>
      </c>
      <c r="AS8" s="87">
        <f t="shared" si="26"/>
        <v>-7</v>
      </c>
      <c r="AT8" s="86">
        <f t="shared" si="27"/>
        <v>-0.30434782608695654</v>
      </c>
      <c r="AU8" s="101">
        <f>IFERROR(GETPIVOTDATA("Sum of SRP",'[1]DATA LAST MONTH DEVICE'!$A$6,"ID Store",$C8),0)</f>
        <v>264309000</v>
      </c>
      <c r="AV8" s="101">
        <f t="shared" si="28"/>
        <v>295385000</v>
      </c>
      <c r="AW8" s="101">
        <f t="shared" si="29"/>
        <v>31076000</v>
      </c>
      <c r="AX8" s="86">
        <f t="shared" si="30"/>
        <v>0.11757450559761491</v>
      </c>
      <c r="AY8" s="101">
        <f>IFERROR(VLOOKUP(C8,'[1]DATA SALES LAST MONTH'!A:E,5,0),0)</f>
        <v>2904494.5054945056</v>
      </c>
      <c r="AZ8" s="88">
        <f t="shared" si="31"/>
        <v>2568565.2173913042</v>
      </c>
      <c r="BA8" s="88">
        <f t="shared" si="32"/>
        <v>-335929.28810320143</v>
      </c>
      <c r="BB8" s="98">
        <f t="shared" si="33"/>
        <v>-0.11565843470101786</v>
      </c>
      <c r="BC8" s="81">
        <f>IFERROR(VLOOKUP(C8,'[1]TARGET THIS MONTH'!C:U,15,0),0)</f>
        <v>12</v>
      </c>
      <c r="BD8" s="102">
        <f>IFERROR(GETPIVOTDATA("Sum of Qty",[1]ACC!$A$5,"ID Store",$C8),0)</f>
        <v>25</v>
      </c>
      <c r="BE8" s="86">
        <f t="shared" si="34"/>
        <v>2.0833333333333335</v>
      </c>
      <c r="BF8" s="103">
        <f>IFERROR(VLOOKUP(C8,'[1]TARGET THIS MONTH'!C:U,16,0),0)</f>
        <v>2100000</v>
      </c>
      <c r="BG8" s="103">
        <f>IFERROR(GETPIVOTDATA("Sum of SRP",'[1]Insurance by Store'!$A$5,"ID Store",$C8,"Product Type","Qoala"),0)</f>
        <v>2226000</v>
      </c>
      <c r="BH8" s="86">
        <f t="shared" si="35"/>
        <v>1.06</v>
      </c>
      <c r="BI8" s="103">
        <f>IFERROR(VLOOKUP(C8,'[1]TARGET THIS MONTH'!C:U,17,0),0)</f>
        <v>420000</v>
      </c>
      <c r="BJ8" s="103">
        <f>IFERROR(GETPIVOTDATA("Sum of SRP",'[1]Insurance by Store'!$A$5,"ID Store",$C8,"Product Type","Vivo Care"),0)</f>
        <v>0</v>
      </c>
      <c r="BK8" s="86">
        <f t="shared" si="36"/>
        <v>0</v>
      </c>
      <c r="BL8" s="84">
        <f>IFERROR(VLOOKUP(C8,'[1]TARGET THIS MONTH'!C:U,18,0),0)</f>
        <v>3.6</v>
      </c>
      <c r="BM8" s="85">
        <f>IFERROR(GETPIVOTDATA("Sum of Qty",'[1]Operator by Store'!$A$5,"ID Store",$C8,"Product Type","Indosat"),0)</f>
        <v>2</v>
      </c>
      <c r="BN8" s="86">
        <f t="shared" si="37"/>
        <v>0.55555555555555558</v>
      </c>
      <c r="BO8" s="84">
        <f>VLOOKUP(C8,'[1]TARGET THIS MONTH'!C:U,19,0)</f>
        <v>36</v>
      </c>
      <c r="BP8" s="85">
        <f>IFERROR(GETPIVOTDATA("Sum of Qty",'[1]Operator by Store'!$A$5,"ID Store",$C8,"Product Type","Telkomsel"),0)</f>
        <v>0</v>
      </c>
      <c r="BQ8" s="104">
        <f t="shared" si="38"/>
        <v>0</v>
      </c>
    </row>
    <row r="9" spans="1:69" x14ac:dyDescent="0.2">
      <c r="A9" s="75">
        <v>5</v>
      </c>
      <c r="B9" s="76" t="s">
        <v>39</v>
      </c>
      <c r="C9" s="77">
        <v>6010709</v>
      </c>
      <c r="D9" s="78" t="s">
        <v>47</v>
      </c>
      <c r="E9" s="79" t="s">
        <v>46</v>
      </c>
      <c r="F9" s="80">
        <v>7</v>
      </c>
      <c r="G9" s="81">
        <f>IFERROR(VLOOKUP(C9,'[1]TARGET THIS MONTH'!C:E,3,0),0)</f>
        <v>320</v>
      </c>
      <c r="H9" s="82">
        <f>IFERROR(VLOOKUP(C9,'[1]TARGET THIS MONTH'!C:M,11,0),0)</f>
        <v>1120000000</v>
      </c>
      <c r="I9" s="81">
        <f>IFERROR(GETPIVOTDATA("Sum of Qty",'[1]DEVICE &amp; VALUE'!$A$6,"ID Store",$C9),0)</f>
        <v>279</v>
      </c>
      <c r="J9" s="83">
        <f t="shared" si="0"/>
        <v>0.87187499999999996</v>
      </c>
      <c r="K9" s="84">
        <f t="shared" si="1"/>
        <v>-41</v>
      </c>
      <c r="L9" s="85">
        <f>IFERROR(GETPIVOTDATA("Sum of Qty",[1]PF!$A$5,"ID Store",$C9),0)</f>
        <v>47</v>
      </c>
      <c r="M9" s="85">
        <f>IFERROR(GETPIVOTDATA("Sum of Qty",'[1]DEVICE &amp; VALUE'!$A$6,"ID Store",$C9,"Segment Price","3mio&gt;"),0)</f>
        <v>66</v>
      </c>
      <c r="N9" s="86">
        <f t="shared" si="2"/>
        <v>0.23655913978494625</v>
      </c>
      <c r="O9" s="87">
        <f>IFERROR(GETPIVOTDATA("Sum of Qty",[1]IQOO!$A$6,"ID Store",$C9),0)</f>
        <v>3</v>
      </c>
      <c r="P9" s="86">
        <f t="shared" si="3"/>
        <v>1.0752688172043012E-2</v>
      </c>
      <c r="Q9" s="86">
        <f t="shared" si="4"/>
        <v>0.23655913978494625</v>
      </c>
      <c r="R9" s="88">
        <f>IFERROR(GETPIVOTDATA("Sum of SRP",'[1]DEVICE &amp; VALUE'!$A$6,"ID Store",$C9),0)</f>
        <v>800521000</v>
      </c>
      <c r="S9" s="86">
        <f t="shared" si="5"/>
        <v>0.71475089285714288</v>
      </c>
      <c r="T9" s="89">
        <f t="shared" si="6"/>
        <v>-319479000</v>
      </c>
      <c r="U9" s="90">
        <f t="shared" si="7"/>
        <v>376.04347826086956</v>
      </c>
      <c r="V9" s="91">
        <f t="shared" si="8"/>
        <v>1.1751358695652174</v>
      </c>
      <c r="W9" s="92">
        <f t="shared" si="9"/>
        <v>56.043478260869563</v>
      </c>
      <c r="X9" s="92">
        <f t="shared" si="10"/>
        <v>88.956521739130437</v>
      </c>
      <c r="Y9" s="92">
        <f t="shared" si="11"/>
        <v>-231.04347826086956</v>
      </c>
      <c r="Z9" s="93">
        <f t="shared" si="12"/>
        <v>1078963086.9565217</v>
      </c>
      <c r="AA9" s="93">
        <f t="shared" si="13"/>
        <v>-41036913.043478251</v>
      </c>
      <c r="AB9" s="94">
        <f t="shared" si="14"/>
        <v>0.96335989906832298</v>
      </c>
      <c r="AC9" s="95">
        <f t="shared" si="15"/>
        <v>5.125</v>
      </c>
      <c r="AD9" s="96">
        <f t="shared" si="16"/>
        <v>39934875</v>
      </c>
      <c r="AE9" s="81">
        <f>IFERROR(GETPIVOTDATA("Sum of Qty",'[1]DATA LAST MONTH IQOO'!$A$6,"ID Store",$C9),0)</f>
        <v>10</v>
      </c>
      <c r="AF9" s="97">
        <f>IFERROR(GETPIVOTDATA("Sum of Qty",[1]IQOO!$A$6,"ID Store",$C9),0)</f>
        <v>3</v>
      </c>
      <c r="AG9" s="84">
        <f t="shared" si="17"/>
        <v>-7</v>
      </c>
      <c r="AH9" s="98">
        <f t="shared" si="18"/>
        <v>-0.7</v>
      </c>
      <c r="AI9" s="99">
        <f>IFERROR(GETPIVOTDATA("Sum of Qty",'[1]DATA LAST MONTH DEVICE'!$A$6,"ID Store",$C9),0)</f>
        <v>289</v>
      </c>
      <c r="AJ9" s="100">
        <f t="shared" si="19"/>
        <v>279</v>
      </c>
      <c r="AK9" s="84">
        <f t="shared" si="20"/>
        <v>-10</v>
      </c>
      <c r="AL9" s="86">
        <f t="shared" si="21"/>
        <v>-3.4602076124567477E-2</v>
      </c>
      <c r="AM9" s="85">
        <f>IFERROR(GETPIVOTDATA("Sum of Qty",'[1]Store 3mio+ last month'!$A$6,"ID Store",$C9),0)</f>
        <v>353</v>
      </c>
      <c r="AN9" s="84">
        <f t="shared" si="22"/>
        <v>376.04347826086956</v>
      </c>
      <c r="AO9" s="84">
        <f t="shared" si="23"/>
        <v>23.043478260869563</v>
      </c>
      <c r="AP9" s="86">
        <f t="shared" si="24"/>
        <v>6.5278975243256557E-2</v>
      </c>
      <c r="AQ9" s="85">
        <f>IFERROR(GETPIVOTDATA("Sum of Qty",'[1]DATA LAST MONTH DEVICE'!$A$6,"ID Store",$C9,"Segment Price","3mio&gt;"),0)</f>
        <v>77</v>
      </c>
      <c r="AR9" s="87">
        <f t="shared" si="25"/>
        <v>66</v>
      </c>
      <c r="AS9" s="87">
        <f t="shared" si="26"/>
        <v>-11</v>
      </c>
      <c r="AT9" s="86">
        <f t="shared" si="27"/>
        <v>-0.14285714285714285</v>
      </c>
      <c r="AU9" s="101">
        <f>IFERROR(GETPIVOTDATA("Sum of SRP",'[1]DATA LAST MONTH DEVICE'!$A$6,"ID Store",$C9),0)</f>
        <v>900111000</v>
      </c>
      <c r="AV9" s="101">
        <f t="shared" si="28"/>
        <v>800521000</v>
      </c>
      <c r="AW9" s="101">
        <f t="shared" si="29"/>
        <v>-99590000</v>
      </c>
      <c r="AX9" s="86">
        <f t="shared" si="30"/>
        <v>-0.11064190972002341</v>
      </c>
      <c r="AY9" s="101">
        <f>IFERROR(VLOOKUP(C9,'[1]DATA SALES LAST MONTH'!A:E,5,0),0)</f>
        <v>3114570.9342560554</v>
      </c>
      <c r="AZ9" s="88">
        <f t="shared" si="31"/>
        <v>2869250.8960573478</v>
      </c>
      <c r="BA9" s="88">
        <f t="shared" si="32"/>
        <v>-245320.03819870763</v>
      </c>
      <c r="BB9" s="98">
        <f t="shared" si="33"/>
        <v>-7.8765275659809189E-2</v>
      </c>
      <c r="BC9" s="81">
        <f>IFERROR(VLOOKUP(C9,'[1]TARGET THIS MONTH'!C:U,15,0),0)</f>
        <v>32</v>
      </c>
      <c r="BD9" s="102">
        <f>IFERROR(GETPIVOTDATA("Sum of Qty",[1]ACC!$A$5,"ID Store",$C9),0)</f>
        <v>69</v>
      </c>
      <c r="BE9" s="86">
        <f t="shared" si="34"/>
        <v>2.15625</v>
      </c>
      <c r="BF9" s="103">
        <f>IFERROR(VLOOKUP(C9,'[1]TARGET THIS MONTH'!C:U,16,0),0)</f>
        <v>5600000</v>
      </c>
      <c r="BG9" s="103">
        <f>IFERROR(GETPIVOTDATA("Sum of SRP",'[1]Insurance by Store'!$A$5,"ID Store",$C9,"Product Type","Qoala"),0)</f>
        <v>4871000</v>
      </c>
      <c r="BH9" s="86">
        <f t="shared" si="35"/>
        <v>0.86982142857142852</v>
      </c>
      <c r="BI9" s="103">
        <f>IFERROR(VLOOKUP(C9,'[1]TARGET THIS MONTH'!C:U,17,0),0)</f>
        <v>1120000</v>
      </c>
      <c r="BJ9" s="103">
        <f>IFERROR(GETPIVOTDATA("Sum of SRP",'[1]Insurance by Store'!$A$5,"ID Store",$C9,"Product Type","Vivo Care"),0)</f>
        <v>0</v>
      </c>
      <c r="BK9" s="86">
        <f t="shared" si="36"/>
        <v>0</v>
      </c>
      <c r="BL9" s="84">
        <f>IFERROR(VLOOKUP(C9,'[1]TARGET THIS MONTH'!C:U,18,0),0)</f>
        <v>9.6</v>
      </c>
      <c r="BM9" s="85">
        <f>IFERROR(GETPIVOTDATA("Sum of Qty",'[1]Operator by Store'!$A$5,"ID Store",$C9,"Product Type","Indosat"),0)</f>
        <v>10</v>
      </c>
      <c r="BN9" s="86">
        <f t="shared" si="37"/>
        <v>1.0416666666666667</v>
      </c>
      <c r="BO9" s="84">
        <f>VLOOKUP(C9,'[1]TARGET THIS MONTH'!C:U,19,0)</f>
        <v>96</v>
      </c>
      <c r="BP9" s="85">
        <f>IFERROR(GETPIVOTDATA("Sum of Qty",'[1]Operator by Store'!$A$5,"ID Store",$C9,"Product Type","Telkomsel"),0)</f>
        <v>0</v>
      </c>
      <c r="BQ9" s="104">
        <f t="shared" si="38"/>
        <v>0</v>
      </c>
    </row>
    <row r="10" spans="1:69" x14ac:dyDescent="0.2">
      <c r="A10" s="75">
        <v>6</v>
      </c>
      <c r="B10" s="76" t="s">
        <v>39</v>
      </c>
      <c r="C10" s="77">
        <v>6010710</v>
      </c>
      <c r="D10" s="78" t="s">
        <v>48</v>
      </c>
      <c r="E10" s="105" t="s">
        <v>46</v>
      </c>
      <c r="F10" s="80">
        <v>3</v>
      </c>
      <c r="G10" s="81">
        <f>IFERROR(VLOOKUP(C10,'[1]TARGET THIS MONTH'!C:E,3,0),0)</f>
        <v>110</v>
      </c>
      <c r="H10" s="82">
        <f>IFERROR(VLOOKUP(C10,'[1]TARGET THIS MONTH'!C:M,11,0),0)</f>
        <v>385000000</v>
      </c>
      <c r="I10" s="81">
        <f>IFERROR(GETPIVOTDATA("Sum of Qty",'[1]DEVICE &amp; VALUE'!$A$6,"ID Store",$C10),0)</f>
        <v>93</v>
      </c>
      <c r="J10" s="83">
        <f t="shared" si="0"/>
        <v>0.84545454545454546</v>
      </c>
      <c r="K10" s="84">
        <f t="shared" si="1"/>
        <v>-17</v>
      </c>
      <c r="L10" s="85">
        <f>IFERROR(GETPIVOTDATA("Sum of Qty",[1]PF!$A$5,"ID Store",$C10),0)</f>
        <v>14</v>
      </c>
      <c r="M10" s="85">
        <f>IFERROR(GETPIVOTDATA("Sum of Qty",'[1]DEVICE &amp; VALUE'!$A$6,"ID Store",$C10,"Segment Price","3mio&gt;"),0)</f>
        <v>19</v>
      </c>
      <c r="N10" s="86">
        <f t="shared" si="2"/>
        <v>0.20430107526881722</v>
      </c>
      <c r="O10" s="87">
        <f>IFERROR(GETPIVOTDATA("Sum of Qty",[1]IQOO!$A$6,"ID Store",$C10),0)</f>
        <v>2</v>
      </c>
      <c r="P10" s="86">
        <f t="shared" si="3"/>
        <v>2.1505376344086023E-2</v>
      </c>
      <c r="Q10" s="86">
        <f t="shared" si="4"/>
        <v>0.20430107526881722</v>
      </c>
      <c r="R10" s="88">
        <f>IFERROR(GETPIVOTDATA("Sum of SRP",'[1]DEVICE &amp; VALUE'!$A$6,"ID Store",$C10),0)</f>
        <v>267507000</v>
      </c>
      <c r="S10" s="86">
        <f t="shared" si="5"/>
        <v>0.69482337662337668</v>
      </c>
      <c r="T10" s="89">
        <f t="shared" si="6"/>
        <v>-117493000</v>
      </c>
      <c r="U10" s="90">
        <f t="shared" si="7"/>
        <v>125.34782608695653</v>
      </c>
      <c r="V10" s="91">
        <f t="shared" si="8"/>
        <v>1.1395256916996048</v>
      </c>
      <c r="W10" s="92">
        <f t="shared" si="9"/>
        <v>15.34782608695653</v>
      </c>
      <c r="X10" s="92">
        <f t="shared" si="10"/>
        <v>25.608695652173914</v>
      </c>
      <c r="Y10" s="92">
        <f t="shared" si="11"/>
        <v>-84.391304347826093</v>
      </c>
      <c r="Z10" s="93">
        <f t="shared" si="12"/>
        <v>360552913.04347825</v>
      </c>
      <c r="AA10" s="93">
        <f t="shared" si="13"/>
        <v>-24447086.956521749</v>
      </c>
      <c r="AB10" s="94">
        <f t="shared" si="14"/>
        <v>0.93650107284020323</v>
      </c>
      <c r="AC10" s="95">
        <f t="shared" si="15"/>
        <v>2.125</v>
      </c>
      <c r="AD10" s="96">
        <f t="shared" si="16"/>
        <v>14686625</v>
      </c>
      <c r="AE10" s="81">
        <f>IFERROR(GETPIVOTDATA("Sum of Qty",'[1]DATA LAST MONTH IQOO'!$A$6,"ID Store",$C10),0)</f>
        <v>6</v>
      </c>
      <c r="AF10" s="97">
        <f>IFERROR(GETPIVOTDATA("Sum of Qty",[1]IQOO!$A$6,"ID Store",$C10),0)</f>
        <v>2</v>
      </c>
      <c r="AG10" s="84">
        <f t="shared" si="17"/>
        <v>-4</v>
      </c>
      <c r="AH10" s="98">
        <f t="shared" si="18"/>
        <v>-0.66666666666666663</v>
      </c>
      <c r="AI10" s="99">
        <f>IFERROR(GETPIVOTDATA("Sum of Qty",'[1]DATA LAST MONTH DEVICE'!$A$6,"ID Store",$C10),0)</f>
        <v>99</v>
      </c>
      <c r="AJ10" s="100">
        <f t="shared" si="19"/>
        <v>93</v>
      </c>
      <c r="AK10" s="84">
        <f t="shared" si="20"/>
        <v>-6</v>
      </c>
      <c r="AL10" s="86">
        <f t="shared" si="21"/>
        <v>-6.0606060606060608E-2</v>
      </c>
      <c r="AM10" s="85">
        <f>IFERROR(GETPIVOTDATA("Sum of Qty",'[1]Store 3mio+ last month'!$A$6,"ID Store",$C10),0)</f>
        <v>120</v>
      </c>
      <c r="AN10" s="84">
        <f t="shared" si="22"/>
        <v>125.34782608695653</v>
      </c>
      <c r="AO10" s="84">
        <f t="shared" si="23"/>
        <v>5.3478260869565304</v>
      </c>
      <c r="AP10" s="86">
        <f t="shared" si="24"/>
        <v>4.4565217391304417E-2</v>
      </c>
      <c r="AQ10" s="85">
        <f>IFERROR(GETPIVOTDATA("Sum of Qty",'[1]DATA LAST MONTH DEVICE'!$A$6,"ID Store",$C10,"Segment Price","3mio&gt;"),0)</f>
        <v>35</v>
      </c>
      <c r="AR10" s="87">
        <f t="shared" si="25"/>
        <v>19</v>
      </c>
      <c r="AS10" s="87">
        <f t="shared" si="26"/>
        <v>-16</v>
      </c>
      <c r="AT10" s="86">
        <f t="shared" si="27"/>
        <v>-0.45714285714285713</v>
      </c>
      <c r="AU10" s="101">
        <f>IFERROR(GETPIVOTDATA("Sum of SRP",'[1]DATA LAST MONTH DEVICE'!$A$6,"ID Store",$C10),0)</f>
        <v>427101000</v>
      </c>
      <c r="AV10" s="101">
        <f t="shared" si="28"/>
        <v>267507000</v>
      </c>
      <c r="AW10" s="101">
        <f t="shared" si="29"/>
        <v>-159594000</v>
      </c>
      <c r="AX10" s="86">
        <f t="shared" si="30"/>
        <v>-0.37366805509703793</v>
      </c>
      <c r="AY10" s="101">
        <f>IFERROR(VLOOKUP(C10,'[1]DATA SALES LAST MONTH'!A:E,5,0),0)</f>
        <v>4314151.5151515156</v>
      </c>
      <c r="AZ10" s="88">
        <f t="shared" si="31"/>
        <v>2876419.3548387093</v>
      </c>
      <c r="BA10" s="88">
        <f t="shared" si="32"/>
        <v>-1437732.1603128063</v>
      </c>
      <c r="BB10" s="98">
        <f t="shared" si="33"/>
        <v>-0.33325954252265344</v>
      </c>
      <c r="BC10" s="81">
        <f>IFERROR(VLOOKUP(C10,'[1]TARGET THIS MONTH'!C:U,15,0),0)</f>
        <v>11</v>
      </c>
      <c r="BD10" s="102">
        <f>IFERROR(GETPIVOTDATA("Sum of Qty",[1]ACC!$A$5,"ID Store",$C10),0)</f>
        <v>21</v>
      </c>
      <c r="BE10" s="86">
        <f t="shared" si="34"/>
        <v>1.9090909090909092</v>
      </c>
      <c r="BF10" s="103">
        <f>IFERROR(VLOOKUP(C10,'[1]TARGET THIS MONTH'!C:U,16,0),0)</f>
        <v>1925000</v>
      </c>
      <c r="BG10" s="103">
        <f>IFERROR(GETPIVOTDATA("Sum of SRP",'[1]Insurance by Store'!$A$5,"ID Store",$C10,"Product Type","Qoala"),0)</f>
        <v>1919000</v>
      </c>
      <c r="BH10" s="86">
        <f t="shared" si="35"/>
        <v>0.99688311688311693</v>
      </c>
      <c r="BI10" s="103">
        <f>IFERROR(VLOOKUP(C10,'[1]TARGET THIS MONTH'!C:U,17,0),0)</f>
        <v>385000</v>
      </c>
      <c r="BJ10" s="103">
        <f>IFERROR(GETPIVOTDATA("Sum of SRP",'[1]Insurance by Store'!$A$5,"ID Store",$C10,"Product Type","Vivo Care"),0)</f>
        <v>0</v>
      </c>
      <c r="BK10" s="86">
        <f t="shared" si="36"/>
        <v>0</v>
      </c>
      <c r="BL10" s="84">
        <f>IFERROR(VLOOKUP(C10,'[1]TARGET THIS MONTH'!C:U,18,0),0)</f>
        <v>3.3</v>
      </c>
      <c r="BM10" s="85">
        <f>IFERROR(GETPIVOTDATA("Sum of Qty",'[1]Operator by Store'!$A$5,"ID Store",$C10,"Product Type","Indosat"),0)</f>
        <v>1</v>
      </c>
      <c r="BN10" s="86">
        <f t="shared" si="37"/>
        <v>0.30303030303030304</v>
      </c>
      <c r="BO10" s="84">
        <f>VLOOKUP(C10,'[1]TARGET THIS MONTH'!C:U,19,0)</f>
        <v>33</v>
      </c>
      <c r="BP10" s="85">
        <f>IFERROR(GETPIVOTDATA("Sum of Qty",'[1]Operator by Store'!$A$5,"ID Store",$C10,"Product Type","Telkomsel"),0)</f>
        <v>0</v>
      </c>
      <c r="BQ10" s="104">
        <f t="shared" si="38"/>
        <v>0</v>
      </c>
    </row>
    <row r="11" spans="1:69" x14ac:dyDescent="0.2">
      <c r="A11" s="75">
        <v>7</v>
      </c>
      <c r="B11" s="76" t="s">
        <v>39</v>
      </c>
      <c r="C11" s="77">
        <v>6020711</v>
      </c>
      <c r="D11" s="78" t="s">
        <v>49</v>
      </c>
      <c r="E11" s="106" t="s">
        <v>50</v>
      </c>
      <c r="F11" s="80">
        <v>3</v>
      </c>
      <c r="G11" s="81">
        <f>IFERROR(VLOOKUP(C11,'[1]TARGET THIS MONTH'!C:E,3,0),0)</f>
        <v>120</v>
      </c>
      <c r="H11" s="82">
        <f>IFERROR(VLOOKUP(C11,'[1]TARGET THIS MONTH'!C:M,11,0),0)</f>
        <v>840000000</v>
      </c>
      <c r="I11" s="81">
        <f>IFERROR(GETPIVOTDATA("Sum of Qty",'[1]DEVICE &amp; VALUE'!$A$6,"ID Store",$C11),0)</f>
        <v>69</v>
      </c>
      <c r="J11" s="83">
        <f t="shared" si="0"/>
        <v>0.57499999999999996</v>
      </c>
      <c r="K11" s="84">
        <f t="shared" si="1"/>
        <v>-51</v>
      </c>
      <c r="L11" s="85">
        <f>IFERROR(GETPIVOTDATA("Sum of Qty",[1]PF!$A$5,"ID Store",$C11),0)</f>
        <v>13</v>
      </c>
      <c r="M11" s="85">
        <f>IFERROR(GETPIVOTDATA("Sum of Qty",'[1]DEVICE &amp; VALUE'!$A$6,"ID Store",$C11,"Segment Price","3mio&gt;"),0)</f>
        <v>42</v>
      </c>
      <c r="N11" s="86">
        <f t="shared" si="2"/>
        <v>0.60869565217391308</v>
      </c>
      <c r="O11" s="87">
        <f>IFERROR(GETPIVOTDATA("Sum of Qty",[1]IQOO!$A$6,"ID Store",$C11),0)</f>
        <v>3</v>
      </c>
      <c r="P11" s="86">
        <f t="shared" si="3"/>
        <v>4.3478260869565216E-2</v>
      </c>
      <c r="Q11" s="86">
        <f t="shared" si="4"/>
        <v>0.60869565217391308</v>
      </c>
      <c r="R11" s="88">
        <f>IFERROR(GETPIVOTDATA("Sum of SRP",'[1]DEVICE &amp; VALUE'!$A$6,"ID Store",$C11),0)</f>
        <v>454831000</v>
      </c>
      <c r="S11" s="86">
        <f t="shared" si="5"/>
        <v>0.54146547619047614</v>
      </c>
      <c r="T11" s="89">
        <f t="shared" si="6"/>
        <v>-385169000</v>
      </c>
      <c r="U11" s="90">
        <f t="shared" si="7"/>
        <v>93</v>
      </c>
      <c r="V11" s="91">
        <f t="shared" si="8"/>
        <v>0.77500000000000002</v>
      </c>
      <c r="W11" s="92">
        <f t="shared" si="9"/>
        <v>-27</v>
      </c>
      <c r="X11" s="92">
        <f t="shared" si="10"/>
        <v>56.608695652173907</v>
      </c>
      <c r="Y11" s="92">
        <f t="shared" si="11"/>
        <v>-63.391304347826093</v>
      </c>
      <c r="Z11" s="93">
        <f t="shared" si="12"/>
        <v>613033086.95652175</v>
      </c>
      <c r="AA11" s="93">
        <f t="shared" si="13"/>
        <v>-226966913.04347825</v>
      </c>
      <c r="AB11" s="94">
        <f t="shared" si="14"/>
        <v>0.72980129399585925</v>
      </c>
      <c r="AC11" s="95">
        <f t="shared" si="15"/>
        <v>6.375</v>
      </c>
      <c r="AD11" s="96">
        <f t="shared" si="16"/>
        <v>48146125</v>
      </c>
      <c r="AE11" s="81">
        <f>IFERROR(GETPIVOTDATA("Sum of Qty",'[1]DATA LAST MONTH IQOO'!$A$6,"ID Store",$C11),0)</f>
        <v>10</v>
      </c>
      <c r="AF11" s="97">
        <f>IFERROR(GETPIVOTDATA("Sum of Qty",[1]IQOO!$A$6,"ID Store",$C11),0)</f>
        <v>3</v>
      </c>
      <c r="AG11" s="84">
        <f t="shared" si="17"/>
        <v>-7</v>
      </c>
      <c r="AH11" s="98">
        <f t="shared" si="18"/>
        <v>-0.7</v>
      </c>
      <c r="AI11" s="99">
        <f>IFERROR(GETPIVOTDATA("Sum of Qty",'[1]DATA LAST MONTH DEVICE'!$A$6,"ID Store",$C11),0)</f>
        <v>94</v>
      </c>
      <c r="AJ11" s="100">
        <f t="shared" si="19"/>
        <v>69</v>
      </c>
      <c r="AK11" s="84">
        <f t="shared" si="20"/>
        <v>-25</v>
      </c>
      <c r="AL11" s="86">
        <f t="shared" si="21"/>
        <v>-0.26595744680851063</v>
      </c>
      <c r="AM11" s="85">
        <f>IFERROR(GETPIVOTDATA("Sum of Qty",'[1]Store 3mio+ last month'!$A$6,"ID Store",$C11),0)</f>
        <v>111</v>
      </c>
      <c r="AN11" s="84">
        <f t="shared" si="22"/>
        <v>93</v>
      </c>
      <c r="AO11" s="84">
        <f t="shared" si="23"/>
        <v>-18</v>
      </c>
      <c r="AP11" s="86">
        <f t="shared" si="24"/>
        <v>-0.16216216216216217</v>
      </c>
      <c r="AQ11" s="85">
        <f>IFERROR(GETPIVOTDATA("Sum of Qty",'[1]DATA LAST MONTH DEVICE'!$A$6,"ID Store",$C11,"Segment Price","3mio&gt;"),0)</f>
        <v>56</v>
      </c>
      <c r="AR11" s="87">
        <f t="shared" si="25"/>
        <v>42</v>
      </c>
      <c r="AS11" s="87">
        <f t="shared" si="26"/>
        <v>-14</v>
      </c>
      <c r="AT11" s="86">
        <f t="shared" si="27"/>
        <v>-0.25</v>
      </c>
      <c r="AU11" s="101">
        <f>IFERROR(GETPIVOTDATA("Sum of SRP",'[1]DATA LAST MONTH DEVICE'!$A$6,"ID Store",$C11),0)</f>
        <v>561606000</v>
      </c>
      <c r="AV11" s="101">
        <f t="shared" si="28"/>
        <v>454831000</v>
      </c>
      <c r="AW11" s="101">
        <f t="shared" si="29"/>
        <v>-106775000</v>
      </c>
      <c r="AX11" s="86">
        <f t="shared" si="30"/>
        <v>-0.19012439325790678</v>
      </c>
      <c r="AY11" s="101">
        <f>IFERROR(VLOOKUP(C11,'[1]DATA SALES LAST MONTH'!A:E,5,0),0)</f>
        <v>5974531.9148936169</v>
      </c>
      <c r="AZ11" s="88">
        <f t="shared" si="31"/>
        <v>6591753.6231884062</v>
      </c>
      <c r="BA11" s="88">
        <f t="shared" si="32"/>
        <v>617221.70829478931</v>
      </c>
      <c r="BB11" s="98">
        <f t="shared" si="33"/>
        <v>0.10330879759067779</v>
      </c>
      <c r="BC11" s="81">
        <f>IFERROR(VLOOKUP(C11,'[1]TARGET THIS MONTH'!C:U,15,0),0)</f>
        <v>12</v>
      </c>
      <c r="BD11" s="102">
        <f>IFERROR(GETPIVOTDATA("Sum of Qty",[1]ACC!$A$5,"ID Store",$C11),0)</f>
        <v>29</v>
      </c>
      <c r="BE11" s="86">
        <f t="shared" si="34"/>
        <v>2.4166666666666665</v>
      </c>
      <c r="BF11" s="103">
        <f>IFERROR(VLOOKUP(C11,'[1]TARGET THIS MONTH'!C:U,16,0),0)</f>
        <v>4200000</v>
      </c>
      <c r="BG11" s="103">
        <f>IFERROR(GETPIVOTDATA("Sum of SRP",'[1]Insurance by Store'!$A$5,"ID Store",$C11,"Product Type","Qoala"),0)</f>
        <v>1554000</v>
      </c>
      <c r="BH11" s="86">
        <f t="shared" si="35"/>
        <v>0.37</v>
      </c>
      <c r="BI11" s="103">
        <f>IFERROR(VLOOKUP(C11,'[1]TARGET THIS MONTH'!C:U,17,0),0)</f>
        <v>840000</v>
      </c>
      <c r="BJ11" s="103">
        <f>IFERROR(GETPIVOTDATA("Sum of SRP",'[1]Insurance by Store'!$A$5,"ID Store",$C11,"Product Type","Vivo Care"),0)</f>
        <v>1000000</v>
      </c>
      <c r="BK11" s="86">
        <f t="shared" si="36"/>
        <v>1.1904761904761905</v>
      </c>
      <c r="BL11" s="84">
        <f>IFERROR(VLOOKUP(C11,'[1]TARGET THIS MONTH'!C:U,18,0),0)</f>
        <v>3.6</v>
      </c>
      <c r="BM11" s="85">
        <f>IFERROR(GETPIVOTDATA("Sum of Qty",'[1]Operator by Store'!$A$5,"ID Store",$C11,"Product Type","Indosat"),0)</f>
        <v>2</v>
      </c>
      <c r="BN11" s="86">
        <f t="shared" si="37"/>
        <v>0.55555555555555558</v>
      </c>
      <c r="BO11" s="84">
        <f>VLOOKUP(C11,'[1]TARGET THIS MONTH'!C:U,19,0)</f>
        <v>36</v>
      </c>
      <c r="BP11" s="85">
        <f>IFERROR(GETPIVOTDATA("Sum of Qty",'[1]Operator by Store'!$A$5,"ID Store",$C11,"Product Type","Telkomsel"),0)</f>
        <v>0</v>
      </c>
      <c r="BQ11" s="104">
        <f t="shared" si="38"/>
        <v>0</v>
      </c>
    </row>
    <row r="12" spans="1:69" x14ac:dyDescent="0.2">
      <c r="A12" s="75">
        <v>8</v>
      </c>
      <c r="B12" s="76" t="s">
        <v>39</v>
      </c>
      <c r="C12" s="77">
        <v>6010711</v>
      </c>
      <c r="D12" s="78" t="s">
        <v>51</v>
      </c>
      <c r="E12" s="105" t="s">
        <v>52</v>
      </c>
      <c r="F12" s="80">
        <v>3</v>
      </c>
      <c r="G12" s="81">
        <f>IFERROR(VLOOKUP(C12,'[1]TARGET THIS MONTH'!C:E,3,0),0)</f>
        <v>50</v>
      </c>
      <c r="H12" s="82">
        <f>IFERROR(VLOOKUP(C12,'[1]TARGET THIS MONTH'!C:M,11,0),0)</f>
        <v>350000000</v>
      </c>
      <c r="I12" s="81">
        <f>IFERROR(GETPIVOTDATA("Sum of Qty",'[1]DEVICE &amp; VALUE'!$A$6,"ID Store",$C12),0)</f>
        <v>41</v>
      </c>
      <c r="J12" s="83">
        <f t="shared" si="0"/>
        <v>0.82</v>
      </c>
      <c r="K12" s="84">
        <f t="shared" si="1"/>
        <v>-9</v>
      </c>
      <c r="L12" s="85">
        <f>IFERROR(GETPIVOTDATA("Sum of Qty",[1]PF!$A$5,"ID Store",$C12),0)</f>
        <v>14</v>
      </c>
      <c r="M12" s="85">
        <f>IFERROR(GETPIVOTDATA("Sum of Qty",'[1]DEVICE &amp; VALUE'!$A$6,"ID Store",$C12,"Segment Price","3mio&gt;"),0)</f>
        <v>24</v>
      </c>
      <c r="N12" s="86">
        <f t="shared" si="2"/>
        <v>0.58536585365853655</v>
      </c>
      <c r="O12" s="87">
        <f>IFERROR(GETPIVOTDATA("Sum of Qty",[1]IQOO!$A$6,"ID Store",$C12),0)</f>
        <v>3</v>
      </c>
      <c r="P12" s="86">
        <f t="shared" si="3"/>
        <v>7.3170731707317069E-2</v>
      </c>
      <c r="Q12" s="86">
        <f t="shared" si="4"/>
        <v>0.58536585365853655</v>
      </c>
      <c r="R12" s="88">
        <f>IFERROR(GETPIVOTDATA("Sum of SRP",'[1]DEVICE &amp; VALUE'!$A$6,"ID Store",$C12),0)</f>
        <v>256459000</v>
      </c>
      <c r="S12" s="86">
        <f t="shared" si="5"/>
        <v>0.73273999999999995</v>
      </c>
      <c r="T12" s="89">
        <f t="shared" si="6"/>
        <v>-93541000</v>
      </c>
      <c r="U12" s="90">
        <f t="shared" si="7"/>
        <v>55.260869565217391</v>
      </c>
      <c r="V12" s="91">
        <f t="shared" si="8"/>
        <v>1.1052173913043477</v>
      </c>
      <c r="W12" s="92">
        <f t="shared" si="9"/>
        <v>5.2608695652173907</v>
      </c>
      <c r="X12" s="92">
        <f t="shared" si="10"/>
        <v>32.347826086956523</v>
      </c>
      <c r="Y12" s="92">
        <f t="shared" si="11"/>
        <v>-17.652173913043477</v>
      </c>
      <c r="Z12" s="93">
        <f t="shared" si="12"/>
        <v>345662130.43478262</v>
      </c>
      <c r="AA12" s="93">
        <f t="shared" si="13"/>
        <v>-4337869.5652173758</v>
      </c>
      <c r="AB12" s="94">
        <f t="shared" si="14"/>
        <v>0.98760608695652174</v>
      </c>
      <c r="AC12" s="95">
        <f t="shared" si="15"/>
        <v>1.125</v>
      </c>
      <c r="AD12" s="96">
        <f t="shared" si="16"/>
        <v>11692625</v>
      </c>
      <c r="AE12" s="81">
        <f>IFERROR(GETPIVOTDATA("Sum of Qty",'[1]DATA LAST MONTH IQOO'!$A$6,"ID Store",$C12),0)</f>
        <v>1</v>
      </c>
      <c r="AF12" s="97">
        <f>IFERROR(GETPIVOTDATA("Sum of Qty",[1]IQOO!$A$6,"ID Store",$C12),0)</f>
        <v>3</v>
      </c>
      <c r="AG12" s="84">
        <f t="shared" si="17"/>
        <v>2</v>
      </c>
      <c r="AH12" s="98">
        <f t="shared" si="18"/>
        <v>2</v>
      </c>
      <c r="AI12" s="99">
        <f>IFERROR(GETPIVOTDATA("Sum of Qty",'[1]DATA LAST MONTH DEVICE'!$A$6,"ID Store",$C12),0)</f>
        <v>21</v>
      </c>
      <c r="AJ12" s="100">
        <f t="shared" si="19"/>
        <v>41</v>
      </c>
      <c r="AK12" s="84">
        <f t="shared" si="20"/>
        <v>20</v>
      </c>
      <c r="AL12" s="86">
        <f t="shared" si="21"/>
        <v>0.95238095238095233</v>
      </c>
      <c r="AM12" s="85">
        <f>IFERROR(GETPIVOTDATA("Sum of Qty",'[1]Store 3mio+ last month'!$A$6,"ID Store",$C12),0)</f>
        <v>38</v>
      </c>
      <c r="AN12" s="84">
        <f t="shared" si="22"/>
        <v>55.260869565217391</v>
      </c>
      <c r="AO12" s="84">
        <f t="shared" si="23"/>
        <v>17.260869565217391</v>
      </c>
      <c r="AP12" s="86">
        <f t="shared" si="24"/>
        <v>0.45423340961098396</v>
      </c>
      <c r="AQ12" s="85">
        <f>IFERROR(GETPIVOTDATA("Sum of Qty",'[1]DATA LAST MONTH DEVICE'!$A$6,"ID Store",$C12,"Segment Price","3mio&gt;"),0)</f>
        <v>13</v>
      </c>
      <c r="AR12" s="87">
        <f t="shared" si="25"/>
        <v>24</v>
      </c>
      <c r="AS12" s="87">
        <f t="shared" si="26"/>
        <v>11</v>
      </c>
      <c r="AT12" s="86">
        <f t="shared" si="27"/>
        <v>0.84615384615384615</v>
      </c>
      <c r="AU12" s="101">
        <f>IFERROR(GETPIVOTDATA("Sum of SRP",'[1]DATA LAST MONTH DEVICE'!$A$6,"ID Store",$C12),0)</f>
        <v>174779000</v>
      </c>
      <c r="AV12" s="101">
        <f t="shared" si="28"/>
        <v>256459000</v>
      </c>
      <c r="AW12" s="101">
        <f t="shared" si="29"/>
        <v>81680000</v>
      </c>
      <c r="AX12" s="86">
        <f t="shared" si="30"/>
        <v>0.46733303200041193</v>
      </c>
      <c r="AY12" s="101">
        <f>IFERROR(VLOOKUP(C12,'[1]DATA SALES LAST MONTH'!A:E,5,0),0)</f>
        <v>8322809.5238095243</v>
      </c>
      <c r="AZ12" s="88">
        <f t="shared" si="31"/>
        <v>6255097.5609756103</v>
      </c>
      <c r="BA12" s="88">
        <f t="shared" si="32"/>
        <v>-2067711.962833914</v>
      </c>
      <c r="BB12" s="98">
        <f t="shared" si="33"/>
        <v>-0.24843917873149629</v>
      </c>
      <c r="BC12" s="81">
        <f>IFERROR(VLOOKUP(C12,'[1]TARGET THIS MONTH'!C:U,15,0),0)</f>
        <v>5</v>
      </c>
      <c r="BD12" s="102">
        <f>IFERROR(GETPIVOTDATA("Sum of Qty",[1]ACC!$A$5,"ID Store",$C12),0)</f>
        <v>15</v>
      </c>
      <c r="BE12" s="86">
        <f t="shared" si="34"/>
        <v>3</v>
      </c>
      <c r="BF12" s="103">
        <f>IFERROR(VLOOKUP(C12,'[1]TARGET THIS MONTH'!C:U,16,0),0)</f>
        <v>1750000</v>
      </c>
      <c r="BG12" s="103">
        <f>IFERROR(GETPIVOTDATA("Sum of SRP",'[1]Insurance by Store'!$A$5,"ID Store",$C12,"Product Type","Qoala"),0)</f>
        <v>817000</v>
      </c>
      <c r="BH12" s="86">
        <f t="shared" si="35"/>
        <v>0.46685714285714286</v>
      </c>
      <c r="BI12" s="103">
        <f>IFERROR(VLOOKUP(C12,'[1]TARGET THIS MONTH'!C:U,17,0),0)</f>
        <v>350000</v>
      </c>
      <c r="BJ12" s="103">
        <f>IFERROR(GETPIVOTDATA("Sum of SRP",'[1]Insurance by Store'!$A$5,"ID Store",$C12,"Product Type","Vivo Care"),0)</f>
        <v>0</v>
      </c>
      <c r="BK12" s="86">
        <f t="shared" si="36"/>
        <v>0</v>
      </c>
      <c r="BL12" s="84">
        <f>IFERROR(VLOOKUP(C12,'[1]TARGET THIS MONTH'!C:U,18,0),0)</f>
        <v>1.5</v>
      </c>
      <c r="BM12" s="85">
        <f>IFERROR(GETPIVOTDATA("Sum of Qty",'[1]Operator by Store'!$A$5,"ID Store",$C12,"Product Type","Indosat"),0)</f>
        <v>0</v>
      </c>
      <c r="BN12" s="86">
        <f t="shared" si="37"/>
        <v>0</v>
      </c>
      <c r="BO12" s="84">
        <f>VLOOKUP(C12,'[1]TARGET THIS MONTH'!C:U,19,0)</f>
        <v>15</v>
      </c>
      <c r="BP12" s="85">
        <f>IFERROR(GETPIVOTDATA("Sum of Qty",'[1]Operator by Store'!$A$5,"ID Store",$C12,"Product Type","Telkomsel"),0)</f>
        <v>0</v>
      </c>
      <c r="BQ12" s="104">
        <f t="shared" si="38"/>
        <v>0</v>
      </c>
    </row>
    <row r="13" spans="1:69" x14ac:dyDescent="0.2">
      <c r="A13" s="75">
        <v>9</v>
      </c>
      <c r="B13" s="76" t="s">
        <v>39</v>
      </c>
      <c r="C13" s="77">
        <v>6020706</v>
      </c>
      <c r="D13" s="78" t="s">
        <v>53</v>
      </c>
      <c r="E13" s="105" t="s">
        <v>54</v>
      </c>
      <c r="F13" s="80">
        <v>3</v>
      </c>
      <c r="G13" s="81">
        <f>IFERROR(VLOOKUP(C13,'[1]TARGET THIS MONTH'!C:E,3,0),0)</f>
        <v>100</v>
      </c>
      <c r="H13" s="82">
        <f>IFERROR(VLOOKUP(C13,'[1]TARGET THIS MONTH'!C:M,11,0),0)</f>
        <v>430000000</v>
      </c>
      <c r="I13" s="81">
        <f>IFERROR(GETPIVOTDATA("Sum of Qty",'[1]DEVICE &amp; VALUE'!$A$6,"ID Store",$C13),0)</f>
        <v>75</v>
      </c>
      <c r="J13" s="83">
        <f t="shared" si="0"/>
        <v>0.75</v>
      </c>
      <c r="K13" s="84">
        <f t="shared" si="1"/>
        <v>-25</v>
      </c>
      <c r="L13" s="85">
        <f>IFERROR(GETPIVOTDATA("Sum of Qty",[1]PF!$A$5,"ID Store",$C13),0)</f>
        <v>19</v>
      </c>
      <c r="M13" s="85">
        <f>IFERROR(GETPIVOTDATA("Sum of Qty",'[1]DEVICE &amp; VALUE'!$A$6,"ID Store",$C13,"Segment Price","3mio&gt;"),0)</f>
        <v>27</v>
      </c>
      <c r="N13" s="86">
        <f t="shared" si="2"/>
        <v>0.36</v>
      </c>
      <c r="O13" s="87">
        <f>IFERROR(GETPIVOTDATA("Sum of Qty",[1]IQOO!$A$6,"ID Store",$C13),0)</f>
        <v>1</v>
      </c>
      <c r="P13" s="86">
        <f t="shared" si="3"/>
        <v>1.3333333333333334E-2</v>
      </c>
      <c r="Q13" s="86">
        <f t="shared" si="4"/>
        <v>0.36</v>
      </c>
      <c r="R13" s="88">
        <f>IFERROR(GETPIVOTDATA("Sum of SRP",'[1]DEVICE &amp; VALUE'!$A$6,"ID Store",$C13),0)</f>
        <v>250025000</v>
      </c>
      <c r="S13" s="86">
        <f t="shared" si="5"/>
        <v>0.58145348837209299</v>
      </c>
      <c r="T13" s="89">
        <f t="shared" si="6"/>
        <v>-179975000</v>
      </c>
      <c r="U13" s="90">
        <f t="shared" si="7"/>
        <v>101.08695652173913</v>
      </c>
      <c r="V13" s="91">
        <f t="shared" si="8"/>
        <v>1.0108695652173914</v>
      </c>
      <c r="W13" s="92">
        <f t="shared" si="9"/>
        <v>1.0869565217391255</v>
      </c>
      <c r="X13" s="92">
        <f t="shared" si="10"/>
        <v>36.391304347826093</v>
      </c>
      <c r="Y13" s="92">
        <f t="shared" si="11"/>
        <v>-63.608695652173907</v>
      </c>
      <c r="Z13" s="93">
        <f t="shared" si="12"/>
        <v>336990217.39130431</v>
      </c>
      <c r="AA13" s="93">
        <f t="shared" si="13"/>
        <v>-93009782.608695686</v>
      </c>
      <c r="AB13" s="94">
        <f t="shared" si="14"/>
        <v>0.78369817997977742</v>
      </c>
      <c r="AC13" s="95">
        <f t="shared" si="15"/>
        <v>3.125</v>
      </c>
      <c r="AD13" s="96">
        <f t="shared" si="16"/>
        <v>22496875</v>
      </c>
      <c r="AE13" s="81">
        <f>IFERROR(GETPIVOTDATA("Sum of Qty",'[1]DATA LAST MONTH IQOO'!$A$6,"ID Store",$C13),0)</f>
        <v>12</v>
      </c>
      <c r="AF13" s="97">
        <f>IFERROR(GETPIVOTDATA("Sum of Qty",[1]IQOO!$A$6,"ID Store",$C13),0)</f>
        <v>1</v>
      </c>
      <c r="AG13" s="84">
        <f t="shared" si="17"/>
        <v>-11</v>
      </c>
      <c r="AH13" s="98">
        <f t="shared" si="18"/>
        <v>-0.91666666666666663</v>
      </c>
      <c r="AI13" s="99">
        <f>IFERROR(GETPIVOTDATA("Sum of Qty",'[1]DATA LAST MONTH DEVICE'!$A$6,"ID Store",$C13),0)</f>
        <v>92</v>
      </c>
      <c r="AJ13" s="100">
        <f t="shared" si="19"/>
        <v>75</v>
      </c>
      <c r="AK13" s="84">
        <f t="shared" si="20"/>
        <v>-17</v>
      </c>
      <c r="AL13" s="86">
        <f t="shared" si="21"/>
        <v>-0.18478260869565216</v>
      </c>
      <c r="AM13" s="85">
        <f>IFERROR(GETPIVOTDATA("Sum of Qty",'[1]Store 3mio+ last month'!$A$6,"ID Store",$C13),0)</f>
        <v>108</v>
      </c>
      <c r="AN13" s="84">
        <f t="shared" si="22"/>
        <v>101.08695652173913</v>
      </c>
      <c r="AO13" s="84">
        <f t="shared" si="23"/>
        <v>-6.9130434782608745</v>
      </c>
      <c r="AP13" s="86">
        <f t="shared" si="24"/>
        <v>-6.4009661835748841E-2</v>
      </c>
      <c r="AQ13" s="85">
        <f>IFERROR(GETPIVOTDATA("Sum of Qty",'[1]DATA LAST MONTH DEVICE'!$A$6,"ID Store",$C13,"Segment Price","3mio&gt;"),0)</f>
        <v>49</v>
      </c>
      <c r="AR13" s="87">
        <f t="shared" si="25"/>
        <v>27</v>
      </c>
      <c r="AS13" s="87">
        <f t="shared" si="26"/>
        <v>-22</v>
      </c>
      <c r="AT13" s="86">
        <f t="shared" si="27"/>
        <v>-0.44897959183673469</v>
      </c>
      <c r="AU13" s="101">
        <f>IFERROR(GETPIVOTDATA("Sum of SRP",'[1]DATA LAST MONTH DEVICE'!$A$6,"ID Store",$C13),0)</f>
        <v>424408000</v>
      </c>
      <c r="AV13" s="101">
        <f t="shared" si="28"/>
        <v>250025000</v>
      </c>
      <c r="AW13" s="101">
        <f t="shared" si="29"/>
        <v>-174383000</v>
      </c>
      <c r="AX13" s="86">
        <f t="shared" si="30"/>
        <v>-0.41088528020206971</v>
      </c>
      <c r="AY13" s="101">
        <f>IFERROR(VLOOKUP(C13,'[1]DATA SALES LAST MONTH'!A:E,5,0),0)</f>
        <v>4613130.4347826084</v>
      </c>
      <c r="AZ13" s="88">
        <f t="shared" si="31"/>
        <v>3333666.6666666665</v>
      </c>
      <c r="BA13" s="88">
        <f t="shared" si="32"/>
        <v>-1279463.7681159419</v>
      </c>
      <c r="BB13" s="98">
        <f t="shared" si="33"/>
        <v>-0.27735261038120551</v>
      </c>
      <c r="BC13" s="81">
        <f>IFERROR(VLOOKUP(C13,'[1]TARGET THIS MONTH'!C:U,15,0),0)</f>
        <v>10</v>
      </c>
      <c r="BD13" s="102">
        <f>IFERROR(GETPIVOTDATA("Sum of Qty",[1]ACC!$A$5,"ID Store",$C13),0)</f>
        <v>13</v>
      </c>
      <c r="BE13" s="86">
        <f t="shared" si="34"/>
        <v>1.3</v>
      </c>
      <c r="BF13" s="103">
        <f>IFERROR(VLOOKUP(C13,'[1]TARGET THIS MONTH'!C:U,16,0),0)</f>
        <v>2150000</v>
      </c>
      <c r="BG13" s="103">
        <f>IFERROR(GETPIVOTDATA("Sum of SRP",'[1]Insurance by Store'!$A$5,"ID Store",$C13,"Product Type","Qoala"),0)</f>
        <v>2757000</v>
      </c>
      <c r="BH13" s="86">
        <f t="shared" si="35"/>
        <v>1.2823255813953489</v>
      </c>
      <c r="BI13" s="103">
        <f>IFERROR(VLOOKUP(C13,'[1]TARGET THIS MONTH'!C:U,17,0),0)</f>
        <v>430000</v>
      </c>
      <c r="BJ13" s="103">
        <f>IFERROR(GETPIVOTDATA("Sum of SRP",'[1]Insurance by Store'!$A$5,"ID Store",$C13,"Product Type","Vivo Care"),0)</f>
        <v>0</v>
      </c>
      <c r="BK13" s="86">
        <f t="shared" si="36"/>
        <v>0</v>
      </c>
      <c r="BL13" s="84">
        <f>IFERROR(VLOOKUP(C13,'[1]TARGET THIS MONTH'!C:U,18,0),0)</f>
        <v>3</v>
      </c>
      <c r="BM13" s="85">
        <f>IFERROR(GETPIVOTDATA("Sum of Qty",'[1]Operator by Store'!$A$5,"ID Store",$C13,"Product Type","Indosat"),0)</f>
        <v>0</v>
      </c>
      <c r="BN13" s="86">
        <f t="shared" si="37"/>
        <v>0</v>
      </c>
      <c r="BO13" s="84">
        <f>VLOOKUP(C13,'[1]TARGET THIS MONTH'!C:U,19,0)</f>
        <v>30</v>
      </c>
      <c r="BP13" s="85">
        <f>IFERROR(GETPIVOTDATA("Sum of Qty",'[1]Operator by Store'!$A$5,"ID Store",$C13,"Product Type","Telkomsel"),0)</f>
        <v>0</v>
      </c>
      <c r="BQ13" s="104">
        <f t="shared" si="38"/>
        <v>0</v>
      </c>
    </row>
    <row r="14" spans="1:69" x14ac:dyDescent="0.2">
      <c r="A14" s="75">
        <v>10</v>
      </c>
      <c r="B14" s="76" t="s">
        <v>39</v>
      </c>
      <c r="C14" s="77">
        <v>6020704</v>
      </c>
      <c r="D14" s="78" t="s">
        <v>55</v>
      </c>
      <c r="E14" s="105" t="s">
        <v>54</v>
      </c>
      <c r="F14" s="80">
        <v>3</v>
      </c>
      <c r="G14" s="81">
        <f>IFERROR(VLOOKUP(C14,'[1]TARGET THIS MONTH'!C:E,3,0),0)</f>
        <v>60</v>
      </c>
      <c r="H14" s="82">
        <f>IFERROR(VLOOKUP(C14,'[1]TARGET THIS MONTH'!C:M,11,0),0)</f>
        <v>258000000</v>
      </c>
      <c r="I14" s="81">
        <f>IFERROR(GETPIVOTDATA("Sum of Qty",'[1]DEVICE &amp; VALUE'!$A$6,"ID Store",$C14),0)</f>
        <v>38</v>
      </c>
      <c r="J14" s="83">
        <f t="shared" si="0"/>
        <v>0.6333333333333333</v>
      </c>
      <c r="K14" s="84">
        <f t="shared" si="1"/>
        <v>-22</v>
      </c>
      <c r="L14" s="85">
        <f>IFERROR(GETPIVOTDATA("Sum of Qty",[1]PF!$A$5,"ID Store",$C14),0)</f>
        <v>12</v>
      </c>
      <c r="M14" s="85">
        <f>IFERROR(GETPIVOTDATA("Sum of Qty",'[1]DEVICE &amp; VALUE'!$A$6,"ID Store",$C14,"Segment Price","3mio&gt;"),0)</f>
        <v>18</v>
      </c>
      <c r="N14" s="86">
        <f t="shared" si="2"/>
        <v>0.47368421052631576</v>
      </c>
      <c r="O14" s="87">
        <f>IFERROR(GETPIVOTDATA("Sum of Qty",[1]IQOO!$A$6,"ID Store",$C14),0)</f>
        <v>1</v>
      </c>
      <c r="P14" s="86">
        <f t="shared" si="3"/>
        <v>2.6315789473684209E-2</v>
      </c>
      <c r="Q14" s="86">
        <f t="shared" si="4"/>
        <v>0.47368421052631576</v>
      </c>
      <c r="R14" s="88">
        <f>IFERROR(GETPIVOTDATA("Sum of SRP",'[1]DEVICE &amp; VALUE'!$A$6,"ID Store",$C14),0)</f>
        <v>139062000</v>
      </c>
      <c r="S14" s="86">
        <f t="shared" si="5"/>
        <v>0.53900000000000003</v>
      </c>
      <c r="T14" s="89">
        <f t="shared" si="6"/>
        <v>-118938000</v>
      </c>
      <c r="U14" s="90">
        <f t="shared" si="7"/>
        <v>51.217391304347828</v>
      </c>
      <c r="V14" s="91">
        <f t="shared" si="8"/>
        <v>0.8536231884057971</v>
      </c>
      <c r="W14" s="92">
        <f t="shared" si="9"/>
        <v>-8.7826086956521721</v>
      </c>
      <c r="X14" s="92">
        <f t="shared" si="10"/>
        <v>24.260869565217391</v>
      </c>
      <c r="Y14" s="92">
        <f t="shared" si="11"/>
        <v>-35.739130434782609</v>
      </c>
      <c r="Z14" s="93">
        <f t="shared" si="12"/>
        <v>187431391.30434784</v>
      </c>
      <c r="AA14" s="93">
        <f t="shared" si="13"/>
        <v>-70568608.695652157</v>
      </c>
      <c r="AB14" s="94">
        <f t="shared" si="14"/>
        <v>0.72647826086956524</v>
      </c>
      <c r="AC14" s="95">
        <f t="shared" si="15"/>
        <v>2.75</v>
      </c>
      <c r="AD14" s="96">
        <f t="shared" si="16"/>
        <v>14867250</v>
      </c>
      <c r="AE14" s="81">
        <f>IFERROR(GETPIVOTDATA("Sum of Qty",'[1]DATA LAST MONTH IQOO'!$A$6,"ID Store",$C14),0)</f>
        <v>2</v>
      </c>
      <c r="AF14" s="97">
        <f>IFERROR(GETPIVOTDATA("Sum of Qty",[1]IQOO!$A$6,"ID Store",$C14),0)</f>
        <v>1</v>
      </c>
      <c r="AG14" s="84">
        <f t="shared" si="17"/>
        <v>-1</v>
      </c>
      <c r="AH14" s="98">
        <f t="shared" si="18"/>
        <v>-0.5</v>
      </c>
      <c r="AI14" s="99">
        <f>IFERROR(GETPIVOTDATA("Sum of Qty",'[1]DATA LAST MONTH DEVICE'!$A$6,"ID Store",$C14),0)</f>
        <v>44</v>
      </c>
      <c r="AJ14" s="100">
        <f t="shared" si="19"/>
        <v>38</v>
      </c>
      <c r="AK14" s="84">
        <f t="shared" si="20"/>
        <v>-6</v>
      </c>
      <c r="AL14" s="86">
        <f t="shared" si="21"/>
        <v>-0.13636363636363635</v>
      </c>
      <c r="AM14" s="85">
        <f>IFERROR(GETPIVOTDATA("Sum of Qty",'[1]Store 3mio+ last month'!$A$6,"ID Store",$C14),0)</f>
        <v>54</v>
      </c>
      <c r="AN14" s="84">
        <f t="shared" si="22"/>
        <v>51.217391304347828</v>
      </c>
      <c r="AO14" s="84">
        <f t="shared" si="23"/>
        <v>-2.7826086956521721</v>
      </c>
      <c r="AP14" s="86">
        <f t="shared" si="24"/>
        <v>-5.1529790660225408E-2</v>
      </c>
      <c r="AQ14" s="85">
        <f>IFERROR(GETPIVOTDATA("Sum of Qty",'[1]DATA LAST MONTH DEVICE'!$A$6,"ID Store",$C14,"Segment Price","3mio&gt;"),0)</f>
        <v>18</v>
      </c>
      <c r="AR14" s="87">
        <f t="shared" si="25"/>
        <v>18</v>
      </c>
      <c r="AS14" s="87">
        <f t="shared" si="26"/>
        <v>0</v>
      </c>
      <c r="AT14" s="86">
        <f t="shared" si="27"/>
        <v>0</v>
      </c>
      <c r="AU14" s="101">
        <f>IFERROR(GETPIVOTDATA("Sum of SRP",'[1]DATA LAST MONTH DEVICE'!$A$6,"ID Store",$C14),0)</f>
        <v>171756000</v>
      </c>
      <c r="AV14" s="101">
        <f t="shared" si="28"/>
        <v>139062000</v>
      </c>
      <c r="AW14" s="101">
        <f t="shared" si="29"/>
        <v>-32694000</v>
      </c>
      <c r="AX14" s="86">
        <f t="shared" si="30"/>
        <v>-0.1903514287710473</v>
      </c>
      <c r="AY14" s="101">
        <f>IFERROR(VLOOKUP(C14,'[1]DATA SALES LAST MONTH'!A:E,5,0),0)</f>
        <v>3903545.4545454546</v>
      </c>
      <c r="AZ14" s="88">
        <f t="shared" si="31"/>
        <v>3659526.3157894737</v>
      </c>
      <c r="BA14" s="88">
        <f t="shared" si="32"/>
        <v>-244019.13875598088</v>
      </c>
      <c r="BB14" s="98">
        <f t="shared" si="33"/>
        <v>-6.25121806822653E-2</v>
      </c>
      <c r="BC14" s="81">
        <f>IFERROR(VLOOKUP(C14,'[1]TARGET THIS MONTH'!C:U,15,0),0)</f>
        <v>6</v>
      </c>
      <c r="BD14" s="102">
        <f>IFERROR(GETPIVOTDATA("Sum of Qty",[1]ACC!$A$5,"ID Store",$C14),0)</f>
        <v>4</v>
      </c>
      <c r="BE14" s="86">
        <f t="shared" si="34"/>
        <v>0.66666666666666663</v>
      </c>
      <c r="BF14" s="103">
        <f>IFERROR(VLOOKUP(C14,'[1]TARGET THIS MONTH'!C:U,16,0),0)</f>
        <v>1290000</v>
      </c>
      <c r="BG14" s="103">
        <f>IFERROR(GETPIVOTDATA("Sum of SRP",'[1]Insurance by Store'!$A$5,"ID Store",$C14,"Product Type","Qoala"),0)</f>
        <v>408000</v>
      </c>
      <c r="BH14" s="86">
        <f t="shared" si="35"/>
        <v>0.31627906976744186</v>
      </c>
      <c r="BI14" s="103">
        <f>IFERROR(VLOOKUP(C14,'[1]TARGET THIS MONTH'!C:U,17,0),0)</f>
        <v>258000</v>
      </c>
      <c r="BJ14" s="103">
        <f>IFERROR(GETPIVOTDATA("Sum of SRP",'[1]Insurance by Store'!$A$5,"ID Store",$C14,"Product Type","Vivo Care"),0)</f>
        <v>0</v>
      </c>
      <c r="BK14" s="86">
        <f t="shared" si="36"/>
        <v>0</v>
      </c>
      <c r="BL14" s="84">
        <f>IFERROR(VLOOKUP(C14,'[1]TARGET THIS MONTH'!C:U,18,0),0)</f>
        <v>1.8</v>
      </c>
      <c r="BM14" s="85">
        <f>IFERROR(GETPIVOTDATA("Sum of Qty",'[1]Operator by Store'!$A$5,"ID Store",$C14,"Product Type","Indosat"),0)</f>
        <v>0</v>
      </c>
      <c r="BN14" s="86">
        <f t="shared" si="37"/>
        <v>0</v>
      </c>
      <c r="BO14" s="84">
        <f>VLOOKUP(C14,'[1]TARGET THIS MONTH'!C:U,19,0)</f>
        <v>18</v>
      </c>
      <c r="BP14" s="85">
        <f>IFERROR(GETPIVOTDATA("Sum of Qty",'[1]Operator by Store'!$A$5,"ID Store",$C14,"Product Type","Telkomsel"),0)</f>
        <v>0</v>
      </c>
      <c r="BQ14" s="104">
        <f t="shared" si="38"/>
        <v>0</v>
      </c>
    </row>
    <row r="15" spans="1:69" x14ac:dyDescent="0.2">
      <c r="A15" s="75">
        <v>11</v>
      </c>
      <c r="B15" s="76" t="s">
        <v>56</v>
      </c>
      <c r="C15" s="77">
        <v>6040701</v>
      </c>
      <c r="D15" s="78" t="s">
        <v>57</v>
      </c>
      <c r="E15" s="105" t="s">
        <v>58</v>
      </c>
      <c r="F15" s="80">
        <v>3</v>
      </c>
      <c r="G15" s="81">
        <f>IFERROR(VLOOKUP(C15,'[1]TARGET THIS MONTH'!C:E,3,0),0)</f>
        <v>50</v>
      </c>
      <c r="H15" s="82">
        <f>IFERROR(VLOOKUP(C15,'[1]TARGET THIS MONTH'!C:M,11,0),0)</f>
        <v>215000000</v>
      </c>
      <c r="I15" s="81">
        <f>IFERROR(GETPIVOTDATA("Sum of Qty",'[1]DEVICE &amp; VALUE'!$A$6,"ID Store",$C15),0)</f>
        <v>44</v>
      </c>
      <c r="J15" s="83">
        <f t="shared" si="0"/>
        <v>0.88</v>
      </c>
      <c r="K15" s="84">
        <f t="shared" si="1"/>
        <v>-6</v>
      </c>
      <c r="L15" s="85">
        <f>IFERROR(GETPIVOTDATA("Sum of Qty",[1]PF!$A$5,"ID Store",$C15),0)</f>
        <v>15</v>
      </c>
      <c r="M15" s="85">
        <f>IFERROR(GETPIVOTDATA("Sum of Qty",'[1]DEVICE &amp; VALUE'!$A$6,"ID Store",$C15,"Segment Price","3mio&gt;"),0)</f>
        <v>22</v>
      </c>
      <c r="N15" s="86">
        <f t="shared" si="2"/>
        <v>0.5</v>
      </c>
      <c r="O15" s="87">
        <f>IFERROR(GETPIVOTDATA("Sum of Qty",[1]IQOO!$A$6,"ID Store",$C15),0)</f>
        <v>1</v>
      </c>
      <c r="P15" s="86">
        <f t="shared" si="3"/>
        <v>2.2727272727272728E-2</v>
      </c>
      <c r="Q15" s="86">
        <f t="shared" si="4"/>
        <v>0.5</v>
      </c>
      <c r="R15" s="88">
        <f>IFERROR(GETPIVOTDATA("Sum of SRP",'[1]DEVICE &amp; VALUE'!$A$6,"ID Store",$C15),0)</f>
        <v>179156000</v>
      </c>
      <c r="S15" s="86">
        <f t="shared" si="5"/>
        <v>0.83328372093023251</v>
      </c>
      <c r="T15" s="89">
        <f t="shared" si="6"/>
        <v>-35844000</v>
      </c>
      <c r="U15" s="90">
        <f t="shared" si="7"/>
        <v>59.304347826086961</v>
      </c>
      <c r="V15" s="91">
        <f t="shared" si="8"/>
        <v>1.1860869565217391</v>
      </c>
      <c r="W15" s="92">
        <f t="shared" si="9"/>
        <v>9.3043478260869605</v>
      </c>
      <c r="X15" s="92">
        <f t="shared" si="10"/>
        <v>29.65217391304348</v>
      </c>
      <c r="Y15" s="92">
        <f t="shared" si="11"/>
        <v>-20.34782608695652</v>
      </c>
      <c r="Z15" s="93">
        <f t="shared" si="12"/>
        <v>241471130.43478262</v>
      </c>
      <c r="AA15" s="93">
        <f t="shared" si="13"/>
        <v>26471130.434782624</v>
      </c>
      <c r="AB15" s="94">
        <f t="shared" si="14"/>
        <v>1.1231215369059657</v>
      </c>
      <c r="AC15" s="95">
        <f t="shared" si="15"/>
        <v>0.75</v>
      </c>
      <c r="AD15" s="96">
        <f t="shared" si="16"/>
        <v>4480500</v>
      </c>
      <c r="AE15" s="81">
        <f>IFERROR(GETPIVOTDATA("Sum of Qty",'[1]DATA LAST MONTH IQOO'!$A$6,"ID Store",$C15),0)</f>
        <v>6</v>
      </c>
      <c r="AF15" s="97">
        <f>IFERROR(GETPIVOTDATA("Sum of Qty",[1]IQOO!$A$6,"ID Store",$C15),0)</f>
        <v>1</v>
      </c>
      <c r="AG15" s="84">
        <f t="shared" si="17"/>
        <v>-5</v>
      </c>
      <c r="AH15" s="98">
        <f t="shared" si="18"/>
        <v>-0.83333333333333337</v>
      </c>
      <c r="AI15" s="99">
        <f>IFERROR(GETPIVOTDATA("Sum of Qty",'[1]DATA LAST MONTH DEVICE'!$A$6,"ID Store",$C15),0)</f>
        <v>46</v>
      </c>
      <c r="AJ15" s="100">
        <f t="shared" si="19"/>
        <v>44</v>
      </c>
      <c r="AK15" s="84">
        <f t="shared" si="20"/>
        <v>-2</v>
      </c>
      <c r="AL15" s="86">
        <f t="shared" si="21"/>
        <v>-4.3478260869565216E-2</v>
      </c>
      <c r="AM15" s="85">
        <f>IFERROR(GETPIVOTDATA("Sum of Qty",'[1]Store 3mio+ last month'!$A$6,"ID Store",$C15),0)</f>
        <v>56</v>
      </c>
      <c r="AN15" s="84">
        <f t="shared" si="22"/>
        <v>59.304347826086961</v>
      </c>
      <c r="AO15" s="84">
        <f t="shared" si="23"/>
        <v>3.3043478260869605</v>
      </c>
      <c r="AP15" s="86">
        <f t="shared" si="24"/>
        <v>5.9006211180124293E-2</v>
      </c>
      <c r="AQ15" s="85">
        <f>IFERROR(GETPIVOTDATA("Sum of Qty",'[1]DATA LAST MONTH DEVICE'!$A$6,"ID Store",$C15,"Segment Price","3mio&gt;"),0)</f>
        <v>28</v>
      </c>
      <c r="AR15" s="87">
        <f t="shared" si="25"/>
        <v>22</v>
      </c>
      <c r="AS15" s="87">
        <f t="shared" si="26"/>
        <v>-6</v>
      </c>
      <c r="AT15" s="86">
        <f t="shared" si="27"/>
        <v>-0.21428571428571427</v>
      </c>
      <c r="AU15" s="101">
        <f>IFERROR(GETPIVOTDATA("Sum of SRP",'[1]DATA LAST MONTH DEVICE'!$A$6,"ID Store",$C15),0)</f>
        <v>218554000</v>
      </c>
      <c r="AV15" s="101">
        <f t="shared" si="28"/>
        <v>179156000</v>
      </c>
      <c r="AW15" s="101">
        <f t="shared" si="29"/>
        <v>-39398000</v>
      </c>
      <c r="AX15" s="86">
        <f t="shared" si="30"/>
        <v>-0.18026666178610321</v>
      </c>
      <c r="AY15" s="101">
        <f>IFERROR(VLOOKUP(C15,'[1]DATA SALES LAST MONTH'!A:E,5,0),0)</f>
        <v>4751173.9130434785</v>
      </c>
      <c r="AZ15" s="88">
        <f t="shared" si="31"/>
        <v>4071727.2727272729</v>
      </c>
      <c r="BA15" s="88">
        <f t="shared" si="32"/>
        <v>-679446.64031620556</v>
      </c>
      <c r="BB15" s="98">
        <f t="shared" si="33"/>
        <v>-0.14300605550365336</v>
      </c>
      <c r="BC15" s="81">
        <f>IFERROR(VLOOKUP(C15,'[1]TARGET THIS MONTH'!C:U,15,0),0)</f>
        <v>5</v>
      </c>
      <c r="BD15" s="102">
        <f>IFERROR(GETPIVOTDATA("Sum of Qty",[1]ACC!$A$5,"ID Store",$C15),0)</f>
        <v>0</v>
      </c>
      <c r="BE15" s="86">
        <f t="shared" si="34"/>
        <v>0</v>
      </c>
      <c r="BF15" s="103">
        <f>IFERROR(VLOOKUP(C15,'[1]TARGET THIS MONTH'!C:U,16,0),0)</f>
        <v>1075000</v>
      </c>
      <c r="BG15" s="103">
        <f>IFERROR(GETPIVOTDATA("Sum of SRP",'[1]Insurance by Store'!$A$5,"ID Store",$C15,"Product Type","Qoala"),0)</f>
        <v>806000</v>
      </c>
      <c r="BH15" s="86">
        <f t="shared" si="35"/>
        <v>0.74976744186046507</v>
      </c>
      <c r="BI15" s="103">
        <f>IFERROR(VLOOKUP(C15,'[1]TARGET THIS MONTH'!C:U,17,0),0)</f>
        <v>215000</v>
      </c>
      <c r="BJ15" s="103">
        <f>IFERROR(GETPIVOTDATA("Sum of SRP",'[1]Insurance by Store'!$A$5,"ID Store",$C15,"Product Type","Vivo Care"),0)</f>
        <v>0</v>
      </c>
      <c r="BK15" s="86">
        <f t="shared" si="36"/>
        <v>0</v>
      </c>
      <c r="BL15" s="84">
        <f>IFERROR(VLOOKUP(C15,'[1]TARGET THIS MONTH'!C:U,18,0),0)</f>
        <v>1.5</v>
      </c>
      <c r="BM15" s="85">
        <f>IFERROR(GETPIVOTDATA("Sum of Qty",'[1]Operator by Store'!$A$5,"ID Store",$C15,"Product Type","Indosat"),0)</f>
        <v>0</v>
      </c>
      <c r="BN15" s="86">
        <f t="shared" si="37"/>
        <v>0</v>
      </c>
      <c r="BO15" s="84">
        <f>VLOOKUP(C15,'[1]TARGET THIS MONTH'!C:U,19,0)</f>
        <v>15</v>
      </c>
      <c r="BP15" s="85">
        <f>IFERROR(GETPIVOTDATA("Sum of Qty",'[1]Operator by Store'!$A$5,"ID Store",$C15,"Product Type","Telkomsel"),0)</f>
        <v>0</v>
      </c>
      <c r="BQ15" s="104">
        <f t="shared" si="38"/>
        <v>0</v>
      </c>
    </row>
    <row r="16" spans="1:69" x14ac:dyDescent="0.2">
      <c r="A16" s="75">
        <v>12</v>
      </c>
      <c r="B16" s="76" t="s">
        <v>56</v>
      </c>
      <c r="C16" s="77">
        <v>6080712</v>
      </c>
      <c r="D16" s="78" t="s">
        <v>59</v>
      </c>
      <c r="E16" s="105" t="s">
        <v>58</v>
      </c>
      <c r="F16" s="80">
        <v>3</v>
      </c>
      <c r="G16" s="81">
        <f>IFERROR(VLOOKUP(C16,'[1]TARGET THIS MONTH'!C:E,3,0),0)</f>
        <v>60</v>
      </c>
      <c r="H16" s="82">
        <f>IFERROR(VLOOKUP(C16,'[1]TARGET THIS MONTH'!C:M,11,0),0)</f>
        <v>258000000</v>
      </c>
      <c r="I16" s="81">
        <f>IFERROR(GETPIVOTDATA("Sum of Qty",'[1]DEVICE &amp; VALUE'!$A$6,"ID Store",$C16),0)</f>
        <v>32</v>
      </c>
      <c r="J16" s="83">
        <f t="shared" si="0"/>
        <v>0.53333333333333333</v>
      </c>
      <c r="K16" s="84">
        <f t="shared" si="1"/>
        <v>-28</v>
      </c>
      <c r="L16" s="85">
        <f>IFERROR(GETPIVOTDATA("Sum of Qty",[1]PF!$A$5,"ID Store",$C16),0)</f>
        <v>10</v>
      </c>
      <c r="M16" s="85">
        <f>IFERROR(GETPIVOTDATA("Sum of Qty",'[1]DEVICE &amp; VALUE'!$A$6,"ID Store",$C16,"Segment Price","3mio&gt;"),0)</f>
        <v>17</v>
      </c>
      <c r="N16" s="86">
        <f t="shared" si="2"/>
        <v>0.53125</v>
      </c>
      <c r="O16" s="87">
        <f>IFERROR(GETPIVOTDATA("Sum of Qty",[1]IQOO!$A$6,"ID Store",$C16),0)</f>
        <v>1</v>
      </c>
      <c r="P16" s="86">
        <f t="shared" si="3"/>
        <v>3.125E-2</v>
      </c>
      <c r="Q16" s="86">
        <f t="shared" si="4"/>
        <v>0.53125</v>
      </c>
      <c r="R16" s="88">
        <f>IFERROR(GETPIVOTDATA("Sum of SRP",'[1]DEVICE &amp; VALUE'!$A$6,"ID Store",$C16),0)</f>
        <v>145468000</v>
      </c>
      <c r="S16" s="86">
        <f t="shared" si="5"/>
        <v>0.56382945736434109</v>
      </c>
      <c r="T16" s="89">
        <f t="shared" si="6"/>
        <v>-112532000</v>
      </c>
      <c r="U16" s="90">
        <f t="shared" si="7"/>
        <v>43.130434782608695</v>
      </c>
      <c r="V16" s="91">
        <f t="shared" si="8"/>
        <v>0.71884057971014492</v>
      </c>
      <c r="W16" s="92">
        <f t="shared" si="9"/>
        <v>-16.869565217391305</v>
      </c>
      <c r="X16" s="92">
        <f t="shared" si="10"/>
        <v>22.913043478260867</v>
      </c>
      <c r="Y16" s="92">
        <f t="shared" si="11"/>
        <v>-37.086956521739133</v>
      </c>
      <c r="Z16" s="93">
        <f t="shared" si="12"/>
        <v>196065565.21739131</v>
      </c>
      <c r="AA16" s="93">
        <f t="shared" si="13"/>
        <v>-61934434.782608688</v>
      </c>
      <c r="AB16" s="94">
        <f t="shared" si="14"/>
        <v>0.75994405123019892</v>
      </c>
      <c r="AC16" s="95">
        <f t="shared" si="15"/>
        <v>3.5</v>
      </c>
      <c r="AD16" s="96">
        <f t="shared" si="16"/>
        <v>14066500</v>
      </c>
      <c r="AE16" s="81">
        <f>IFERROR(GETPIVOTDATA("Sum of Qty",'[1]DATA LAST MONTH IQOO'!$A$6,"ID Store",$C16),0)</f>
        <v>8</v>
      </c>
      <c r="AF16" s="97">
        <f>IFERROR(GETPIVOTDATA("Sum of Qty",[1]IQOO!$A$6,"ID Store",$C16),0)</f>
        <v>1</v>
      </c>
      <c r="AG16" s="84">
        <f t="shared" si="17"/>
        <v>-7</v>
      </c>
      <c r="AH16" s="98">
        <f t="shared" si="18"/>
        <v>-0.875</v>
      </c>
      <c r="AI16" s="99">
        <f>IFERROR(GETPIVOTDATA("Sum of Qty",'[1]DATA LAST MONTH DEVICE'!$A$6,"ID Store",$C16),0)</f>
        <v>55</v>
      </c>
      <c r="AJ16" s="100">
        <f t="shared" si="19"/>
        <v>32</v>
      </c>
      <c r="AK16" s="84">
        <f t="shared" si="20"/>
        <v>-23</v>
      </c>
      <c r="AL16" s="86">
        <f t="shared" si="21"/>
        <v>-0.41818181818181815</v>
      </c>
      <c r="AM16" s="85">
        <f>IFERROR(GETPIVOTDATA("Sum of Qty",'[1]Store 3mio+ last month'!$A$6,"ID Store",$C16),0)</f>
        <v>65</v>
      </c>
      <c r="AN16" s="84">
        <f t="shared" si="22"/>
        <v>43.130434782608695</v>
      </c>
      <c r="AO16" s="84">
        <f t="shared" si="23"/>
        <v>-21.869565217391305</v>
      </c>
      <c r="AP16" s="86">
        <f t="shared" si="24"/>
        <v>-0.33645484949832777</v>
      </c>
      <c r="AQ16" s="85">
        <f>IFERROR(GETPIVOTDATA("Sum of Qty",'[1]DATA LAST MONTH DEVICE'!$A$6,"ID Store",$C16,"Segment Price","3mio&gt;"),0)</f>
        <v>35</v>
      </c>
      <c r="AR16" s="87">
        <f t="shared" si="25"/>
        <v>17</v>
      </c>
      <c r="AS16" s="87">
        <f t="shared" si="26"/>
        <v>-18</v>
      </c>
      <c r="AT16" s="86">
        <f t="shared" si="27"/>
        <v>-0.51428571428571423</v>
      </c>
      <c r="AU16" s="101">
        <f>IFERROR(GETPIVOTDATA("Sum of SRP",'[1]DATA LAST MONTH DEVICE'!$A$6,"ID Store",$C16),0)</f>
        <v>332545000</v>
      </c>
      <c r="AV16" s="101">
        <f t="shared" si="28"/>
        <v>145468000</v>
      </c>
      <c r="AW16" s="101">
        <f t="shared" si="29"/>
        <v>-187077000</v>
      </c>
      <c r="AX16" s="86">
        <f t="shared" si="30"/>
        <v>-0.56256145784781009</v>
      </c>
      <c r="AY16" s="101">
        <f>IFERROR(VLOOKUP(C16,'[1]DATA SALES LAST MONTH'!A:E,5,0),0)</f>
        <v>6046272.7272727275</v>
      </c>
      <c r="AZ16" s="88">
        <f t="shared" si="31"/>
        <v>4545875</v>
      </c>
      <c r="BA16" s="88">
        <f t="shared" si="32"/>
        <v>-1500397.7272727275</v>
      </c>
      <c r="BB16" s="98">
        <f t="shared" si="33"/>
        <v>-0.24815250567592359</v>
      </c>
      <c r="BC16" s="81">
        <f>IFERROR(VLOOKUP(C16,'[1]TARGET THIS MONTH'!C:U,15,0),0)</f>
        <v>6</v>
      </c>
      <c r="BD16" s="102">
        <f>IFERROR(GETPIVOTDATA("Sum of Qty",[1]ACC!$A$5,"ID Store",$C16),0)</f>
        <v>6</v>
      </c>
      <c r="BE16" s="86">
        <f t="shared" si="34"/>
        <v>1</v>
      </c>
      <c r="BF16" s="103">
        <f>IFERROR(VLOOKUP(C16,'[1]TARGET THIS MONTH'!C:U,16,0),0)</f>
        <v>1290000</v>
      </c>
      <c r="BG16" s="103">
        <f>IFERROR(GETPIVOTDATA("Sum of SRP",'[1]Insurance by Store'!$A$5,"ID Store",$C16,"Product Type","Qoala"),0)</f>
        <v>737000</v>
      </c>
      <c r="BH16" s="86">
        <f t="shared" si="35"/>
        <v>0.57131782945736431</v>
      </c>
      <c r="BI16" s="103">
        <f>IFERROR(VLOOKUP(C16,'[1]TARGET THIS MONTH'!C:U,17,0),0)</f>
        <v>258000</v>
      </c>
      <c r="BJ16" s="103">
        <f>IFERROR(GETPIVOTDATA("Sum of SRP",'[1]Insurance by Store'!$A$5,"ID Store",$C16,"Product Type","Vivo Care"),0)</f>
        <v>0</v>
      </c>
      <c r="BK16" s="86">
        <f t="shared" si="36"/>
        <v>0</v>
      </c>
      <c r="BL16" s="84">
        <f>IFERROR(VLOOKUP(C16,'[1]TARGET THIS MONTH'!C:U,18,0),0)</f>
        <v>1.8</v>
      </c>
      <c r="BM16" s="85">
        <f>IFERROR(GETPIVOTDATA("Sum of Qty",'[1]Operator by Store'!$A$5,"ID Store",$C16,"Product Type","Indosat"),0)</f>
        <v>2</v>
      </c>
      <c r="BN16" s="86">
        <f t="shared" si="37"/>
        <v>1.1111111111111112</v>
      </c>
      <c r="BO16" s="84">
        <f>VLOOKUP(C16,'[1]TARGET THIS MONTH'!C:U,19,0)</f>
        <v>18</v>
      </c>
      <c r="BP16" s="85">
        <f>IFERROR(GETPIVOTDATA("Sum of Qty",'[1]Operator by Store'!$A$5,"ID Store",$C16,"Product Type","Telkomsel"),0)</f>
        <v>0</v>
      </c>
      <c r="BQ16" s="104">
        <f t="shared" si="38"/>
        <v>0</v>
      </c>
    </row>
    <row r="17" spans="1:69" x14ac:dyDescent="0.2">
      <c r="A17" s="75">
        <v>13</v>
      </c>
      <c r="B17" s="76" t="s">
        <v>56</v>
      </c>
      <c r="C17" s="77">
        <v>6040702</v>
      </c>
      <c r="D17" s="78" t="s">
        <v>60</v>
      </c>
      <c r="E17" s="105" t="s">
        <v>58</v>
      </c>
      <c r="F17" s="80">
        <v>2</v>
      </c>
      <c r="G17" s="81">
        <f>IFERROR(VLOOKUP(C17,'[1]TARGET THIS MONTH'!C:E,3,0),0)</f>
        <v>30</v>
      </c>
      <c r="H17" s="82">
        <f>IFERROR(VLOOKUP(C17,'[1]TARGET THIS MONTH'!C:M,11,0),0)</f>
        <v>210000000</v>
      </c>
      <c r="I17" s="81">
        <f>IFERROR(GETPIVOTDATA("Sum of Qty",'[1]DEVICE &amp; VALUE'!$A$6,"ID Store",$C17),0)</f>
        <v>31</v>
      </c>
      <c r="J17" s="83">
        <f t="shared" si="0"/>
        <v>1.0333333333333334</v>
      </c>
      <c r="K17" s="84">
        <f t="shared" si="1"/>
        <v>1</v>
      </c>
      <c r="L17" s="85">
        <f>IFERROR(GETPIVOTDATA("Sum of Qty",[1]PF!$A$5,"ID Store",$C17),0)</f>
        <v>5</v>
      </c>
      <c r="M17" s="85">
        <f>IFERROR(GETPIVOTDATA("Sum of Qty",'[1]DEVICE &amp; VALUE'!$A$6,"ID Store",$C17,"Segment Price","3mio&gt;"),0)</f>
        <v>13</v>
      </c>
      <c r="N17" s="86">
        <f t="shared" si="2"/>
        <v>0.41935483870967744</v>
      </c>
      <c r="O17" s="87">
        <f>IFERROR(GETPIVOTDATA("Sum of Qty",[1]IQOO!$A$6,"ID Store",$C17),0)</f>
        <v>3</v>
      </c>
      <c r="P17" s="86">
        <f t="shared" si="3"/>
        <v>9.6774193548387094E-2</v>
      </c>
      <c r="Q17" s="86">
        <f t="shared" si="4"/>
        <v>0.41935483870967744</v>
      </c>
      <c r="R17" s="88">
        <f>IFERROR(GETPIVOTDATA("Sum of SRP",'[1]DEVICE &amp; VALUE'!$A$6,"ID Store",$C17),0)</f>
        <v>146469000</v>
      </c>
      <c r="S17" s="86">
        <f t="shared" si="5"/>
        <v>0.69747142857142852</v>
      </c>
      <c r="T17" s="89">
        <f t="shared" si="6"/>
        <v>-63531000</v>
      </c>
      <c r="U17" s="90">
        <f t="shared" si="7"/>
        <v>41.782608695652172</v>
      </c>
      <c r="V17" s="91">
        <f t="shared" si="8"/>
        <v>1.3927536231884057</v>
      </c>
      <c r="W17" s="92">
        <f t="shared" si="9"/>
        <v>11.782608695652172</v>
      </c>
      <c r="X17" s="92">
        <f t="shared" si="10"/>
        <v>17.521739130434781</v>
      </c>
      <c r="Y17" s="92">
        <f t="shared" si="11"/>
        <v>-12.478260869565219</v>
      </c>
      <c r="Z17" s="93">
        <f t="shared" si="12"/>
        <v>197414739.13043478</v>
      </c>
      <c r="AA17" s="93">
        <f t="shared" si="13"/>
        <v>-12585260.869565219</v>
      </c>
      <c r="AB17" s="94">
        <f t="shared" si="14"/>
        <v>0.94007018633540373</v>
      </c>
      <c r="AC17" s="95">
        <f t="shared" si="15"/>
        <v>-0.125</v>
      </c>
      <c r="AD17" s="96">
        <f t="shared" si="16"/>
        <v>7941375</v>
      </c>
      <c r="AE17" s="81">
        <f>IFERROR(GETPIVOTDATA("Sum of Qty",'[1]DATA LAST MONTH IQOO'!$A$6,"ID Store",$C17),0)</f>
        <v>7</v>
      </c>
      <c r="AF17" s="97">
        <f>IFERROR(GETPIVOTDATA("Sum of Qty",[1]IQOO!$A$6,"ID Store",$C17),0)</f>
        <v>3</v>
      </c>
      <c r="AG17" s="84">
        <f t="shared" si="17"/>
        <v>-4</v>
      </c>
      <c r="AH17" s="98">
        <f t="shared" si="18"/>
        <v>-0.5714285714285714</v>
      </c>
      <c r="AI17" s="99">
        <f>IFERROR(GETPIVOTDATA("Sum of Qty",'[1]DATA LAST MONTH DEVICE'!$A$6,"ID Store",$C17),0)</f>
        <v>22</v>
      </c>
      <c r="AJ17" s="100">
        <f t="shared" si="19"/>
        <v>31</v>
      </c>
      <c r="AK17" s="84">
        <f t="shared" si="20"/>
        <v>9</v>
      </c>
      <c r="AL17" s="86">
        <f t="shared" si="21"/>
        <v>0.40909090909090912</v>
      </c>
      <c r="AM17" s="85">
        <f>IFERROR(GETPIVOTDATA("Sum of Qty",'[1]Store 3mio+ last month'!$A$6,"ID Store",$C17),0)</f>
        <v>28</v>
      </c>
      <c r="AN17" s="84">
        <f t="shared" si="22"/>
        <v>41.782608695652172</v>
      </c>
      <c r="AO17" s="84">
        <f t="shared" si="23"/>
        <v>13.782608695652172</v>
      </c>
      <c r="AP17" s="86">
        <f t="shared" si="24"/>
        <v>0.49223602484472045</v>
      </c>
      <c r="AQ17" s="85">
        <f>IFERROR(GETPIVOTDATA("Sum of Qty",'[1]DATA LAST MONTH DEVICE'!$A$6,"ID Store",$C17,"Segment Price","3mio&gt;"),0)</f>
        <v>16</v>
      </c>
      <c r="AR17" s="87">
        <f t="shared" si="25"/>
        <v>13</v>
      </c>
      <c r="AS17" s="87">
        <f t="shared" si="26"/>
        <v>-3</v>
      </c>
      <c r="AT17" s="86">
        <f t="shared" si="27"/>
        <v>-0.1875</v>
      </c>
      <c r="AU17" s="101">
        <f>IFERROR(GETPIVOTDATA("Sum of SRP",'[1]DATA LAST MONTH DEVICE'!$A$6,"ID Store",$C17),0)</f>
        <v>178378000</v>
      </c>
      <c r="AV17" s="101">
        <f t="shared" si="28"/>
        <v>146469000</v>
      </c>
      <c r="AW17" s="101">
        <f t="shared" si="29"/>
        <v>-31909000</v>
      </c>
      <c r="AX17" s="86">
        <f t="shared" si="30"/>
        <v>-0.17888416733005191</v>
      </c>
      <c r="AY17" s="101">
        <f>IFERROR(VLOOKUP(C17,'[1]DATA SALES LAST MONTH'!A:E,5,0),0)</f>
        <v>8108090.9090909092</v>
      </c>
      <c r="AZ17" s="88">
        <f t="shared" si="31"/>
        <v>4724806.4516129037</v>
      </c>
      <c r="BA17" s="88">
        <f t="shared" si="32"/>
        <v>-3383284.4574780054</v>
      </c>
      <c r="BB17" s="98">
        <f t="shared" si="33"/>
        <v>-0.41727263487939165</v>
      </c>
      <c r="BC17" s="81">
        <f>IFERROR(VLOOKUP(C17,'[1]TARGET THIS MONTH'!C:U,15,0),0)</f>
        <v>3</v>
      </c>
      <c r="BD17" s="102">
        <f>IFERROR(GETPIVOTDATA("Sum of Qty",[1]ACC!$A$5,"ID Store",$C17),0)</f>
        <v>8</v>
      </c>
      <c r="BE17" s="86">
        <f t="shared" si="34"/>
        <v>2.6666666666666665</v>
      </c>
      <c r="BF17" s="103">
        <f>IFERROR(VLOOKUP(C17,'[1]TARGET THIS MONTH'!C:U,16,0),0)</f>
        <v>1050000</v>
      </c>
      <c r="BG17" s="103">
        <f>IFERROR(GETPIVOTDATA("Sum of SRP",'[1]Insurance by Store'!$A$5,"ID Store",$C17,"Product Type","Qoala"),0)</f>
        <v>318000</v>
      </c>
      <c r="BH17" s="86">
        <f t="shared" si="35"/>
        <v>0.30285714285714288</v>
      </c>
      <c r="BI17" s="103">
        <f>IFERROR(VLOOKUP(C17,'[1]TARGET THIS MONTH'!C:U,17,0),0)</f>
        <v>210000</v>
      </c>
      <c r="BJ17" s="103">
        <f>IFERROR(GETPIVOTDATA("Sum of SRP",'[1]Insurance by Store'!$A$5,"ID Store",$C17,"Product Type","Vivo Care"),0)</f>
        <v>0</v>
      </c>
      <c r="BK17" s="86">
        <f t="shared" si="36"/>
        <v>0</v>
      </c>
      <c r="BL17" s="84">
        <f>IFERROR(VLOOKUP(C17,'[1]TARGET THIS MONTH'!C:U,18,0),0)</f>
        <v>0.9</v>
      </c>
      <c r="BM17" s="85">
        <f>IFERROR(GETPIVOTDATA("Sum of Qty",'[1]Operator by Store'!$A$5,"ID Store",$C17,"Product Type","Indosat"),0)</f>
        <v>0</v>
      </c>
      <c r="BN17" s="86">
        <f t="shared" si="37"/>
        <v>0</v>
      </c>
      <c r="BO17" s="84">
        <f>VLOOKUP(C17,'[1]TARGET THIS MONTH'!C:U,19,0)</f>
        <v>9</v>
      </c>
      <c r="BP17" s="85">
        <f>IFERROR(GETPIVOTDATA("Sum of Qty",'[1]Operator by Store'!$A$5,"ID Store",$C17,"Product Type","Telkomsel"),0)</f>
        <v>0</v>
      </c>
      <c r="BQ17" s="104">
        <f t="shared" si="38"/>
        <v>0</v>
      </c>
    </row>
    <row r="18" spans="1:69" x14ac:dyDescent="0.2">
      <c r="A18" s="75">
        <v>14</v>
      </c>
      <c r="B18" s="76" t="s">
        <v>56</v>
      </c>
      <c r="C18" s="77">
        <v>6040703</v>
      </c>
      <c r="D18" s="78" t="s">
        <v>61</v>
      </c>
      <c r="E18" s="105" t="s">
        <v>58</v>
      </c>
      <c r="F18" s="80">
        <v>2</v>
      </c>
      <c r="G18" s="81">
        <f>IFERROR(VLOOKUP(C18,'[1]TARGET THIS MONTH'!C:E,3,0),0)</f>
        <v>40</v>
      </c>
      <c r="H18" s="82">
        <f>IFERROR(VLOOKUP(C18,'[1]TARGET THIS MONTH'!C:M,11,0),0)</f>
        <v>220000000</v>
      </c>
      <c r="I18" s="81">
        <f>IFERROR(GETPIVOTDATA("Sum of Qty",'[1]DEVICE &amp; VALUE'!$A$6,"ID Store",$C18),0)</f>
        <v>23</v>
      </c>
      <c r="J18" s="83">
        <f t="shared" si="0"/>
        <v>0.57499999999999996</v>
      </c>
      <c r="K18" s="84">
        <f t="shared" si="1"/>
        <v>-17</v>
      </c>
      <c r="L18" s="85">
        <f>IFERROR(GETPIVOTDATA("Sum of Qty",[1]PF!$A$5,"ID Store",$C18),0)</f>
        <v>3</v>
      </c>
      <c r="M18" s="85">
        <f>IFERROR(GETPIVOTDATA("Sum of Qty",'[1]DEVICE &amp; VALUE'!$A$6,"ID Store",$C18,"Segment Price","3mio&gt;"),0)</f>
        <v>12</v>
      </c>
      <c r="N18" s="86">
        <f t="shared" si="2"/>
        <v>0.52173913043478259</v>
      </c>
      <c r="O18" s="87">
        <f>IFERROR(GETPIVOTDATA("Sum of Qty",[1]IQOO!$A$6,"ID Store",$C18),0)</f>
        <v>2</v>
      </c>
      <c r="P18" s="86">
        <f t="shared" si="3"/>
        <v>8.6956521739130432E-2</v>
      </c>
      <c r="Q18" s="86">
        <f t="shared" si="4"/>
        <v>0.52173913043478259</v>
      </c>
      <c r="R18" s="88">
        <f>IFERROR(GETPIVOTDATA("Sum of SRP",'[1]DEVICE &amp; VALUE'!$A$6,"ID Store",$C18),0)</f>
        <v>129977000</v>
      </c>
      <c r="S18" s="86">
        <f t="shared" si="5"/>
        <v>0.59080454545454542</v>
      </c>
      <c r="T18" s="89">
        <f t="shared" si="6"/>
        <v>-90023000</v>
      </c>
      <c r="U18" s="90">
        <f t="shared" si="7"/>
        <v>31</v>
      </c>
      <c r="V18" s="91">
        <f t="shared" si="8"/>
        <v>0.77500000000000002</v>
      </c>
      <c r="W18" s="92">
        <f t="shared" si="9"/>
        <v>-9</v>
      </c>
      <c r="X18" s="92">
        <f t="shared" si="10"/>
        <v>16.173913043478262</v>
      </c>
      <c r="Y18" s="92">
        <f t="shared" si="11"/>
        <v>-23.826086956521738</v>
      </c>
      <c r="Z18" s="93">
        <f t="shared" si="12"/>
        <v>175186391.30434784</v>
      </c>
      <c r="AA18" s="93">
        <f t="shared" si="13"/>
        <v>-44813608.695652157</v>
      </c>
      <c r="AB18" s="94">
        <f t="shared" si="14"/>
        <v>0.79630177865612661</v>
      </c>
      <c r="AC18" s="95">
        <f t="shared" si="15"/>
        <v>2.125</v>
      </c>
      <c r="AD18" s="96">
        <f t="shared" si="16"/>
        <v>11252875</v>
      </c>
      <c r="AE18" s="81">
        <f>IFERROR(GETPIVOTDATA("Sum of Qty",'[1]DATA LAST MONTH IQOO'!$A$6,"ID Store",$C18),0)</f>
        <v>6</v>
      </c>
      <c r="AF18" s="97">
        <f>IFERROR(GETPIVOTDATA("Sum of Qty",[1]IQOO!$A$6,"ID Store",$C18),0)</f>
        <v>2</v>
      </c>
      <c r="AG18" s="84">
        <f t="shared" si="17"/>
        <v>-4</v>
      </c>
      <c r="AH18" s="98">
        <f t="shared" si="18"/>
        <v>-0.66666666666666663</v>
      </c>
      <c r="AI18" s="99">
        <f>IFERROR(GETPIVOTDATA("Sum of Qty",'[1]DATA LAST MONTH DEVICE'!$A$6,"ID Store",$C18),0)</f>
        <v>42</v>
      </c>
      <c r="AJ18" s="100">
        <f t="shared" si="19"/>
        <v>23</v>
      </c>
      <c r="AK18" s="84">
        <f t="shared" si="20"/>
        <v>-19</v>
      </c>
      <c r="AL18" s="86">
        <f t="shared" si="21"/>
        <v>-0.45238095238095238</v>
      </c>
      <c r="AM18" s="85">
        <f>IFERROR(GETPIVOTDATA("Sum of Qty",'[1]Store 3mio+ last month'!$A$6,"ID Store",$C18),0)</f>
        <v>44</v>
      </c>
      <c r="AN18" s="84">
        <f t="shared" si="22"/>
        <v>31</v>
      </c>
      <c r="AO18" s="84">
        <f t="shared" si="23"/>
        <v>-13</v>
      </c>
      <c r="AP18" s="86">
        <f t="shared" si="24"/>
        <v>-0.29545454545454547</v>
      </c>
      <c r="AQ18" s="85">
        <f>IFERROR(GETPIVOTDATA("Sum of Qty",'[1]DATA LAST MONTH DEVICE'!$A$6,"ID Store",$C18,"Segment Price","3mio&gt;"),0)</f>
        <v>30</v>
      </c>
      <c r="AR18" s="87">
        <f t="shared" si="25"/>
        <v>12</v>
      </c>
      <c r="AS18" s="87">
        <f t="shared" si="26"/>
        <v>-18</v>
      </c>
      <c r="AT18" s="86">
        <f t="shared" si="27"/>
        <v>-0.6</v>
      </c>
      <c r="AU18" s="101">
        <f>IFERROR(GETPIVOTDATA("Sum of SRP",'[1]DATA LAST MONTH DEVICE'!$A$6,"ID Store",$C18),0)</f>
        <v>258258000</v>
      </c>
      <c r="AV18" s="101">
        <f t="shared" si="28"/>
        <v>129977000</v>
      </c>
      <c r="AW18" s="101">
        <f t="shared" si="29"/>
        <v>-128281000</v>
      </c>
      <c r="AX18" s="86">
        <f t="shared" si="30"/>
        <v>-0.49671646183274093</v>
      </c>
      <c r="AY18" s="101">
        <f>IFERROR(VLOOKUP(C18,'[1]DATA SALES LAST MONTH'!A:E,5,0),0)</f>
        <v>6149000</v>
      </c>
      <c r="AZ18" s="88">
        <f t="shared" si="31"/>
        <v>5651173.9130434785</v>
      </c>
      <c r="BA18" s="88">
        <f t="shared" si="32"/>
        <v>-497826.0869565215</v>
      </c>
      <c r="BB18" s="98">
        <f t="shared" si="33"/>
        <v>-8.0960495520657261E-2</v>
      </c>
      <c r="BC18" s="81">
        <f>IFERROR(VLOOKUP(C18,'[1]TARGET THIS MONTH'!C:U,15,0),0)</f>
        <v>4</v>
      </c>
      <c r="BD18" s="102">
        <f>IFERROR(GETPIVOTDATA("Sum of Qty",[1]ACC!$A$5,"ID Store",$C18),0)</f>
        <v>4</v>
      </c>
      <c r="BE18" s="86">
        <f t="shared" si="34"/>
        <v>1</v>
      </c>
      <c r="BF18" s="103">
        <f>IFERROR(VLOOKUP(C18,'[1]TARGET THIS MONTH'!C:U,16,0),0)</f>
        <v>1100000</v>
      </c>
      <c r="BG18" s="103">
        <f>IFERROR(GETPIVOTDATA("Sum of SRP",'[1]Insurance by Store'!$A$5,"ID Store",$C18,"Product Type","Qoala"),0)</f>
        <v>817000</v>
      </c>
      <c r="BH18" s="86">
        <f t="shared" si="35"/>
        <v>0.74272727272727268</v>
      </c>
      <c r="BI18" s="103">
        <f>IFERROR(VLOOKUP(C18,'[1]TARGET THIS MONTH'!C:U,17,0),0)</f>
        <v>220000</v>
      </c>
      <c r="BJ18" s="103">
        <f>IFERROR(GETPIVOTDATA("Sum of SRP",'[1]Insurance by Store'!$A$5,"ID Store",$C18,"Product Type","Vivo Care"),0)</f>
        <v>0</v>
      </c>
      <c r="BK18" s="86">
        <f t="shared" si="36"/>
        <v>0</v>
      </c>
      <c r="BL18" s="84">
        <f>IFERROR(VLOOKUP(C18,'[1]TARGET THIS MONTH'!C:U,18,0),0)</f>
        <v>1.2</v>
      </c>
      <c r="BM18" s="85">
        <f>IFERROR(GETPIVOTDATA("Sum of Qty",'[1]Operator by Store'!$A$5,"ID Store",$C18,"Product Type","Indosat"),0)</f>
        <v>0</v>
      </c>
      <c r="BN18" s="86">
        <f t="shared" si="37"/>
        <v>0</v>
      </c>
      <c r="BO18" s="84">
        <f>VLOOKUP(C18,'[1]TARGET THIS MONTH'!C:U,19,0)</f>
        <v>12</v>
      </c>
      <c r="BP18" s="85">
        <f>IFERROR(GETPIVOTDATA("Sum of Qty",'[1]Operator by Store'!$A$5,"ID Store",$C18,"Product Type","Telkomsel"),0)</f>
        <v>0</v>
      </c>
      <c r="BQ18" s="104">
        <f t="shared" si="38"/>
        <v>0</v>
      </c>
    </row>
    <row r="19" spans="1:69" x14ac:dyDescent="0.2">
      <c r="A19" s="75">
        <v>15</v>
      </c>
      <c r="B19" s="76" t="s">
        <v>62</v>
      </c>
      <c r="C19" s="77">
        <v>6050701</v>
      </c>
      <c r="D19" s="78" t="s">
        <v>63</v>
      </c>
      <c r="E19" s="105" t="s">
        <v>64</v>
      </c>
      <c r="F19" s="80">
        <v>2</v>
      </c>
      <c r="G19" s="81">
        <f>IFERROR(VLOOKUP(C19,'[1]TARGET THIS MONTH'!C:E,3,0),0)</f>
        <v>60</v>
      </c>
      <c r="H19" s="82">
        <f>IFERROR(VLOOKUP(C19,'[1]TARGET THIS MONTH'!C:M,11,0),0)</f>
        <v>330000000</v>
      </c>
      <c r="I19" s="81">
        <f>IFERROR(GETPIVOTDATA("Sum of Qty",'[1]DEVICE &amp; VALUE'!$A$6,"ID Store",$C19),0)</f>
        <v>32</v>
      </c>
      <c r="J19" s="83">
        <f t="shared" si="0"/>
        <v>0.53333333333333333</v>
      </c>
      <c r="K19" s="84">
        <f t="shared" si="1"/>
        <v>-28</v>
      </c>
      <c r="L19" s="85">
        <f>IFERROR(GETPIVOTDATA("Sum of Qty",[1]PF!$A$5,"ID Store",$C19),0)</f>
        <v>6</v>
      </c>
      <c r="M19" s="85">
        <f>IFERROR(GETPIVOTDATA("Sum of Qty",'[1]DEVICE &amp; VALUE'!$A$6,"ID Store",$C19,"Segment Price","3mio&gt;"),0)</f>
        <v>22</v>
      </c>
      <c r="N19" s="86">
        <f t="shared" si="2"/>
        <v>0.6875</v>
      </c>
      <c r="O19" s="87">
        <f>IFERROR(GETPIVOTDATA("Sum of Qty",[1]IQOO!$A$6,"ID Store",$C19),0)</f>
        <v>7</v>
      </c>
      <c r="P19" s="86">
        <f t="shared" si="3"/>
        <v>0.21875</v>
      </c>
      <c r="Q19" s="86">
        <f t="shared" si="4"/>
        <v>0.6875</v>
      </c>
      <c r="R19" s="88">
        <f>IFERROR(GETPIVOTDATA("Sum of SRP",'[1]DEVICE &amp; VALUE'!$A$6,"ID Store",$C19),0)</f>
        <v>182868000</v>
      </c>
      <c r="S19" s="86">
        <f t="shared" si="5"/>
        <v>0.5541454545454545</v>
      </c>
      <c r="T19" s="89">
        <f t="shared" si="6"/>
        <v>-147132000</v>
      </c>
      <c r="U19" s="90">
        <f t="shared" si="7"/>
        <v>43.130434782608695</v>
      </c>
      <c r="V19" s="91">
        <f t="shared" si="8"/>
        <v>0.71884057971014492</v>
      </c>
      <c r="W19" s="92">
        <f t="shared" si="9"/>
        <v>-16.869565217391305</v>
      </c>
      <c r="X19" s="92">
        <f t="shared" si="10"/>
        <v>29.65217391304348</v>
      </c>
      <c r="Y19" s="92">
        <f t="shared" si="11"/>
        <v>-30.34782608695652</v>
      </c>
      <c r="Z19" s="93">
        <f t="shared" si="12"/>
        <v>246474260.86956522</v>
      </c>
      <c r="AA19" s="93">
        <f t="shared" si="13"/>
        <v>-83525739.130434781</v>
      </c>
      <c r="AB19" s="94">
        <f t="shared" si="14"/>
        <v>0.74689169960474311</v>
      </c>
      <c r="AC19" s="95">
        <f t="shared" si="15"/>
        <v>3.5</v>
      </c>
      <c r="AD19" s="96">
        <f t="shared" si="16"/>
        <v>18391500</v>
      </c>
      <c r="AE19" s="81">
        <f>IFERROR(GETPIVOTDATA("Sum of Qty",'[1]DATA LAST MONTH IQOO'!$A$6,"ID Store",$C19),0)</f>
        <v>9</v>
      </c>
      <c r="AF19" s="97">
        <f>IFERROR(GETPIVOTDATA("Sum of Qty",[1]IQOO!$A$6,"ID Store",$C19),0)</f>
        <v>7</v>
      </c>
      <c r="AG19" s="84">
        <f t="shared" si="17"/>
        <v>-2</v>
      </c>
      <c r="AH19" s="98">
        <f t="shared" si="18"/>
        <v>-0.22222222222222221</v>
      </c>
      <c r="AI19" s="99">
        <f>IFERROR(GETPIVOTDATA("Sum of Qty",'[1]DATA LAST MONTH DEVICE'!$A$6,"ID Store",$C19),0)</f>
        <v>42</v>
      </c>
      <c r="AJ19" s="100">
        <f t="shared" si="19"/>
        <v>32</v>
      </c>
      <c r="AK19" s="84">
        <f t="shared" si="20"/>
        <v>-10</v>
      </c>
      <c r="AL19" s="86">
        <f t="shared" si="21"/>
        <v>-0.23809523809523808</v>
      </c>
      <c r="AM19" s="85">
        <f>IFERROR(GETPIVOTDATA("Sum of Qty",'[1]Store 3mio+ last month'!$A$6,"ID Store",$C19),0)</f>
        <v>54</v>
      </c>
      <c r="AN19" s="84">
        <f t="shared" si="22"/>
        <v>43.130434782608695</v>
      </c>
      <c r="AO19" s="84">
        <f t="shared" si="23"/>
        <v>-10.869565217391305</v>
      </c>
      <c r="AP19" s="86">
        <f t="shared" si="24"/>
        <v>-0.20128824476650564</v>
      </c>
      <c r="AQ19" s="85">
        <f>IFERROR(GETPIVOTDATA("Sum of Qty",'[1]DATA LAST MONTH DEVICE'!$A$6,"ID Store",$C19,"Segment Price","3mio&gt;"),0)</f>
        <v>31</v>
      </c>
      <c r="AR19" s="87">
        <f t="shared" si="25"/>
        <v>22</v>
      </c>
      <c r="AS19" s="87">
        <f t="shared" si="26"/>
        <v>-9</v>
      </c>
      <c r="AT19" s="86">
        <f t="shared" si="27"/>
        <v>-0.29032258064516131</v>
      </c>
      <c r="AU19" s="101">
        <f>IFERROR(GETPIVOTDATA("Sum of SRP",'[1]DATA LAST MONTH DEVICE'!$A$6,"ID Store",$C19),0)</f>
        <v>264558000</v>
      </c>
      <c r="AV19" s="101">
        <f t="shared" si="28"/>
        <v>182868000</v>
      </c>
      <c r="AW19" s="101">
        <f t="shared" si="29"/>
        <v>-81690000</v>
      </c>
      <c r="AX19" s="86">
        <f t="shared" si="30"/>
        <v>-0.30877917129703125</v>
      </c>
      <c r="AY19" s="101">
        <f>IFERROR(VLOOKUP(C19,'[1]DATA SALES LAST MONTH'!A:E,5,0),0)</f>
        <v>6299000</v>
      </c>
      <c r="AZ19" s="88">
        <f t="shared" si="31"/>
        <v>5714625</v>
      </c>
      <c r="BA19" s="88">
        <f t="shared" si="32"/>
        <v>-584375</v>
      </c>
      <c r="BB19" s="98">
        <f t="shared" si="33"/>
        <v>-9.2772662327353553E-2</v>
      </c>
      <c r="BC19" s="81">
        <f>IFERROR(VLOOKUP(C19,'[1]TARGET THIS MONTH'!C:U,15,0),0)</f>
        <v>6</v>
      </c>
      <c r="BD19" s="102">
        <f>IFERROR(GETPIVOTDATA("Sum of Qty",[1]ACC!$A$5,"ID Store",$C19),0)</f>
        <v>7</v>
      </c>
      <c r="BE19" s="86">
        <f t="shared" si="34"/>
        <v>1.1666666666666667</v>
      </c>
      <c r="BF19" s="103">
        <f>IFERROR(VLOOKUP(C19,'[1]TARGET THIS MONTH'!C:U,16,0),0)</f>
        <v>1650000</v>
      </c>
      <c r="BG19" s="103">
        <f>IFERROR(GETPIVOTDATA("Sum of SRP",'[1]Insurance by Store'!$A$5,"ID Store",$C19,"Product Type","Qoala"),0)</f>
        <v>986000</v>
      </c>
      <c r="BH19" s="86">
        <f t="shared" si="35"/>
        <v>0.59757575757575754</v>
      </c>
      <c r="BI19" s="103">
        <f>IFERROR(VLOOKUP(C19,'[1]TARGET THIS MONTH'!C:U,17,0),0)</f>
        <v>330000</v>
      </c>
      <c r="BJ19" s="103">
        <f>IFERROR(GETPIVOTDATA("Sum of SRP",'[1]Insurance by Store'!$A$5,"ID Store",$C19,"Product Type","Vivo Care"),0)</f>
        <v>0</v>
      </c>
      <c r="BK19" s="86">
        <f t="shared" si="36"/>
        <v>0</v>
      </c>
      <c r="BL19" s="84">
        <f>IFERROR(VLOOKUP(C19,'[1]TARGET THIS MONTH'!C:U,18,0),0)</f>
        <v>1.8</v>
      </c>
      <c r="BM19" s="85">
        <f>IFERROR(GETPIVOTDATA("Sum of Qty",'[1]Operator by Store'!$A$5,"ID Store",$C19,"Product Type","Indosat"),0)</f>
        <v>0</v>
      </c>
      <c r="BN19" s="86">
        <f t="shared" si="37"/>
        <v>0</v>
      </c>
      <c r="BO19" s="84">
        <f>VLOOKUP(C19,'[1]TARGET THIS MONTH'!C:U,19,0)</f>
        <v>18</v>
      </c>
      <c r="BP19" s="85">
        <f>IFERROR(GETPIVOTDATA("Sum of Qty",'[1]Operator by Store'!$A$5,"ID Store",$C19,"Product Type","Telkomsel"),0)</f>
        <v>0</v>
      </c>
      <c r="BQ19" s="104">
        <f t="shared" si="38"/>
        <v>0</v>
      </c>
    </row>
    <row r="20" spans="1:69" x14ac:dyDescent="0.2">
      <c r="A20" s="75">
        <v>16</v>
      </c>
      <c r="B20" s="76" t="s">
        <v>62</v>
      </c>
      <c r="C20" s="77">
        <v>6220701</v>
      </c>
      <c r="D20" s="78" t="s">
        <v>65</v>
      </c>
      <c r="E20" s="105" t="s">
        <v>64</v>
      </c>
      <c r="F20" s="80">
        <v>2</v>
      </c>
      <c r="G20" s="81">
        <f>IFERROR(VLOOKUP(C20,'[1]TARGET THIS MONTH'!C:E,3,0),0)</f>
        <v>80</v>
      </c>
      <c r="H20" s="82">
        <f>IFERROR(VLOOKUP(C20,'[1]TARGET THIS MONTH'!C:M,11,0),0)</f>
        <v>90000000</v>
      </c>
      <c r="I20" s="81">
        <f>IFERROR(GETPIVOTDATA("Sum of Qty",'[1]DEVICE &amp; VALUE'!$A$6,"ID Store",$C20),0)</f>
        <v>45</v>
      </c>
      <c r="J20" s="83">
        <f t="shared" si="0"/>
        <v>0.5625</v>
      </c>
      <c r="K20" s="84">
        <f t="shared" si="1"/>
        <v>-35</v>
      </c>
      <c r="L20" s="85">
        <f>IFERROR(GETPIVOTDATA("Sum of Qty",[1]PF!$A$5,"ID Store",$C20),0)</f>
        <v>8</v>
      </c>
      <c r="M20" s="85">
        <f>IFERROR(GETPIVOTDATA("Sum of Qty",'[1]DEVICE &amp; VALUE'!$A$6,"ID Store",$C20,"Segment Price","3mio&gt;"),0)</f>
        <v>16</v>
      </c>
      <c r="N20" s="86">
        <f t="shared" si="2"/>
        <v>0.35555555555555557</v>
      </c>
      <c r="O20" s="87">
        <f>IFERROR(GETPIVOTDATA("Sum of Qty",[1]IQOO!$A$6,"ID Store",$C20),0)</f>
        <v>2</v>
      </c>
      <c r="P20" s="86">
        <f t="shared" si="3"/>
        <v>4.4444444444444446E-2</v>
      </c>
      <c r="Q20" s="86">
        <f t="shared" si="4"/>
        <v>0.35555555555555557</v>
      </c>
      <c r="R20" s="88">
        <f>IFERROR(GETPIVOTDATA("Sum of SRP",'[1]DEVICE &amp; VALUE'!$A$6,"ID Store",$C20),0)</f>
        <v>163855000</v>
      </c>
      <c r="S20" s="86">
        <f t="shared" si="5"/>
        <v>1.8206111111111112</v>
      </c>
      <c r="T20" s="89">
        <f t="shared" si="6"/>
        <v>73855000</v>
      </c>
      <c r="U20" s="90">
        <f t="shared" si="7"/>
        <v>60.652173913043477</v>
      </c>
      <c r="V20" s="91">
        <f t="shared" si="8"/>
        <v>0.75815217391304346</v>
      </c>
      <c r="W20" s="92">
        <f t="shared" si="9"/>
        <v>-19.347826086956523</v>
      </c>
      <c r="X20" s="92">
        <f t="shared" si="10"/>
        <v>21.565217391304348</v>
      </c>
      <c r="Y20" s="92">
        <f t="shared" si="11"/>
        <v>-58.434782608695656</v>
      </c>
      <c r="Z20" s="93">
        <f t="shared" si="12"/>
        <v>220848043.47826087</v>
      </c>
      <c r="AA20" s="93">
        <f t="shared" si="13"/>
        <v>130848043.47826087</v>
      </c>
      <c r="AB20" s="94">
        <f t="shared" si="14"/>
        <v>2.4538671497584543</v>
      </c>
      <c r="AC20" s="95">
        <f t="shared" si="15"/>
        <v>4.375</v>
      </c>
      <c r="AD20" s="96">
        <f t="shared" si="16"/>
        <v>-9231875</v>
      </c>
      <c r="AE20" s="81">
        <f>IFERROR(GETPIVOTDATA("Sum of Qty",'[1]DATA LAST MONTH IQOO'!$A$6,"ID Store",$C20),0)</f>
        <v>8</v>
      </c>
      <c r="AF20" s="97">
        <f>IFERROR(GETPIVOTDATA("Sum of Qty",[1]IQOO!$A$6,"ID Store",$C20),0)</f>
        <v>2</v>
      </c>
      <c r="AG20" s="84">
        <f t="shared" si="17"/>
        <v>-6</v>
      </c>
      <c r="AH20" s="98">
        <f t="shared" si="18"/>
        <v>-0.75</v>
      </c>
      <c r="AI20" s="99">
        <f>IFERROR(GETPIVOTDATA("Sum of Qty",'[1]DATA LAST MONTH DEVICE'!$A$6,"ID Store",$C20),0)</f>
        <v>51</v>
      </c>
      <c r="AJ20" s="100">
        <f t="shared" si="19"/>
        <v>45</v>
      </c>
      <c r="AK20" s="84">
        <f t="shared" si="20"/>
        <v>-6</v>
      </c>
      <c r="AL20" s="86">
        <f t="shared" si="21"/>
        <v>-0.11764705882352941</v>
      </c>
      <c r="AM20" s="85">
        <f>IFERROR(GETPIVOTDATA("Sum of Qty",'[1]Store 3mio+ last month'!$A$6,"ID Store",$C20),0)</f>
        <v>64</v>
      </c>
      <c r="AN20" s="84">
        <f t="shared" si="22"/>
        <v>60.652173913043477</v>
      </c>
      <c r="AO20" s="84">
        <f t="shared" si="23"/>
        <v>-3.3478260869565233</v>
      </c>
      <c r="AP20" s="86">
        <f t="shared" si="24"/>
        <v>-5.2309782608695676E-2</v>
      </c>
      <c r="AQ20" s="85">
        <f>IFERROR(GETPIVOTDATA("Sum of Qty",'[1]DATA LAST MONTH DEVICE'!$A$6,"ID Store",$C20,"Segment Price","3mio&gt;"),0)</f>
        <v>31</v>
      </c>
      <c r="AR20" s="87">
        <f t="shared" si="25"/>
        <v>16</v>
      </c>
      <c r="AS20" s="87">
        <f t="shared" si="26"/>
        <v>-15</v>
      </c>
      <c r="AT20" s="86">
        <f t="shared" si="27"/>
        <v>-0.4838709677419355</v>
      </c>
      <c r="AU20" s="101">
        <f>IFERROR(GETPIVOTDATA("Sum of SRP",'[1]DATA LAST MONTH DEVICE'!$A$6,"ID Store",$C20),0)</f>
        <v>306549000</v>
      </c>
      <c r="AV20" s="101">
        <f t="shared" si="28"/>
        <v>163855000</v>
      </c>
      <c r="AW20" s="101">
        <f t="shared" si="29"/>
        <v>-142694000</v>
      </c>
      <c r="AX20" s="86">
        <f t="shared" si="30"/>
        <v>-0.46548512635826572</v>
      </c>
      <c r="AY20" s="101">
        <f>IFERROR(VLOOKUP(C20,'[1]DATA SALES LAST MONTH'!A:E,5,0),0)</f>
        <v>6010764.7058823528</v>
      </c>
      <c r="AZ20" s="88">
        <f t="shared" si="31"/>
        <v>3641222.2222222225</v>
      </c>
      <c r="BA20" s="88">
        <f t="shared" si="32"/>
        <v>-2369542.4836601303</v>
      </c>
      <c r="BB20" s="98">
        <f t="shared" si="33"/>
        <v>-0.39421647653936776</v>
      </c>
      <c r="BC20" s="81">
        <f>IFERROR(VLOOKUP(C20,'[1]TARGET THIS MONTH'!C:U,15,0),0)</f>
        <v>2</v>
      </c>
      <c r="BD20" s="102">
        <f>IFERROR(GETPIVOTDATA("Sum of Qty",[1]ACC!$A$5,"ID Store",$C20),0)</f>
        <v>12</v>
      </c>
      <c r="BE20" s="86">
        <f t="shared" si="34"/>
        <v>6</v>
      </c>
      <c r="BF20" s="103">
        <f>IFERROR(VLOOKUP(C20,'[1]TARGET THIS MONTH'!C:U,16,0),0)</f>
        <v>450000</v>
      </c>
      <c r="BG20" s="103">
        <f>IFERROR(GETPIVOTDATA("Sum of SRP",'[1]Insurance by Store'!$A$5,"ID Store",$C20,"Product Type","Qoala"),0)</f>
        <v>329000</v>
      </c>
      <c r="BH20" s="86">
        <f t="shared" si="35"/>
        <v>0.73111111111111116</v>
      </c>
      <c r="BI20" s="103">
        <f>IFERROR(VLOOKUP(C20,'[1]TARGET THIS MONTH'!C:U,17,0),0)</f>
        <v>90000</v>
      </c>
      <c r="BJ20" s="103">
        <f>IFERROR(GETPIVOTDATA("Sum of SRP",'[1]Insurance by Store'!$A$5,"ID Store",$C20,"Product Type","Vivo Care"),0)</f>
        <v>0</v>
      </c>
      <c r="BK20" s="86">
        <f t="shared" si="36"/>
        <v>0</v>
      </c>
      <c r="BL20" s="84">
        <f>IFERROR(VLOOKUP(C20,'[1]TARGET THIS MONTH'!C:U,18,0),0)</f>
        <v>0.6</v>
      </c>
      <c r="BM20" s="85">
        <f>IFERROR(GETPIVOTDATA("Sum of Qty",'[1]Operator by Store'!$A$5,"ID Store",$C20,"Product Type","Indosat"),0)</f>
        <v>0</v>
      </c>
      <c r="BN20" s="86">
        <f t="shared" si="37"/>
        <v>0</v>
      </c>
      <c r="BO20" s="84">
        <f>VLOOKUP(C20,'[1]TARGET THIS MONTH'!C:U,19,0)</f>
        <v>6</v>
      </c>
      <c r="BP20" s="85">
        <f>IFERROR(GETPIVOTDATA("Sum of Qty",'[1]Operator by Store'!$A$5,"ID Store",$C20,"Product Type","Telkomsel"),0)</f>
        <v>0</v>
      </c>
      <c r="BQ20" s="104">
        <f t="shared" si="38"/>
        <v>0</v>
      </c>
    </row>
    <row r="21" spans="1:69" x14ac:dyDescent="0.2">
      <c r="A21" s="75">
        <v>17</v>
      </c>
      <c r="B21" s="76" t="s">
        <v>62</v>
      </c>
      <c r="C21" s="77">
        <v>6050705</v>
      </c>
      <c r="D21" s="78" t="s">
        <v>66</v>
      </c>
      <c r="E21" s="105" t="s">
        <v>64</v>
      </c>
      <c r="F21" s="80">
        <v>1</v>
      </c>
      <c r="G21" s="81">
        <f>IFERROR(VLOOKUP(C21,'[1]TARGET THIS MONTH'!C:E,3,0),0)</f>
        <v>20</v>
      </c>
      <c r="H21" s="82">
        <f>IFERROR(VLOOKUP(C21,'[1]TARGET THIS MONTH'!C:M,11,0),0)</f>
        <v>440000000</v>
      </c>
      <c r="I21" s="81">
        <f>IFERROR(GETPIVOTDATA("Sum of Qty",'[1]DEVICE &amp; VALUE'!$A$6,"ID Store",$C21),0)</f>
        <v>20</v>
      </c>
      <c r="J21" s="83">
        <f t="shared" si="0"/>
        <v>1</v>
      </c>
      <c r="K21" s="84">
        <f t="shared" si="1"/>
        <v>0</v>
      </c>
      <c r="L21" s="85">
        <f>IFERROR(GETPIVOTDATA("Sum of Qty",[1]PF!$A$5,"ID Store",$C21),0)</f>
        <v>9</v>
      </c>
      <c r="M21" s="85">
        <f>IFERROR(GETPIVOTDATA("Sum of Qty",'[1]DEVICE &amp; VALUE'!$A$6,"ID Store",$C21,"Segment Price","3mio&gt;"),0)</f>
        <v>14</v>
      </c>
      <c r="N21" s="86">
        <f t="shared" si="2"/>
        <v>0.7</v>
      </c>
      <c r="O21" s="87">
        <f>IFERROR(GETPIVOTDATA("Sum of Qty",[1]IQOO!$A$6,"ID Store",$C21),0)</f>
        <v>2</v>
      </c>
      <c r="P21" s="86">
        <f t="shared" si="3"/>
        <v>0.1</v>
      </c>
      <c r="Q21" s="86">
        <f t="shared" si="4"/>
        <v>0.7</v>
      </c>
      <c r="R21" s="88">
        <f>IFERROR(GETPIVOTDATA("Sum of SRP",'[1]DEVICE &amp; VALUE'!$A$6,"ID Store",$C21),0)</f>
        <v>101380000</v>
      </c>
      <c r="S21" s="86">
        <f t="shared" si="5"/>
        <v>0.2304090909090909</v>
      </c>
      <c r="T21" s="89">
        <f t="shared" si="6"/>
        <v>-338620000</v>
      </c>
      <c r="U21" s="90">
        <f t="shared" si="7"/>
        <v>26.956521739130434</v>
      </c>
      <c r="V21" s="91">
        <f t="shared" si="8"/>
        <v>1.3478260869565217</v>
      </c>
      <c r="W21" s="92">
        <f t="shared" si="9"/>
        <v>6.9565217391304337</v>
      </c>
      <c r="X21" s="92">
        <f t="shared" si="10"/>
        <v>18.869565217391305</v>
      </c>
      <c r="Y21" s="92">
        <f t="shared" si="11"/>
        <v>-1.1304347826086953</v>
      </c>
      <c r="Z21" s="93">
        <f t="shared" si="12"/>
        <v>136642608.69565216</v>
      </c>
      <c r="AA21" s="93">
        <f t="shared" si="13"/>
        <v>-303357391.30434787</v>
      </c>
      <c r="AB21" s="94">
        <f t="shared" si="14"/>
        <v>0.31055138339920946</v>
      </c>
      <c r="AC21" s="95">
        <f t="shared" si="15"/>
        <v>0</v>
      </c>
      <c r="AD21" s="96">
        <f t="shared" si="16"/>
        <v>42327500</v>
      </c>
      <c r="AE21" s="81">
        <f>IFERROR(GETPIVOTDATA("Sum of Qty",'[1]DATA LAST MONTH IQOO'!$A$6,"ID Store",$C21),0)</f>
        <v>2</v>
      </c>
      <c r="AF21" s="97">
        <f>IFERROR(GETPIVOTDATA("Sum of Qty",[1]IQOO!$A$6,"ID Store",$C21),0)</f>
        <v>2</v>
      </c>
      <c r="AG21" s="84">
        <f t="shared" si="17"/>
        <v>0</v>
      </c>
      <c r="AH21" s="98">
        <f t="shared" si="18"/>
        <v>0</v>
      </c>
      <c r="AI21" s="99">
        <f>IFERROR(GETPIVOTDATA("Sum of Qty",'[1]DATA LAST MONTH DEVICE'!$A$6,"ID Store",$C21),0)</f>
        <v>33</v>
      </c>
      <c r="AJ21" s="100">
        <f t="shared" si="19"/>
        <v>20</v>
      </c>
      <c r="AK21" s="84">
        <f t="shared" si="20"/>
        <v>-13</v>
      </c>
      <c r="AL21" s="86">
        <f t="shared" si="21"/>
        <v>-0.39393939393939392</v>
      </c>
      <c r="AM21" s="85">
        <f>IFERROR(GETPIVOTDATA("Sum of Qty",'[1]Store 3mio+ last month'!$A$6,"ID Store",$C21),0)</f>
        <v>37</v>
      </c>
      <c r="AN21" s="84">
        <f t="shared" si="22"/>
        <v>26.956521739130434</v>
      </c>
      <c r="AO21" s="84">
        <f t="shared" si="23"/>
        <v>-10.043478260869566</v>
      </c>
      <c r="AP21" s="86">
        <f t="shared" si="24"/>
        <v>-0.27144535840188017</v>
      </c>
      <c r="AQ21" s="85">
        <f>IFERROR(GETPIVOTDATA("Sum of Qty",'[1]DATA LAST MONTH DEVICE'!$A$6,"ID Store",$C21,"Segment Price","3mio&gt;"),0)</f>
        <v>15</v>
      </c>
      <c r="AR21" s="87">
        <f t="shared" si="25"/>
        <v>14</v>
      </c>
      <c r="AS21" s="87">
        <f t="shared" si="26"/>
        <v>-1</v>
      </c>
      <c r="AT21" s="86">
        <f t="shared" si="27"/>
        <v>-6.6666666666666666E-2</v>
      </c>
      <c r="AU21" s="101">
        <f>IFERROR(GETPIVOTDATA("Sum of SRP",'[1]DATA LAST MONTH DEVICE'!$A$6,"ID Store",$C21),0)</f>
        <v>138367000</v>
      </c>
      <c r="AV21" s="101">
        <f t="shared" si="28"/>
        <v>101380000</v>
      </c>
      <c r="AW21" s="101">
        <f t="shared" si="29"/>
        <v>-36987000</v>
      </c>
      <c r="AX21" s="86">
        <f t="shared" si="30"/>
        <v>-0.26731084723958748</v>
      </c>
      <c r="AY21" s="101">
        <f>IFERROR(VLOOKUP(C21,'[1]DATA SALES LAST MONTH'!A:E,5,0),0)</f>
        <v>0</v>
      </c>
      <c r="AZ21" s="88">
        <f t="shared" si="31"/>
        <v>5069000</v>
      </c>
      <c r="BA21" s="88">
        <f t="shared" si="32"/>
        <v>5069000</v>
      </c>
      <c r="BB21" s="98">
        <f t="shared" si="33"/>
        <v>0</v>
      </c>
      <c r="BC21" s="81">
        <f>IFERROR(VLOOKUP(C21,'[1]TARGET THIS MONTH'!C:U,15,0),0)</f>
        <v>8</v>
      </c>
      <c r="BD21" s="102">
        <f>IFERROR(GETPIVOTDATA("Sum of Qty",[1]ACC!$A$5,"ID Store",$C21),0)</f>
        <v>5</v>
      </c>
      <c r="BE21" s="86">
        <f t="shared" si="34"/>
        <v>0.625</v>
      </c>
      <c r="BF21" s="103">
        <f>IFERROR(VLOOKUP(C21,'[1]TARGET THIS MONTH'!C:U,16,0),0)</f>
        <v>2200000</v>
      </c>
      <c r="BG21" s="103">
        <f>IFERROR(GETPIVOTDATA("Sum of SRP",'[1]Insurance by Store'!$A$5,"ID Store",$C21,"Product Type","Qoala"),0)</f>
        <v>1655000</v>
      </c>
      <c r="BH21" s="86">
        <f t="shared" si="35"/>
        <v>0.75227272727272732</v>
      </c>
      <c r="BI21" s="103">
        <f>IFERROR(VLOOKUP(C21,'[1]TARGET THIS MONTH'!C:U,17,0),0)</f>
        <v>440000</v>
      </c>
      <c r="BJ21" s="103">
        <f>IFERROR(GETPIVOTDATA("Sum of SRP",'[1]Insurance by Store'!$A$5,"ID Store",$C21,"Product Type","Vivo Care"),0)</f>
        <v>0</v>
      </c>
      <c r="BK21" s="86">
        <f t="shared" si="36"/>
        <v>0</v>
      </c>
      <c r="BL21" s="84">
        <f>IFERROR(VLOOKUP(C21,'[1]TARGET THIS MONTH'!C:U,18,0),0)</f>
        <v>2.4</v>
      </c>
      <c r="BM21" s="85">
        <f>IFERROR(GETPIVOTDATA("Sum of Qty",'[1]Operator by Store'!$A$5,"ID Store",$C21,"Product Type","Indosat"),0)</f>
        <v>0</v>
      </c>
      <c r="BN21" s="86">
        <f t="shared" si="37"/>
        <v>0</v>
      </c>
      <c r="BO21" s="84">
        <f>VLOOKUP(C21,'[1]TARGET THIS MONTH'!C:U,19,0)</f>
        <v>24</v>
      </c>
      <c r="BP21" s="85">
        <f>IFERROR(GETPIVOTDATA("Sum of Qty",'[1]Operator by Store'!$A$5,"ID Store",$C21,"Product Type","Telkomsel"),0)</f>
        <v>0</v>
      </c>
      <c r="BQ21" s="104">
        <f t="shared" si="38"/>
        <v>0</v>
      </c>
    </row>
    <row r="22" spans="1:69" x14ac:dyDescent="0.2">
      <c r="A22" s="75">
        <v>18</v>
      </c>
      <c r="B22" s="76" t="s">
        <v>62</v>
      </c>
      <c r="C22" s="77">
        <v>6050706</v>
      </c>
      <c r="D22" s="78" t="s">
        <v>67</v>
      </c>
      <c r="E22" s="105" t="s">
        <v>64</v>
      </c>
      <c r="F22" s="80">
        <v>0</v>
      </c>
      <c r="G22" s="81">
        <f>IFERROR(VLOOKUP(C22,'[1]TARGET THIS MONTH'!C:E,3,0),0)</f>
        <v>30</v>
      </c>
      <c r="H22" s="82">
        <f>IFERROR(VLOOKUP(C22,'[1]TARGET THIS MONTH'!C:M,11,0),0)</f>
        <v>165000000</v>
      </c>
      <c r="I22" s="81">
        <f>IFERROR(GETPIVOTDATA("Sum of Qty",'[1]DEVICE &amp; VALUE'!$A$6,"ID Store",$C22),0)</f>
        <v>32</v>
      </c>
      <c r="J22" s="83">
        <f t="shared" si="0"/>
        <v>1.0666666666666667</v>
      </c>
      <c r="K22" s="84">
        <f t="shared" si="1"/>
        <v>2</v>
      </c>
      <c r="L22" s="85">
        <f>IFERROR(GETPIVOTDATA("Sum of Qty",[1]PF!$A$5,"ID Store",$C22),0)</f>
        <v>9</v>
      </c>
      <c r="M22" s="85">
        <f>IFERROR(GETPIVOTDATA("Sum of Qty",'[1]DEVICE &amp; VALUE'!$A$6,"ID Store",$C22,"Segment Price","3mio&gt;"),0)</f>
        <v>12</v>
      </c>
      <c r="N22" s="86">
        <f t="shared" si="2"/>
        <v>0.375</v>
      </c>
      <c r="O22" s="87">
        <f>IFERROR(GETPIVOTDATA("Sum of Qty",[1]IQOO!$A$6,"ID Store",$C22),0)</f>
        <v>1</v>
      </c>
      <c r="P22" s="86">
        <f t="shared" si="3"/>
        <v>3.125E-2</v>
      </c>
      <c r="Q22" s="86">
        <f t="shared" si="4"/>
        <v>0.375</v>
      </c>
      <c r="R22" s="88">
        <f>IFERROR(GETPIVOTDATA("Sum of SRP",'[1]DEVICE &amp; VALUE'!$A$6,"ID Store",$C22),0)</f>
        <v>114668000</v>
      </c>
      <c r="S22" s="86">
        <f t="shared" si="5"/>
        <v>0.69495757575757577</v>
      </c>
      <c r="T22" s="89">
        <f t="shared" si="6"/>
        <v>-50332000</v>
      </c>
      <c r="U22" s="90">
        <f t="shared" si="7"/>
        <v>43.130434782608695</v>
      </c>
      <c r="V22" s="91">
        <f t="shared" si="8"/>
        <v>1.4376811594202898</v>
      </c>
      <c r="W22" s="92">
        <f t="shared" si="9"/>
        <v>13.130434782608695</v>
      </c>
      <c r="X22" s="92">
        <f t="shared" si="10"/>
        <v>16.173913043478262</v>
      </c>
      <c r="Y22" s="92">
        <f t="shared" si="11"/>
        <v>-13.826086956521738</v>
      </c>
      <c r="Z22" s="93">
        <f t="shared" si="12"/>
        <v>154552521.73913044</v>
      </c>
      <c r="AA22" s="93">
        <f t="shared" si="13"/>
        <v>-10447478.260869563</v>
      </c>
      <c r="AB22" s="94">
        <f t="shared" si="14"/>
        <v>0.9366819499341239</v>
      </c>
      <c r="AC22" s="95">
        <f t="shared" si="15"/>
        <v>-0.25</v>
      </c>
      <c r="AD22" s="96">
        <f t="shared" si="16"/>
        <v>6291500</v>
      </c>
      <c r="AE22" s="81">
        <f>IFERROR(GETPIVOTDATA("Sum of Qty",'[1]DATA LAST MONTH IQOO'!$A$6,"ID Store",$C22),0)</f>
        <v>0</v>
      </c>
      <c r="AF22" s="97">
        <f>IFERROR(GETPIVOTDATA("Sum of Qty",[1]IQOO!$A$6,"ID Store",$C22),0)</f>
        <v>1</v>
      </c>
      <c r="AG22" s="84">
        <f t="shared" si="17"/>
        <v>1</v>
      </c>
      <c r="AH22" s="98">
        <f t="shared" si="18"/>
        <v>0</v>
      </c>
      <c r="AI22" s="99">
        <f>IFERROR(GETPIVOTDATA("Sum of Qty",'[1]DATA LAST MONTH DEVICE'!$A$6,"ID Store",$C22),0)</f>
        <v>0</v>
      </c>
      <c r="AJ22" s="100">
        <f t="shared" si="19"/>
        <v>32</v>
      </c>
      <c r="AK22" s="84">
        <f t="shared" si="20"/>
        <v>32</v>
      </c>
      <c r="AL22" s="86">
        <f t="shared" si="21"/>
        <v>0</v>
      </c>
      <c r="AM22" s="85">
        <f>IFERROR(GETPIVOTDATA("Sum of Qty",'[1]Store 3mio+ last month'!$A$6,"ID Store",$C22),0)</f>
        <v>8</v>
      </c>
      <c r="AN22" s="84">
        <f t="shared" si="22"/>
        <v>43.130434782608695</v>
      </c>
      <c r="AO22" s="84">
        <f t="shared" si="23"/>
        <v>35.130434782608695</v>
      </c>
      <c r="AP22" s="86">
        <f t="shared" si="24"/>
        <v>4.3913043478260869</v>
      </c>
      <c r="AQ22" s="85">
        <f>IFERROR(GETPIVOTDATA("Sum of Qty",'[1]DATA LAST MONTH DEVICE'!$A$6,"ID Store",$C22,"Segment Price","3mio&gt;"),0)</f>
        <v>0</v>
      </c>
      <c r="AR22" s="87">
        <f t="shared" si="25"/>
        <v>12</v>
      </c>
      <c r="AS22" s="87">
        <f t="shared" si="26"/>
        <v>12</v>
      </c>
      <c r="AT22" s="86">
        <f t="shared" si="27"/>
        <v>0</v>
      </c>
      <c r="AU22" s="101">
        <f>IFERROR(GETPIVOTDATA("Sum of SRP",'[1]DATA LAST MONTH DEVICE'!$A$6,"ID Store",$C22),0)</f>
        <v>0</v>
      </c>
      <c r="AV22" s="101">
        <f t="shared" si="28"/>
        <v>114668000</v>
      </c>
      <c r="AW22" s="101">
        <f t="shared" si="29"/>
        <v>114668000</v>
      </c>
      <c r="AX22" s="86">
        <f t="shared" si="30"/>
        <v>0</v>
      </c>
      <c r="AY22" s="101">
        <f>IFERROR(VLOOKUP(C22,'[1]DATA SALES LAST MONTH'!A:E,5,0),0)</f>
        <v>0</v>
      </c>
      <c r="AZ22" s="88">
        <f t="shared" si="31"/>
        <v>3583375</v>
      </c>
      <c r="BA22" s="88">
        <f t="shared" si="32"/>
        <v>3583375</v>
      </c>
      <c r="BB22" s="98">
        <f t="shared" si="33"/>
        <v>0</v>
      </c>
      <c r="BC22" s="81">
        <f>IFERROR(VLOOKUP(C22,'[1]TARGET THIS MONTH'!C:U,15,0),0)</f>
        <v>3</v>
      </c>
      <c r="BD22" s="102">
        <f>IFERROR(GETPIVOTDATA("Sum of Qty",[1]ACC!$A$5,"ID Store",$C22),0)</f>
        <v>13</v>
      </c>
      <c r="BE22" s="86">
        <f t="shared" si="34"/>
        <v>4.333333333333333</v>
      </c>
      <c r="BF22" s="103">
        <f>IFERROR(VLOOKUP(C22,'[1]TARGET THIS MONTH'!C:U,16,0),0)</f>
        <v>825000</v>
      </c>
      <c r="BG22" s="103">
        <f>IFERROR(GETPIVOTDATA("Sum of SRP",'[1]Insurance by Store'!$A$5,"ID Store",$C22,"Product Type","Qoala"),0)</f>
        <v>159000</v>
      </c>
      <c r="BH22" s="86">
        <f t="shared" si="35"/>
        <v>0.19272727272727272</v>
      </c>
      <c r="BI22" s="103">
        <f>IFERROR(VLOOKUP(C22,'[1]TARGET THIS MONTH'!C:U,17,0),0)</f>
        <v>165000</v>
      </c>
      <c r="BJ22" s="103">
        <f>IFERROR(GETPIVOTDATA("Sum of SRP",'[1]Insurance by Store'!$A$5,"ID Store",$C22,"Product Type","Vivo Care"),0)</f>
        <v>0</v>
      </c>
      <c r="BK22" s="86">
        <f t="shared" si="36"/>
        <v>0</v>
      </c>
      <c r="BL22" s="84">
        <f>IFERROR(VLOOKUP(C22,'[1]TARGET THIS MONTH'!C:U,18,0),0)</f>
        <v>0.9</v>
      </c>
      <c r="BM22" s="85">
        <f>IFERROR(GETPIVOTDATA("Sum of Qty",'[1]Operator by Store'!$A$5,"ID Store",$C22,"Product Type","Indosat"),0)</f>
        <v>0</v>
      </c>
      <c r="BN22" s="86">
        <f t="shared" si="37"/>
        <v>0</v>
      </c>
      <c r="BO22" s="84">
        <f>VLOOKUP(C22,'[1]TARGET THIS MONTH'!C:U,19,0)</f>
        <v>9</v>
      </c>
      <c r="BP22" s="85">
        <f>IFERROR(GETPIVOTDATA("Sum of Qty",'[1]Operator by Store'!$A$5,"ID Store",$C22,"Product Type","Telkomsel"),0)</f>
        <v>0</v>
      </c>
      <c r="BQ22" s="104">
        <f t="shared" si="38"/>
        <v>0</v>
      </c>
    </row>
    <row r="23" spans="1:69" x14ac:dyDescent="0.2">
      <c r="A23" s="75">
        <v>19</v>
      </c>
      <c r="B23" s="76" t="s">
        <v>68</v>
      </c>
      <c r="C23" s="77">
        <v>6180706</v>
      </c>
      <c r="D23" s="78" t="s">
        <v>69</v>
      </c>
      <c r="E23" s="105" t="s">
        <v>70</v>
      </c>
      <c r="F23" s="80">
        <v>3</v>
      </c>
      <c r="G23" s="81">
        <f>IFERROR(VLOOKUP(C23,'[1]TARGET THIS MONTH'!C:E,3,0),0)</f>
        <v>120</v>
      </c>
      <c r="H23" s="82">
        <f>IFERROR(VLOOKUP(C23,'[1]TARGET THIS MONTH'!C:M,11,0),0)</f>
        <v>624000000</v>
      </c>
      <c r="I23" s="81">
        <f>IFERROR(GETPIVOTDATA("Sum of Qty",'[1]DEVICE &amp; VALUE'!$A$6,"ID Store",$C23),0)</f>
        <v>82</v>
      </c>
      <c r="J23" s="83">
        <f t="shared" si="0"/>
        <v>0.68333333333333335</v>
      </c>
      <c r="K23" s="84">
        <f t="shared" si="1"/>
        <v>-38</v>
      </c>
      <c r="L23" s="85">
        <f>IFERROR(GETPIVOTDATA("Sum of Qty",[1]PF!$A$5,"ID Store",$C23),0)</f>
        <v>18</v>
      </c>
      <c r="M23" s="85">
        <f>IFERROR(GETPIVOTDATA("Sum of Qty",'[1]DEVICE &amp; VALUE'!$A$6,"ID Store",$C23,"Segment Price","3mio&gt;"),0)</f>
        <v>38</v>
      </c>
      <c r="N23" s="86">
        <f t="shared" si="2"/>
        <v>0.46341463414634149</v>
      </c>
      <c r="O23" s="87">
        <f>IFERROR(GETPIVOTDATA("Sum of Qty",[1]IQOO!$A$6,"ID Store",$C23),0)</f>
        <v>5</v>
      </c>
      <c r="P23" s="86">
        <f t="shared" si="3"/>
        <v>6.097560975609756E-2</v>
      </c>
      <c r="Q23" s="86">
        <f t="shared" si="4"/>
        <v>0.46341463414634149</v>
      </c>
      <c r="R23" s="88">
        <f>IFERROR(GETPIVOTDATA("Sum of SRP",'[1]DEVICE &amp; VALUE'!$A$6,"ID Store",$C23),0)</f>
        <v>321918000</v>
      </c>
      <c r="S23" s="86">
        <f t="shared" si="5"/>
        <v>0.5158942307692308</v>
      </c>
      <c r="T23" s="89">
        <f t="shared" si="6"/>
        <v>-302082000</v>
      </c>
      <c r="U23" s="90">
        <f t="shared" si="7"/>
        <v>110.52173913043478</v>
      </c>
      <c r="V23" s="91">
        <f t="shared" si="8"/>
        <v>0.92101449275362313</v>
      </c>
      <c r="W23" s="92">
        <f t="shared" si="9"/>
        <v>-9.4782608695652186</v>
      </c>
      <c r="X23" s="92">
        <f t="shared" si="10"/>
        <v>51.217391304347828</v>
      </c>
      <c r="Y23" s="92">
        <f t="shared" si="11"/>
        <v>-68.782608695652172</v>
      </c>
      <c r="Z23" s="93">
        <f t="shared" si="12"/>
        <v>433889478.26086956</v>
      </c>
      <c r="AA23" s="93">
        <f t="shared" si="13"/>
        <v>-190110521.73913044</v>
      </c>
      <c r="AB23" s="94">
        <f t="shared" si="14"/>
        <v>0.69533570234113717</v>
      </c>
      <c r="AC23" s="95">
        <f t="shared" si="15"/>
        <v>4.75</v>
      </c>
      <c r="AD23" s="96">
        <f t="shared" si="16"/>
        <v>37760250</v>
      </c>
      <c r="AE23" s="81">
        <f>IFERROR(GETPIVOTDATA("Sum of Qty",'[1]DATA LAST MONTH IQOO'!$A$6,"ID Store",$C23),0)</f>
        <v>21</v>
      </c>
      <c r="AF23" s="97">
        <f>IFERROR(GETPIVOTDATA("Sum of Qty",[1]IQOO!$A$6,"ID Store",$C23),0)</f>
        <v>5</v>
      </c>
      <c r="AG23" s="84">
        <f t="shared" si="17"/>
        <v>-16</v>
      </c>
      <c r="AH23" s="98">
        <f t="shared" si="18"/>
        <v>-0.76190476190476186</v>
      </c>
      <c r="AI23" s="99">
        <f>IFERROR(GETPIVOTDATA("Sum of Qty",'[1]DATA LAST MONTH DEVICE'!$A$6,"ID Store",$C23),0)</f>
        <v>98</v>
      </c>
      <c r="AJ23" s="100">
        <f t="shared" si="19"/>
        <v>82</v>
      </c>
      <c r="AK23" s="84">
        <f t="shared" si="20"/>
        <v>-16</v>
      </c>
      <c r="AL23" s="86">
        <f t="shared" si="21"/>
        <v>-0.16326530612244897</v>
      </c>
      <c r="AM23" s="85">
        <f>IFERROR(GETPIVOTDATA("Sum of Qty",'[1]Store 3mio+ last month'!$A$6,"ID Store",$C23),0)</f>
        <v>129</v>
      </c>
      <c r="AN23" s="84">
        <f t="shared" si="22"/>
        <v>110.52173913043478</v>
      </c>
      <c r="AO23" s="84">
        <f t="shared" si="23"/>
        <v>-18.478260869565219</v>
      </c>
      <c r="AP23" s="86">
        <f t="shared" si="24"/>
        <v>-0.14324233232221101</v>
      </c>
      <c r="AQ23" s="85">
        <f>IFERROR(GETPIVOTDATA("Sum of Qty",'[1]DATA LAST MONTH DEVICE'!$A$6,"ID Store",$C23,"Segment Price","3mio&gt;"),0)</f>
        <v>68</v>
      </c>
      <c r="AR23" s="87">
        <f t="shared" si="25"/>
        <v>38</v>
      </c>
      <c r="AS23" s="87">
        <f t="shared" si="26"/>
        <v>-30</v>
      </c>
      <c r="AT23" s="86">
        <f t="shared" si="27"/>
        <v>-0.44117647058823528</v>
      </c>
      <c r="AU23" s="101">
        <f>IFERROR(GETPIVOTDATA("Sum of SRP",'[1]DATA LAST MONTH DEVICE'!$A$6,"ID Store",$C23),0)</f>
        <v>538802000</v>
      </c>
      <c r="AV23" s="101">
        <f t="shared" si="28"/>
        <v>321918000</v>
      </c>
      <c r="AW23" s="101">
        <f t="shared" si="29"/>
        <v>-216884000</v>
      </c>
      <c r="AX23" s="86">
        <f t="shared" si="30"/>
        <v>-0.4025300574236918</v>
      </c>
      <c r="AY23" s="101">
        <f>IFERROR(VLOOKUP(C23,'[1]DATA SALES LAST MONTH'!A:E,5,0),0)</f>
        <v>5497979.5918367347</v>
      </c>
      <c r="AZ23" s="88">
        <f t="shared" si="31"/>
        <v>3925829.2682926832</v>
      </c>
      <c r="BA23" s="88">
        <f t="shared" si="32"/>
        <v>-1572150.3235440515</v>
      </c>
      <c r="BB23" s="98">
        <f t="shared" si="33"/>
        <v>-0.28595055643319262</v>
      </c>
      <c r="BC23" s="81">
        <f>IFERROR(VLOOKUP(C23,'[1]TARGET THIS MONTH'!C:U,15,0),0)</f>
        <v>12</v>
      </c>
      <c r="BD23" s="102">
        <f>IFERROR(GETPIVOTDATA("Sum of Qty",[1]ACC!$A$5,"ID Store",$C23),0)</f>
        <v>4</v>
      </c>
      <c r="BE23" s="86">
        <f t="shared" si="34"/>
        <v>0.33333333333333331</v>
      </c>
      <c r="BF23" s="103">
        <f>IFERROR(VLOOKUP(C23,'[1]TARGET THIS MONTH'!C:U,16,0),0)</f>
        <v>3120000</v>
      </c>
      <c r="BG23" s="103">
        <f>IFERROR(GETPIVOTDATA("Sum of SRP",'[1]Insurance by Store'!$A$5,"ID Store",$C23,"Product Type","Qoala"),0)</f>
        <v>795000</v>
      </c>
      <c r="BH23" s="86">
        <f t="shared" si="35"/>
        <v>0.25480769230769229</v>
      </c>
      <c r="BI23" s="103">
        <f>IFERROR(VLOOKUP(C23,'[1]TARGET THIS MONTH'!C:U,17,0),0)</f>
        <v>624000</v>
      </c>
      <c r="BJ23" s="103">
        <f>IFERROR(GETPIVOTDATA("Sum of SRP",'[1]Insurance by Store'!$A$5,"ID Store",$C23,"Product Type","Vivo Care"),0)</f>
        <v>0</v>
      </c>
      <c r="BK23" s="86">
        <f t="shared" si="36"/>
        <v>0</v>
      </c>
      <c r="BL23" s="84">
        <f>IFERROR(VLOOKUP(C23,'[1]TARGET THIS MONTH'!C:U,18,0),0)</f>
        <v>3.6</v>
      </c>
      <c r="BM23" s="85">
        <f>IFERROR(GETPIVOTDATA("Sum of Qty",'[1]Operator by Store'!$A$5,"ID Store",$C23,"Product Type","Indosat"),0)</f>
        <v>0</v>
      </c>
      <c r="BN23" s="86">
        <f t="shared" si="37"/>
        <v>0</v>
      </c>
      <c r="BO23" s="84">
        <f>VLOOKUP(C23,'[1]TARGET THIS MONTH'!C:U,19,0)</f>
        <v>36</v>
      </c>
      <c r="BP23" s="85">
        <f>IFERROR(GETPIVOTDATA("Sum of Qty",'[1]Operator by Store'!$A$5,"ID Store",$C23,"Product Type","Telkomsel"),0)</f>
        <v>0</v>
      </c>
      <c r="BQ23" s="104">
        <f t="shared" si="38"/>
        <v>0</v>
      </c>
    </row>
    <row r="24" spans="1:69" x14ac:dyDescent="0.2">
      <c r="A24" s="75">
        <v>20</v>
      </c>
      <c r="B24" s="76" t="s">
        <v>68</v>
      </c>
      <c r="C24" s="77">
        <v>6180707</v>
      </c>
      <c r="D24" s="78" t="s">
        <v>71</v>
      </c>
      <c r="E24" s="105" t="s">
        <v>70</v>
      </c>
      <c r="F24" s="80">
        <v>1</v>
      </c>
      <c r="G24" s="81">
        <f>IFERROR(VLOOKUP(C24,'[1]TARGET THIS MONTH'!C:E,3,0),0)</f>
        <v>20</v>
      </c>
      <c r="H24" s="82">
        <f>IFERROR(VLOOKUP(C24,'[1]TARGET THIS MONTH'!C:M,11,0),0)</f>
        <v>100000000</v>
      </c>
      <c r="I24" s="81">
        <f>IFERROR(GETPIVOTDATA("Sum of Qty",'[1]DEVICE &amp; VALUE'!$A$6,"ID Store",$C24),0)</f>
        <v>16</v>
      </c>
      <c r="J24" s="83">
        <f t="shared" si="0"/>
        <v>0.8</v>
      </c>
      <c r="K24" s="84">
        <f t="shared" si="1"/>
        <v>-4</v>
      </c>
      <c r="L24" s="85">
        <f>IFERROR(GETPIVOTDATA("Sum of Qty",[1]PF!$A$5,"ID Store",$C24),0)</f>
        <v>4</v>
      </c>
      <c r="M24" s="85">
        <f>IFERROR(GETPIVOTDATA("Sum of Qty",'[1]DEVICE &amp; VALUE'!$A$6,"ID Store",$C24,"Segment Price","3mio&gt;"),0)</f>
        <v>8</v>
      </c>
      <c r="N24" s="86">
        <f t="shared" si="2"/>
        <v>0.5</v>
      </c>
      <c r="O24" s="87">
        <f>IFERROR(GETPIVOTDATA("Sum of Qty",[1]IQOO!$A$6,"ID Store",$C24),0)</f>
        <v>0</v>
      </c>
      <c r="P24" s="86">
        <f t="shared" si="3"/>
        <v>0</v>
      </c>
      <c r="Q24" s="86">
        <f t="shared" si="4"/>
        <v>0.5</v>
      </c>
      <c r="R24" s="88">
        <f>IFERROR(GETPIVOTDATA("Sum of SRP",'[1]DEVICE &amp; VALUE'!$A$6,"ID Store",$C24),0)</f>
        <v>65584000</v>
      </c>
      <c r="S24" s="86">
        <f t="shared" si="5"/>
        <v>0.65583999999999998</v>
      </c>
      <c r="T24" s="89">
        <f t="shared" si="6"/>
        <v>-34416000</v>
      </c>
      <c r="U24" s="90">
        <f t="shared" si="7"/>
        <v>21.565217391304348</v>
      </c>
      <c r="V24" s="91">
        <f t="shared" si="8"/>
        <v>1.0782608695652174</v>
      </c>
      <c r="W24" s="92">
        <f t="shared" si="9"/>
        <v>1.5652173913043477</v>
      </c>
      <c r="X24" s="92">
        <f t="shared" si="10"/>
        <v>10.782608695652174</v>
      </c>
      <c r="Y24" s="92">
        <f t="shared" si="11"/>
        <v>-9.2173913043478262</v>
      </c>
      <c r="Z24" s="93">
        <f t="shared" si="12"/>
        <v>88395826.086956531</v>
      </c>
      <c r="AA24" s="93">
        <f t="shared" si="13"/>
        <v>-11604173.913043469</v>
      </c>
      <c r="AB24" s="94">
        <f t="shared" si="14"/>
        <v>0.8839582608695653</v>
      </c>
      <c r="AC24" s="95">
        <f t="shared" si="15"/>
        <v>0.5</v>
      </c>
      <c r="AD24" s="96">
        <f t="shared" si="16"/>
        <v>4302000</v>
      </c>
      <c r="AE24" s="81">
        <f>IFERROR(GETPIVOTDATA("Sum of Qty",'[1]DATA LAST MONTH IQOO'!$A$6,"ID Store",$C24),0)</f>
        <v>3</v>
      </c>
      <c r="AF24" s="97">
        <f>IFERROR(GETPIVOTDATA("Sum of Qty",[1]IQOO!$A$6,"ID Store",$C24),0)</f>
        <v>0</v>
      </c>
      <c r="AG24" s="84">
        <f t="shared" si="17"/>
        <v>-3</v>
      </c>
      <c r="AH24" s="98">
        <f t="shared" si="18"/>
        <v>-1</v>
      </c>
      <c r="AI24" s="99">
        <f>IFERROR(GETPIVOTDATA("Sum of Qty",'[1]DATA LAST MONTH DEVICE'!$A$6,"ID Store",$C24),0)</f>
        <v>24</v>
      </c>
      <c r="AJ24" s="100">
        <f t="shared" si="19"/>
        <v>16</v>
      </c>
      <c r="AK24" s="84">
        <f t="shared" si="20"/>
        <v>-8</v>
      </c>
      <c r="AL24" s="86">
        <f t="shared" si="21"/>
        <v>-0.33333333333333331</v>
      </c>
      <c r="AM24" s="85">
        <f>IFERROR(GETPIVOTDATA("Sum of Qty",'[1]Store 3mio+ last month'!$A$6,"ID Store",$C24),0)</f>
        <v>31</v>
      </c>
      <c r="AN24" s="84">
        <f t="shared" si="22"/>
        <v>21.565217391304348</v>
      </c>
      <c r="AO24" s="84">
        <f t="shared" si="23"/>
        <v>-9.4347826086956523</v>
      </c>
      <c r="AP24" s="86">
        <f t="shared" si="24"/>
        <v>-0.30434782608695654</v>
      </c>
      <c r="AQ24" s="85">
        <f>IFERROR(GETPIVOTDATA("Sum of Qty",'[1]DATA LAST MONTH DEVICE'!$A$6,"ID Store",$C24,"Segment Price","3mio&gt;"),0)</f>
        <v>14</v>
      </c>
      <c r="AR24" s="87">
        <f t="shared" si="25"/>
        <v>8</v>
      </c>
      <c r="AS24" s="87">
        <f t="shared" si="26"/>
        <v>-6</v>
      </c>
      <c r="AT24" s="86">
        <f t="shared" si="27"/>
        <v>-0.42857142857142855</v>
      </c>
      <c r="AU24" s="101">
        <f>IFERROR(GETPIVOTDATA("Sum of SRP",'[1]DATA LAST MONTH DEVICE'!$A$6,"ID Store",$C24),0)</f>
        <v>137076000</v>
      </c>
      <c r="AV24" s="101">
        <f t="shared" si="28"/>
        <v>65584000</v>
      </c>
      <c r="AW24" s="101">
        <f t="shared" si="29"/>
        <v>-71492000</v>
      </c>
      <c r="AX24" s="86">
        <f t="shared" si="30"/>
        <v>-0.52155008900172162</v>
      </c>
      <c r="AY24" s="101">
        <f>IFERROR(VLOOKUP(C24,'[1]DATA SALES LAST MONTH'!A:E,5,0),0)</f>
        <v>5711500</v>
      </c>
      <c r="AZ24" s="88">
        <f t="shared" si="31"/>
        <v>4099000.0000000005</v>
      </c>
      <c r="BA24" s="88">
        <f t="shared" si="32"/>
        <v>-1612499.9999999995</v>
      </c>
      <c r="BB24" s="98">
        <f t="shared" si="33"/>
        <v>-0.28232513350258243</v>
      </c>
      <c r="BC24" s="81">
        <f>IFERROR(VLOOKUP(C24,'[1]TARGET THIS MONTH'!C:U,15,0),0)</f>
        <v>2</v>
      </c>
      <c r="BD24" s="102">
        <f>IFERROR(GETPIVOTDATA("Sum of Qty",[1]ACC!$A$5,"ID Store",$C24),0)</f>
        <v>0</v>
      </c>
      <c r="BE24" s="86">
        <f t="shared" si="34"/>
        <v>0</v>
      </c>
      <c r="BF24" s="103">
        <f>IFERROR(VLOOKUP(C24,'[1]TARGET THIS MONTH'!C:U,16,0),0)</f>
        <v>100000</v>
      </c>
      <c r="BG24" s="103">
        <f>IFERROR(GETPIVOTDATA("Sum of SRP",'[1]Insurance by Store'!$A$5,"ID Store",$C24,"Product Type","Qoala"),0)</f>
        <v>0</v>
      </c>
      <c r="BH24" s="86">
        <f t="shared" si="35"/>
        <v>0</v>
      </c>
      <c r="BI24" s="103">
        <f>IFERROR(VLOOKUP(C24,'[1]TARGET THIS MONTH'!C:U,17,0),0)</f>
        <v>100000</v>
      </c>
      <c r="BJ24" s="103">
        <f>IFERROR(GETPIVOTDATA("Sum of SRP",'[1]Insurance by Store'!$A$5,"ID Store",$C24,"Product Type","Vivo Care"),0)</f>
        <v>0</v>
      </c>
      <c r="BK24" s="86">
        <f t="shared" si="36"/>
        <v>0</v>
      </c>
      <c r="BL24" s="84">
        <f>IFERROR(VLOOKUP(C24,'[1]TARGET THIS MONTH'!C:U,18,0),0)</f>
        <v>0.6</v>
      </c>
      <c r="BM24" s="85">
        <f>IFERROR(GETPIVOTDATA("Sum of Qty",'[1]Operator by Store'!$A$5,"ID Store",$C24,"Product Type","Indosat"),0)</f>
        <v>0</v>
      </c>
      <c r="BN24" s="86">
        <f t="shared" si="37"/>
        <v>0</v>
      </c>
      <c r="BO24" s="84">
        <f>VLOOKUP(C24,'[1]TARGET THIS MONTH'!C:U,19,0)</f>
        <v>6</v>
      </c>
      <c r="BP24" s="85">
        <f>IFERROR(GETPIVOTDATA("Sum of Qty",'[1]Operator by Store'!$A$5,"ID Store",$C24,"Product Type","Telkomsel"),0)</f>
        <v>0</v>
      </c>
      <c r="BQ24" s="104">
        <f t="shared" si="38"/>
        <v>0</v>
      </c>
    </row>
    <row r="25" spans="1:69" x14ac:dyDescent="0.2">
      <c r="A25" s="75">
        <v>21</v>
      </c>
      <c r="B25" s="76" t="s">
        <v>72</v>
      </c>
      <c r="C25" s="77">
        <v>6170707</v>
      </c>
      <c r="D25" s="78" t="s">
        <v>73</v>
      </c>
      <c r="E25" s="106" t="s">
        <v>74</v>
      </c>
      <c r="F25" s="80">
        <v>2</v>
      </c>
      <c r="G25" s="81">
        <f>IFERROR(VLOOKUP(C25,'[1]TARGET THIS MONTH'!C:E,3,0),0)</f>
        <v>80</v>
      </c>
      <c r="H25" s="82">
        <f>IFERROR(VLOOKUP(C25,'[1]TARGET THIS MONTH'!C:M,11,0),0)</f>
        <v>344000000</v>
      </c>
      <c r="I25" s="81">
        <f>IFERROR(GETPIVOTDATA("Sum of Qty",'[1]DEVICE &amp; VALUE'!$A$6,"ID Store",$C25),0)</f>
        <v>56</v>
      </c>
      <c r="J25" s="83">
        <f t="shared" si="0"/>
        <v>0.7</v>
      </c>
      <c r="K25" s="84">
        <f t="shared" si="1"/>
        <v>-24</v>
      </c>
      <c r="L25" s="85">
        <f>IFERROR(GETPIVOTDATA("Sum of Qty",[1]PF!$A$5,"ID Store",$C25),0)</f>
        <v>7</v>
      </c>
      <c r="M25" s="85">
        <f>IFERROR(GETPIVOTDATA("Sum of Qty",'[1]DEVICE &amp; VALUE'!$A$6,"ID Store",$C25,"Segment Price","3mio&gt;"),0)</f>
        <v>14</v>
      </c>
      <c r="N25" s="86">
        <f t="shared" si="2"/>
        <v>0.25</v>
      </c>
      <c r="O25" s="87">
        <f>IFERROR(GETPIVOTDATA("Sum of Qty",[1]IQOO!$A$6,"ID Store",$C25),0)</f>
        <v>1</v>
      </c>
      <c r="P25" s="86">
        <f t="shared" si="3"/>
        <v>1.7857142857142856E-2</v>
      </c>
      <c r="Q25" s="86">
        <f t="shared" si="4"/>
        <v>0.25</v>
      </c>
      <c r="R25" s="88">
        <f>IFERROR(GETPIVOTDATA("Sum of SRP",'[1]DEVICE &amp; VALUE'!$A$6,"ID Store",$C25),0)</f>
        <v>183644000</v>
      </c>
      <c r="S25" s="86">
        <f t="shared" si="5"/>
        <v>0.53384883720930232</v>
      </c>
      <c r="T25" s="89">
        <f t="shared" si="6"/>
        <v>-160356000</v>
      </c>
      <c r="U25" s="90">
        <f t="shared" si="7"/>
        <v>75.478260869565219</v>
      </c>
      <c r="V25" s="91">
        <f t="shared" si="8"/>
        <v>0.94347826086956521</v>
      </c>
      <c r="W25" s="92">
        <f t="shared" si="9"/>
        <v>-4.5217391304347814</v>
      </c>
      <c r="X25" s="92">
        <f t="shared" si="10"/>
        <v>18.869565217391305</v>
      </c>
      <c r="Y25" s="92">
        <f t="shared" si="11"/>
        <v>-61.130434782608695</v>
      </c>
      <c r="Z25" s="93">
        <f t="shared" si="12"/>
        <v>247520173.91304347</v>
      </c>
      <c r="AA25" s="93">
        <f t="shared" si="13"/>
        <v>-96479826.086956531</v>
      </c>
      <c r="AB25" s="94">
        <f t="shared" si="14"/>
        <v>0.71953538928210314</v>
      </c>
      <c r="AC25" s="95">
        <f t="shared" si="15"/>
        <v>3</v>
      </c>
      <c r="AD25" s="96">
        <f t="shared" si="16"/>
        <v>20044500</v>
      </c>
      <c r="AE25" s="81">
        <f>IFERROR(GETPIVOTDATA("Sum of Qty",'[1]DATA LAST MONTH IQOO'!$A$6,"ID Store",$C25),0)</f>
        <v>6</v>
      </c>
      <c r="AF25" s="97">
        <f>IFERROR(GETPIVOTDATA("Sum of Qty",[1]IQOO!$A$6,"ID Store",$C25),0)</f>
        <v>1</v>
      </c>
      <c r="AG25" s="84">
        <f t="shared" si="17"/>
        <v>-5</v>
      </c>
      <c r="AH25" s="98">
        <f t="shared" si="18"/>
        <v>-0.83333333333333337</v>
      </c>
      <c r="AI25" s="99">
        <f>IFERROR(GETPIVOTDATA("Sum of Qty",'[1]DATA LAST MONTH DEVICE'!$A$6,"ID Store",$C25),0)</f>
        <v>72</v>
      </c>
      <c r="AJ25" s="100">
        <f t="shared" si="19"/>
        <v>56</v>
      </c>
      <c r="AK25" s="84">
        <f t="shared" si="20"/>
        <v>-16</v>
      </c>
      <c r="AL25" s="86">
        <f t="shared" si="21"/>
        <v>-0.22222222222222221</v>
      </c>
      <c r="AM25" s="85">
        <f>IFERROR(GETPIVOTDATA("Sum of Qty",'[1]Store 3mio+ last month'!$A$6,"ID Store",$C25),0)</f>
        <v>89</v>
      </c>
      <c r="AN25" s="84">
        <f t="shared" si="22"/>
        <v>75.478260869565219</v>
      </c>
      <c r="AO25" s="84">
        <f t="shared" si="23"/>
        <v>-13.521739130434781</v>
      </c>
      <c r="AP25" s="86">
        <f t="shared" si="24"/>
        <v>-0.15192965315095261</v>
      </c>
      <c r="AQ25" s="85">
        <f>IFERROR(GETPIVOTDATA("Sum of Qty",'[1]DATA LAST MONTH DEVICE'!$A$6,"ID Store",$C25,"Segment Price","3mio&gt;"),0)</f>
        <v>34</v>
      </c>
      <c r="AR25" s="87">
        <f t="shared" si="25"/>
        <v>14</v>
      </c>
      <c r="AS25" s="87">
        <f t="shared" si="26"/>
        <v>-20</v>
      </c>
      <c r="AT25" s="86">
        <f t="shared" si="27"/>
        <v>-0.58823529411764708</v>
      </c>
      <c r="AU25" s="101">
        <f>IFERROR(GETPIVOTDATA("Sum of SRP",'[1]DATA LAST MONTH DEVICE'!$A$6,"ID Store",$C25),0)</f>
        <v>322228000</v>
      </c>
      <c r="AV25" s="101">
        <f t="shared" si="28"/>
        <v>183644000</v>
      </c>
      <c r="AW25" s="101">
        <f t="shared" si="29"/>
        <v>-138584000</v>
      </c>
      <c r="AX25" s="86">
        <f t="shared" si="30"/>
        <v>-0.43008056407264422</v>
      </c>
      <c r="AY25" s="101">
        <f>IFERROR(VLOOKUP(C25,'[1]DATA SALES LAST MONTH'!A:E,5,0),0)</f>
        <v>4475388.888888889</v>
      </c>
      <c r="AZ25" s="88">
        <f t="shared" si="31"/>
        <v>3279357.1428571427</v>
      </c>
      <c r="BA25" s="88">
        <f t="shared" si="32"/>
        <v>-1196031.7460317463</v>
      </c>
      <c r="BB25" s="98">
        <f t="shared" si="33"/>
        <v>-0.26724643952197119</v>
      </c>
      <c r="BC25" s="81">
        <f>IFERROR(VLOOKUP(C25,'[1]TARGET THIS MONTH'!C:U,15,0),0)</f>
        <v>8</v>
      </c>
      <c r="BD25" s="102">
        <f>IFERROR(GETPIVOTDATA("Sum of Qty",[1]ACC!$A$5,"ID Store",$C25),0)</f>
        <v>17</v>
      </c>
      <c r="BE25" s="86">
        <f t="shared" si="34"/>
        <v>2.125</v>
      </c>
      <c r="BF25" s="103">
        <f>IFERROR(VLOOKUP(C25,'[1]TARGET THIS MONTH'!C:U,16,0),0)</f>
        <v>1720000</v>
      </c>
      <c r="BG25" s="103">
        <f>IFERROR(GETPIVOTDATA("Sum of SRP",'[1]Insurance by Store'!$A$5,"ID Store",$C25,"Product Type","Qoala"),0)</f>
        <v>477000</v>
      </c>
      <c r="BH25" s="86">
        <f t="shared" si="35"/>
        <v>0.27732558139534885</v>
      </c>
      <c r="BI25" s="103">
        <f>IFERROR(VLOOKUP(C25,'[1]TARGET THIS MONTH'!C:U,17,0),0)</f>
        <v>344000</v>
      </c>
      <c r="BJ25" s="103">
        <f>IFERROR(GETPIVOTDATA("Sum of SRP",'[1]Insurance by Store'!$A$5,"ID Store",$C25,"Product Type","Vivo Care"),0)</f>
        <v>0</v>
      </c>
      <c r="BK25" s="86">
        <f t="shared" si="36"/>
        <v>0</v>
      </c>
      <c r="BL25" s="84">
        <f>IFERROR(VLOOKUP(C25,'[1]TARGET THIS MONTH'!C:U,18,0),0)</f>
        <v>2.4</v>
      </c>
      <c r="BM25" s="85">
        <f>IFERROR(GETPIVOTDATA("Sum of Qty",'[1]Operator by Store'!$A$5,"ID Store",$C25,"Product Type","Indosat"),0)</f>
        <v>0</v>
      </c>
      <c r="BN25" s="86">
        <f t="shared" si="37"/>
        <v>0</v>
      </c>
      <c r="BO25" s="84">
        <f>VLOOKUP(C25,'[1]TARGET THIS MONTH'!C:U,19,0)</f>
        <v>24</v>
      </c>
      <c r="BP25" s="85">
        <f>IFERROR(GETPIVOTDATA("Sum of Qty",'[1]Operator by Store'!$A$5,"ID Store",$C25,"Product Type","Telkomsel"),0)</f>
        <v>0</v>
      </c>
      <c r="BQ25" s="104">
        <f t="shared" si="38"/>
        <v>0</v>
      </c>
    </row>
    <row r="26" spans="1:69" x14ac:dyDescent="0.2">
      <c r="A26" s="75">
        <v>22</v>
      </c>
      <c r="B26" s="76" t="s">
        <v>72</v>
      </c>
      <c r="C26" s="77">
        <v>6240702</v>
      </c>
      <c r="D26" s="78" t="s">
        <v>75</v>
      </c>
      <c r="E26" s="106" t="s">
        <v>74</v>
      </c>
      <c r="F26" s="80">
        <v>3</v>
      </c>
      <c r="G26" s="81">
        <f>IFERROR(VLOOKUP(C26,'[1]TARGET THIS MONTH'!C:E,3,0),0)</f>
        <v>100</v>
      </c>
      <c r="H26" s="82">
        <f>IFERROR(VLOOKUP(C26,'[1]TARGET THIS MONTH'!C:M,11,0),0)</f>
        <v>430000000</v>
      </c>
      <c r="I26" s="81">
        <f>IFERROR(GETPIVOTDATA("Sum of Qty",'[1]DEVICE &amp; VALUE'!$A$6,"ID Store",$C26),0)</f>
        <v>65</v>
      </c>
      <c r="J26" s="83">
        <f t="shared" si="0"/>
        <v>0.65</v>
      </c>
      <c r="K26" s="84">
        <f t="shared" si="1"/>
        <v>-35</v>
      </c>
      <c r="L26" s="85">
        <f>IFERROR(GETPIVOTDATA("Sum of Qty",[1]PF!$A$5,"ID Store",$C26),0)</f>
        <v>12</v>
      </c>
      <c r="M26" s="85">
        <f>IFERROR(GETPIVOTDATA("Sum of Qty",'[1]DEVICE &amp; VALUE'!$A$6,"ID Store",$C26,"Segment Price","3mio&gt;"),0)</f>
        <v>25</v>
      </c>
      <c r="N26" s="86">
        <f t="shared" si="2"/>
        <v>0.38461538461538464</v>
      </c>
      <c r="O26" s="87">
        <f>IFERROR(GETPIVOTDATA("Sum of Qty",[1]IQOO!$A$6,"ID Store",$C26),0)</f>
        <v>1</v>
      </c>
      <c r="P26" s="86">
        <f t="shared" si="3"/>
        <v>1.5384615384615385E-2</v>
      </c>
      <c r="Q26" s="86">
        <f t="shared" si="4"/>
        <v>0.38461538461538464</v>
      </c>
      <c r="R26" s="88">
        <f>IFERROR(GETPIVOTDATA("Sum of SRP",'[1]DEVICE &amp; VALUE'!$A$6,"ID Store",$C26),0)</f>
        <v>255435000</v>
      </c>
      <c r="S26" s="86">
        <f t="shared" si="5"/>
        <v>0.59403488372093027</v>
      </c>
      <c r="T26" s="89">
        <f t="shared" si="6"/>
        <v>-174565000</v>
      </c>
      <c r="U26" s="90">
        <f t="shared" si="7"/>
        <v>87.608695652173921</v>
      </c>
      <c r="V26" s="91">
        <f t="shared" si="8"/>
        <v>0.87608695652173918</v>
      </c>
      <c r="W26" s="92">
        <f t="shared" si="9"/>
        <v>-12.391304347826079</v>
      </c>
      <c r="X26" s="92">
        <f t="shared" si="10"/>
        <v>33.695652173913039</v>
      </c>
      <c r="Y26" s="92">
        <f t="shared" si="11"/>
        <v>-66.304347826086968</v>
      </c>
      <c r="Z26" s="93">
        <f t="shared" si="12"/>
        <v>344281956.52173913</v>
      </c>
      <c r="AA26" s="93">
        <f t="shared" si="13"/>
        <v>-85718043.478260875</v>
      </c>
      <c r="AB26" s="94">
        <f t="shared" si="14"/>
        <v>0.80065571284125381</v>
      </c>
      <c r="AC26" s="95">
        <f t="shared" si="15"/>
        <v>4.375</v>
      </c>
      <c r="AD26" s="96">
        <f t="shared" si="16"/>
        <v>21820625</v>
      </c>
      <c r="AE26" s="81">
        <f>IFERROR(GETPIVOTDATA("Sum of Qty",'[1]DATA LAST MONTH IQOO'!$A$6,"ID Store",$C26),0)</f>
        <v>10</v>
      </c>
      <c r="AF26" s="97">
        <f>IFERROR(GETPIVOTDATA("Sum of Qty",[1]IQOO!$A$6,"ID Store",$C26),0)</f>
        <v>1</v>
      </c>
      <c r="AG26" s="84">
        <f t="shared" si="17"/>
        <v>-9</v>
      </c>
      <c r="AH26" s="98">
        <f t="shared" si="18"/>
        <v>-0.9</v>
      </c>
      <c r="AI26" s="99">
        <f>IFERROR(GETPIVOTDATA("Sum of Qty",'[1]DATA LAST MONTH DEVICE'!$A$6,"ID Store",$C26),0)</f>
        <v>85</v>
      </c>
      <c r="AJ26" s="100">
        <f t="shared" si="19"/>
        <v>65</v>
      </c>
      <c r="AK26" s="84">
        <f t="shared" si="20"/>
        <v>-20</v>
      </c>
      <c r="AL26" s="86">
        <f t="shared" si="21"/>
        <v>-0.23529411764705882</v>
      </c>
      <c r="AM26" s="85">
        <f>IFERROR(GETPIVOTDATA("Sum of Qty",'[1]Store 3mio+ last month'!$A$6,"ID Store",$C26),0)</f>
        <v>105</v>
      </c>
      <c r="AN26" s="84">
        <f t="shared" si="22"/>
        <v>87.608695652173921</v>
      </c>
      <c r="AO26" s="84">
        <f t="shared" si="23"/>
        <v>-17.391304347826079</v>
      </c>
      <c r="AP26" s="86">
        <f t="shared" si="24"/>
        <v>-0.16563146997929598</v>
      </c>
      <c r="AQ26" s="85">
        <f>IFERROR(GETPIVOTDATA("Sum of Qty",'[1]DATA LAST MONTH DEVICE'!$A$6,"ID Store",$C26,"Segment Price","3mio&gt;"),0)</f>
        <v>45</v>
      </c>
      <c r="AR26" s="87">
        <f t="shared" si="25"/>
        <v>25</v>
      </c>
      <c r="AS26" s="87">
        <f t="shared" si="26"/>
        <v>-20</v>
      </c>
      <c r="AT26" s="86">
        <f t="shared" si="27"/>
        <v>-0.44444444444444442</v>
      </c>
      <c r="AU26" s="101">
        <f>IFERROR(GETPIVOTDATA("Sum of SRP",'[1]DATA LAST MONTH DEVICE'!$A$6,"ID Store",$C26),0)</f>
        <v>403715000</v>
      </c>
      <c r="AV26" s="101">
        <f t="shared" si="28"/>
        <v>255435000</v>
      </c>
      <c r="AW26" s="101">
        <f t="shared" si="29"/>
        <v>-148280000</v>
      </c>
      <c r="AX26" s="86">
        <f t="shared" si="30"/>
        <v>-0.36728880522150525</v>
      </c>
      <c r="AY26" s="101">
        <f>IFERROR(VLOOKUP(C26,'[1]DATA SALES LAST MONTH'!A:E,5,0),0)</f>
        <v>4749588.2352941176</v>
      </c>
      <c r="AZ26" s="88">
        <f t="shared" si="31"/>
        <v>3929769.2307692305</v>
      </c>
      <c r="BA26" s="88">
        <f t="shared" si="32"/>
        <v>-819819.00452488707</v>
      </c>
      <c r="BB26" s="98">
        <f t="shared" si="33"/>
        <v>-0.17260843759735309</v>
      </c>
      <c r="BC26" s="81">
        <f>IFERROR(VLOOKUP(C26,'[1]TARGET THIS MONTH'!C:U,15,0),0)</f>
        <v>10</v>
      </c>
      <c r="BD26" s="102">
        <f>IFERROR(GETPIVOTDATA("Sum of Qty",[1]ACC!$A$5,"ID Store",$C26),0)</f>
        <v>8</v>
      </c>
      <c r="BE26" s="86">
        <f t="shared" si="34"/>
        <v>0.8</v>
      </c>
      <c r="BF26" s="103">
        <f>IFERROR(VLOOKUP(C26,'[1]TARGET THIS MONTH'!C:U,16,0),0)</f>
        <v>2150000</v>
      </c>
      <c r="BG26" s="103">
        <f>IFERROR(GETPIVOTDATA("Sum of SRP",'[1]Insurance by Store'!$A$5,"ID Store",$C26,"Product Type","Qoala"),0)</f>
        <v>976000</v>
      </c>
      <c r="BH26" s="86">
        <f t="shared" si="35"/>
        <v>0.45395348837209304</v>
      </c>
      <c r="BI26" s="103">
        <f>IFERROR(VLOOKUP(C26,'[1]TARGET THIS MONTH'!C:U,17,0),0)</f>
        <v>430000</v>
      </c>
      <c r="BJ26" s="103">
        <f>IFERROR(GETPIVOTDATA("Sum of SRP",'[1]Insurance by Store'!$A$5,"ID Store",$C26,"Product Type","Vivo Care"),0)</f>
        <v>0</v>
      </c>
      <c r="BK26" s="86">
        <f t="shared" si="36"/>
        <v>0</v>
      </c>
      <c r="BL26" s="84">
        <f>IFERROR(VLOOKUP(C26,'[1]TARGET THIS MONTH'!C:U,18,0),0)</f>
        <v>3</v>
      </c>
      <c r="BM26" s="85">
        <f>IFERROR(GETPIVOTDATA("Sum of Qty",'[1]Operator by Store'!$A$5,"ID Store",$C26,"Product Type","Indosat"),0)</f>
        <v>0</v>
      </c>
      <c r="BN26" s="86">
        <f t="shared" si="37"/>
        <v>0</v>
      </c>
      <c r="BO26" s="84">
        <f>VLOOKUP(C26,'[1]TARGET THIS MONTH'!C:U,19,0)</f>
        <v>30</v>
      </c>
      <c r="BP26" s="85">
        <f>IFERROR(GETPIVOTDATA("Sum of Qty",'[1]Operator by Store'!$A$5,"ID Store",$C26,"Product Type","Telkomsel"),0)</f>
        <v>0</v>
      </c>
      <c r="BQ26" s="104">
        <f t="shared" si="38"/>
        <v>0</v>
      </c>
    </row>
    <row r="27" spans="1:69" x14ac:dyDescent="0.2">
      <c r="A27" s="75">
        <v>23</v>
      </c>
      <c r="B27" s="76" t="s">
        <v>72</v>
      </c>
      <c r="C27" s="77">
        <v>6240704</v>
      </c>
      <c r="D27" s="78" t="s">
        <v>76</v>
      </c>
      <c r="E27" s="106" t="s">
        <v>74</v>
      </c>
      <c r="F27" s="80">
        <v>2</v>
      </c>
      <c r="G27" s="81">
        <f>IFERROR(VLOOKUP(C27,'[1]TARGET THIS MONTH'!C:E,3,0),0)</f>
        <v>30</v>
      </c>
      <c r="H27" s="82">
        <f>IFERROR(VLOOKUP(C27,'[1]TARGET THIS MONTH'!C:M,11,0),0)</f>
        <v>129000000</v>
      </c>
      <c r="I27" s="81">
        <f>IFERROR(GETPIVOTDATA("Sum of Qty",'[1]DEVICE &amp; VALUE'!$A$6,"ID Store",$C27),0)</f>
        <v>15</v>
      </c>
      <c r="J27" s="83">
        <f t="shared" si="0"/>
        <v>0.5</v>
      </c>
      <c r="K27" s="84">
        <f t="shared" si="1"/>
        <v>-15</v>
      </c>
      <c r="L27" s="85">
        <f>IFERROR(GETPIVOTDATA("Sum of Qty",[1]PF!$A$5,"ID Store",$C27),0)</f>
        <v>3</v>
      </c>
      <c r="M27" s="85">
        <f>IFERROR(GETPIVOTDATA("Sum of Qty",'[1]DEVICE &amp; VALUE'!$A$6,"ID Store",$C27,"Segment Price","3mio&gt;"),0)</f>
        <v>3</v>
      </c>
      <c r="N27" s="86">
        <f t="shared" si="2"/>
        <v>0.2</v>
      </c>
      <c r="O27" s="87">
        <f>IFERROR(GETPIVOTDATA("Sum of Qty",[1]IQOO!$A$6,"ID Store",$C27),0)</f>
        <v>0</v>
      </c>
      <c r="P27" s="86">
        <f t="shared" si="3"/>
        <v>0</v>
      </c>
      <c r="Q27" s="86">
        <f t="shared" si="4"/>
        <v>0.2</v>
      </c>
      <c r="R27" s="88">
        <f>IFERROR(GETPIVOTDATA("Sum of SRP",'[1]DEVICE &amp; VALUE'!$A$6,"ID Store",$C27),0)</f>
        <v>42985000</v>
      </c>
      <c r="S27" s="86">
        <f t="shared" si="5"/>
        <v>0.3332170542635659</v>
      </c>
      <c r="T27" s="89">
        <f t="shared" si="6"/>
        <v>-86015000</v>
      </c>
      <c r="U27" s="90">
        <f t="shared" si="7"/>
        <v>20.217391304347828</v>
      </c>
      <c r="V27" s="91">
        <f t="shared" si="8"/>
        <v>0.67391304347826098</v>
      </c>
      <c r="W27" s="92">
        <f t="shared" si="9"/>
        <v>-9.7826086956521721</v>
      </c>
      <c r="X27" s="92">
        <f t="shared" si="10"/>
        <v>4.0434782608695654</v>
      </c>
      <c r="Y27" s="92">
        <f t="shared" si="11"/>
        <v>-25.956521739130434</v>
      </c>
      <c r="Z27" s="93">
        <f t="shared" si="12"/>
        <v>57936304.347826093</v>
      </c>
      <c r="AA27" s="93">
        <f t="shared" si="13"/>
        <v>-71063695.652173907</v>
      </c>
      <c r="AB27" s="94">
        <f t="shared" si="14"/>
        <v>0.44911863835524102</v>
      </c>
      <c r="AC27" s="95">
        <f t="shared" si="15"/>
        <v>1.875</v>
      </c>
      <c r="AD27" s="96">
        <f t="shared" si="16"/>
        <v>10751875</v>
      </c>
      <c r="AE27" s="81">
        <f>IFERROR(GETPIVOTDATA("Sum of Qty",'[1]DATA LAST MONTH IQOO'!$A$6,"ID Store",$C27),0)</f>
        <v>2</v>
      </c>
      <c r="AF27" s="97">
        <f>IFERROR(GETPIVOTDATA("Sum of Qty",[1]IQOO!$A$6,"ID Store",$C27),0)</f>
        <v>0</v>
      </c>
      <c r="AG27" s="84">
        <f t="shared" si="17"/>
        <v>-2</v>
      </c>
      <c r="AH27" s="98">
        <f t="shared" si="18"/>
        <v>-1</v>
      </c>
      <c r="AI27" s="99">
        <f>IFERROR(GETPIVOTDATA("Sum of Qty",'[1]DATA LAST MONTH DEVICE'!$A$6,"ID Store",$C27),0)</f>
        <v>18</v>
      </c>
      <c r="AJ27" s="100">
        <f t="shared" si="19"/>
        <v>15</v>
      </c>
      <c r="AK27" s="84">
        <f t="shared" si="20"/>
        <v>-3</v>
      </c>
      <c r="AL27" s="86">
        <f t="shared" si="21"/>
        <v>-0.16666666666666666</v>
      </c>
      <c r="AM27" s="85">
        <f>IFERROR(GETPIVOTDATA("Sum of Qty",'[1]Store 3mio+ last month'!$A$6,"ID Store",$C27),0)</f>
        <v>21</v>
      </c>
      <c r="AN27" s="84">
        <f t="shared" si="22"/>
        <v>20.217391304347828</v>
      </c>
      <c r="AO27" s="84">
        <f t="shared" si="23"/>
        <v>-0.78260869565217206</v>
      </c>
      <c r="AP27" s="86">
        <f t="shared" si="24"/>
        <v>-3.7267080745341526E-2</v>
      </c>
      <c r="AQ27" s="85">
        <f>IFERROR(GETPIVOTDATA("Sum of Qty",'[1]DATA LAST MONTH DEVICE'!$A$6,"ID Store",$C27,"Segment Price","3mio&gt;"),0)</f>
        <v>10</v>
      </c>
      <c r="AR27" s="87">
        <f t="shared" si="25"/>
        <v>3</v>
      </c>
      <c r="AS27" s="87">
        <f t="shared" si="26"/>
        <v>-7</v>
      </c>
      <c r="AT27" s="86">
        <f t="shared" si="27"/>
        <v>-0.7</v>
      </c>
      <c r="AU27" s="101">
        <f>IFERROR(GETPIVOTDATA("Sum of SRP",'[1]DATA LAST MONTH DEVICE'!$A$6,"ID Store",$C27),0)</f>
        <v>83382000</v>
      </c>
      <c r="AV27" s="101">
        <f t="shared" si="28"/>
        <v>42985000</v>
      </c>
      <c r="AW27" s="101">
        <f t="shared" si="29"/>
        <v>-40397000</v>
      </c>
      <c r="AX27" s="86">
        <f t="shared" si="30"/>
        <v>-0.48448106305917343</v>
      </c>
      <c r="AY27" s="101">
        <f>IFERROR(VLOOKUP(C27,'[1]DATA SALES LAST MONTH'!A:E,5,0),0)</f>
        <v>4632333.333333333</v>
      </c>
      <c r="AZ27" s="88">
        <f t="shared" si="31"/>
        <v>2865666.6666666665</v>
      </c>
      <c r="BA27" s="88">
        <f t="shared" si="32"/>
        <v>-1766666.6666666665</v>
      </c>
      <c r="BB27" s="98">
        <f t="shared" si="33"/>
        <v>-0.3813772756710081</v>
      </c>
      <c r="BC27" s="81">
        <f>IFERROR(VLOOKUP(C27,'[1]TARGET THIS MONTH'!C:U,15,0),0)</f>
        <v>3</v>
      </c>
      <c r="BD27" s="102">
        <f>IFERROR(GETPIVOTDATA("Sum of Qty",[1]ACC!$A$5,"ID Store",$C27),0)</f>
        <v>3</v>
      </c>
      <c r="BE27" s="86">
        <f t="shared" si="34"/>
        <v>1</v>
      </c>
      <c r="BF27" s="103">
        <f>IFERROR(VLOOKUP(C27,'[1]TARGET THIS MONTH'!C:U,16,0),0)</f>
        <v>350000</v>
      </c>
      <c r="BG27" s="103">
        <f>IFERROR(GETPIVOTDATA("Sum of SRP",'[1]Insurance by Store'!$A$5,"ID Store",$C27,"Product Type","Qoala"),0)</f>
        <v>159000</v>
      </c>
      <c r="BH27" s="86">
        <f t="shared" si="35"/>
        <v>0.45428571428571429</v>
      </c>
      <c r="BI27" s="103">
        <f>IFERROR(VLOOKUP(C27,'[1]TARGET THIS MONTH'!C:U,17,0),0)</f>
        <v>150000</v>
      </c>
      <c r="BJ27" s="103">
        <f>IFERROR(GETPIVOTDATA("Sum of SRP",'[1]Insurance by Store'!$A$5,"ID Store",$C27,"Product Type","Vivo Care"),0)</f>
        <v>0</v>
      </c>
      <c r="BK27" s="86">
        <f t="shared" si="36"/>
        <v>0</v>
      </c>
      <c r="BL27" s="84">
        <f>IFERROR(VLOOKUP(C27,'[1]TARGET THIS MONTH'!C:U,18,0),0)</f>
        <v>0.9</v>
      </c>
      <c r="BM27" s="85">
        <f>IFERROR(GETPIVOTDATA("Sum of Qty",'[1]Operator by Store'!$A$5,"ID Store",$C27,"Product Type","Indosat"),0)</f>
        <v>0</v>
      </c>
      <c r="BN27" s="86">
        <f t="shared" si="37"/>
        <v>0</v>
      </c>
      <c r="BO27" s="84">
        <f>VLOOKUP(C27,'[1]TARGET THIS MONTH'!C:U,19,0)</f>
        <v>9</v>
      </c>
      <c r="BP27" s="85">
        <f>IFERROR(GETPIVOTDATA("Sum of Qty",'[1]Operator by Store'!$A$5,"ID Store",$C27,"Product Type","Telkomsel"),0)</f>
        <v>0</v>
      </c>
      <c r="BQ27" s="104">
        <f t="shared" si="38"/>
        <v>0</v>
      </c>
    </row>
    <row r="28" spans="1:69" x14ac:dyDescent="0.2">
      <c r="A28" s="75">
        <v>24</v>
      </c>
      <c r="B28" s="76" t="s">
        <v>72</v>
      </c>
      <c r="C28" s="77">
        <v>6240701</v>
      </c>
      <c r="D28" s="78" t="s">
        <v>77</v>
      </c>
      <c r="E28" s="105" t="s">
        <v>78</v>
      </c>
      <c r="F28" s="80">
        <v>3</v>
      </c>
      <c r="G28" s="81">
        <f>IFERROR(VLOOKUP(C28,'[1]TARGET THIS MONTH'!C:E,3,0),0)</f>
        <v>90</v>
      </c>
      <c r="H28" s="82">
        <f>IFERROR(VLOOKUP(C28,'[1]TARGET THIS MONTH'!C:M,11,0),0)</f>
        <v>387000000</v>
      </c>
      <c r="I28" s="81">
        <f>IFERROR(GETPIVOTDATA("Sum of Qty",'[1]DEVICE &amp; VALUE'!$A$6,"ID Store",$C28),0)</f>
        <v>75</v>
      </c>
      <c r="J28" s="83">
        <f t="shared" si="0"/>
        <v>0.83333333333333337</v>
      </c>
      <c r="K28" s="84">
        <f t="shared" si="1"/>
        <v>-15</v>
      </c>
      <c r="L28" s="85">
        <f>IFERROR(GETPIVOTDATA("Sum of Qty",[1]PF!$A$5,"ID Store",$C28),0)</f>
        <v>23</v>
      </c>
      <c r="M28" s="85">
        <f>IFERROR(GETPIVOTDATA("Sum of Qty",'[1]DEVICE &amp; VALUE'!$A$6,"ID Store",$C28,"Segment Price","3mio&gt;"),0)</f>
        <v>28</v>
      </c>
      <c r="N28" s="86">
        <f t="shared" si="2"/>
        <v>0.37333333333333335</v>
      </c>
      <c r="O28" s="87">
        <f>IFERROR(GETPIVOTDATA("Sum of Qty",[1]IQOO!$A$6,"ID Store",$C28),0)</f>
        <v>1</v>
      </c>
      <c r="P28" s="86">
        <f t="shared" si="3"/>
        <v>1.3333333333333334E-2</v>
      </c>
      <c r="Q28" s="86">
        <f t="shared" si="4"/>
        <v>0.37333333333333335</v>
      </c>
      <c r="R28" s="88">
        <f>IFERROR(GETPIVOTDATA("Sum of SRP",'[1]DEVICE &amp; VALUE'!$A$6,"ID Store",$C28),0)</f>
        <v>256025000</v>
      </c>
      <c r="S28" s="86">
        <f t="shared" si="5"/>
        <v>0.66156330749354009</v>
      </c>
      <c r="T28" s="89">
        <f t="shared" si="6"/>
        <v>-130975000</v>
      </c>
      <c r="U28" s="90">
        <f t="shared" si="7"/>
        <v>101.08695652173913</v>
      </c>
      <c r="V28" s="91">
        <f t="shared" si="8"/>
        <v>1.1231884057971013</v>
      </c>
      <c r="W28" s="92">
        <f t="shared" si="9"/>
        <v>11.086956521739125</v>
      </c>
      <c r="X28" s="92">
        <f t="shared" si="10"/>
        <v>37.739130434782609</v>
      </c>
      <c r="Y28" s="92">
        <f t="shared" si="11"/>
        <v>-52.260869565217391</v>
      </c>
      <c r="Z28" s="93">
        <f t="shared" si="12"/>
        <v>345077173.9130435</v>
      </c>
      <c r="AA28" s="93">
        <f t="shared" si="13"/>
        <v>-41922826.086956501</v>
      </c>
      <c r="AB28" s="94">
        <f t="shared" si="14"/>
        <v>0.89167228401303233</v>
      </c>
      <c r="AC28" s="95">
        <f t="shared" si="15"/>
        <v>1.875</v>
      </c>
      <c r="AD28" s="96">
        <f t="shared" si="16"/>
        <v>16371875</v>
      </c>
      <c r="AE28" s="81">
        <f>IFERROR(GETPIVOTDATA("Sum of Qty",'[1]DATA LAST MONTH IQOO'!$A$6,"ID Store",$C28),0)</f>
        <v>6</v>
      </c>
      <c r="AF28" s="97">
        <f>IFERROR(GETPIVOTDATA("Sum of Qty",[1]IQOO!$A$6,"ID Store",$C28),0)</f>
        <v>1</v>
      </c>
      <c r="AG28" s="84">
        <f t="shared" si="17"/>
        <v>-5</v>
      </c>
      <c r="AH28" s="98">
        <f t="shared" si="18"/>
        <v>-0.83333333333333337</v>
      </c>
      <c r="AI28" s="99">
        <f>IFERROR(GETPIVOTDATA("Sum of Qty",'[1]DATA LAST MONTH DEVICE'!$A$6,"ID Store",$C28),0)</f>
        <v>80</v>
      </c>
      <c r="AJ28" s="100">
        <f t="shared" si="19"/>
        <v>75</v>
      </c>
      <c r="AK28" s="84">
        <f t="shared" si="20"/>
        <v>-5</v>
      </c>
      <c r="AL28" s="86">
        <f t="shared" si="21"/>
        <v>-6.25E-2</v>
      </c>
      <c r="AM28" s="85">
        <f>IFERROR(GETPIVOTDATA("Sum of Qty",'[1]Store 3mio+ last month'!$A$6,"ID Store",$C28),0)</f>
        <v>94</v>
      </c>
      <c r="AN28" s="84">
        <f t="shared" si="22"/>
        <v>101.08695652173913</v>
      </c>
      <c r="AO28" s="84">
        <f t="shared" si="23"/>
        <v>7.0869565217391255</v>
      </c>
      <c r="AP28" s="86">
        <f t="shared" si="24"/>
        <v>7.5393154486586442E-2</v>
      </c>
      <c r="AQ28" s="85">
        <f>IFERROR(GETPIVOTDATA("Sum of Qty",'[1]DATA LAST MONTH DEVICE'!$A$6,"ID Store",$C28,"Segment Price","3mio&gt;"),0)</f>
        <v>34</v>
      </c>
      <c r="AR28" s="87">
        <f t="shared" si="25"/>
        <v>28</v>
      </c>
      <c r="AS28" s="87">
        <f t="shared" si="26"/>
        <v>-6</v>
      </c>
      <c r="AT28" s="86">
        <f t="shared" si="27"/>
        <v>-0.17647058823529413</v>
      </c>
      <c r="AU28" s="101">
        <f>IFERROR(GETPIVOTDATA("Sum of SRP",'[1]DATA LAST MONTH DEVICE'!$A$6,"ID Store",$C28),0)</f>
        <v>346720000</v>
      </c>
      <c r="AV28" s="101">
        <f t="shared" si="28"/>
        <v>256025000</v>
      </c>
      <c r="AW28" s="101">
        <f t="shared" si="29"/>
        <v>-90695000</v>
      </c>
      <c r="AX28" s="86">
        <f t="shared" si="30"/>
        <v>-0.26157994923857869</v>
      </c>
      <c r="AY28" s="101">
        <f>IFERROR(VLOOKUP(C28,'[1]DATA SALES LAST MONTH'!A:E,5,0),0)</f>
        <v>4334000</v>
      </c>
      <c r="AZ28" s="88">
        <f t="shared" si="31"/>
        <v>3413666.666666667</v>
      </c>
      <c r="BA28" s="88">
        <f t="shared" si="32"/>
        <v>-920333.33333333302</v>
      </c>
      <c r="BB28" s="98">
        <f t="shared" si="33"/>
        <v>-0.21235194585448386</v>
      </c>
      <c r="BC28" s="81">
        <f>IFERROR(VLOOKUP(C28,'[1]TARGET THIS MONTH'!C:U,15,0),0)</f>
        <v>9</v>
      </c>
      <c r="BD28" s="102">
        <f>IFERROR(GETPIVOTDATA("Sum of Qty",[1]ACC!$A$5,"ID Store",$C28),0)</f>
        <v>10</v>
      </c>
      <c r="BE28" s="86">
        <f t="shared" si="34"/>
        <v>1.1111111111111112</v>
      </c>
      <c r="BF28" s="103">
        <f>IFERROR(VLOOKUP(C28,'[1]TARGET THIS MONTH'!C:U,16,0),0)</f>
        <v>1935000</v>
      </c>
      <c r="BG28" s="103">
        <f>IFERROR(GETPIVOTDATA("Sum of SRP",'[1]Insurance by Store'!$A$5,"ID Store",$C28,"Product Type","Qoala"),0)</f>
        <v>1930000</v>
      </c>
      <c r="BH28" s="86">
        <f t="shared" si="35"/>
        <v>0.99741602067183466</v>
      </c>
      <c r="BI28" s="103">
        <f>IFERROR(VLOOKUP(C28,'[1]TARGET THIS MONTH'!C:U,17,0),0)</f>
        <v>387000</v>
      </c>
      <c r="BJ28" s="103">
        <f>IFERROR(GETPIVOTDATA("Sum of SRP",'[1]Insurance by Store'!$A$5,"ID Store",$C28,"Product Type","Vivo Care"),0)</f>
        <v>0</v>
      </c>
      <c r="BK28" s="86">
        <f t="shared" si="36"/>
        <v>0</v>
      </c>
      <c r="BL28" s="84">
        <f>IFERROR(VLOOKUP(C28,'[1]TARGET THIS MONTH'!C:U,18,0),0)</f>
        <v>2.7</v>
      </c>
      <c r="BM28" s="85">
        <f>IFERROR(GETPIVOTDATA("Sum of Qty",'[1]Operator by Store'!$A$5,"ID Store",$C28,"Product Type","Indosat"),0)</f>
        <v>0</v>
      </c>
      <c r="BN28" s="86">
        <f t="shared" si="37"/>
        <v>0</v>
      </c>
      <c r="BO28" s="84">
        <f>VLOOKUP(C28,'[1]TARGET THIS MONTH'!C:U,19,0)</f>
        <v>27</v>
      </c>
      <c r="BP28" s="85">
        <f>IFERROR(GETPIVOTDATA("Sum of Qty",'[1]Operator by Store'!$A$5,"ID Store",$C28,"Product Type","Telkomsel"),0)</f>
        <v>0</v>
      </c>
      <c r="BQ28" s="104">
        <f t="shared" si="38"/>
        <v>0</v>
      </c>
    </row>
    <row r="29" spans="1:69" x14ac:dyDescent="0.2">
      <c r="A29" s="75">
        <v>25</v>
      </c>
      <c r="B29" s="76" t="s">
        <v>72</v>
      </c>
      <c r="C29" s="77">
        <v>6170706</v>
      </c>
      <c r="D29" s="78" t="s">
        <v>79</v>
      </c>
      <c r="E29" s="105" t="s">
        <v>78</v>
      </c>
      <c r="F29" s="80">
        <v>3</v>
      </c>
      <c r="G29" s="81">
        <f>IFERROR(VLOOKUP(C29,'[1]TARGET THIS MONTH'!C:E,3,0),0)</f>
        <v>90</v>
      </c>
      <c r="H29" s="82">
        <f>IFERROR(VLOOKUP(C29,'[1]TARGET THIS MONTH'!C:M,11,0),0)</f>
        <v>387000000</v>
      </c>
      <c r="I29" s="81">
        <f>IFERROR(GETPIVOTDATA("Sum of Qty",'[1]DEVICE &amp; VALUE'!$A$6,"ID Store",$C29),0)</f>
        <v>69</v>
      </c>
      <c r="J29" s="83">
        <f t="shared" si="0"/>
        <v>0.76666666666666672</v>
      </c>
      <c r="K29" s="84">
        <f t="shared" si="1"/>
        <v>-21</v>
      </c>
      <c r="L29" s="85">
        <f>IFERROR(GETPIVOTDATA("Sum of Qty",[1]PF!$A$5,"ID Store",$C29),0)</f>
        <v>8</v>
      </c>
      <c r="M29" s="85">
        <f>IFERROR(GETPIVOTDATA("Sum of Qty",'[1]DEVICE &amp; VALUE'!$A$6,"ID Store",$C29,"Segment Price","3mio&gt;"),0)</f>
        <v>13</v>
      </c>
      <c r="N29" s="86">
        <f t="shared" si="2"/>
        <v>0.18840579710144928</v>
      </c>
      <c r="O29" s="87">
        <f>IFERROR(GETPIVOTDATA("Sum of Qty",[1]IQOO!$A$6,"ID Store",$C29),0)</f>
        <v>0</v>
      </c>
      <c r="P29" s="86">
        <f t="shared" si="3"/>
        <v>0</v>
      </c>
      <c r="Q29" s="86">
        <f t="shared" si="4"/>
        <v>0.18840579710144928</v>
      </c>
      <c r="R29" s="88">
        <f>IFERROR(GETPIVOTDATA("Sum of SRP",'[1]DEVICE &amp; VALUE'!$A$6,"ID Store",$C29),0)</f>
        <v>210131000</v>
      </c>
      <c r="S29" s="86">
        <f t="shared" si="5"/>
        <v>0.54297416020671829</v>
      </c>
      <c r="T29" s="89">
        <f t="shared" si="6"/>
        <v>-176869000</v>
      </c>
      <c r="U29" s="90">
        <f t="shared" si="7"/>
        <v>93</v>
      </c>
      <c r="V29" s="91">
        <f t="shared" si="8"/>
        <v>1.0333333333333334</v>
      </c>
      <c r="W29" s="92">
        <f t="shared" si="9"/>
        <v>3</v>
      </c>
      <c r="X29" s="92">
        <f t="shared" si="10"/>
        <v>17.521739130434781</v>
      </c>
      <c r="Y29" s="92">
        <f t="shared" si="11"/>
        <v>-72.478260869565219</v>
      </c>
      <c r="Z29" s="93">
        <f t="shared" si="12"/>
        <v>283220043.47826087</v>
      </c>
      <c r="AA29" s="93">
        <f t="shared" si="13"/>
        <v>-103779956.52173913</v>
      </c>
      <c r="AB29" s="94">
        <f t="shared" si="14"/>
        <v>0.7318347376699248</v>
      </c>
      <c r="AC29" s="95">
        <f t="shared" si="15"/>
        <v>2.625</v>
      </c>
      <c r="AD29" s="96">
        <f t="shared" si="16"/>
        <v>22108625</v>
      </c>
      <c r="AE29" s="81">
        <f>IFERROR(GETPIVOTDATA("Sum of Qty",'[1]DATA LAST MONTH IQOO'!$A$6,"ID Store",$C29),0)</f>
        <v>6</v>
      </c>
      <c r="AF29" s="97">
        <f>IFERROR(GETPIVOTDATA("Sum of Qty",[1]IQOO!$A$6,"ID Store",$C29),0)</f>
        <v>0</v>
      </c>
      <c r="AG29" s="84">
        <f t="shared" si="17"/>
        <v>-6</v>
      </c>
      <c r="AH29" s="98">
        <f t="shared" si="18"/>
        <v>-1</v>
      </c>
      <c r="AI29" s="99">
        <f>IFERROR(GETPIVOTDATA("Sum of Qty",'[1]DATA LAST MONTH DEVICE'!$A$6,"ID Store",$C29),0)</f>
        <v>77</v>
      </c>
      <c r="AJ29" s="100">
        <f t="shared" si="19"/>
        <v>69</v>
      </c>
      <c r="AK29" s="84">
        <f t="shared" si="20"/>
        <v>-8</v>
      </c>
      <c r="AL29" s="86">
        <f t="shared" si="21"/>
        <v>-0.1038961038961039</v>
      </c>
      <c r="AM29" s="85">
        <f>IFERROR(GETPIVOTDATA("Sum of Qty",'[1]Store 3mio+ last month'!$A$6,"ID Store",$C29),0)</f>
        <v>94</v>
      </c>
      <c r="AN29" s="84">
        <f t="shared" si="22"/>
        <v>93</v>
      </c>
      <c r="AO29" s="84">
        <f t="shared" si="23"/>
        <v>-1</v>
      </c>
      <c r="AP29" s="86">
        <f t="shared" si="24"/>
        <v>-1.0638297872340425E-2</v>
      </c>
      <c r="AQ29" s="85">
        <f>IFERROR(GETPIVOTDATA("Sum of Qty",'[1]DATA LAST MONTH DEVICE'!$A$6,"ID Store",$C29,"Segment Price","3mio&gt;"),0)</f>
        <v>36</v>
      </c>
      <c r="AR29" s="87">
        <f t="shared" si="25"/>
        <v>13</v>
      </c>
      <c r="AS29" s="87">
        <f t="shared" si="26"/>
        <v>-23</v>
      </c>
      <c r="AT29" s="86">
        <f t="shared" si="27"/>
        <v>-0.63888888888888884</v>
      </c>
      <c r="AU29" s="101">
        <f>IFERROR(GETPIVOTDATA("Sum of SRP",'[1]DATA LAST MONTH DEVICE'!$A$6,"ID Store",$C29),0)</f>
        <v>350923000</v>
      </c>
      <c r="AV29" s="101">
        <f t="shared" si="28"/>
        <v>210131000</v>
      </c>
      <c r="AW29" s="101">
        <f t="shared" si="29"/>
        <v>-140792000</v>
      </c>
      <c r="AX29" s="86">
        <f t="shared" si="30"/>
        <v>-0.40120482271039515</v>
      </c>
      <c r="AY29" s="101">
        <f>IFERROR(VLOOKUP(C29,'[1]DATA SALES LAST MONTH'!A:E,5,0),0)</f>
        <v>4557441.5584415589</v>
      </c>
      <c r="AZ29" s="88">
        <f t="shared" si="31"/>
        <v>3045376.8115942031</v>
      </c>
      <c r="BA29" s="88">
        <f t="shared" si="32"/>
        <v>-1512064.7468473557</v>
      </c>
      <c r="BB29" s="98">
        <f t="shared" si="33"/>
        <v>-0.33177929490870184</v>
      </c>
      <c r="BC29" s="81">
        <f>IFERROR(VLOOKUP(C29,'[1]TARGET THIS MONTH'!C:U,15,0),0)</f>
        <v>9</v>
      </c>
      <c r="BD29" s="102">
        <f>IFERROR(GETPIVOTDATA("Sum of Qty",[1]ACC!$A$5,"ID Store",$C29),0)</f>
        <v>4</v>
      </c>
      <c r="BE29" s="86">
        <f t="shared" si="34"/>
        <v>0.44444444444444442</v>
      </c>
      <c r="BF29" s="103">
        <f>IFERROR(VLOOKUP(C29,'[1]TARGET THIS MONTH'!C:U,16,0),0)</f>
        <v>1935000</v>
      </c>
      <c r="BG29" s="103">
        <f>IFERROR(GETPIVOTDATA("Sum of SRP",'[1]Insurance by Store'!$A$5,"ID Store",$C29,"Product Type","Qoala"),0)</f>
        <v>817000</v>
      </c>
      <c r="BH29" s="86">
        <f t="shared" si="35"/>
        <v>0.42222222222222222</v>
      </c>
      <c r="BI29" s="103">
        <f>IFERROR(VLOOKUP(C29,'[1]TARGET THIS MONTH'!C:U,17,0),0)</f>
        <v>387000</v>
      </c>
      <c r="BJ29" s="103">
        <f>IFERROR(GETPIVOTDATA("Sum of SRP",'[1]Insurance by Store'!$A$5,"ID Store",$C29,"Product Type","Vivo Care"),0)</f>
        <v>0</v>
      </c>
      <c r="BK29" s="86">
        <f t="shared" si="36"/>
        <v>0</v>
      </c>
      <c r="BL29" s="84">
        <f>IFERROR(VLOOKUP(C29,'[1]TARGET THIS MONTH'!C:U,18,0),0)</f>
        <v>2.7</v>
      </c>
      <c r="BM29" s="85">
        <f>IFERROR(GETPIVOTDATA("Sum of Qty",'[1]Operator by Store'!$A$5,"ID Store",$C29,"Product Type","Indosat"),0)</f>
        <v>0</v>
      </c>
      <c r="BN29" s="86">
        <f t="shared" si="37"/>
        <v>0</v>
      </c>
      <c r="BO29" s="84">
        <f>VLOOKUP(C29,'[1]TARGET THIS MONTH'!C:U,19,0)</f>
        <v>27</v>
      </c>
      <c r="BP29" s="85">
        <f>IFERROR(GETPIVOTDATA("Sum of Qty",'[1]Operator by Store'!$A$5,"ID Store",$C29,"Product Type","Telkomsel"),0)</f>
        <v>0</v>
      </c>
      <c r="BQ29" s="104">
        <f t="shared" si="38"/>
        <v>0</v>
      </c>
    </row>
    <row r="30" spans="1:69" x14ac:dyDescent="0.2">
      <c r="A30" s="75">
        <v>26</v>
      </c>
      <c r="B30" s="76" t="s">
        <v>72</v>
      </c>
      <c r="C30" s="77">
        <v>6240703</v>
      </c>
      <c r="D30" s="78" t="s">
        <v>80</v>
      </c>
      <c r="E30" s="105" t="s">
        <v>78</v>
      </c>
      <c r="F30" s="80">
        <v>2</v>
      </c>
      <c r="G30" s="81">
        <f>IFERROR(VLOOKUP(C30,'[1]TARGET THIS MONTH'!C:E,3,0),0)</f>
        <v>90</v>
      </c>
      <c r="H30" s="82">
        <f>IFERROR(VLOOKUP(C30,'[1]TARGET THIS MONTH'!C:M,11,0),0)</f>
        <v>387000000</v>
      </c>
      <c r="I30" s="81">
        <f>IFERROR(GETPIVOTDATA("Sum of Qty",'[1]DEVICE &amp; VALUE'!$A$6,"ID Store",$C30),0)</f>
        <v>63</v>
      </c>
      <c r="J30" s="83">
        <f t="shared" si="0"/>
        <v>0.7</v>
      </c>
      <c r="K30" s="84">
        <f t="shared" si="1"/>
        <v>-27</v>
      </c>
      <c r="L30" s="85">
        <f>IFERROR(GETPIVOTDATA("Sum of Qty",[1]PF!$A$5,"ID Store",$C30),0)</f>
        <v>15</v>
      </c>
      <c r="M30" s="85">
        <f>IFERROR(GETPIVOTDATA("Sum of Qty",'[1]DEVICE &amp; VALUE'!$A$6,"ID Store",$C30,"Segment Price","3mio&gt;"),0)</f>
        <v>29</v>
      </c>
      <c r="N30" s="86">
        <f t="shared" si="2"/>
        <v>0.46031746031746029</v>
      </c>
      <c r="O30" s="87">
        <f>IFERROR(GETPIVOTDATA("Sum of Qty",[1]IQOO!$A$6,"ID Store",$C30),0)</f>
        <v>2</v>
      </c>
      <c r="P30" s="86">
        <f t="shared" si="3"/>
        <v>3.1746031746031744E-2</v>
      </c>
      <c r="Q30" s="86">
        <f t="shared" si="4"/>
        <v>0.46031746031746029</v>
      </c>
      <c r="R30" s="88">
        <f>IFERROR(GETPIVOTDATA("Sum of SRP",'[1]DEVICE &amp; VALUE'!$A$6,"ID Store",$C30),0)</f>
        <v>266937000</v>
      </c>
      <c r="S30" s="86">
        <f t="shared" si="5"/>
        <v>0.6897596899224806</v>
      </c>
      <c r="T30" s="89">
        <f t="shared" si="6"/>
        <v>-120063000</v>
      </c>
      <c r="U30" s="90">
        <f t="shared" si="7"/>
        <v>84.913043478260875</v>
      </c>
      <c r="V30" s="91">
        <f t="shared" si="8"/>
        <v>0.94347826086956532</v>
      </c>
      <c r="W30" s="92">
        <f t="shared" si="9"/>
        <v>-5.0869565217391255</v>
      </c>
      <c r="X30" s="92">
        <f t="shared" si="10"/>
        <v>39.086956521739133</v>
      </c>
      <c r="Y30" s="92">
        <f t="shared" si="11"/>
        <v>-50.913043478260867</v>
      </c>
      <c r="Z30" s="93">
        <f t="shared" si="12"/>
        <v>359784652.17391306</v>
      </c>
      <c r="AA30" s="93">
        <f t="shared" si="13"/>
        <v>-27215347.826086938</v>
      </c>
      <c r="AB30" s="94">
        <f t="shared" si="14"/>
        <v>0.92967610380856092</v>
      </c>
      <c r="AC30" s="95">
        <f t="shared" si="15"/>
        <v>3.375</v>
      </c>
      <c r="AD30" s="96">
        <f t="shared" si="16"/>
        <v>15007875</v>
      </c>
      <c r="AE30" s="81">
        <f>IFERROR(GETPIVOTDATA("Sum of Qty",'[1]DATA LAST MONTH IQOO'!$A$6,"ID Store",$C30),0)</f>
        <v>5</v>
      </c>
      <c r="AF30" s="97">
        <f>IFERROR(GETPIVOTDATA("Sum of Qty",[1]IQOO!$A$6,"ID Store",$C30),0)</f>
        <v>2</v>
      </c>
      <c r="AG30" s="84">
        <f t="shared" si="17"/>
        <v>-3</v>
      </c>
      <c r="AH30" s="98">
        <f t="shared" si="18"/>
        <v>-0.6</v>
      </c>
      <c r="AI30" s="99">
        <f>IFERROR(GETPIVOTDATA("Sum of Qty",'[1]DATA LAST MONTH DEVICE'!$A$6,"ID Store",$C30),0)</f>
        <v>79</v>
      </c>
      <c r="AJ30" s="100">
        <f t="shared" si="19"/>
        <v>63</v>
      </c>
      <c r="AK30" s="84">
        <f t="shared" si="20"/>
        <v>-16</v>
      </c>
      <c r="AL30" s="86">
        <f t="shared" si="21"/>
        <v>-0.20253164556962025</v>
      </c>
      <c r="AM30" s="85">
        <f>IFERROR(GETPIVOTDATA("Sum of Qty",'[1]Store 3mio+ last month'!$A$6,"ID Store",$C30),0)</f>
        <v>105</v>
      </c>
      <c r="AN30" s="84">
        <f t="shared" si="22"/>
        <v>84.913043478260875</v>
      </c>
      <c r="AO30" s="84">
        <f t="shared" si="23"/>
        <v>-20.086956521739125</v>
      </c>
      <c r="AP30" s="86">
        <f t="shared" si="24"/>
        <v>-0.19130434782608691</v>
      </c>
      <c r="AQ30" s="85">
        <f>IFERROR(GETPIVOTDATA("Sum of Qty",'[1]DATA LAST MONTH DEVICE'!$A$6,"ID Store",$C30,"Segment Price","3mio&gt;"),0)</f>
        <v>37</v>
      </c>
      <c r="AR30" s="87">
        <f t="shared" si="25"/>
        <v>29</v>
      </c>
      <c r="AS30" s="87">
        <f t="shared" si="26"/>
        <v>-8</v>
      </c>
      <c r="AT30" s="86">
        <f t="shared" si="27"/>
        <v>-0.21621621621621623</v>
      </c>
      <c r="AU30" s="101">
        <f>IFERROR(GETPIVOTDATA("Sum of SRP",'[1]DATA LAST MONTH DEVICE'!$A$6,"ID Store",$C30),0)</f>
        <v>331621000</v>
      </c>
      <c r="AV30" s="101">
        <f t="shared" si="28"/>
        <v>266937000</v>
      </c>
      <c r="AW30" s="101">
        <f t="shared" si="29"/>
        <v>-64684000</v>
      </c>
      <c r="AX30" s="86">
        <f t="shared" si="30"/>
        <v>-0.19505399235874687</v>
      </c>
      <c r="AY30" s="101">
        <f>IFERROR(VLOOKUP(C30,'[1]DATA SALES LAST MONTH'!A:E,5,0),0)</f>
        <v>4197734.1772151897</v>
      </c>
      <c r="AZ30" s="88">
        <f t="shared" si="31"/>
        <v>4237095.2380952379</v>
      </c>
      <c r="BA30" s="88">
        <f t="shared" si="32"/>
        <v>39361.0608800482</v>
      </c>
      <c r="BB30" s="98">
        <f t="shared" si="33"/>
        <v>9.3767397406189831E-3</v>
      </c>
      <c r="BC30" s="81">
        <f>IFERROR(VLOOKUP(C30,'[1]TARGET THIS MONTH'!C:U,15,0),0)</f>
        <v>9</v>
      </c>
      <c r="BD30" s="102">
        <f>IFERROR(GETPIVOTDATA("Sum of Qty",[1]ACC!$A$5,"ID Store",$C30),0)</f>
        <v>6</v>
      </c>
      <c r="BE30" s="86">
        <f t="shared" si="34"/>
        <v>0.66666666666666663</v>
      </c>
      <c r="BF30" s="103">
        <f>IFERROR(VLOOKUP(C30,'[1]TARGET THIS MONTH'!C:U,16,0),0)</f>
        <v>1935000</v>
      </c>
      <c r="BG30" s="103">
        <f>IFERROR(GETPIVOTDATA("Sum of SRP",'[1]Insurance by Store'!$A$5,"ID Store",$C30,"Product Type","Qoala"),0)</f>
        <v>1565000</v>
      </c>
      <c r="BH30" s="86">
        <f t="shared" si="35"/>
        <v>0.80878552971576223</v>
      </c>
      <c r="BI30" s="103">
        <f>IFERROR(VLOOKUP(C30,'[1]TARGET THIS MONTH'!C:U,17,0),0)</f>
        <v>387000</v>
      </c>
      <c r="BJ30" s="103">
        <f>IFERROR(GETPIVOTDATA("Sum of SRP",'[1]Insurance by Store'!$A$5,"ID Store",$C30,"Product Type","Vivo Care"),0)</f>
        <v>0</v>
      </c>
      <c r="BK30" s="86">
        <f t="shared" si="36"/>
        <v>0</v>
      </c>
      <c r="BL30" s="84">
        <f>IFERROR(VLOOKUP(C30,'[1]TARGET THIS MONTH'!C:U,18,0),0)</f>
        <v>2.7</v>
      </c>
      <c r="BM30" s="85">
        <f>IFERROR(GETPIVOTDATA("Sum of Qty",'[1]Operator by Store'!$A$5,"ID Store",$C30,"Product Type","Indosat"),0)</f>
        <v>0</v>
      </c>
      <c r="BN30" s="86">
        <f t="shared" si="37"/>
        <v>0</v>
      </c>
      <c r="BO30" s="84">
        <f>VLOOKUP(C30,'[1]TARGET THIS MONTH'!C:U,19,0)</f>
        <v>27</v>
      </c>
      <c r="BP30" s="85">
        <f>IFERROR(GETPIVOTDATA("Sum of Qty",'[1]Operator by Store'!$A$5,"ID Store",$C30,"Product Type","Telkomsel"),0)</f>
        <v>0</v>
      </c>
      <c r="BQ30" s="104">
        <f t="shared" si="38"/>
        <v>0</v>
      </c>
    </row>
    <row r="31" spans="1:69" x14ac:dyDescent="0.2">
      <c r="A31" s="75">
        <v>27</v>
      </c>
      <c r="B31" s="76" t="s">
        <v>72</v>
      </c>
      <c r="C31" s="77">
        <v>6170703</v>
      </c>
      <c r="D31" s="78" t="s">
        <v>81</v>
      </c>
      <c r="E31" s="106" t="s">
        <v>82</v>
      </c>
      <c r="F31" s="80">
        <v>2</v>
      </c>
      <c r="G31" s="81">
        <f>IFERROR(VLOOKUP(C31,'[1]TARGET THIS MONTH'!C:E,3,0),0)</f>
        <v>30</v>
      </c>
      <c r="H31" s="82">
        <f>IFERROR(VLOOKUP(C31,'[1]TARGET THIS MONTH'!C:M,11,0),0)</f>
        <v>150000000</v>
      </c>
      <c r="I31" s="81">
        <f>IFERROR(GETPIVOTDATA("Sum of Qty",'[1]DEVICE &amp; VALUE'!$A$6,"ID Store",$C31),0)</f>
        <v>14</v>
      </c>
      <c r="J31" s="83">
        <f t="shared" si="0"/>
        <v>0.46666666666666667</v>
      </c>
      <c r="K31" s="84">
        <f t="shared" si="1"/>
        <v>-16</v>
      </c>
      <c r="L31" s="85">
        <f>IFERROR(GETPIVOTDATA("Sum of Qty",[1]PF!$A$5,"ID Store",$C31),0)</f>
        <v>3</v>
      </c>
      <c r="M31" s="85">
        <f>IFERROR(GETPIVOTDATA("Sum of Qty",'[1]DEVICE &amp; VALUE'!$A$6,"ID Store",$C31,"Segment Price","3mio&gt;"),0)</f>
        <v>8</v>
      </c>
      <c r="N31" s="86">
        <f t="shared" si="2"/>
        <v>0.5714285714285714</v>
      </c>
      <c r="O31" s="87">
        <f>IFERROR(GETPIVOTDATA("Sum of Qty",[1]IQOO!$A$6,"ID Store",$C31),0)</f>
        <v>1</v>
      </c>
      <c r="P31" s="86">
        <f t="shared" si="3"/>
        <v>7.1428571428571425E-2</v>
      </c>
      <c r="Q31" s="86">
        <f t="shared" si="4"/>
        <v>0.5714285714285714</v>
      </c>
      <c r="R31" s="88">
        <f>IFERROR(GETPIVOTDATA("Sum of SRP",'[1]DEVICE &amp; VALUE'!$A$6,"ID Store",$C31),0)</f>
        <v>67486000</v>
      </c>
      <c r="S31" s="86">
        <f t="shared" si="5"/>
        <v>0.44990666666666668</v>
      </c>
      <c r="T31" s="89">
        <f t="shared" si="6"/>
        <v>-82514000</v>
      </c>
      <c r="U31" s="90">
        <f t="shared" si="7"/>
        <v>18.869565217391305</v>
      </c>
      <c r="V31" s="91">
        <f t="shared" si="8"/>
        <v>0.62898550724637681</v>
      </c>
      <c r="W31" s="92">
        <f t="shared" si="9"/>
        <v>-11.130434782608695</v>
      </c>
      <c r="X31" s="92">
        <f t="shared" si="10"/>
        <v>10.782608695652174</v>
      </c>
      <c r="Y31" s="92">
        <f t="shared" si="11"/>
        <v>-19.217391304347828</v>
      </c>
      <c r="Z31" s="93">
        <f t="shared" si="12"/>
        <v>90959391.304347813</v>
      </c>
      <c r="AA31" s="93">
        <f t="shared" si="13"/>
        <v>-59040608.695652187</v>
      </c>
      <c r="AB31" s="94">
        <f t="shared" si="14"/>
        <v>0.60639594202898539</v>
      </c>
      <c r="AC31" s="95">
        <f t="shared" si="15"/>
        <v>2</v>
      </c>
      <c r="AD31" s="96">
        <f t="shared" si="16"/>
        <v>10314250</v>
      </c>
      <c r="AE31" s="81">
        <f>IFERROR(GETPIVOTDATA("Sum of Qty",'[1]DATA LAST MONTH IQOO'!$A$6,"ID Store",$C31),0)</f>
        <v>6</v>
      </c>
      <c r="AF31" s="97">
        <f>IFERROR(GETPIVOTDATA("Sum of Qty",[1]IQOO!$A$6,"ID Store",$C31),0)</f>
        <v>1</v>
      </c>
      <c r="AG31" s="84">
        <f t="shared" si="17"/>
        <v>-5</v>
      </c>
      <c r="AH31" s="98">
        <f t="shared" si="18"/>
        <v>-0.83333333333333337</v>
      </c>
      <c r="AI31" s="99">
        <f>IFERROR(GETPIVOTDATA("Sum of Qty",'[1]DATA LAST MONTH DEVICE'!$A$6,"ID Store",$C31),0)</f>
        <v>26</v>
      </c>
      <c r="AJ31" s="100">
        <f t="shared" si="19"/>
        <v>14</v>
      </c>
      <c r="AK31" s="84">
        <f t="shared" si="20"/>
        <v>-12</v>
      </c>
      <c r="AL31" s="86">
        <f t="shared" si="21"/>
        <v>-0.46153846153846156</v>
      </c>
      <c r="AM31" s="85">
        <f>IFERROR(GETPIVOTDATA("Sum of Qty",'[1]Store 3mio+ last month'!$A$6,"ID Store",$C31),0)</f>
        <v>30</v>
      </c>
      <c r="AN31" s="84">
        <f t="shared" si="22"/>
        <v>18.869565217391305</v>
      </c>
      <c r="AO31" s="84">
        <f t="shared" si="23"/>
        <v>-11.130434782608695</v>
      </c>
      <c r="AP31" s="86">
        <f t="shared" si="24"/>
        <v>-0.37101449275362319</v>
      </c>
      <c r="AQ31" s="85">
        <f>IFERROR(GETPIVOTDATA("Sum of Qty",'[1]DATA LAST MONTH DEVICE'!$A$6,"ID Store",$C31,"Segment Price","3mio&gt;"),0)</f>
        <v>16</v>
      </c>
      <c r="AR31" s="87">
        <f t="shared" si="25"/>
        <v>8</v>
      </c>
      <c r="AS31" s="87">
        <f t="shared" si="26"/>
        <v>-8</v>
      </c>
      <c r="AT31" s="86">
        <f t="shared" si="27"/>
        <v>-0.5</v>
      </c>
      <c r="AU31" s="101">
        <f>IFERROR(GETPIVOTDATA("Sum of SRP",'[1]DATA LAST MONTH DEVICE'!$A$6,"ID Store",$C31),0)</f>
        <v>150674000</v>
      </c>
      <c r="AV31" s="101">
        <f t="shared" si="28"/>
        <v>67486000</v>
      </c>
      <c r="AW31" s="101">
        <f t="shared" si="29"/>
        <v>-83188000</v>
      </c>
      <c r="AX31" s="86">
        <f t="shared" si="30"/>
        <v>-0.55210587095318364</v>
      </c>
      <c r="AY31" s="101">
        <f>IFERROR(VLOOKUP(C31,'[1]DATA SALES LAST MONTH'!A:E,5,0),0)</f>
        <v>5795153.846153846</v>
      </c>
      <c r="AZ31" s="88">
        <f t="shared" si="31"/>
        <v>4820428.5714285709</v>
      </c>
      <c r="BA31" s="88">
        <f t="shared" si="32"/>
        <v>-974725.27472527511</v>
      </c>
      <c r="BB31" s="98">
        <f t="shared" si="33"/>
        <v>-0.16819661748448408</v>
      </c>
      <c r="BC31" s="81">
        <f>IFERROR(VLOOKUP(C31,'[1]TARGET THIS MONTH'!C:U,15,0),0)</f>
        <v>3</v>
      </c>
      <c r="BD31" s="102">
        <f>IFERROR(GETPIVOTDATA("Sum of Qty",[1]ACC!$A$5,"ID Store",$C31),0)</f>
        <v>0</v>
      </c>
      <c r="BE31" s="86">
        <f t="shared" si="34"/>
        <v>0</v>
      </c>
      <c r="BF31" s="103">
        <f>IFERROR(VLOOKUP(C31,'[1]TARGET THIS MONTH'!C:U,16,0),0)</f>
        <v>200000</v>
      </c>
      <c r="BG31" s="103">
        <f>IFERROR(GETPIVOTDATA("Sum of SRP",'[1]Insurance by Store'!$A$5,"ID Store",$C31,"Product Type","Qoala"),0)</f>
        <v>0</v>
      </c>
      <c r="BH31" s="86">
        <f t="shared" si="35"/>
        <v>0</v>
      </c>
      <c r="BI31" s="103">
        <f>IFERROR(VLOOKUP(C31,'[1]TARGET THIS MONTH'!C:U,17,0),0)</f>
        <v>100000</v>
      </c>
      <c r="BJ31" s="103">
        <f>IFERROR(GETPIVOTDATA("Sum of SRP",'[1]Insurance by Store'!$A$5,"ID Store",$C31,"Product Type","Vivo Care"),0)</f>
        <v>0</v>
      </c>
      <c r="BK31" s="86">
        <f t="shared" si="36"/>
        <v>0</v>
      </c>
      <c r="BL31" s="84">
        <f>IFERROR(VLOOKUP(C31,'[1]TARGET THIS MONTH'!C:U,18,0),0)</f>
        <v>0.9</v>
      </c>
      <c r="BM31" s="85">
        <f>IFERROR(GETPIVOTDATA("Sum of Qty",'[1]Operator by Store'!$A$5,"ID Store",$C31,"Product Type","Indosat"),0)</f>
        <v>0</v>
      </c>
      <c r="BN31" s="86">
        <f t="shared" si="37"/>
        <v>0</v>
      </c>
      <c r="BO31" s="84">
        <f>VLOOKUP(C31,'[1]TARGET THIS MONTH'!C:U,19,0)</f>
        <v>9</v>
      </c>
      <c r="BP31" s="85">
        <f>IFERROR(GETPIVOTDATA("Sum of Qty",'[1]Operator by Store'!$A$5,"ID Store",$C31,"Product Type","Telkomsel"),0)</f>
        <v>0</v>
      </c>
      <c r="BQ31" s="104">
        <f t="shared" si="38"/>
        <v>0</v>
      </c>
    </row>
    <row r="32" spans="1:69" x14ac:dyDescent="0.2">
      <c r="A32" s="75">
        <v>28</v>
      </c>
      <c r="B32" s="76" t="s">
        <v>72</v>
      </c>
      <c r="C32" s="77">
        <v>6240705</v>
      </c>
      <c r="D32" s="78" t="s">
        <v>83</v>
      </c>
      <c r="E32" s="105" t="s">
        <v>78</v>
      </c>
      <c r="F32" s="80">
        <v>2</v>
      </c>
      <c r="G32" s="81">
        <f>IFERROR(VLOOKUP(C32,'[1]TARGET THIS MONTH'!C:E,3,0),0)</f>
        <v>40</v>
      </c>
      <c r="H32" s="82">
        <f>IFERROR(VLOOKUP(C32,'[1]TARGET THIS MONTH'!C:M,11,0),0)</f>
        <v>172000000</v>
      </c>
      <c r="I32" s="81">
        <f>IFERROR(GETPIVOTDATA("Sum of Qty",'[1]DEVICE &amp; VALUE'!$A$6,"ID Store",$C32),0)</f>
        <v>29</v>
      </c>
      <c r="J32" s="83">
        <f t="shared" si="0"/>
        <v>0.72499999999999998</v>
      </c>
      <c r="K32" s="84">
        <f t="shared" si="1"/>
        <v>-11</v>
      </c>
      <c r="L32" s="85">
        <f>IFERROR(GETPIVOTDATA("Sum of Qty",[1]PF!$A$5,"ID Store",$C32),0)</f>
        <v>7</v>
      </c>
      <c r="M32" s="85">
        <f>IFERROR(GETPIVOTDATA("Sum of Qty",'[1]DEVICE &amp; VALUE'!$A$6,"ID Store",$C32,"Segment Price","3mio&gt;"),0)</f>
        <v>18</v>
      </c>
      <c r="N32" s="86">
        <f t="shared" si="2"/>
        <v>0.62068965517241381</v>
      </c>
      <c r="O32" s="87">
        <f>IFERROR(GETPIVOTDATA("Sum of Qty",[1]IQOO!$A$6,"ID Store",$C32),0)</f>
        <v>3</v>
      </c>
      <c r="P32" s="86">
        <f t="shared" si="3"/>
        <v>0.10344827586206896</v>
      </c>
      <c r="Q32" s="86">
        <f t="shared" si="4"/>
        <v>0.62068965517241381</v>
      </c>
      <c r="R32" s="88">
        <f>IFERROR(GETPIVOTDATA("Sum of SRP",'[1]DEVICE &amp; VALUE'!$A$6,"ID Store",$C32),0)</f>
        <v>153871000</v>
      </c>
      <c r="S32" s="86">
        <f t="shared" si="5"/>
        <v>0.89459883720930233</v>
      </c>
      <c r="T32" s="89">
        <f t="shared" si="6"/>
        <v>-18129000</v>
      </c>
      <c r="U32" s="90">
        <f t="shared" si="7"/>
        <v>39.086956521739133</v>
      </c>
      <c r="V32" s="91">
        <f t="shared" si="8"/>
        <v>0.97717391304347834</v>
      </c>
      <c r="W32" s="92">
        <f t="shared" si="9"/>
        <v>-0.9130434782608674</v>
      </c>
      <c r="X32" s="92">
        <f t="shared" si="10"/>
        <v>24.260869565217391</v>
      </c>
      <c r="Y32" s="92">
        <f t="shared" si="11"/>
        <v>-15.739130434782609</v>
      </c>
      <c r="Z32" s="93">
        <f t="shared" si="12"/>
        <v>207391347.82608694</v>
      </c>
      <c r="AA32" s="93">
        <f t="shared" si="13"/>
        <v>35391347.826086938</v>
      </c>
      <c r="AB32" s="94">
        <f t="shared" si="14"/>
        <v>1.2057636501516682</v>
      </c>
      <c r="AC32" s="95">
        <f t="shared" si="15"/>
        <v>1.375</v>
      </c>
      <c r="AD32" s="96">
        <f t="shared" si="16"/>
        <v>2266125</v>
      </c>
      <c r="AE32" s="81">
        <f>IFERROR(GETPIVOTDATA("Sum of Qty",'[1]DATA LAST MONTH IQOO'!$A$6,"ID Store",$C32),0)</f>
        <v>5</v>
      </c>
      <c r="AF32" s="97">
        <f>IFERROR(GETPIVOTDATA("Sum of Qty",[1]IQOO!$A$6,"ID Store",$C32),0)</f>
        <v>3</v>
      </c>
      <c r="AG32" s="84">
        <f t="shared" si="17"/>
        <v>-2</v>
      </c>
      <c r="AH32" s="98">
        <f t="shared" si="18"/>
        <v>-0.4</v>
      </c>
      <c r="AI32" s="99">
        <f>IFERROR(GETPIVOTDATA("Sum of Qty",'[1]DATA LAST MONTH DEVICE'!$A$6,"ID Store",$C32),0)</f>
        <v>31</v>
      </c>
      <c r="AJ32" s="100">
        <f t="shared" si="19"/>
        <v>29</v>
      </c>
      <c r="AK32" s="84">
        <f t="shared" si="20"/>
        <v>-2</v>
      </c>
      <c r="AL32" s="86">
        <f t="shared" si="21"/>
        <v>-6.4516129032258063E-2</v>
      </c>
      <c r="AM32" s="85">
        <f>IFERROR(GETPIVOTDATA("Sum of Qty",'[1]Store 3mio+ last month'!$A$6,"ID Store",$C32),0)</f>
        <v>38</v>
      </c>
      <c r="AN32" s="84">
        <f t="shared" si="22"/>
        <v>39.086956521739133</v>
      </c>
      <c r="AO32" s="84">
        <f t="shared" si="23"/>
        <v>1.0869565217391326</v>
      </c>
      <c r="AP32" s="86">
        <f t="shared" si="24"/>
        <v>2.8604118993135069E-2</v>
      </c>
      <c r="AQ32" s="85">
        <f>IFERROR(GETPIVOTDATA("Sum of Qty",'[1]DATA LAST MONTH DEVICE'!$A$6,"ID Store",$C32,"Segment Price","3mio&gt;"),0)</f>
        <v>18</v>
      </c>
      <c r="AR32" s="87">
        <f t="shared" si="25"/>
        <v>18</v>
      </c>
      <c r="AS32" s="87">
        <f t="shared" si="26"/>
        <v>0</v>
      </c>
      <c r="AT32" s="86">
        <f t="shared" si="27"/>
        <v>0</v>
      </c>
      <c r="AU32" s="101">
        <f>IFERROR(GETPIVOTDATA("Sum of SRP",'[1]DATA LAST MONTH DEVICE'!$A$6,"ID Store",$C32),0)</f>
        <v>150369000</v>
      </c>
      <c r="AV32" s="101">
        <f t="shared" si="28"/>
        <v>153871000</v>
      </c>
      <c r="AW32" s="101">
        <f t="shared" si="29"/>
        <v>3502000</v>
      </c>
      <c r="AX32" s="86">
        <f t="shared" si="30"/>
        <v>2.3289374804647236E-2</v>
      </c>
      <c r="AY32" s="101">
        <f>IFERROR(VLOOKUP(C32,'[1]DATA SALES LAST MONTH'!A:E,5,0),0)</f>
        <v>4850612.9032258065</v>
      </c>
      <c r="AZ32" s="88">
        <f t="shared" si="31"/>
        <v>5305896.5517241368</v>
      </c>
      <c r="BA32" s="88">
        <f t="shared" si="32"/>
        <v>455283.64849833027</v>
      </c>
      <c r="BB32" s="98">
        <f t="shared" si="33"/>
        <v>9.3861055825657139E-2</v>
      </c>
      <c r="BC32" s="81">
        <f>IFERROR(VLOOKUP(C32,'[1]TARGET THIS MONTH'!C:U,15,0),0)</f>
        <v>4</v>
      </c>
      <c r="BD32" s="102">
        <f>IFERROR(GETPIVOTDATA("Sum of Qty",[1]ACC!$A$5,"ID Store",$C32),0)</f>
        <v>0</v>
      </c>
      <c r="BE32" s="86">
        <f t="shared" si="34"/>
        <v>0</v>
      </c>
      <c r="BF32" s="103">
        <f>IFERROR(VLOOKUP(C32,'[1]TARGET THIS MONTH'!C:U,16,0),0)</f>
        <v>100000</v>
      </c>
      <c r="BG32" s="103">
        <f>IFERROR(GETPIVOTDATA("Sum of SRP",'[1]Insurance by Store'!$A$5,"ID Store",$C32,"Product Type","Qoala"),0)</f>
        <v>0</v>
      </c>
      <c r="BH32" s="86">
        <f t="shared" si="35"/>
        <v>0</v>
      </c>
      <c r="BI32" s="103">
        <f>IFERROR(VLOOKUP(C32,'[1]TARGET THIS MONTH'!C:U,17,0),0)</f>
        <v>50000</v>
      </c>
      <c r="BJ32" s="103">
        <f>IFERROR(GETPIVOTDATA("Sum of SRP",'[1]Insurance by Store'!$A$5,"ID Store",$C32,"Product Type","Vivo Care"),0)</f>
        <v>0</v>
      </c>
      <c r="BK32" s="86">
        <f t="shared" si="36"/>
        <v>0</v>
      </c>
      <c r="BL32" s="84">
        <f>IFERROR(VLOOKUP(C32,'[1]TARGET THIS MONTH'!C:U,18,0),0)</f>
        <v>1.2</v>
      </c>
      <c r="BM32" s="85">
        <f>IFERROR(GETPIVOTDATA("Sum of Qty",'[1]Operator by Store'!$A$5,"ID Store",$C32,"Product Type","Indosat"),0)</f>
        <v>0</v>
      </c>
      <c r="BN32" s="86">
        <f t="shared" si="37"/>
        <v>0</v>
      </c>
      <c r="BO32" s="84">
        <f>VLOOKUP(C32,'[1]TARGET THIS MONTH'!C:U,19,0)</f>
        <v>12</v>
      </c>
      <c r="BP32" s="85">
        <f>IFERROR(GETPIVOTDATA("Sum of Qty",'[1]Operator by Store'!$A$5,"ID Store",$C32,"Product Type","Telkomsel"),0)</f>
        <v>0</v>
      </c>
      <c r="BQ32" s="104">
        <f t="shared" si="38"/>
        <v>0</v>
      </c>
    </row>
    <row r="33" spans="1:69" x14ac:dyDescent="0.2">
      <c r="A33" s="75">
        <v>29</v>
      </c>
      <c r="B33" s="76" t="s">
        <v>72</v>
      </c>
      <c r="C33" s="77">
        <v>6240709</v>
      </c>
      <c r="D33" s="78" t="s">
        <v>84</v>
      </c>
      <c r="E33" s="106" t="s">
        <v>74</v>
      </c>
      <c r="F33" s="80">
        <v>2</v>
      </c>
      <c r="G33" s="81">
        <f>IFERROR(VLOOKUP(C33,'[1]TARGET THIS MONTH'!C:E,3,0),0)</f>
        <v>30</v>
      </c>
      <c r="H33" s="82">
        <f>IFERROR(VLOOKUP(C33,'[1]TARGET THIS MONTH'!C:M,11,0),0)</f>
        <v>150000000</v>
      </c>
      <c r="I33" s="81">
        <f>IFERROR(GETPIVOTDATA("Sum of Qty",'[1]DEVICE &amp; VALUE'!$A$6,"ID Store",$C33),0)</f>
        <v>14</v>
      </c>
      <c r="J33" s="83">
        <f t="shared" si="0"/>
        <v>0.46666666666666667</v>
      </c>
      <c r="K33" s="84">
        <f t="shared" si="1"/>
        <v>-16</v>
      </c>
      <c r="L33" s="85">
        <f>IFERROR(GETPIVOTDATA("Sum of Qty",[1]PF!$A$5,"ID Store",$C33),0)</f>
        <v>7</v>
      </c>
      <c r="M33" s="85">
        <f>IFERROR(GETPIVOTDATA("Sum of Qty",'[1]DEVICE &amp; VALUE'!$A$6,"ID Store",$C33,"Segment Price","3mio&gt;"),0)</f>
        <v>11</v>
      </c>
      <c r="N33" s="86">
        <f t="shared" si="2"/>
        <v>0.7857142857142857</v>
      </c>
      <c r="O33" s="87">
        <f>IFERROR(GETPIVOTDATA("Sum of Qty",[1]IQOO!$A$6,"ID Store",$C33),0)</f>
        <v>1</v>
      </c>
      <c r="P33" s="86">
        <f t="shared" si="3"/>
        <v>7.1428571428571425E-2</v>
      </c>
      <c r="Q33" s="86">
        <f t="shared" si="4"/>
        <v>0.7857142857142857</v>
      </c>
      <c r="R33" s="88">
        <f>IFERROR(GETPIVOTDATA("Sum of SRP",'[1]DEVICE &amp; VALUE'!$A$6,"ID Store",$C33),0)</f>
        <v>60586000</v>
      </c>
      <c r="S33" s="86">
        <f t="shared" si="5"/>
        <v>0.40390666666666669</v>
      </c>
      <c r="T33" s="89">
        <f t="shared" si="6"/>
        <v>-89414000</v>
      </c>
      <c r="U33" s="90">
        <f t="shared" si="7"/>
        <v>18.869565217391305</v>
      </c>
      <c r="V33" s="91">
        <f t="shared" si="8"/>
        <v>0.62898550724637681</v>
      </c>
      <c r="W33" s="92">
        <f t="shared" si="9"/>
        <v>-11.130434782608695</v>
      </c>
      <c r="X33" s="92">
        <f t="shared" si="10"/>
        <v>14.82608695652174</v>
      </c>
      <c r="Y33" s="92">
        <f t="shared" si="11"/>
        <v>-15.17391304347826</v>
      </c>
      <c r="Z33" s="93">
        <f t="shared" si="12"/>
        <v>81659391.304347813</v>
      </c>
      <c r="AA33" s="93">
        <f t="shared" si="13"/>
        <v>-68340608.695652187</v>
      </c>
      <c r="AB33" s="94">
        <f t="shared" si="14"/>
        <v>0.54439594202898545</v>
      </c>
      <c r="AC33" s="95">
        <f t="shared" si="15"/>
        <v>2</v>
      </c>
      <c r="AD33" s="96">
        <f t="shared" si="16"/>
        <v>11176750</v>
      </c>
      <c r="AE33" s="81">
        <f>IFERROR(GETPIVOTDATA("Sum of Qty",'[1]DATA LAST MONTH IQOO'!$A$6,"ID Store",$C33),0)</f>
        <v>3</v>
      </c>
      <c r="AF33" s="97">
        <f>IFERROR(GETPIVOTDATA("Sum of Qty",[1]IQOO!$A$6,"ID Store",$C33),0)</f>
        <v>1</v>
      </c>
      <c r="AG33" s="84">
        <f t="shared" si="17"/>
        <v>-2</v>
      </c>
      <c r="AH33" s="98">
        <f t="shared" si="18"/>
        <v>-0.66666666666666663</v>
      </c>
      <c r="AI33" s="99">
        <f>IFERROR(GETPIVOTDATA("Sum of Qty",'[1]DATA LAST MONTH DEVICE'!$A$6,"ID Store",$C33),0)</f>
        <v>15</v>
      </c>
      <c r="AJ33" s="100">
        <f t="shared" si="19"/>
        <v>14</v>
      </c>
      <c r="AK33" s="84">
        <f t="shared" si="20"/>
        <v>-1</v>
      </c>
      <c r="AL33" s="86">
        <f t="shared" si="21"/>
        <v>-6.6666666666666666E-2</v>
      </c>
      <c r="AM33" s="85">
        <f>IFERROR(GETPIVOTDATA("Sum of Qty",'[1]Store 3mio+ last month'!$A$6,"ID Store",$C33),0)</f>
        <v>20</v>
      </c>
      <c r="AN33" s="84">
        <f t="shared" si="22"/>
        <v>18.869565217391305</v>
      </c>
      <c r="AO33" s="84">
        <f t="shared" si="23"/>
        <v>-1.1304347826086953</v>
      </c>
      <c r="AP33" s="86">
        <f t="shared" si="24"/>
        <v>-5.6521739130434769E-2</v>
      </c>
      <c r="AQ33" s="85">
        <f>IFERROR(GETPIVOTDATA("Sum of Qty",'[1]DATA LAST MONTH DEVICE'!$A$6,"ID Store",$C33,"Segment Price","3mio&gt;"),0)</f>
        <v>11</v>
      </c>
      <c r="AR33" s="87">
        <f t="shared" si="25"/>
        <v>11</v>
      </c>
      <c r="AS33" s="87">
        <f t="shared" si="26"/>
        <v>0</v>
      </c>
      <c r="AT33" s="86">
        <f t="shared" si="27"/>
        <v>0</v>
      </c>
      <c r="AU33" s="101">
        <f>IFERROR(GETPIVOTDATA("Sum of SRP",'[1]DATA LAST MONTH DEVICE'!$A$6,"ID Store",$C33),0)</f>
        <v>87185000</v>
      </c>
      <c r="AV33" s="101">
        <f t="shared" si="28"/>
        <v>60586000</v>
      </c>
      <c r="AW33" s="101">
        <f t="shared" si="29"/>
        <v>-26599000</v>
      </c>
      <c r="AX33" s="86">
        <f t="shared" si="30"/>
        <v>-0.30508688421173369</v>
      </c>
      <c r="AY33" s="101">
        <f>IFERROR(VLOOKUP(C33,'[1]DATA SALES LAST MONTH'!A:E,5,0),0)</f>
        <v>5812333.333333333</v>
      </c>
      <c r="AZ33" s="88">
        <f t="shared" si="31"/>
        <v>4327571.4285714282</v>
      </c>
      <c r="BA33" s="88">
        <f t="shared" si="32"/>
        <v>-1484761.9047619049</v>
      </c>
      <c r="BB33" s="98">
        <f t="shared" si="33"/>
        <v>-0.25545023308400039</v>
      </c>
      <c r="BC33" s="81">
        <f>IFERROR(VLOOKUP(C33,'[1]TARGET THIS MONTH'!C:U,15,0),0)</f>
        <v>3</v>
      </c>
      <c r="BD33" s="102">
        <f>IFERROR(GETPIVOTDATA("Sum of Qty",[1]ACC!$A$5,"ID Store",$C33),0)</f>
        <v>1</v>
      </c>
      <c r="BE33" s="86">
        <f t="shared" si="34"/>
        <v>0.33333333333333331</v>
      </c>
      <c r="BF33" s="103">
        <f>IFERROR(VLOOKUP(C33,'[1]TARGET THIS MONTH'!C:U,16,0),0)</f>
        <v>750000</v>
      </c>
      <c r="BG33" s="103">
        <f>IFERROR(GETPIVOTDATA("Sum of SRP",'[1]Insurance by Store'!$A$5,"ID Store",$C33,"Product Type","Qoala"),0)</f>
        <v>488000</v>
      </c>
      <c r="BH33" s="86">
        <f t="shared" si="35"/>
        <v>0.65066666666666662</v>
      </c>
      <c r="BI33" s="103">
        <f>IFERROR(VLOOKUP(C33,'[1]TARGET THIS MONTH'!C:U,17,0),0)</f>
        <v>150000</v>
      </c>
      <c r="BJ33" s="103">
        <f>IFERROR(GETPIVOTDATA("Sum of SRP",'[1]Insurance by Store'!$A$5,"ID Store",$C33,"Product Type","Vivo Care"),0)</f>
        <v>0</v>
      </c>
      <c r="BK33" s="86">
        <f t="shared" si="36"/>
        <v>0</v>
      </c>
      <c r="BL33" s="84">
        <f>IFERROR(VLOOKUP(C33,'[1]TARGET THIS MONTH'!C:U,18,0),0)</f>
        <v>0.9</v>
      </c>
      <c r="BM33" s="85">
        <f>IFERROR(GETPIVOTDATA("Sum of Qty",'[1]Operator by Store'!$A$5,"ID Store",$C33,"Product Type","Indosat"),0)</f>
        <v>0</v>
      </c>
      <c r="BN33" s="86">
        <f t="shared" si="37"/>
        <v>0</v>
      </c>
      <c r="BO33" s="84">
        <f>VLOOKUP(C33,'[1]TARGET THIS MONTH'!C:U,19,0)</f>
        <v>9</v>
      </c>
      <c r="BP33" s="85">
        <f>IFERROR(GETPIVOTDATA("Sum of Qty",'[1]Operator by Store'!$A$5,"ID Store",$C33,"Product Type","Telkomsel"),0)</f>
        <v>0</v>
      </c>
      <c r="BQ33" s="104">
        <f t="shared" si="38"/>
        <v>0</v>
      </c>
    </row>
    <row r="34" spans="1:69" x14ac:dyDescent="0.2">
      <c r="A34" s="75">
        <v>30</v>
      </c>
      <c r="B34" s="76" t="s">
        <v>72</v>
      </c>
      <c r="C34" s="77">
        <v>6240708</v>
      </c>
      <c r="D34" s="78" t="s">
        <v>85</v>
      </c>
      <c r="E34" s="106" t="s">
        <v>74</v>
      </c>
      <c r="F34" s="80">
        <v>2</v>
      </c>
      <c r="G34" s="81">
        <f>IFERROR(VLOOKUP(C34,'[1]TARGET THIS MONTH'!C:E,3,0),0)</f>
        <v>30</v>
      </c>
      <c r="H34" s="82">
        <f>IFERROR(VLOOKUP(C34,'[1]TARGET THIS MONTH'!C:M,11,0),0)</f>
        <v>150000000</v>
      </c>
      <c r="I34" s="81">
        <f>IFERROR(GETPIVOTDATA("Sum of Qty",'[1]DEVICE &amp; VALUE'!$A$6,"ID Store",$C34),0)</f>
        <v>16</v>
      </c>
      <c r="J34" s="83">
        <f t="shared" si="0"/>
        <v>0.53333333333333333</v>
      </c>
      <c r="K34" s="84">
        <f t="shared" si="1"/>
        <v>-14</v>
      </c>
      <c r="L34" s="85">
        <f>IFERROR(GETPIVOTDATA("Sum of Qty",[1]PF!$A$5,"ID Store",$C34),0)</f>
        <v>6</v>
      </c>
      <c r="M34" s="85">
        <f>IFERROR(GETPIVOTDATA("Sum of Qty",'[1]DEVICE &amp; VALUE'!$A$6,"ID Store",$C34,"Segment Price","3mio&gt;"),0)</f>
        <v>9</v>
      </c>
      <c r="N34" s="86">
        <f t="shared" si="2"/>
        <v>0.5625</v>
      </c>
      <c r="O34" s="87">
        <f>IFERROR(GETPIVOTDATA("Sum of Qty",[1]IQOO!$A$6,"ID Store",$C34),0)</f>
        <v>0</v>
      </c>
      <c r="P34" s="86">
        <f t="shared" si="3"/>
        <v>0</v>
      </c>
      <c r="Q34" s="86">
        <f t="shared" si="4"/>
        <v>0.5625</v>
      </c>
      <c r="R34" s="88">
        <f>IFERROR(GETPIVOTDATA("Sum of SRP",'[1]DEVICE &amp; VALUE'!$A$6,"ID Store",$C34),0)</f>
        <v>63684000</v>
      </c>
      <c r="S34" s="86">
        <f t="shared" si="5"/>
        <v>0.42455999999999999</v>
      </c>
      <c r="T34" s="89">
        <f t="shared" si="6"/>
        <v>-86316000</v>
      </c>
      <c r="U34" s="90">
        <f t="shared" si="7"/>
        <v>21.565217391304348</v>
      </c>
      <c r="V34" s="91">
        <f t="shared" si="8"/>
        <v>0.71884057971014492</v>
      </c>
      <c r="W34" s="92">
        <f t="shared" si="9"/>
        <v>-8.4347826086956523</v>
      </c>
      <c r="X34" s="92">
        <f t="shared" si="10"/>
        <v>12.130434782608695</v>
      </c>
      <c r="Y34" s="92">
        <f t="shared" si="11"/>
        <v>-17.869565217391305</v>
      </c>
      <c r="Z34" s="93">
        <f t="shared" si="12"/>
        <v>85834956.521739125</v>
      </c>
      <c r="AA34" s="93">
        <f t="shared" si="13"/>
        <v>-64165043.478260875</v>
      </c>
      <c r="AB34" s="94">
        <f t="shared" si="14"/>
        <v>0.57223304347826087</v>
      </c>
      <c r="AC34" s="95">
        <f t="shared" si="15"/>
        <v>1.75</v>
      </c>
      <c r="AD34" s="96">
        <f t="shared" si="16"/>
        <v>10789500</v>
      </c>
      <c r="AE34" s="81">
        <f>IFERROR(GETPIVOTDATA("Sum of Qty",'[1]DATA LAST MONTH IQOO'!$A$6,"ID Store",$C34),0)</f>
        <v>3</v>
      </c>
      <c r="AF34" s="97">
        <f>IFERROR(GETPIVOTDATA("Sum of Qty",[1]IQOO!$A$6,"ID Store",$C34),0)</f>
        <v>0</v>
      </c>
      <c r="AG34" s="84">
        <f t="shared" si="17"/>
        <v>-3</v>
      </c>
      <c r="AH34" s="98">
        <f t="shared" si="18"/>
        <v>-1</v>
      </c>
      <c r="AI34" s="99">
        <f>IFERROR(GETPIVOTDATA("Sum of Qty",'[1]DATA LAST MONTH DEVICE'!$A$6,"ID Store",$C34),0)</f>
        <v>32</v>
      </c>
      <c r="AJ34" s="100">
        <f t="shared" si="19"/>
        <v>16</v>
      </c>
      <c r="AK34" s="84">
        <f t="shared" si="20"/>
        <v>-16</v>
      </c>
      <c r="AL34" s="86">
        <f t="shared" si="21"/>
        <v>-0.5</v>
      </c>
      <c r="AM34" s="85">
        <f>IFERROR(GETPIVOTDATA("Sum of Qty",'[1]Store 3mio+ last month'!$A$6,"ID Store",$C34),0)</f>
        <v>40</v>
      </c>
      <c r="AN34" s="84">
        <f t="shared" si="22"/>
        <v>21.565217391304348</v>
      </c>
      <c r="AO34" s="84">
        <f t="shared" si="23"/>
        <v>-18.434782608695652</v>
      </c>
      <c r="AP34" s="86">
        <f t="shared" si="24"/>
        <v>-0.46086956521739131</v>
      </c>
      <c r="AQ34" s="85">
        <f>IFERROR(GETPIVOTDATA("Sum of Qty",'[1]DATA LAST MONTH DEVICE'!$A$6,"ID Store",$C34,"Segment Price","3mio&gt;"),0)</f>
        <v>20</v>
      </c>
      <c r="AR34" s="87">
        <f t="shared" si="25"/>
        <v>9</v>
      </c>
      <c r="AS34" s="87">
        <f t="shared" si="26"/>
        <v>-11</v>
      </c>
      <c r="AT34" s="86">
        <f t="shared" si="27"/>
        <v>-0.55000000000000004</v>
      </c>
      <c r="AU34" s="101">
        <f>IFERROR(GETPIVOTDATA("Sum of SRP",'[1]DATA LAST MONTH DEVICE'!$A$6,"ID Store",$C34),0)</f>
        <v>249068000</v>
      </c>
      <c r="AV34" s="101">
        <f t="shared" si="28"/>
        <v>63684000</v>
      </c>
      <c r="AW34" s="101">
        <f t="shared" si="29"/>
        <v>-185384000</v>
      </c>
      <c r="AX34" s="86">
        <f t="shared" si="30"/>
        <v>-0.7443107906274592</v>
      </c>
      <c r="AY34" s="101">
        <f>IFERROR(VLOOKUP(C34,'[1]DATA SALES LAST MONTH'!A:E,5,0),0)</f>
        <v>7783375</v>
      </c>
      <c r="AZ34" s="88">
        <f t="shared" si="31"/>
        <v>3980250</v>
      </c>
      <c r="BA34" s="88">
        <f t="shared" si="32"/>
        <v>-3803125</v>
      </c>
      <c r="BB34" s="98">
        <f t="shared" si="33"/>
        <v>-0.48862158125491834</v>
      </c>
      <c r="BC34" s="81">
        <f>IFERROR(VLOOKUP(C34,'[1]TARGET THIS MONTH'!C:U,15,0),0)</f>
        <v>3</v>
      </c>
      <c r="BD34" s="102">
        <f>IFERROR(GETPIVOTDATA("Sum of Qty",[1]ACC!$A$5,"ID Store",$C34),0)</f>
        <v>2</v>
      </c>
      <c r="BE34" s="86">
        <f t="shared" si="34"/>
        <v>0.66666666666666663</v>
      </c>
      <c r="BF34" s="103">
        <f>IFERROR(VLOOKUP(C34,'[1]TARGET THIS MONTH'!C:U,16,0),0)</f>
        <v>750000</v>
      </c>
      <c r="BG34" s="103">
        <f>IFERROR(GETPIVOTDATA("Sum of SRP",'[1]Insurance by Store'!$A$5,"ID Store",$C34,"Product Type","Qoala"),0)</f>
        <v>249000</v>
      </c>
      <c r="BH34" s="86">
        <f t="shared" si="35"/>
        <v>0.33200000000000002</v>
      </c>
      <c r="BI34" s="103">
        <f>IFERROR(VLOOKUP(C34,'[1]TARGET THIS MONTH'!C:U,17,0),0)</f>
        <v>150000</v>
      </c>
      <c r="BJ34" s="103">
        <f>IFERROR(GETPIVOTDATA("Sum of SRP",'[1]Insurance by Store'!$A$5,"ID Store",$C34,"Product Type","Vivo Care"),0)</f>
        <v>0</v>
      </c>
      <c r="BK34" s="86">
        <f t="shared" si="36"/>
        <v>0</v>
      </c>
      <c r="BL34" s="84">
        <f>IFERROR(VLOOKUP(C34,'[1]TARGET THIS MONTH'!C:U,18,0),0)</f>
        <v>0.9</v>
      </c>
      <c r="BM34" s="85">
        <f>IFERROR(GETPIVOTDATA("Sum of Qty",'[1]Operator by Store'!$A$5,"ID Store",$C34,"Product Type","Indosat"),0)</f>
        <v>0</v>
      </c>
      <c r="BN34" s="86">
        <f t="shared" si="37"/>
        <v>0</v>
      </c>
      <c r="BO34" s="84">
        <f>VLOOKUP(C34,'[1]TARGET THIS MONTH'!C:U,19,0)</f>
        <v>9</v>
      </c>
      <c r="BP34" s="85">
        <f>IFERROR(GETPIVOTDATA("Sum of Qty",'[1]Operator by Store'!$A$5,"ID Store",$C34,"Product Type","Telkomsel"),0)</f>
        <v>0</v>
      </c>
      <c r="BQ34" s="104">
        <f t="shared" si="38"/>
        <v>0</v>
      </c>
    </row>
    <row r="35" spans="1:69" x14ac:dyDescent="0.2">
      <c r="A35" s="75">
        <v>31</v>
      </c>
      <c r="B35" s="76" t="s">
        <v>72</v>
      </c>
      <c r="C35" s="77">
        <v>6240707</v>
      </c>
      <c r="D35" s="78" t="s">
        <v>86</v>
      </c>
      <c r="E35" s="105" t="s">
        <v>87</v>
      </c>
      <c r="F35" s="80">
        <v>2</v>
      </c>
      <c r="G35" s="81">
        <f>IFERROR(VLOOKUP(C35,'[1]TARGET THIS MONTH'!C:E,3,0),0)</f>
        <v>30</v>
      </c>
      <c r="H35" s="82">
        <f>IFERROR(VLOOKUP(C35,'[1]TARGET THIS MONTH'!C:M,11,0),0)</f>
        <v>165000000</v>
      </c>
      <c r="I35" s="81">
        <f>IFERROR(GETPIVOTDATA("Sum of Qty",'[1]DEVICE &amp; VALUE'!$A$6,"ID Store",$C35),0)</f>
        <v>24</v>
      </c>
      <c r="J35" s="83">
        <f t="shared" si="0"/>
        <v>0.8</v>
      </c>
      <c r="K35" s="84">
        <f t="shared" si="1"/>
        <v>-6</v>
      </c>
      <c r="L35" s="85">
        <f>IFERROR(GETPIVOTDATA("Sum of Qty",[1]PF!$A$5,"ID Store",$C35),0)</f>
        <v>9</v>
      </c>
      <c r="M35" s="85">
        <f>IFERROR(GETPIVOTDATA("Sum of Qty",'[1]DEVICE &amp; VALUE'!$A$6,"ID Store",$C35,"Segment Price","3mio&gt;"),0)</f>
        <v>13</v>
      </c>
      <c r="N35" s="86">
        <f t="shared" si="2"/>
        <v>0.54166666666666663</v>
      </c>
      <c r="O35" s="87">
        <f>IFERROR(GETPIVOTDATA("Sum of Qty",[1]IQOO!$A$6,"ID Store",$C35),0)</f>
        <v>0</v>
      </c>
      <c r="P35" s="86">
        <f t="shared" si="3"/>
        <v>0</v>
      </c>
      <c r="Q35" s="86">
        <f t="shared" si="4"/>
        <v>0.54166666666666663</v>
      </c>
      <c r="R35" s="88">
        <f>IFERROR(GETPIVOTDATA("Sum of SRP",'[1]DEVICE &amp; VALUE'!$A$6,"ID Store",$C35),0)</f>
        <v>103076000</v>
      </c>
      <c r="S35" s="86">
        <f t="shared" si="5"/>
        <v>0.62470303030303032</v>
      </c>
      <c r="T35" s="89">
        <f t="shared" si="6"/>
        <v>-61924000</v>
      </c>
      <c r="U35" s="90">
        <f t="shared" si="7"/>
        <v>32.347826086956523</v>
      </c>
      <c r="V35" s="91">
        <f t="shared" si="8"/>
        <v>1.0782608695652174</v>
      </c>
      <c r="W35" s="92">
        <f t="shared" si="9"/>
        <v>2.3478260869565233</v>
      </c>
      <c r="X35" s="92">
        <f t="shared" si="10"/>
        <v>17.521739130434781</v>
      </c>
      <c r="Y35" s="92">
        <f t="shared" si="11"/>
        <v>-12.478260869565219</v>
      </c>
      <c r="Z35" s="93">
        <f t="shared" si="12"/>
        <v>138928521.73913044</v>
      </c>
      <c r="AA35" s="93">
        <f t="shared" si="13"/>
        <v>-26071478.260869563</v>
      </c>
      <c r="AB35" s="94">
        <f t="shared" si="14"/>
        <v>0.84199104084321474</v>
      </c>
      <c r="AC35" s="95">
        <f t="shared" si="15"/>
        <v>0.75</v>
      </c>
      <c r="AD35" s="96">
        <f t="shared" si="16"/>
        <v>7740500</v>
      </c>
      <c r="AE35" s="81">
        <f>IFERROR(GETPIVOTDATA("Sum of Qty",'[1]DATA LAST MONTH IQOO'!$A$6,"ID Store",$C35),0)</f>
        <v>4</v>
      </c>
      <c r="AF35" s="97">
        <f>IFERROR(GETPIVOTDATA("Sum of Qty",[1]IQOO!$A$6,"ID Store",$C35),0)</f>
        <v>0</v>
      </c>
      <c r="AG35" s="84">
        <f t="shared" si="17"/>
        <v>-4</v>
      </c>
      <c r="AH35" s="98">
        <f t="shared" si="18"/>
        <v>-1</v>
      </c>
      <c r="AI35" s="99">
        <f>IFERROR(GETPIVOTDATA("Sum of Qty",'[1]DATA LAST MONTH DEVICE'!$A$6,"ID Store",$C35),0)</f>
        <v>18</v>
      </c>
      <c r="AJ35" s="100">
        <f t="shared" si="19"/>
        <v>24</v>
      </c>
      <c r="AK35" s="84">
        <f t="shared" si="20"/>
        <v>6</v>
      </c>
      <c r="AL35" s="86">
        <f t="shared" si="21"/>
        <v>0.33333333333333331</v>
      </c>
      <c r="AM35" s="85">
        <f>IFERROR(GETPIVOTDATA("Sum of Qty",'[1]Store 3mio+ last month'!$A$6,"ID Store",$C35),0)</f>
        <v>20</v>
      </c>
      <c r="AN35" s="84">
        <f t="shared" si="22"/>
        <v>32.347826086956523</v>
      </c>
      <c r="AO35" s="84">
        <f t="shared" si="23"/>
        <v>12.347826086956523</v>
      </c>
      <c r="AP35" s="86">
        <f t="shared" si="24"/>
        <v>0.61739130434782619</v>
      </c>
      <c r="AQ35" s="85">
        <f>IFERROR(GETPIVOTDATA("Sum of Qty",'[1]DATA LAST MONTH DEVICE'!$A$6,"ID Store",$C35,"Segment Price","3mio&gt;"),0)</f>
        <v>12</v>
      </c>
      <c r="AR35" s="87">
        <f t="shared" si="25"/>
        <v>13</v>
      </c>
      <c r="AS35" s="87">
        <f t="shared" si="26"/>
        <v>1</v>
      </c>
      <c r="AT35" s="86">
        <f t="shared" si="27"/>
        <v>8.3333333333333329E-2</v>
      </c>
      <c r="AU35" s="101">
        <f>IFERROR(GETPIVOTDATA("Sum of SRP",'[1]DATA LAST MONTH DEVICE'!$A$6,"ID Store",$C35),0)</f>
        <v>138382000</v>
      </c>
      <c r="AV35" s="101">
        <f t="shared" si="28"/>
        <v>103076000</v>
      </c>
      <c r="AW35" s="101">
        <f t="shared" si="29"/>
        <v>-35306000</v>
      </c>
      <c r="AX35" s="86">
        <f t="shared" si="30"/>
        <v>-0.2551343382809903</v>
      </c>
      <c r="AY35" s="101">
        <f>IFERROR(VLOOKUP(C35,'[1]DATA SALES LAST MONTH'!A:E,5,0),0)</f>
        <v>7687888.888888889</v>
      </c>
      <c r="AZ35" s="88">
        <f t="shared" si="31"/>
        <v>4294833.333333333</v>
      </c>
      <c r="BA35" s="88">
        <f t="shared" si="32"/>
        <v>-3393055.555555556</v>
      </c>
      <c r="BB35" s="98">
        <f t="shared" si="33"/>
        <v>-0.44135075371074278</v>
      </c>
      <c r="BC35" s="81">
        <f>IFERROR(VLOOKUP(C35,'[1]TARGET THIS MONTH'!C:U,15,0),0)</f>
        <v>3</v>
      </c>
      <c r="BD35" s="102">
        <f>IFERROR(GETPIVOTDATA("Sum of Qty",[1]ACC!$A$5,"ID Store",$C35),0)</f>
        <v>2</v>
      </c>
      <c r="BE35" s="86">
        <f t="shared" si="34"/>
        <v>0.66666666666666663</v>
      </c>
      <c r="BF35" s="103">
        <f>IFERROR(VLOOKUP(C35,'[1]TARGET THIS MONTH'!C:U,16,0),0)</f>
        <v>825000</v>
      </c>
      <c r="BG35" s="103">
        <f>IFERROR(GETPIVOTDATA("Sum of SRP",'[1]Insurance by Store'!$A$5,"ID Store",$C35,"Product Type","Qoala"),0)</f>
        <v>0</v>
      </c>
      <c r="BH35" s="86">
        <f t="shared" si="35"/>
        <v>0</v>
      </c>
      <c r="BI35" s="103">
        <f>IFERROR(VLOOKUP(C35,'[1]TARGET THIS MONTH'!C:U,17,0),0)</f>
        <v>165000</v>
      </c>
      <c r="BJ35" s="103">
        <f>IFERROR(GETPIVOTDATA("Sum of SRP",'[1]Insurance by Store'!$A$5,"ID Store",$C35,"Product Type","Vivo Care"),0)</f>
        <v>0</v>
      </c>
      <c r="BK35" s="86">
        <f t="shared" si="36"/>
        <v>0</v>
      </c>
      <c r="BL35" s="84">
        <f>IFERROR(VLOOKUP(C35,'[1]TARGET THIS MONTH'!C:U,18,0),0)</f>
        <v>0.9</v>
      </c>
      <c r="BM35" s="85">
        <f>IFERROR(GETPIVOTDATA("Sum of Qty",'[1]Operator by Store'!$A$5,"ID Store",$C35,"Product Type","Indosat"),0)</f>
        <v>0</v>
      </c>
      <c r="BN35" s="86">
        <f t="shared" si="37"/>
        <v>0</v>
      </c>
      <c r="BO35" s="84">
        <f>VLOOKUP(C35,'[1]TARGET THIS MONTH'!C:U,19,0)</f>
        <v>9</v>
      </c>
      <c r="BP35" s="85">
        <f>IFERROR(GETPIVOTDATA("Sum of Qty",'[1]Operator by Store'!$A$5,"ID Store",$C35,"Product Type","Telkomsel"),0)</f>
        <v>0</v>
      </c>
      <c r="BQ35" s="104">
        <f t="shared" si="38"/>
        <v>0</v>
      </c>
    </row>
    <row r="36" spans="1:69" x14ac:dyDescent="0.2">
      <c r="A36" s="75">
        <v>32</v>
      </c>
      <c r="B36" s="76" t="s">
        <v>72</v>
      </c>
      <c r="C36" s="77">
        <v>6240706</v>
      </c>
      <c r="D36" s="78" t="s">
        <v>88</v>
      </c>
      <c r="E36" s="105" t="s">
        <v>87</v>
      </c>
      <c r="F36" s="80">
        <v>2</v>
      </c>
      <c r="G36" s="81">
        <f>IFERROR(VLOOKUP(C36,'[1]TARGET THIS MONTH'!C:E,3,0),0)</f>
        <v>30</v>
      </c>
      <c r="H36" s="82">
        <f>IFERROR(VLOOKUP(C36,'[1]TARGET THIS MONTH'!C:M,11,0),0)</f>
        <v>165000000</v>
      </c>
      <c r="I36" s="81">
        <f>IFERROR(GETPIVOTDATA("Sum of Qty",'[1]DEVICE &amp; VALUE'!$A$6,"ID Store",$C36),0)</f>
        <v>19</v>
      </c>
      <c r="J36" s="83">
        <f t="shared" si="0"/>
        <v>0.6333333333333333</v>
      </c>
      <c r="K36" s="84">
        <f t="shared" si="1"/>
        <v>-11</v>
      </c>
      <c r="L36" s="85">
        <f>IFERROR(GETPIVOTDATA("Sum of Qty",[1]PF!$A$5,"ID Store",$C36),0)</f>
        <v>3</v>
      </c>
      <c r="M36" s="85">
        <f>IFERROR(GETPIVOTDATA("Sum of Qty",'[1]DEVICE &amp; VALUE'!$A$6,"ID Store",$C36,"Segment Price","3mio&gt;"),0)</f>
        <v>8</v>
      </c>
      <c r="N36" s="86">
        <f t="shared" si="2"/>
        <v>0.42105263157894735</v>
      </c>
      <c r="O36" s="87">
        <f>IFERROR(GETPIVOTDATA("Sum of Qty",[1]IQOO!$A$6,"ID Store",$C36),0)</f>
        <v>1</v>
      </c>
      <c r="P36" s="86">
        <f t="shared" si="3"/>
        <v>5.2631578947368418E-2</v>
      </c>
      <c r="Q36" s="86">
        <f t="shared" si="4"/>
        <v>0.42105263157894735</v>
      </c>
      <c r="R36" s="88">
        <f>IFERROR(GETPIVOTDATA("Sum of SRP",'[1]DEVICE &amp; VALUE'!$A$6,"ID Store",$C36),0)</f>
        <v>78381000</v>
      </c>
      <c r="S36" s="86">
        <f t="shared" si="5"/>
        <v>0.47503636363636365</v>
      </c>
      <c r="T36" s="89">
        <f t="shared" si="6"/>
        <v>-86619000</v>
      </c>
      <c r="U36" s="90">
        <f t="shared" si="7"/>
        <v>25.608695652173914</v>
      </c>
      <c r="V36" s="91">
        <f t="shared" si="8"/>
        <v>0.8536231884057971</v>
      </c>
      <c r="W36" s="92">
        <f t="shared" si="9"/>
        <v>-4.391304347826086</v>
      </c>
      <c r="X36" s="92">
        <f t="shared" si="10"/>
        <v>10.782608695652174</v>
      </c>
      <c r="Y36" s="92">
        <f t="shared" si="11"/>
        <v>-19.217391304347828</v>
      </c>
      <c r="Z36" s="93">
        <f t="shared" si="12"/>
        <v>105643956.52173913</v>
      </c>
      <c r="AA36" s="93">
        <f t="shared" si="13"/>
        <v>-59356043.478260875</v>
      </c>
      <c r="AB36" s="94">
        <f t="shared" si="14"/>
        <v>0.6402664031620553</v>
      </c>
      <c r="AC36" s="95">
        <f t="shared" si="15"/>
        <v>1.375</v>
      </c>
      <c r="AD36" s="96">
        <f t="shared" si="16"/>
        <v>10827375</v>
      </c>
      <c r="AE36" s="81">
        <f>IFERROR(GETPIVOTDATA("Sum of Qty",'[1]DATA LAST MONTH IQOO'!$A$6,"ID Store",$C36),0)</f>
        <v>3</v>
      </c>
      <c r="AF36" s="97">
        <f>IFERROR(GETPIVOTDATA("Sum of Qty",[1]IQOO!$A$6,"ID Store",$C36),0)</f>
        <v>1</v>
      </c>
      <c r="AG36" s="84">
        <f t="shared" si="17"/>
        <v>-2</v>
      </c>
      <c r="AH36" s="98">
        <f t="shared" si="18"/>
        <v>-0.66666666666666663</v>
      </c>
      <c r="AI36" s="99">
        <f>IFERROR(GETPIVOTDATA("Sum of Qty",'[1]DATA LAST MONTH DEVICE'!$A$6,"ID Store",$C36),0)</f>
        <v>26</v>
      </c>
      <c r="AJ36" s="100">
        <f t="shared" si="19"/>
        <v>19</v>
      </c>
      <c r="AK36" s="84">
        <f t="shared" si="20"/>
        <v>-7</v>
      </c>
      <c r="AL36" s="86">
        <f t="shared" si="21"/>
        <v>-0.26923076923076922</v>
      </c>
      <c r="AM36" s="85">
        <f>IFERROR(GETPIVOTDATA("Sum of Qty",'[1]Store 3mio+ last month'!$A$6,"ID Store",$C36),0)</f>
        <v>30</v>
      </c>
      <c r="AN36" s="84">
        <f t="shared" si="22"/>
        <v>25.608695652173914</v>
      </c>
      <c r="AO36" s="84">
        <f t="shared" si="23"/>
        <v>-4.391304347826086</v>
      </c>
      <c r="AP36" s="86">
        <f t="shared" si="24"/>
        <v>-0.14637681159420288</v>
      </c>
      <c r="AQ36" s="85">
        <f>IFERROR(GETPIVOTDATA("Sum of Qty",'[1]DATA LAST MONTH DEVICE'!$A$6,"ID Store",$C36,"Segment Price","3mio&gt;"),0)</f>
        <v>19</v>
      </c>
      <c r="AR36" s="87">
        <f t="shared" si="25"/>
        <v>8</v>
      </c>
      <c r="AS36" s="87">
        <f t="shared" si="26"/>
        <v>-11</v>
      </c>
      <c r="AT36" s="86">
        <f t="shared" si="27"/>
        <v>-0.57894736842105265</v>
      </c>
      <c r="AU36" s="101">
        <f>IFERROR(GETPIVOTDATA("Sum of SRP",'[1]DATA LAST MONTH DEVICE'!$A$6,"ID Store",$C36),0)</f>
        <v>160174000</v>
      </c>
      <c r="AV36" s="101">
        <f t="shared" si="28"/>
        <v>78381000</v>
      </c>
      <c r="AW36" s="101">
        <f t="shared" si="29"/>
        <v>-81793000</v>
      </c>
      <c r="AX36" s="86">
        <f t="shared" si="30"/>
        <v>-0.51065091712762367</v>
      </c>
      <c r="AY36" s="101">
        <f>IFERROR(VLOOKUP(C36,'[1]DATA SALES LAST MONTH'!A:E,5,0),0)</f>
        <v>6160538.461538462</v>
      </c>
      <c r="AZ36" s="88">
        <f t="shared" si="31"/>
        <v>4125315.789473684</v>
      </c>
      <c r="BA36" s="88">
        <f t="shared" si="32"/>
        <v>-2035222.6720647779</v>
      </c>
      <c r="BB36" s="98">
        <f t="shared" si="33"/>
        <v>-0.33036441291148516</v>
      </c>
      <c r="BC36" s="81">
        <f>IFERROR(VLOOKUP(C36,'[1]TARGET THIS MONTH'!C:U,15,0),0)</f>
        <v>3</v>
      </c>
      <c r="BD36" s="102">
        <f>IFERROR(GETPIVOTDATA("Sum of Qty",[1]ACC!$A$5,"ID Store",$C36),0)</f>
        <v>1</v>
      </c>
      <c r="BE36" s="86">
        <f t="shared" si="34"/>
        <v>0.33333333333333331</v>
      </c>
      <c r="BF36" s="103">
        <f>IFERROR(VLOOKUP(C36,'[1]TARGET THIS MONTH'!C:U,16,0),0)</f>
        <v>825000</v>
      </c>
      <c r="BG36" s="103">
        <f>IFERROR(GETPIVOTDATA("Sum of SRP",'[1]Insurance by Store'!$A$5,"ID Store",$C36,"Product Type","Qoala"),0)</f>
        <v>658000</v>
      </c>
      <c r="BH36" s="86">
        <f t="shared" si="35"/>
        <v>0.7975757575757576</v>
      </c>
      <c r="BI36" s="103">
        <f>IFERROR(VLOOKUP(C36,'[1]TARGET THIS MONTH'!C:U,17,0),0)</f>
        <v>165000</v>
      </c>
      <c r="BJ36" s="103">
        <f>IFERROR(GETPIVOTDATA("Sum of SRP",'[1]Insurance by Store'!$A$5,"ID Store",$C36,"Product Type","Vivo Care"),0)</f>
        <v>0</v>
      </c>
      <c r="BK36" s="86">
        <f t="shared" si="36"/>
        <v>0</v>
      </c>
      <c r="BL36" s="84">
        <f>IFERROR(VLOOKUP(C36,'[1]TARGET THIS MONTH'!C:U,18,0),0)</f>
        <v>0.9</v>
      </c>
      <c r="BM36" s="85">
        <f>IFERROR(GETPIVOTDATA("Sum of Qty",'[1]Operator by Store'!$A$5,"ID Store",$C36,"Product Type","Indosat"),0)</f>
        <v>0</v>
      </c>
      <c r="BN36" s="86">
        <f t="shared" si="37"/>
        <v>0</v>
      </c>
      <c r="BO36" s="84">
        <f>VLOOKUP(C36,'[1]TARGET THIS MONTH'!C:U,19,0)</f>
        <v>9</v>
      </c>
      <c r="BP36" s="85">
        <f>IFERROR(GETPIVOTDATA("Sum of Qty",'[1]Operator by Store'!$A$5,"ID Store",$C36,"Product Type","Telkomsel"),0)</f>
        <v>0</v>
      </c>
      <c r="BQ36" s="104">
        <f t="shared" si="38"/>
        <v>0</v>
      </c>
    </row>
    <row r="37" spans="1:69" x14ac:dyDescent="0.2">
      <c r="A37" s="75">
        <v>33</v>
      </c>
      <c r="B37" s="76" t="s">
        <v>89</v>
      </c>
      <c r="C37" s="77">
        <v>6190701</v>
      </c>
      <c r="D37" s="78" t="s">
        <v>90</v>
      </c>
      <c r="E37" s="105" t="s">
        <v>91</v>
      </c>
      <c r="F37" s="80">
        <v>1</v>
      </c>
      <c r="G37" s="81">
        <f>IFERROR(VLOOKUP(C37,'[1]TARGET THIS MONTH'!C:E,3,0),0)</f>
        <v>50</v>
      </c>
      <c r="H37" s="82">
        <f>IFERROR(VLOOKUP(C37,'[1]TARGET THIS MONTH'!C:M,11,0),0)</f>
        <v>215000000</v>
      </c>
      <c r="I37" s="81">
        <f>IFERROR(GETPIVOTDATA("Sum of Qty",'[1]DEVICE &amp; VALUE'!$A$6,"ID Store",$C37),0)</f>
        <v>35</v>
      </c>
      <c r="J37" s="83">
        <f t="shared" si="0"/>
        <v>0.7</v>
      </c>
      <c r="K37" s="84">
        <f t="shared" si="1"/>
        <v>-15</v>
      </c>
      <c r="L37" s="85">
        <f>IFERROR(GETPIVOTDATA("Sum of Qty",[1]PF!$A$5,"ID Store",$C37),0)</f>
        <v>7</v>
      </c>
      <c r="M37" s="85">
        <f>IFERROR(GETPIVOTDATA("Sum of Qty",'[1]DEVICE &amp; VALUE'!$A$6,"ID Store",$C37,"Segment Price","3mio&gt;"),0)</f>
        <v>11</v>
      </c>
      <c r="N37" s="86">
        <f t="shared" si="2"/>
        <v>0.31428571428571428</v>
      </c>
      <c r="O37" s="87">
        <f>IFERROR(GETPIVOTDATA("Sum of Qty",[1]IQOO!$A$6,"ID Store",$C37),0)</f>
        <v>2</v>
      </c>
      <c r="P37" s="86">
        <f t="shared" si="3"/>
        <v>5.7142857142857141E-2</v>
      </c>
      <c r="Q37" s="86">
        <f t="shared" si="4"/>
        <v>0.31428571428571428</v>
      </c>
      <c r="R37" s="88">
        <f>IFERROR(GETPIVOTDATA("Sum of SRP",'[1]DEVICE &amp; VALUE'!$A$6,"ID Store",$C37),0)</f>
        <v>105865000</v>
      </c>
      <c r="S37" s="86">
        <f t="shared" si="5"/>
        <v>0.49239534883720931</v>
      </c>
      <c r="T37" s="89">
        <f t="shared" si="6"/>
        <v>-109135000</v>
      </c>
      <c r="U37" s="90">
        <f t="shared" si="7"/>
        <v>47.173913043478265</v>
      </c>
      <c r="V37" s="91">
        <f t="shared" si="8"/>
        <v>0.94347826086956532</v>
      </c>
      <c r="W37" s="92">
        <f t="shared" si="9"/>
        <v>-2.8260869565217348</v>
      </c>
      <c r="X37" s="92">
        <f t="shared" si="10"/>
        <v>14.82608695652174</v>
      </c>
      <c r="Y37" s="92">
        <f t="shared" si="11"/>
        <v>-35.173913043478258</v>
      </c>
      <c r="Z37" s="93">
        <f t="shared" si="12"/>
        <v>142687608.69565216</v>
      </c>
      <c r="AA37" s="93">
        <f t="shared" si="13"/>
        <v>-72312391.304347843</v>
      </c>
      <c r="AB37" s="94">
        <f t="shared" si="14"/>
        <v>0.66366329625884724</v>
      </c>
      <c r="AC37" s="95">
        <f t="shared" si="15"/>
        <v>1.875</v>
      </c>
      <c r="AD37" s="96">
        <f t="shared" si="16"/>
        <v>13641875</v>
      </c>
      <c r="AE37" s="81">
        <f>IFERROR(GETPIVOTDATA("Sum of Qty",'[1]DATA LAST MONTH IQOO'!$A$6,"ID Store",$C37),0)</f>
        <v>6</v>
      </c>
      <c r="AF37" s="97">
        <f>IFERROR(GETPIVOTDATA("Sum of Qty",[1]IQOO!$A$6,"ID Store",$C37),0)</f>
        <v>2</v>
      </c>
      <c r="AG37" s="84">
        <f t="shared" si="17"/>
        <v>-4</v>
      </c>
      <c r="AH37" s="98">
        <f t="shared" si="18"/>
        <v>-0.66666666666666663</v>
      </c>
      <c r="AI37" s="99">
        <f>IFERROR(GETPIVOTDATA("Sum of Qty",'[1]DATA LAST MONTH DEVICE'!$A$6,"ID Store",$C37),0)</f>
        <v>45</v>
      </c>
      <c r="AJ37" s="100">
        <f t="shared" si="19"/>
        <v>35</v>
      </c>
      <c r="AK37" s="84">
        <f t="shared" si="20"/>
        <v>-10</v>
      </c>
      <c r="AL37" s="86">
        <f t="shared" si="21"/>
        <v>-0.22222222222222221</v>
      </c>
      <c r="AM37" s="85">
        <f>IFERROR(GETPIVOTDATA("Sum of Qty",'[1]Store 3mio+ last month'!$A$6,"ID Store",$C37),0)</f>
        <v>53</v>
      </c>
      <c r="AN37" s="84">
        <f t="shared" si="22"/>
        <v>47.173913043478265</v>
      </c>
      <c r="AO37" s="84">
        <f t="shared" si="23"/>
        <v>-5.8260869565217348</v>
      </c>
      <c r="AP37" s="86">
        <f t="shared" si="24"/>
        <v>-0.10992616899097613</v>
      </c>
      <c r="AQ37" s="85">
        <f>IFERROR(GETPIVOTDATA("Sum of Qty",'[1]DATA LAST MONTH DEVICE'!$A$6,"ID Store",$C37,"Segment Price","3mio&gt;"),0)</f>
        <v>20</v>
      </c>
      <c r="AR37" s="87">
        <f t="shared" si="25"/>
        <v>11</v>
      </c>
      <c r="AS37" s="87">
        <f t="shared" si="26"/>
        <v>-9</v>
      </c>
      <c r="AT37" s="86">
        <f t="shared" si="27"/>
        <v>-0.45</v>
      </c>
      <c r="AU37" s="101">
        <f>IFERROR(GETPIVOTDATA("Sum of SRP",'[1]DATA LAST MONTH DEVICE'!$A$6,"ID Store",$C37),0)</f>
        <v>278255000</v>
      </c>
      <c r="AV37" s="101">
        <f t="shared" si="28"/>
        <v>105865000</v>
      </c>
      <c r="AW37" s="101">
        <f t="shared" si="29"/>
        <v>-172390000</v>
      </c>
      <c r="AX37" s="86">
        <f t="shared" si="30"/>
        <v>-0.61953963091408959</v>
      </c>
      <c r="AY37" s="101">
        <f>IFERROR(VLOOKUP(C37,'[1]DATA SALES LAST MONTH'!A:E,5,0),0)</f>
        <v>6183444.444444444</v>
      </c>
      <c r="AZ37" s="88">
        <f t="shared" si="31"/>
        <v>3024714.285714285</v>
      </c>
      <c r="BA37" s="88">
        <f t="shared" si="32"/>
        <v>-3158730.158730159</v>
      </c>
      <c r="BB37" s="98">
        <f t="shared" si="33"/>
        <v>-0.51083666831811525</v>
      </c>
      <c r="BC37" s="81">
        <f>IFERROR(VLOOKUP(C37,'[1]TARGET THIS MONTH'!C:U,15,0),0)</f>
        <v>5</v>
      </c>
      <c r="BD37" s="102">
        <f>IFERROR(GETPIVOTDATA("Sum of Qty",[1]ACC!$A$5,"ID Store",$C37),0)</f>
        <v>9</v>
      </c>
      <c r="BE37" s="86">
        <f t="shared" si="34"/>
        <v>1.8</v>
      </c>
      <c r="BF37" s="103">
        <f>IFERROR(VLOOKUP(C37,'[1]TARGET THIS MONTH'!C:U,16,0),0)</f>
        <v>1075000</v>
      </c>
      <c r="BG37" s="103">
        <f>IFERROR(GETPIVOTDATA("Sum of SRP",'[1]Insurance by Store'!$A$5,"ID Store",$C37,"Product Type","Qoala"),0)</f>
        <v>249000</v>
      </c>
      <c r="BH37" s="86">
        <f t="shared" si="35"/>
        <v>0.23162790697674418</v>
      </c>
      <c r="BI37" s="103">
        <f>IFERROR(VLOOKUP(C37,'[1]TARGET THIS MONTH'!C:U,17,0),0)</f>
        <v>215000</v>
      </c>
      <c r="BJ37" s="103">
        <f>IFERROR(GETPIVOTDATA("Sum of SRP",'[1]Insurance by Store'!$A$5,"ID Store",$C37,"Product Type","Vivo Care"),0)</f>
        <v>0</v>
      </c>
      <c r="BK37" s="86">
        <f t="shared" si="36"/>
        <v>0</v>
      </c>
      <c r="BL37" s="84">
        <f>IFERROR(VLOOKUP(C37,'[1]TARGET THIS MONTH'!C:U,18,0),0)</f>
        <v>1.5</v>
      </c>
      <c r="BM37" s="85">
        <f>IFERROR(GETPIVOTDATA("Sum of Qty",'[1]Operator by Store'!$A$5,"ID Store",$C37,"Product Type","Indosat"),0)</f>
        <v>0</v>
      </c>
      <c r="BN37" s="86">
        <f t="shared" si="37"/>
        <v>0</v>
      </c>
      <c r="BO37" s="84">
        <f>VLOOKUP(C37,'[1]TARGET THIS MONTH'!C:U,19,0)</f>
        <v>15</v>
      </c>
      <c r="BP37" s="85">
        <f>IFERROR(GETPIVOTDATA("Sum of Qty",'[1]Operator by Store'!$A$5,"ID Store",$C37,"Product Type","Telkomsel"),0)</f>
        <v>0</v>
      </c>
      <c r="BQ37" s="104">
        <f t="shared" si="38"/>
        <v>0</v>
      </c>
    </row>
    <row r="38" spans="1:69" x14ac:dyDescent="0.2">
      <c r="A38" s="75">
        <v>34</v>
      </c>
      <c r="B38" s="76" t="s">
        <v>89</v>
      </c>
      <c r="C38" s="77">
        <v>6190706</v>
      </c>
      <c r="D38" s="78" t="s">
        <v>92</v>
      </c>
      <c r="E38" s="105" t="s">
        <v>91</v>
      </c>
      <c r="F38" s="80">
        <v>4</v>
      </c>
      <c r="G38" s="81">
        <f>IFERROR(VLOOKUP(C38,'[1]TARGET THIS MONTH'!C:E,3,0),0)</f>
        <v>110</v>
      </c>
      <c r="H38" s="82">
        <f>IFERROR(VLOOKUP(C38,'[1]TARGET THIS MONTH'!C:M,11,0),0)</f>
        <v>473000000</v>
      </c>
      <c r="I38" s="81">
        <f>IFERROR(GETPIVOTDATA("Sum of Qty",'[1]DEVICE &amp; VALUE'!$A$6,"ID Store",$C38),0)</f>
        <v>100</v>
      </c>
      <c r="J38" s="83">
        <f t="shared" si="0"/>
        <v>0.90909090909090906</v>
      </c>
      <c r="K38" s="84">
        <f t="shared" si="1"/>
        <v>-10</v>
      </c>
      <c r="L38" s="85">
        <f>IFERROR(GETPIVOTDATA("Sum of Qty",[1]PF!$A$5,"ID Store",$C38),0)</f>
        <v>26</v>
      </c>
      <c r="M38" s="85">
        <f>IFERROR(GETPIVOTDATA("Sum of Qty",'[1]DEVICE &amp; VALUE'!$A$6,"ID Store",$C38,"Segment Price","3mio&gt;"),0)</f>
        <v>44</v>
      </c>
      <c r="N38" s="86">
        <f t="shared" si="2"/>
        <v>0.44</v>
      </c>
      <c r="O38" s="87">
        <f>IFERROR(GETPIVOTDATA("Sum of Qty",[1]IQOO!$A$6,"ID Store",$C38),0)</f>
        <v>6</v>
      </c>
      <c r="P38" s="86">
        <f t="shared" si="3"/>
        <v>0.06</v>
      </c>
      <c r="Q38" s="86">
        <f t="shared" si="4"/>
        <v>0.44</v>
      </c>
      <c r="R38" s="88">
        <f>IFERROR(GETPIVOTDATA("Sum of SRP",'[1]DEVICE &amp; VALUE'!$A$6,"ID Store",$C38),0)</f>
        <v>452200000</v>
      </c>
      <c r="S38" s="86">
        <f t="shared" si="5"/>
        <v>0.95602536997885834</v>
      </c>
      <c r="T38" s="89">
        <f t="shared" si="6"/>
        <v>-20800000</v>
      </c>
      <c r="U38" s="90">
        <f t="shared" si="7"/>
        <v>134.78260869565216</v>
      </c>
      <c r="V38" s="91">
        <f t="shared" si="8"/>
        <v>1.2252964426877468</v>
      </c>
      <c r="W38" s="92">
        <f t="shared" si="9"/>
        <v>24.782608695652158</v>
      </c>
      <c r="X38" s="92">
        <f t="shared" si="10"/>
        <v>59.304347826086961</v>
      </c>
      <c r="Y38" s="92">
        <f t="shared" si="11"/>
        <v>-50.695652173913039</v>
      </c>
      <c r="Z38" s="93">
        <f t="shared" si="12"/>
        <v>609486956.52173913</v>
      </c>
      <c r="AA38" s="93">
        <f t="shared" si="13"/>
        <v>136486956.52173913</v>
      </c>
      <c r="AB38" s="94">
        <f t="shared" si="14"/>
        <v>1.2885559334497656</v>
      </c>
      <c r="AC38" s="95">
        <f t="shared" si="15"/>
        <v>1.25</v>
      </c>
      <c r="AD38" s="96">
        <f t="shared" si="16"/>
        <v>2600000</v>
      </c>
      <c r="AE38" s="81">
        <f>IFERROR(GETPIVOTDATA("Sum of Qty",'[1]DATA LAST MONTH IQOO'!$A$6,"ID Store",$C38),0)</f>
        <v>4</v>
      </c>
      <c r="AF38" s="97">
        <f>IFERROR(GETPIVOTDATA("Sum of Qty",[1]IQOO!$A$6,"ID Store",$C38),0)</f>
        <v>6</v>
      </c>
      <c r="AG38" s="84">
        <f t="shared" si="17"/>
        <v>2</v>
      </c>
      <c r="AH38" s="98">
        <f t="shared" si="18"/>
        <v>0.5</v>
      </c>
      <c r="AI38" s="99">
        <f>IFERROR(GETPIVOTDATA("Sum of Qty",'[1]DATA LAST MONTH DEVICE'!$A$6,"ID Store",$C38),0)</f>
        <v>95</v>
      </c>
      <c r="AJ38" s="100">
        <f t="shared" si="19"/>
        <v>100</v>
      </c>
      <c r="AK38" s="84">
        <f t="shared" si="20"/>
        <v>5</v>
      </c>
      <c r="AL38" s="86">
        <f t="shared" si="21"/>
        <v>5.2631578947368418E-2</v>
      </c>
      <c r="AM38" s="85">
        <f>IFERROR(GETPIVOTDATA("Sum of Qty",'[1]Store 3mio+ last month'!$A$6,"ID Store",$C38),0)</f>
        <v>116</v>
      </c>
      <c r="AN38" s="84">
        <f t="shared" si="22"/>
        <v>134.78260869565216</v>
      </c>
      <c r="AO38" s="84">
        <f t="shared" si="23"/>
        <v>18.782608695652158</v>
      </c>
      <c r="AP38" s="86">
        <f t="shared" si="24"/>
        <v>0.16191904047975997</v>
      </c>
      <c r="AQ38" s="85">
        <f>IFERROR(GETPIVOTDATA("Sum of Qty",'[1]DATA LAST MONTH DEVICE'!$A$6,"ID Store",$C38,"Segment Price","3mio&gt;"),0)</f>
        <v>39</v>
      </c>
      <c r="AR38" s="87">
        <f t="shared" si="25"/>
        <v>44</v>
      </c>
      <c r="AS38" s="87">
        <f t="shared" si="26"/>
        <v>5</v>
      </c>
      <c r="AT38" s="86">
        <f t="shared" si="27"/>
        <v>0.12820512820512819</v>
      </c>
      <c r="AU38" s="101">
        <f>IFERROR(GETPIVOTDATA("Sum of SRP",'[1]DATA LAST MONTH DEVICE'!$A$6,"ID Store",$C38),0)</f>
        <v>357505000</v>
      </c>
      <c r="AV38" s="101">
        <f t="shared" si="28"/>
        <v>452200000</v>
      </c>
      <c r="AW38" s="101">
        <f t="shared" si="29"/>
        <v>94695000</v>
      </c>
      <c r="AX38" s="86">
        <f t="shared" si="30"/>
        <v>0.26487741430189787</v>
      </c>
      <c r="AY38" s="101">
        <f>IFERROR(VLOOKUP(C38,'[1]DATA SALES LAST MONTH'!A:E,5,0),0)</f>
        <v>3763210.5263157897</v>
      </c>
      <c r="AZ38" s="88">
        <f t="shared" si="31"/>
        <v>4522000.0000000009</v>
      </c>
      <c r="BA38" s="88">
        <f t="shared" si="32"/>
        <v>758789.47368421126</v>
      </c>
      <c r="BB38" s="98">
        <f t="shared" si="33"/>
        <v>0.20163354358680316</v>
      </c>
      <c r="BC38" s="81">
        <f>IFERROR(VLOOKUP(C38,'[1]TARGET THIS MONTH'!C:U,15,0),0)</f>
        <v>11</v>
      </c>
      <c r="BD38" s="102">
        <f>IFERROR(GETPIVOTDATA("Sum of Qty",[1]ACC!$A$5,"ID Store",$C38),0)</f>
        <v>10</v>
      </c>
      <c r="BE38" s="86">
        <f t="shared" si="34"/>
        <v>0.90909090909090906</v>
      </c>
      <c r="BF38" s="103">
        <f>IFERROR(VLOOKUP(C38,'[1]TARGET THIS MONTH'!C:U,16,0),0)</f>
        <v>2365000</v>
      </c>
      <c r="BG38" s="103">
        <f>IFERROR(GETPIVOTDATA("Sum of SRP",'[1]Insurance by Store'!$A$5,"ID Store",$C38,"Product Type","Qoala"),0)</f>
        <v>1475000</v>
      </c>
      <c r="BH38" s="86">
        <f t="shared" si="35"/>
        <v>0.62367864693446085</v>
      </c>
      <c r="BI38" s="103">
        <f>IFERROR(VLOOKUP(C38,'[1]TARGET THIS MONTH'!C:U,17,0),0)</f>
        <v>473000</v>
      </c>
      <c r="BJ38" s="103">
        <f>IFERROR(GETPIVOTDATA("Sum of SRP",'[1]Insurance by Store'!$A$5,"ID Store",$C38,"Product Type","Vivo Care"),0)</f>
        <v>0</v>
      </c>
      <c r="BK38" s="86">
        <f t="shared" si="36"/>
        <v>0</v>
      </c>
      <c r="BL38" s="84">
        <f>IFERROR(VLOOKUP(C38,'[1]TARGET THIS MONTH'!C:U,18,0),0)</f>
        <v>3.3</v>
      </c>
      <c r="BM38" s="85">
        <f>IFERROR(GETPIVOTDATA("Sum of Qty",'[1]Operator by Store'!$A$5,"ID Store",$C38,"Product Type","Indosat"),0)</f>
        <v>5</v>
      </c>
      <c r="BN38" s="86">
        <f t="shared" si="37"/>
        <v>1.5151515151515151</v>
      </c>
      <c r="BO38" s="84">
        <f>VLOOKUP(C38,'[1]TARGET THIS MONTH'!C:U,19,0)</f>
        <v>33</v>
      </c>
      <c r="BP38" s="85">
        <f>IFERROR(GETPIVOTDATA("Sum of Qty",'[1]Operator by Store'!$A$5,"ID Store",$C38,"Product Type","Telkomsel"),0)</f>
        <v>0</v>
      </c>
      <c r="BQ38" s="104">
        <f t="shared" si="38"/>
        <v>0</v>
      </c>
    </row>
    <row r="39" spans="1:69" x14ac:dyDescent="0.2">
      <c r="A39" s="75">
        <v>35</v>
      </c>
      <c r="B39" s="76" t="s">
        <v>89</v>
      </c>
      <c r="C39" s="77">
        <v>6190705</v>
      </c>
      <c r="D39" s="78" t="s">
        <v>93</v>
      </c>
      <c r="E39" s="105" t="s">
        <v>91</v>
      </c>
      <c r="F39" s="80">
        <v>2</v>
      </c>
      <c r="G39" s="81">
        <f>IFERROR(VLOOKUP(C39,'[1]TARGET THIS MONTH'!C:E,3,0),0)</f>
        <v>60</v>
      </c>
      <c r="H39" s="82">
        <f>IFERROR(VLOOKUP(C39,'[1]TARGET THIS MONTH'!C:M,11,0),0)</f>
        <v>258000000</v>
      </c>
      <c r="I39" s="81">
        <f>IFERROR(GETPIVOTDATA("Sum of Qty",'[1]DEVICE &amp; VALUE'!$A$6,"ID Store",$C39),0)</f>
        <v>24</v>
      </c>
      <c r="J39" s="83">
        <f t="shared" si="0"/>
        <v>0.4</v>
      </c>
      <c r="K39" s="84">
        <f t="shared" si="1"/>
        <v>-36</v>
      </c>
      <c r="L39" s="85">
        <f>IFERROR(GETPIVOTDATA("Sum of Qty",[1]PF!$A$5,"ID Store",$C39),0)</f>
        <v>8</v>
      </c>
      <c r="M39" s="85">
        <f>IFERROR(GETPIVOTDATA("Sum of Qty",'[1]DEVICE &amp; VALUE'!$A$6,"ID Store",$C39,"Segment Price","3mio&gt;"),0)</f>
        <v>10</v>
      </c>
      <c r="N39" s="86">
        <f t="shared" si="2"/>
        <v>0.41666666666666669</v>
      </c>
      <c r="O39" s="87">
        <f>IFERROR(GETPIVOTDATA("Sum of Qty",[1]IQOO!$A$6,"ID Store",$C39),0)</f>
        <v>1</v>
      </c>
      <c r="P39" s="86">
        <f t="shared" si="3"/>
        <v>4.1666666666666664E-2</v>
      </c>
      <c r="Q39" s="86">
        <f t="shared" si="4"/>
        <v>0.41666666666666669</v>
      </c>
      <c r="R39" s="88">
        <f>IFERROR(GETPIVOTDATA("Sum of SRP",'[1]DEVICE &amp; VALUE'!$A$6,"ID Store",$C39),0)</f>
        <v>83376000</v>
      </c>
      <c r="S39" s="86">
        <f t="shared" si="5"/>
        <v>0.3231627906976744</v>
      </c>
      <c r="T39" s="89">
        <f t="shared" si="6"/>
        <v>-174624000</v>
      </c>
      <c r="U39" s="90">
        <f t="shared" si="7"/>
        <v>32.347826086956523</v>
      </c>
      <c r="V39" s="91">
        <f t="shared" si="8"/>
        <v>0.53913043478260869</v>
      </c>
      <c r="W39" s="92">
        <f t="shared" si="9"/>
        <v>-27.652173913043477</v>
      </c>
      <c r="X39" s="92">
        <f t="shared" si="10"/>
        <v>13.478260869565217</v>
      </c>
      <c r="Y39" s="92">
        <f t="shared" si="11"/>
        <v>-46.521739130434781</v>
      </c>
      <c r="Z39" s="93">
        <f t="shared" si="12"/>
        <v>112376347.82608695</v>
      </c>
      <c r="AA39" s="93">
        <f t="shared" si="13"/>
        <v>-145623652.17391306</v>
      </c>
      <c r="AB39" s="94">
        <f t="shared" si="14"/>
        <v>0.43556723963599592</v>
      </c>
      <c r="AC39" s="95">
        <f t="shared" si="15"/>
        <v>4.5</v>
      </c>
      <c r="AD39" s="96">
        <f t="shared" si="16"/>
        <v>21828000</v>
      </c>
      <c r="AE39" s="81">
        <f>IFERROR(GETPIVOTDATA("Sum of Qty",'[1]DATA LAST MONTH IQOO'!$A$6,"ID Store",$C39),0)</f>
        <v>4</v>
      </c>
      <c r="AF39" s="97">
        <f>IFERROR(GETPIVOTDATA("Sum of Qty",[1]IQOO!$A$6,"ID Store",$C39),0)</f>
        <v>1</v>
      </c>
      <c r="AG39" s="84">
        <f t="shared" si="17"/>
        <v>-3</v>
      </c>
      <c r="AH39" s="98">
        <f t="shared" si="18"/>
        <v>-0.75</v>
      </c>
      <c r="AI39" s="99">
        <f>IFERROR(GETPIVOTDATA("Sum of Qty",'[1]DATA LAST MONTH DEVICE'!$A$6,"ID Store",$C39),0)</f>
        <v>50</v>
      </c>
      <c r="AJ39" s="100">
        <f t="shared" si="19"/>
        <v>24</v>
      </c>
      <c r="AK39" s="84">
        <f t="shared" si="20"/>
        <v>-26</v>
      </c>
      <c r="AL39" s="86">
        <f t="shared" si="21"/>
        <v>-0.52</v>
      </c>
      <c r="AM39" s="85">
        <f>IFERROR(GETPIVOTDATA("Sum of Qty",'[1]Store 3mio+ last month'!$A$6,"ID Store",$C39),0)</f>
        <v>70</v>
      </c>
      <c r="AN39" s="84">
        <f t="shared" si="22"/>
        <v>32.347826086956523</v>
      </c>
      <c r="AO39" s="84">
        <f t="shared" si="23"/>
        <v>-37.652173913043477</v>
      </c>
      <c r="AP39" s="86">
        <f t="shared" si="24"/>
        <v>-0.53788819875776395</v>
      </c>
      <c r="AQ39" s="85">
        <f>IFERROR(GETPIVOTDATA("Sum of Qty",'[1]DATA LAST MONTH DEVICE'!$A$6,"ID Store",$C39,"Segment Price","3mio&gt;"),0)</f>
        <v>21</v>
      </c>
      <c r="AR39" s="87">
        <f t="shared" si="25"/>
        <v>10</v>
      </c>
      <c r="AS39" s="87">
        <f t="shared" si="26"/>
        <v>-11</v>
      </c>
      <c r="AT39" s="86">
        <f t="shared" si="27"/>
        <v>-0.52380952380952384</v>
      </c>
      <c r="AU39" s="101">
        <f>IFERROR(GETPIVOTDATA("Sum of SRP",'[1]DATA LAST MONTH DEVICE'!$A$6,"ID Store",$C39),0)</f>
        <v>210550000</v>
      </c>
      <c r="AV39" s="101">
        <f t="shared" si="28"/>
        <v>83376000</v>
      </c>
      <c r="AW39" s="101">
        <f t="shared" si="29"/>
        <v>-127174000</v>
      </c>
      <c r="AX39" s="86">
        <f t="shared" si="30"/>
        <v>-0.6040085490382332</v>
      </c>
      <c r="AY39" s="101">
        <f>IFERROR(VLOOKUP(C39,'[1]DATA SALES LAST MONTH'!A:E,5,0),0)</f>
        <v>4211000</v>
      </c>
      <c r="AZ39" s="88">
        <f t="shared" si="31"/>
        <v>3473999.9999999995</v>
      </c>
      <c r="BA39" s="88">
        <f t="shared" si="32"/>
        <v>-737000.00000000047</v>
      </c>
      <c r="BB39" s="98">
        <f t="shared" si="33"/>
        <v>-0.17501781049631929</v>
      </c>
      <c r="BC39" s="81">
        <f>IFERROR(VLOOKUP(C39,'[1]TARGET THIS MONTH'!C:U,15,0),0)</f>
        <v>6</v>
      </c>
      <c r="BD39" s="102">
        <f>IFERROR(GETPIVOTDATA("Sum of Qty",[1]ACC!$A$5,"ID Store",$C39),0)</f>
        <v>1</v>
      </c>
      <c r="BE39" s="86">
        <f t="shared" si="34"/>
        <v>0.16666666666666666</v>
      </c>
      <c r="BF39" s="103">
        <f>IFERROR(VLOOKUP(C39,'[1]TARGET THIS MONTH'!C:U,16,0),0)</f>
        <v>1290000</v>
      </c>
      <c r="BG39" s="103">
        <f>IFERROR(GETPIVOTDATA("Sum of SRP",'[1]Insurance by Store'!$A$5,"ID Store",$C39,"Product Type","Qoala"),0)</f>
        <v>657000</v>
      </c>
      <c r="BH39" s="86">
        <f t="shared" si="35"/>
        <v>0.50930232558139532</v>
      </c>
      <c r="BI39" s="103">
        <f>IFERROR(VLOOKUP(C39,'[1]TARGET THIS MONTH'!C:U,17,0),0)</f>
        <v>258000</v>
      </c>
      <c r="BJ39" s="103">
        <f>IFERROR(GETPIVOTDATA("Sum of SRP",'[1]Insurance by Store'!$A$5,"ID Store",$C39,"Product Type","Vivo Care"),0)</f>
        <v>0</v>
      </c>
      <c r="BK39" s="86">
        <f t="shared" si="36"/>
        <v>0</v>
      </c>
      <c r="BL39" s="84">
        <f>IFERROR(VLOOKUP(C39,'[1]TARGET THIS MONTH'!C:U,18,0),0)</f>
        <v>1.8</v>
      </c>
      <c r="BM39" s="85">
        <f>IFERROR(GETPIVOTDATA("Sum of Qty",'[1]Operator by Store'!$A$5,"ID Store",$C39,"Product Type","Indosat"),0)</f>
        <v>0</v>
      </c>
      <c r="BN39" s="86">
        <f t="shared" si="37"/>
        <v>0</v>
      </c>
      <c r="BO39" s="84">
        <f>VLOOKUP(C39,'[1]TARGET THIS MONTH'!C:U,19,0)</f>
        <v>18</v>
      </c>
      <c r="BP39" s="85">
        <f>IFERROR(GETPIVOTDATA("Sum of Qty",'[1]Operator by Store'!$A$5,"ID Store",$C39,"Product Type","Telkomsel"),0)</f>
        <v>0</v>
      </c>
      <c r="BQ39" s="104">
        <f t="shared" si="38"/>
        <v>0</v>
      </c>
    </row>
    <row r="40" spans="1:69" x14ac:dyDescent="0.2">
      <c r="A40" s="75">
        <v>36</v>
      </c>
      <c r="B40" s="76" t="s">
        <v>89</v>
      </c>
      <c r="C40" s="77">
        <v>6190704</v>
      </c>
      <c r="D40" s="78" t="s">
        <v>94</v>
      </c>
      <c r="E40" s="105" t="s">
        <v>95</v>
      </c>
      <c r="F40" s="80">
        <v>4</v>
      </c>
      <c r="G40" s="81">
        <f>IFERROR(VLOOKUP(C40,'[1]TARGET THIS MONTH'!C:E,3,0),0)</f>
        <v>120</v>
      </c>
      <c r="H40" s="82">
        <f>IFERROR(VLOOKUP(C40,'[1]TARGET THIS MONTH'!C:M,11,0),0)</f>
        <v>516000000</v>
      </c>
      <c r="I40" s="81">
        <f>IFERROR(GETPIVOTDATA("Sum of Qty",'[1]DEVICE &amp; VALUE'!$A$6,"ID Store",$C40),0)</f>
        <v>83</v>
      </c>
      <c r="J40" s="83">
        <f t="shared" si="0"/>
        <v>0.69166666666666665</v>
      </c>
      <c r="K40" s="84">
        <f t="shared" si="1"/>
        <v>-37</v>
      </c>
      <c r="L40" s="85">
        <f>IFERROR(GETPIVOTDATA("Sum of Qty",[1]PF!$A$5,"ID Store",$C40),0)</f>
        <v>19</v>
      </c>
      <c r="M40" s="85">
        <f>IFERROR(GETPIVOTDATA("Sum of Qty",'[1]DEVICE &amp; VALUE'!$A$6,"ID Store",$C40,"Segment Price","3mio&gt;"),0)</f>
        <v>34</v>
      </c>
      <c r="N40" s="86">
        <f t="shared" si="2"/>
        <v>0.40963855421686746</v>
      </c>
      <c r="O40" s="87">
        <f>IFERROR(GETPIVOTDATA("Sum of Qty",[1]IQOO!$A$6,"ID Store",$C40),0)</f>
        <v>2</v>
      </c>
      <c r="P40" s="86">
        <f t="shared" si="3"/>
        <v>2.4096385542168676E-2</v>
      </c>
      <c r="Q40" s="86">
        <f t="shared" si="4"/>
        <v>0.40963855421686746</v>
      </c>
      <c r="R40" s="88">
        <f>IFERROR(GETPIVOTDATA("Sum of SRP",'[1]DEVICE &amp; VALUE'!$A$6,"ID Store",$C40),0)</f>
        <v>338217000</v>
      </c>
      <c r="S40" s="86">
        <f t="shared" si="5"/>
        <v>0.65545930232558136</v>
      </c>
      <c r="T40" s="89">
        <f t="shared" si="6"/>
        <v>-177783000</v>
      </c>
      <c r="U40" s="90">
        <f t="shared" si="7"/>
        <v>111.86956521739131</v>
      </c>
      <c r="V40" s="91">
        <f t="shared" si="8"/>
        <v>0.93224637681159428</v>
      </c>
      <c r="W40" s="92">
        <f t="shared" si="9"/>
        <v>-8.1304347826086882</v>
      </c>
      <c r="X40" s="92">
        <f t="shared" si="10"/>
        <v>45.826086956521735</v>
      </c>
      <c r="Y40" s="92">
        <f t="shared" si="11"/>
        <v>-74.173913043478265</v>
      </c>
      <c r="Z40" s="93">
        <f t="shared" si="12"/>
        <v>455857695.65217388</v>
      </c>
      <c r="AA40" s="93">
        <f t="shared" si="13"/>
        <v>-60142304.347826123</v>
      </c>
      <c r="AB40" s="94">
        <f t="shared" si="14"/>
        <v>0.8834451466127401</v>
      </c>
      <c r="AC40" s="95">
        <f t="shared" si="15"/>
        <v>4.625</v>
      </c>
      <c r="AD40" s="96">
        <f t="shared" si="16"/>
        <v>22222875</v>
      </c>
      <c r="AE40" s="81">
        <f>IFERROR(GETPIVOTDATA("Sum of Qty",'[1]DATA LAST MONTH IQOO'!$A$6,"ID Store",$C40),0)</f>
        <v>7</v>
      </c>
      <c r="AF40" s="97">
        <f>IFERROR(GETPIVOTDATA("Sum of Qty",[1]IQOO!$A$6,"ID Store",$C40),0)</f>
        <v>2</v>
      </c>
      <c r="AG40" s="84">
        <f t="shared" si="17"/>
        <v>-5</v>
      </c>
      <c r="AH40" s="98">
        <f t="shared" si="18"/>
        <v>-0.7142857142857143</v>
      </c>
      <c r="AI40" s="99">
        <f>IFERROR(GETPIVOTDATA("Sum of Qty",'[1]DATA LAST MONTH DEVICE'!$A$6,"ID Store",$C40),0)</f>
        <v>95</v>
      </c>
      <c r="AJ40" s="100">
        <f t="shared" si="19"/>
        <v>83</v>
      </c>
      <c r="AK40" s="84">
        <f t="shared" si="20"/>
        <v>-12</v>
      </c>
      <c r="AL40" s="86">
        <f t="shared" si="21"/>
        <v>-0.12631578947368421</v>
      </c>
      <c r="AM40" s="85">
        <f>IFERROR(GETPIVOTDATA("Sum of Qty",'[1]Store 3mio+ last month'!$A$6,"ID Store",$C40),0)</f>
        <v>112</v>
      </c>
      <c r="AN40" s="84">
        <f t="shared" si="22"/>
        <v>111.86956521739131</v>
      </c>
      <c r="AO40" s="84">
        <f t="shared" si="23"/>
        <v>-0.13043478260868824</v>
      </c>
      <c r="AP40" s="86">
        <f t="shared" si="24"/>
        <v>-1.1645962732918594E-3</v>
      </c>
      <c r="AQ40" s="85">
        <f>IFERROR(GETPIVOTDATA("Sum of Qty",'[1]DATA LAST MONTH DEVICE'!$A$6,"ID Store",$C40,"Segment Price","3mio&gt;"),0)</f>
        <v>36</v>
      </c>
      <c r="AR40" s="87">
        <f t="shared" si="25"/>
        <v>34</v>
      </c>
      <c r="AS40" s="87">
        <f t="shared" si="26"/>
        <v>-2</v>
      </c>
      <c r="AT40" s="86">
        <f t="shared" si="27"/>
        <v>-5.5555555555555552E-2</v>
      </c>
      <c r="AU40" s="101">
        <f>IFERROR(GETPIVOTDATA("Sum of SRP",'[1]DATA LAST MONTH DEVICE'!$A$6,"ID Store",$C40),0)</f>
        <v>354705000</v>
      </c>
      <c r="AV40" s="101">
        <f t="shared" si="28"/>
        <v>338217000</v>
      </c>
      <c r="AW40" s="101">
        <f t="shared" si="29"/>
        <v>-16488000</v>
      </c>
      <c r="AX40" s="86">
        <f t="shared" si="30"/>
        <v>-4.6483697720641093E-2</v>
      </c>
      <c r="AY40" s="101">
        <f>IFERROR(VLOOKUP(C40,'[1]DATA SALES LAST MONTH'!A:E,5,0),0)</f>
        <v>3733736.8421052634</v>
      </c>
      <c r="AZ40" s="88">
        <f t="shared" si="31"/>
        <v>4074903.6144578308</v>
      </c>
      <c r="BA40" s="88">
        <f t="shared" si="32"/>
        <v>341166.77235256741</v>
      </c>
      <c r="BB40" s="98">
        <f t="shared" si="33"/>
        <v>9.1374080922157569E-2</v>
      </c>
      <c r="BC40" s="81">
        <f>IFERROR(VLOOKUP(C40,'[1]TARGET THIS MONTH'!C:U,15,0),0)</f>
        <v>12</v>
      </c>
      <c r="BD40" s="102">
        <f>IFERROR(GETPIVOTDATA("Sum of Qty",[1]ACC!$A$5,"ID Store",$C40),0)</f>
        <v>11</v>
      </c>
      <c r="BE40" s="86">
        <f t="shared" si="34"/>
        <v>0.91666666666666663</v>
      </c>
      <c r="BF40" s="103">
        <f>IFERROR(VLOOKUP(C40,'[1]TARGET THIS MONTH'!C:U,16,0),0)</f>
        <v>2580000</v>
      </c>
      <c r="BG40" s="103">
        <f>IFERROR(GETPIVOTDATA("Sum of SRP",'[1]Insurance by Store'!$A$5,"ID Store",$C40,"Product Type","Qoala"),0)</f>
        <v>477000</v>
      </c>
      <c r="BH40" s="86">
        <f t="shared" si="35"/>
        <v>0.18488372093023256</v>
      </c>
      <c r="BI40" s="103">
        <f>IFERROR(VLOOKUP(C40,'[1]TARGET THIS MONTH'!C:U,17,0),0)</f>
        <v>516000</v>
      </c>
      <c r="BJ40" s="103">
        <f>IFERROR(GETPIVOTDATA("Sum of SRP",'[1]Insurance by Store'!$A$5,"ID Store",$C40,"Product Type","Vivo Care"),0)</f>
        <v>0</v>
      </c>
      <c r="BK40" s="86">
        <f t="shared" si="36"/>
        <v>0</v>
      </c>
      <c r="BL40" s="84">
        <f>IFERROR(VLOOKUP(C40,'[1]TARGET THIS MONTH'!C:U,18,0),0)</f>
        <v>3.6</v>
      </c>
      <c r="BM40" s="85">
        <f>IFERROR(GETPIVOTDATA("Sum of Qty",'[1]Operator by Store'!$A$5,"ID Store",$C40,"Product Type","Indosat"),0)</f>
        <v>2</v>
      </c>
      <c r="BN40" s="86">
        <f t="shared" si="37"/>
        <v>0.55555555555555558</v>
      </c>
      <c r="BO40" s="84">
        <f>VLOOKUP(C40,'[1]TARGET THIS MONTH'!C:U,19,0)</f>
        <v>36</v>
      </c>
      <c r="BP40" s="85">
        <f>IFERROR(GETPIVOTDATA("Sum of Qty",'[1]Operator by Store'!$A$5,"ID Store",$C40,"Product Type","Telkomsel"),0)</f>
        <v>0</v>
      </c>
      <c r="BQ40" s="104">
        <f t="shared" si="38"/>
        <v>0</v>
      </c>
    </row>
    <row r="41" spans="1:69" x14ac:dyDescent="0.2">
      <c r="A41" s="75">
        <v>37</v>
      </c>
      <c r="B41" s="76" t="s">
        <v>89</v>
      </c>
      <c r="C41" s="77">
        <v>6190707</v>
      </c>
      <c r="D41" s="78" t="s">
        <v>96</v>
      </c>
      <c r="E41" s="105" t="s">
        <v>95</v>
      </c>
      <c r="F41" s="80">
        <v>4</v>
      </c>
      <c r="G41" s="81">
        <f>IFERROR(VLOOKUP(C41,'[1]TARGET THIS MONTH'!C:E,3,0),0)</f>
        <v>120</v>
      </c>
      <c r="H41" s="82">
        <f>IFERROR(VLOOKUP(C41,'[1]TARGET THIS MONTH'!C:M,11,0),0)</f>
        <v>516000000</v>
      </c>
      <c r="I41" s="81">
        <f>IFERROR(GETPIVOTDATA("Sum of Qty",'[1]DEVICE &amp; VALUE'!$A$6,"ID Store",$C41),0)</f>
        <v>88</v>
      </c>
      <c r="J41" s="83">
        <f t="shared" si="0"/>
        <v>0.73333333333333328</v>
      </c>
      <c r="K41" s="84">
        <f t="shared" si="1"/>
        <v>-32</v>
      </c>
      <c r="L41" s="85">
        <f>IFERROR(GETPIVOTDATA("Sum of Qty",[1]PF!$A$5,"ID Store",$C41),0)</f>
        <v>15</v>
      </c>
      <c r="M41" s="85">
        <f>IFERROR(GETPIVOTDATA("Sum of Qty",'[1]DEVICE &amp; VALUE'!$A$6,"ID Store",$C41,"Segment Price","3mio&gt;"),0)</f>
        <v>30</v>
      </c>
      <c r="N41" s="86">
        <f t="shared" si="2"/>
        <v>0.34090909090909088</v>
      </c>
      <c r="O41" s="87">
        <f>IFERROR(GETPIVOTDATA("Sum of Qty",[1]IQOO!$A$6,"ID Store",$C41),0)</f>
        <v>6</v>
      </c>
      <c r="P41" s="86">
        <f t="shared" si="3"/>
        <v>6.8181818181818177E-2</v>
      </c>
      <c r="Q41" s="86">
        <f t="shared" si="4"/>
        <v>0.34090909090909088</v>
      </c>
      <c r="R41" s="88">
        <f>IFERROR(GETPIVOTDATA("Sum of SRP",'[1]DEVICE &amp; VALUE'!$A$6,"ID Store",$C41),0)</f>
        <v>330412000</v>
      </c>
      <c r="S41" s="86">
        <f t="shared" si="5"/>
        <v>0.64033333333333331</v>
      </c>
      <c r="T41" s="89">
        <f t="shared" si="6"/>
        <v>-185588000</v>
      </c>
      <c r="U41" s="90">
        <f t="shared" si="7"/>
        <v>118.60869565217392</v>
      </c>
      <c r="V41" s="91">
        <f t="shared" si="8"/>
        <v>0.98840579710144938</v>
      </c>
      <c r="W41" s="92">
        <f t="shared" si="9"/>
        <v>-1.3913043478260789</v>
      </c>
      <c r="X41" s="92">
        <f t="shared" si="10"/>
        <v>40.434782608695656</v>
      </c>
      <c r="Y41" s="92">
        <f t="shared" si="11"/>
        <v>-79.565217391304344</v>
      </c>
      <c r="Z41" s="93">
        <f t="shared" si="12"/>
        <v>445337913.04347825</v>
      </c>
      <c r="AA41" s="93">
        <f t="shared" si="13"/>
        <v>-70662086.956521749</v>
      </c>
      <c r="AB41" s="94">
        <f t="shared" si="14"/>
        <v>0.86305797101449278</v>
      </c>
      <c r="AC41" s="95">
        <f t="shared" si="15"/>
        <v>4</v>
      </c>
      <c r="AD41" s="96">
        <f t="shared" si="16"/>
        <v>23198500</v>
      </c>
      <c r="AE41" s="81">
        <f>IFERROR(GETPIVOTDATA("Sum of Qty",'[1]DATA LAST MONTH IQOO'!$A$6,"ID Store",$C41),0)</f>
        <v>8</v>
      </c>
      <c r="AF41" s="97">
        <f>IFERROR(GETPIVOTDATA("Sum of Qty",[1]IQOO!$A$6,"ID Store",$C41),0)</f>
        <v>6</v>
      </c>
      <c r="AG41" s="84">
        <f t="shared" si="17"/>
        <v>-2</v>
      </c>
      <c r="AH41" s="98">
        <f t="shared" si="18"/>
        <v>-0.25</v>
      </c>
      <c r="AI41" s="99">
        <f>IFERROR(GETPIVOTDATA("Sum of Qty",'[1]DATA LAST MONTH DEVICE'!$A$6,"ID Store",$C41),0)</f>
        <v>115</v>
      </c>
      <c r="AJ41" s="100">
        <f t="shared" si="19"/>
        <v>88</v>
      </c>
      <c r="AK41" s="84">
        <f t="shared" si="20"/>
        <v>-27</v>
      </c>
      <c r="AL41" s="86">
        <f t="shared" si="21"/>
        <v>-0.23478260869565218</v>
      </c>
      <c r="AM41" s="85">
        <f>IFERROR(GETPIVOTDATA("Sum of Qty",'[1]Store 3mio+ last month'!$A$6,"ID Store",$C41),0)</f>
        <v>142</v>
      </c>
      <c r="AN41" s="84">
        <f t="shared" si="22"/>
        <v>118.60869565217392</v>
      </c>
      <c r="AO41" s="84">
        <f t="shared" si="23"/>
        <v>-23.391304347826079</v>
      </c>
      <c r="AP41" s="86">
        <f t="shared" si="24"/>
        <v>-0.16472749540722592</v>
      </c>
      <c r="AQ41" s="85">
        <f>IFERROR(GETPIVOTDATA("Sum of Qty",'[1]DATA LAST MONTH DEVICE'!$A$6,"ID Store",$C41,"Segment Price","3mio&gt;"),0)</f>
        <v>53</v>
      </c>
      <c r="AR41" s="87">
        <f t="shared" si="25"/>
        <v>30</v>
      </c>
      <c r="AS41" s="87">
        <f t="shared" si="26"/>
        <v>-23</v>
      </c>
      <c r="AT41" s="86">
        <f t="shared" si="27"/>
        <v>-0.43396226415094341</v>
      </c>
      <c r="AU41" s="101">
        <f>IFERROR(GETPIVOTDATA("Sum of SRP",'[1]DATA LAST MONTH DEVICE'!$A$6,"ID Store",$C41),0)</f>
        <v>532185000</v>
      </c>
      <c r="AV41" s="101">
        <f t="shared" si="28"/>
        <v>330412000</v>
      </c>
      <c r="AW41" s="101">
        <f t="shared" si="29"/>
        <v>-201773000</v>
      </c>
      <c r="AX41" s="86">
        <f t="shared" si="30"/>
        <v>-0.37914071234627056</v>
      </c>
      <c r="AY41" s="101">
        <f>IFERROR(VLOOKUP(C41,'[1]DATA SALES LAST MONTH'!A:E,5,0),0)</f>
        <v>4627695.6521739131</v>
      </c>
      <c r="AZ41" s="88">
        <f t="shared" si="31"/>
        <v>3754681.8181818179</v>
      </c>
      <c r="BA41" s="88">
        <f t="shared" si="32"/>
        <v>-873013.8339920952</v>
      </c>
      <c r="BB41" s="98">
        <f t="shared" si="33"/>
        <v>-0.18864979454342182</v>
      </c>
      <c r="BC41" s="81">
        <f>IFERROR(VLOOKUP(C41,'[1]TARGET THIS MONTH'!C:U,15,0),0)</f>
        <v>12</v>
      </c>
      <c r="BD41" s="102">
        <f>IFERROR(GETPIVOTDATA("Sum of Qty",[1]ACC!$A$5,"ID Store",$C41),0)</f>
        <v>12</v>
      </c>
      <c r="BE41" s="86">
        <f t="shared" si="34"/>
        <v>1</v>
      </c>
      <c r="BF41" s="103">
        <f>IFERROR(VLOOKUP(C41,'[1]TARGET THIS MONTH'!C:U,16,0),0)</f>
        <v>2580000</v>
      </c>
      <c r="BG41" s="103">
        <f>IFERROR(GETPIVOTDATA("Sum of SRP",'[1]Insurance by Store'!$A$5,"ID Store",$C41,"Product Type","Qoala"),0)</f>
        <v>636000</v>
      </c>
      <c r="BH41" s="86">
        <f t="shared" si="35"/>
        <v>0.24651162790697675</v>
      </c>
      <c r="BI41" s="103">
        <f>IFERROR(VLOOKUP(C41,'[1]TARGET THIS MONTH'!C:U,17,0),0)</f>
        <v>516000</v>
      </c>
      <c r="BJ41" s="103">
        <f>IFERROR(GETPIVOTDATA("Sum of SRP",'[1]Insurance by Store'!$A$5,"ID Store",$C41,"Product Type","Vivo Care"),0)</f>
        <v>0</v>
      </c>
      <c r="BK41" s="86">
        <f t="shared" si="36"/>
        <v>0</v>
      </c>
      <c r="BL41" s="84">
        <f>IFERROR(VLOOKUP(C41,'[1]TARGET THIS MONTH'!C:U,18,0),0)</f>
        <v>3.6</v>
      </c>
      <c r="BM41" s="85">
        <f>IFERROR(GETPIVOTDATA("Sum of Qty",'[1]Operator by Store'!$A$5,"ID Store",$C41,"Product Type","Indosat"),0)</f>
        <v>5</v>
      </c>
      <c r="BN41" s="86">
        <f t="shared" si="37"/>
        <v>1.3888888888888888</v>
      </c>
      <c r="BO41" s="84">
        <f>VLOOKUP(C41,'[1]TARGET THIS MONTH'!C:U,19,0)</f>
        <v>36</v>
      </c>
      <c r="BP41" s="85">
        <f>IFERROR(GETPIVOTDATA("Sum of Qty",'[1]Operator by Store'!$A$5,"ID Store",$C41,"Product Type","Telkomsel"),0)</f>
        <v>0</v>
      </c>
      <c r="BQ41" s="104">
        <f t="shared" si="38"/>
        <v>0</v>
      </c>
    </row>
    <row r="42" spans="1:69" x14ac:dyDescent="0.2">
      <c r="A42" s="75">
        <v>38</v>
      </c>
      <c r="B42" s="76" t="s">
        <v>89</v>
      </c>
      <c r="C42" s="77">
        <v>6190708</v>
      </c>
      <c r="D42" s="78" t="s">
        <v>97</v>
      </c>
      <c r="E42" s="105" t="s">
        <v>95</v>
      </c>
      <c r="F42" s="80">
        <v>1</v>
      </c>
      <c r="G42" s="81">
        <f>IFERROR(VLOOKUP(C42,'[1]TARGET THIS MONTH'!C:E,3,0),0)</f>
        <v>20</v>
      </c>
      <c r="H42" s="82">
        <f>IFERROR(VLOOKUP(C42,'[1]TARGET THIS MONTH'!C:M,11,0),0)</f>
        <v>86000000</v>
      </c>
      <c r="I42" s="81">
        <f>IFERROR(GETPIVOTDATA("Sum of Qty",'[1]DEVICE &amp; VALUE'!$A$6,"ID Store",$C42),0)</f>
        <v>12</v>
      </c>
      <c r="J42" s="83">
        <f t="shared" si="0"/>
        <v>0.6</v>
      </c>
      <c r="K42" s="84">
        <f t="shared" si="1"/>
        <v>-8</v>
      </c>
      <c r="L42" s="85">
        <f>IFERROR(GETPIVOTDATA("Sum of Qty",[1]PF!$A$5,"ID Store",$C42),0)</f>
        <v>2</v>
      </c>
      <c r="M42" s="85">
        <f>IFERROR(GETPIVOTDATA("Sum of Qty",'[1]DEVICE &amp; VALUE'!$A$6,"ID Store",$C42,"Segment Price","3mio&gt;"),0)</f>
        <v>3</v>
      </c>
      <c r="N42" s="86">
        <f t="shared" si="2"/>
        <v>0.25</v>
      </c>
      <c r="O42" s="87">
        <f>IFERROR(GETPIVOTDATA("Sum of Qty",[1]IQOO!$A$6,"ID Store",$C42),0)</f>
        <v>0</v>
      </c>
      <c r="P42" s="86">
        <f t="shared" si="3"/>
        <v>0</v>
      </c>
      <c r="Q42" s="86">
        <f t="shared" si="4"/>
        <v>0.25</v>
      </c>
      <c r="R42" s="88">
        <f>IFERROR(GETPIVOTDATA("Sum of SRP",'[1]DEVICE &amp; VALUE'!$A$6,"ID Store",$C42),0)</f>
        <v>40888000</v>
      </c>
      <c r="S42" s="86">
        <f t="shared" si="5"/>
        <v>0.47544186046511627</v>
      </c>
      <c r="T42" s="89">
        <f t="shared" si="6"/>
        <v>-45112000</v>
      </c>
      <c r="U42" s="90">
        <f t="shared" si="7"/>
        <v>16.173913043478262</v>
      </c>
      <c r="V42" s="91">
        <f t="shared" si="8"/>
        <v>0.80869565217391304</v>
      </c>
      <c r="W42" s="92">
        <f t="shared" si="9"/>
        <v>-3.8260869565217384</v>
      </c>
      <c r="X42" s="92">
        <f t="shared" si="10"/>
        <v>4.0434782608695654</v>
      </c>
      <c r="Y42" s="92">
        <f t="shared" si="11"/>
        <v>-15.956521739130434</v>
      </c>
      <c r="Z42" s="93">
        <f t="shared" si="12"/>
        <v>55109913.043478265</v>
      </c>
      <c r="AA42" s="93">
        <f t="shared" si="13"/>
        <v>-30890086.956521735</v>
      </c>
      <c r="AB42" s="94">
        <f t="shared" si="14"/>
        <v>0.64081294236602637</v>
      </c>
      <c r="AC42" s="95">
        <f t="shared" si="15"/>
        <v>1</v>
      </c>
      <c r="AD42" s="96">
        <f t="shared" si="16"/>
        <v>5639000</v>
      </c>
      <c r="AE42" s="81">
        <f>IFERROR(GETPIVOTDATA("Sum of Qty",'[1]DATA LAST MONTH IQOO'!$A$6,"ID Store",$C42),0)</f>
        <v>3</v>
      </c>
      <c r="AF42" s="97">
        <f>IFERROR(GETPIVOTDATA("Sum of Qty",[1]IQOO!$A$6,"ID Store",$C42),0)</f>
        <v>0</v>
      </c>
      <c r="AG42" s="84">
        <f t="shared" si="17"/>
        <v>-3</v>
      </c>
      <c r="AH42" s="98">
        <f t="shared" si="18"/>
        <v>-1</v>
      </c>
      <c r="AI42" s="99">
        <f>IFERROR(GETPIVOTDATA("Sum of Qty",'[1]DATA LAST MONTH DEVICE'!$A$6,"ID Store",$C42),0)</f>
        <v>12</v>
      </c>
      <c r="AJ42" s="100">
        <f t="shared" si="19"/>
        <v>12</v>
      </c>
      <c r="AK42" s="84">
        <f t="shared" si="20"/>
        <v>0</v>
      </c>
      <c r="AL42" s="86">
        <f t="shared" si="21"/>
        <v>0</v>
      </c>
      <c r="AM42" s="85">
        <f>IFERROR(GETPIVOTDATA("Sum of Qty",'[1]Store 3mio+ last month'!$A$6,"ID Store",$C42),0)</f>
        <v>14</v>
      </c>
      <c r="AN42" s="84">
        <f t="shared" si="22"/>
        <v>16.173913043478262</v>
      </c>
      <c r="AO42" s="84">
        <f t="shared" si="23"/>
        <v>2.1739130434782616</v>
      </c>
      <c r="AP42" s="86">
        <f t="shared" si="24"/>
        <v>0.15527950310559011</v>
      </c>
      <c r="AQ42" s="85">
        <f>IFERROR(GETPIVOTDATA("Sum of Qty",'[1]DATA LAST MONTH DEVICE'!$A$6,"ID Store",$C42,"Segment Price","3mio&gt;"),0)</f>
        <v>6</v>
      </c>
      <c r="AR42" s="87">
        <f t="shared" si="25"/>
        <v>3</v>
      </c>
      <c r="AS42" s="87">
        <f t="shared" si="26"/>
        <v>-3</v>
      </c>
      <c r="AT42" s="86">
        <f t="shared" si="27"/>
        <v>-0.5</v>
      </c>
      <c r="AU42" s="101">
        <f>IFERROR(GETPIVOTDATA("Sum of SRP",'[1]DATA LAST MONTH DEVICE'!$A$6,"ID Store",$C42),0)</f>
        <v>57788000</v>
      </c>
      <c r="AV42" s="101">
        <f t="shared" si="28"/>
        <v>40888000</v>
      </c>
      <c r="AW42" s="101">
        <f t="shared" si="29"/>
        <v>-16900000</v>
      </c>
      <c r="AX42" s="86">
        <f t="shared" si="30"/>
        <v>-0.29244825915414963</v>
      </c>
      <c r="AY42" s="101">
        <f>IFERROR(VLOOKUP(C42,'[1]DATA SALES LAST MONTH'!A:E,5,0),0)</f>
        <v>0</v>
      </c>
      <c r="AZ42" s="88">
        <f t="shared" si="31"/>
        <v>3407333.3333333335</v>
      </c>
      <c r="BA42" s="88">
        <f t="shared" si="32"/>
        <v>3407333.3333333335</v>
      </c>
      <c r="BB42" s="98">
        <f t="shared" si="33"/>
        <v>0</v>
      </c>
      <c r="BC42" s="81">
        <f>IFERROR(VLOOKUP(C42,'[1]TARGET THIS MONTH'!C:U,15,0),0)</f>
        <v>2</v>
      </c>
      <c r="BD42" s="102">
        <f>IFERROR(GETPIVOTDATA("Sum of Qty",[1]ACC!$A$5,"ID Store",$C42),0)</f>
        <v>4</v>
      </c>
      <c r="BE42" s="86">
        <f t="shared" si="34"/>
        <v>2</v>
      </c>
      <c r="BF42" s="103">
        <f>IFERROR(VLOOKUP(C42,'[1]TARGET THIS MONTH'!C:U,16,0),0)</f>
        <v>430000</v>
      </c>
      <c r="BG42" s="103">
        <f>IFERROR(GETPIVOTDATA("Sum of SRP",'[1]Insurance by Store'!$A$5,"ID Store",$C42,"Product Type","Qoala"),0)</f>
        <v>159000</v>
      </c>
      <c r="BH42" s="86">
        <f t="shared" si="35"/>
        <v>0.36976744186046512</v>
      </c>
      <c r="BI42" s="103">
        <f>IFERROR(VLOOKUP(C42,'[1]TARGET THIS MONTH'!C:U,17,0),0)</f>
        <v>86000</v>
      </c>
      <c r="BJ42" s="103">
        <f>IFERROR(GETPIVOTDATA("Sum of SRP",'[1]Insurance by Store'!$A$5,"ID Store",$C42,"Product Type","Vivo Care"),0)</f>
        <v>0</v>
      </c>
      <c r="BK42" s="86">
        <f t="shared" si="36"/>
        <v>0</v>
      </c>
      <c r="BL42" s="84">
        <f>IFERROR(VLOOKUP(C42,'[1]TARGET THIS MONTH'!C:U,18,0),0)</f>
        <v>0.6</v>
      </c>
      <c r="BM42" s="85">
        <f>IFERROR(GETPIVOTDATA("Sum of Qty",'[1]Operator by Store'!$A$5,"ID Store",$C42,"Product Type","Indosat"),0)</f>
        <v>0</v>
      </c>
      <c r="BN42" s="86">
        <f t="shared" si="37"/>
        <v>0</v>
      </c>
      <c r="BO42" s="84">
        <f>VLOOKUP(C42,'[1]TARGET THIS MONTH'!C:U,19,0)</f>
        <v>6</v>
      </c>
      <c r="BP42" s="85">
        <f>IFERROR(GETPIVOTDATA("Sum of Qty",'[1]Operator by Store'!$A$5,"ID Store",$C42,"Product Type","Telkomsel"),0)</f>
        <v>0</v>
      </c>
      <c r="BQ42" s="104">
        <f t="shared" si="38"/>
        <v>0</v>
      </c>
    </row>
    <row r="43" spans="1:69" x14ac:dyDescent="0.2">
      <c r="A43" s="75">
        <v>39</v>
      </c>
      <c r="B43" s="76" t="s">
        <v>98</v>
      </c>
      <c r="C43" s="77">
        <v>6150702</v>
      </c>
      <c r="D43" s="78" t="s">
        <v>99</v>
      </c>
      <c r="E43" s="106" t="s">
        <v>100</v>
      </c>
      <c r="F43" s="80">
        <v>2</v>
      </c>
      <c r="G43" s="81">
        <f>IFERROR(VLOOKUP(C43,'[1]TARGET THIS MONTH'!C:E,3,0),0)</f>
        <v>20</v>
      </c>
      <c r="H43" s="82">
        <f>IFERROR(VLOOKUP(C43,'[1]TARGET THIS MONTH'!C:M,11,0),0)</f>
        <v>80000000</v>
      </c>
      <c r="I43" s="81">
        <f>IFERROR(GETPIVOTDATA("Sum of Qty",'[1]DEVICE &amp; VALUE'!$A$6,"ID Store",$C43),0)</f>
        <v>6</v>
      </c>
      <c r="J43" s="83">
        <f t="shared" si="0"/>
        <v>0.3</v>
      </c>
      <c r="K43" s="84">
        <f t="shared" si="1"/>
        <v>-14</v>
      </c>
      <c r="L43" s="85">
        <f>IFERROR(GETPIVOTDATA("Sum of Qty",[1]PF!$A$5,"ID Store",$C43),0)</f>
        <v>5</v>
      </c>
      <c r="M43" s="85">
        <f>IFERROR(GETPIVOTDATA("Sum of Qty",'[1]DEVICE &amp; VALUE'!$A$6,"ID Store",$C43,"Segment Price","3mio&gt;"),0)</f>
        <v>5</v>
      </c>
      <c r="N43" s="86">
        <f t="shared" si="2"/>
        <v>0.83333333333333337</v>
      </c>
      <c r="O43" s="87">
        <f>IFERROR(GETPIVOTDATA("Sum of Qty",[1]IQOO!$A$6,"ID Store",$C43),0)</f>
        <v>0</v>
      </c>
      <c r="P43" s="86">
        <f t="shared" si="3"/>
        <v>0</v>
      </c>
      <c r="Q43" s="86">
        <f t="shared" si="4"/>
        <v>0.83333333333333337</v>
      </c>
      <c r="R43" s="88">
        <f>IFERROR(GETPIVOTDATA("Sum of SRP",'[1]DEVICE &amp; VALUE'!$A$6,"ID Store",$C43),0)</f>
        <v>27794000</v>
      </c>
      <c r="S43" s="86">
        <f t="shared" si="5"/>
        <v>0.34742499999999998</v>
      </c>
      <c r="T43" s="89">
        <f t="shared" si="6"/>
        <v>-52206000</v>
      </c>
      <c r="U43" s="90">
        <f t="shared" si="7"/>
        <v>8.0869565217391308</v>
      </c>
      <c r="V43" s="91">
        <f t="shared" si="8"/>
        <v>0.40434782608695652</v>
      </c>
      <c r="W43" s="92">
        <f t="shared" si="9"/>
        <v>-11.913043478260869</v>
      </c>
      <c r="X43" s="92">
        <f t="shared" si="10"/>
        <v>6.7391304347826084</v>
      </c>
      <c r="Y43" s="92">
        <f t="shared" si="11"/>
        <v>-13.260869565217391</v>
      </c>
      <c r="Z43" s="93">
        <f t="shared" si="12"/>
        <v>37461478.260869563</v>
      </c>
      <c r="AA43" s="93">
        <f t="shared" si="13"/>
        <v>-42538521.739130437</v>
      </c>
      <c r="AB43" s="94">
        <f t="shared" si="14"/>
        <v>0.46826847826086954</v>
      </c>
      <c r="AC43" s="95">
        <f t="shared" si="15"/>
        <v>1.75</v>
      </c>
      <c r="AD43" s="96">
        <f t="shared" si="16"/>
        <v>6525750</v>
      </c>
      <c r="AE43" s="81">
        <f>IFERROR(GETPIVOTDATA("Sum of Qty",'[1]DATA LAST MONTH IQOO'!$A$6,"ID Store",$C43),0)</f>
        <v>1</v>
      </c>
      <c r="AF43" s="97">
        <f>IFERROR(GETPIVOTDATA("Sum of Qty",[1]IQOO!$A$6,"ID Store",$C43),0)</f>
        <v>0</v>
      </c>
      <c r="AG43" s="84">
        <f t="shared" si="17"/>
        <v>-1</v>
      </c>
      <c r="AH43" s="98">
        <f t="shared" si="18"/>
        <v>-1</v>
      </c>
      <c r="AI43" s="99">
        <f>IFERROR(GETPIVOTDATA("Sum of Qty",'[1]DATA LAST MONTH DEVICE'!$A$6,"ID Store",$C43),0)</f>
        <v>4</v>
      </c>
      <c r="AJ43" s="100">
        <f t="shared" si="19"/>
        <v>6</v>
      </c>
      <c r="AK43" s="84">
        <f t="shared" si="20"/>
        <v>2</v>
      </c>
      <c r="AL43" s="86">
        <f t="shared" si="21"/>
        <v>0.5</v>
      </c>
      <c r="AM43" s="85">
        <f>IFERROR(GETPIVOTDATA("Sum of Qty",'[1]Store 3mio+ last month'!$A$6,"ID Store",$C43),0)</f>
        <v>8</v>
      </c>
      <c r="AN43" s="84">
        <f t="shared" si="22"/>
        <v>8.0869565217391308</v>
      </c>
      <c r="AO43" s="84">
        <f t="shared" si="23"/>
        <v>8.6956521739130821E-2</v>
      </c>
      <c r="AP43" s="86">
        <f t="shared" si="24"/>
        <v>1.0869565217391353E-2</v>
      </c>
      <c r="AQ43" s="85">
        <f>IFERROR(GETPIVOTDATA("Sum of Qty",'[1]DATA LAST MONTH DEVICE'!$A$6,"ID Store",$C43,"Segment Price","3mio&gt;"),0)</f>
        <v>1</v>
      </c>
      <c r="AR43" s="87">
        <f t="shared" si="25"/>
        <v>5</v>
      </c>
      <c r="AS43" s="87">
        <f t="shared" si="26"/>
        <v>4</v>
      </c>
      <c r="AT43" s="86">
        <f t="shared" si="27"/>
        <v>4</v>
      </c>
      <c r="AU43" s="101">
        <f>IFERROR(GETPIVOTDATA("Sum of SRP",'[1]DATA LAST MONTH DEVICE'!$A$6,"ID Store",$C43),0)</f>
        <v>13496000</v>
      </c>
      <c r="AV43" s="101">
        <f t="shared" si="28"/>
        <v>27794000</v>
      </c>
      <c r="AW43" s="101">
        <f t="shared" si="29"/>
        <v>14298000</v>
      </c>
      <c r="AX43" s="86">
        <f t="shared" si="30"/>
        <v>1.0594250148192057</v>
      </c>
      <c r="AY43" s="101">
        <f>IFERROR(VLOOKUP(C43,'[1]DATA SALES LAST MONTH'!A:E,5,0),0)</f>
        <v>0</v>
      </c>
      <c r="AZ43" s="88">
        <f t="shared" si="31"/>
        <v>4632333.333333333</v>
      </c>
      <c r="BA43" s="88">
        <f t="shared" si="32"/>
        <v>4632333.333333333</v>
      </c>
      <c r="BB43" s="98">
        <f t="shared" si="33"/>
        <v>0</v>
      </c>
      <c r="BC43" s="81">
        <f>IFERROR(VLOOKUP(C43,'[1]TARGET THIS MONTH'!C:U,15,0),0)</f>
        <v>2</v>
      </c>
      <c r="BD43" s="102">
        <f>IFERROR(GETPIVOTDATA("Sum of Qty",[1]ACC!$A$5,"ID Store",$C43),0)</f>
        <v>0</v>
      </c>
      <c r="BE43" s="86">
        <f t="shared" si="34"/>
        <v>0</v>
      </c>
      <c r="BF43" s="103">
        <f>IFERROR(VLOOKUP(C43,'[1]TARGET THIS MONTH'!C:U,16,0),0)</f>
        <v>400000</v>
      </c>
      <c r="BG43" s="103">
        <f>IFERROR(GETPIVOTDATA("Sum of SRP",'[1]Insurance by Store'!$A$5,"ID Store",$C43,"Product Type","Qoala"),0)</f>
        <v>0</v>
      </c>
      <c r="BH43" s="86">
        <f t="shared" si="35"/>
        <v>0</v>
      </c>
      <c r="BI43" s="103">
        <f>IFERROR(VLOOKUP(C43,'[1]TARGET THIS MONTH'!C:U,17,0),0)</f>
        <v>80000</v>
      </c>
      <c r="BJ43" s="103">
        <f>IFERROR(GETPIVOTDATA("Sum of SRP",'[1]Insurance by Store'!$A$5,"ID Store",$C43,"Product Type","Vivo Care"),0)</f>
        <v>0</v>
      </c>
      <c r="BK43" s="86">
        <f t="shared" si="36"/>
        <v>0</v>
      </c>
      <c r="BL43" s="84">
        <f>IFERROR(VLOOKUP(C43,'[1]TARGET THIS MONTH'!C:U,18,0),0)</f>
        <v>0.6</v>
      </c>
      <c r="BM43" s="85">
        <f>IFERROR(GETPIVOTDATA("Sum of Qty",'[1]Operator by Store'!$A$5,"ID Store",$C43,"Product Type","Indosat"),0)</f>
        <v>0</v>
      </c>
      <c r="BN43" s="86">
        <f t="shared" si="37"/>
        <v>0</v>
      </c>
      <c r="BO43" s="84">
        <f>VLOOKUP(C43,'[1]TARGET THIS MONTH'!C:U,19,0)</f>
        <v>6</v>
      </c>
      <c r="BP43" s="85">
        <f>IFERROR(GETPIVOTDATA("Sum of Qty",'[1]Operator by Store'!$A$5,"ID Store",$C43,"Product Type","Telkomsel"),0)</f>
        <v>0</v>
      </c>
      <c r="BQ43" s="104">
        <f t="shared" si="38"/>
        <v>0</v>
      </c>
    </row>
    <row r="44" spans="1:69" x14ac:dyDescent="0.2">
      <c r="A44" s="75">
        <v>40</v>
      </c>
      <c r="B44" s="76" t="s">
        <v>101</v>
      </c>
      <c r="C44" s="77">
        <v>6130702</v>
      </c>
      <c r="D44" s="78" t="s">
        <v>102</v>
      </c>
      <c r="E44" s="105" t="s">
        <v>103</v>
      </c>
      <c r="F44" s="80">
        <v>3</v>
      </c>
      <c r="G44" s="81">
        <f>IFERROR(VLOOKUP(C44,'[1]TARGET THIS MONTH'!C:E,3,0),0)</f>
        <v>60</v>
      </c>
      <c r="H44" s="82">
        <f>IFERROR(VLOOKUP(C44,'[1]TARGET THIS MONTH'!C:M,11,0),0)</f>
        <v>300000000</v>
      </c>
      <c r="I44" s="81">
        <f>IFERROR(GETPIVOTDATA("Sum of Qty",'[1]DEVICE &amp; VALUE'!$A$6,"ID Store",$C44),0)</f>
        <v>45</v>
      </c>
      <c r="J44" s="83">
        <f t="shared" si="0"/>
        <v>0.75</v>
      </c>
      <c r="K44" s="84">
        <f t="shared" si="1"/>
        <v>-15</v>
      </c>
      <c r="L44" s="85">
        <f>IFERROR(GETPIVOTDATA("Sum of Qty",[1]PF!$A$5,"ID Store",$C44),0)</f>
        <v>10</v>
      </c>
      <c r="M44" s="85">
        <f>IFERROR(GETPIVOTDATA("Sum of Qty",'[1]DEVICE &amp; VALUE'!$A$6,"ID Store",$C44,"Segment Price","3mio&gt;"),0)</f>
        <v>25</v>
      </c>
      <c r="N44" s="86">
        <f t="shared" si="2"/>
        <v>0.55555555555555558</v>
      </c>
      <c r="O44" s="87">
        <f>IFERROR(GETPIVOTDATA("Sum of Qty",[1]IQOO!$A$6,"ID Store",$C44),0)</f>
        <v>5</v>
      </c>
      <c r="P44" s="86">
        <f t="shared" si="3"/>
        <v>0.1111111111111111</v>
      </c>
      <c r="Q44" s="86">
        <f t="shared" si="4"/>
        <v>0.55555555555555558</v>
      </c>
      <c r="R44" s="88">
        <f>IFERROR(GETPIVOTDATA("Sum of SRP",'[1]DEVICE &amp; VALUE'!$A$6,"ID Store",$C44),0)</f>
        <v>216655000</v>
      </c>
      <c r="S44" s="86">
        <f t="shared" si="5"/>
        <v>0.72218333333333329</v>
      </c>
      <c r="T44" s="89">
        <f t="shared" si="6"/>
        <v>-83345000</v>
      </c>
      <c r="U44" s="90">
        <f t="shared" si="7"/>
        <v>60.652173913043477</v>
      </c>
      <c r="V44" s="91">
        <f t="shared" si="8"/>
        <v>1.0108695652173914</v>
      </c>
      <c r="W44" s="92">
        <f t="shared" si="9"/>
        <v>0.65217391304347672</v>
      </c>
      <c r="X44" s="92">
        <f t="shared" si="10"/>
        <v>33.695652173913039</v>
      </c>
      <c r="Y44" s="92">
        <f t="shared" si="11"/>
        <v>-26.304347826086961</v>
      </c>
      <c r="Z44" s="93">
        <f t="shared" si="12"/>
        <v>292013260.86956525</v>
      </c>
      <c r="AA44" s="93">
        <f t="shared" si="13"/>
        <v>-7986739.1304347515</v>
      </c>
      <c r="AB44" s="94">
        <f t="shared" si="14"/>
        <v>0.97337753623188417</v>
      </c>
      <c r="AC44" s="95">
        <f t="shared" si="15"/>
        <v>1.875</v>
      </c>
      <c r="AD44" s="96">
        <f t="shared" si="16"/>
        <v>10418125</v>
      </c>
      <c r="AE44" s="81">
        <f>IFERROR(GETPIVOTDATA("Sum of Qty",'[1]DATA LAST MONTH IQOO'!$A$6,"ID Store",$C44),0)</f>
        <v>10</v>
      </c>
      <c r="AF44" s="97">
        <f>IFERROR(GETPIVOTDATA("Sum of Qty",[1]IQOO!$A$6,"ID Store",$C44),0)</f>
        <v>5</v>
      </c>
      <c r="AG44" s="84">
        <f t="shared" si="17"/>
        <v>-5</v>
      </c>
      <c r="AH44" s="98">
        <f t="shared" si="18"/>
        <v>-0.5</v>
      </c>
      <c r="AI44" s="99">
        <f>IFERROR(GETPIVOTDATA("Sum of Qty",'[1]DATA LAST MONTH DEVICE'!$A$6,"ID Store",$C44),0)</f>
        <v>38</v>
      </c>
      <c r="AJ44" s="100">
        <f t="shared" si="19"/>
        <v>45</v>
      </c>
      <c r="AK44" s="84">
        <f t="shared" si="20"/>
        <v>7</v>
      </c>
      <c r="AL44" s="86">
        <f t="shared" si="21"/>
        <v>0.18421052631578946</v>
      </c>
      <c r="AM44" s="85">
        <f>IFERROR(GETPIVOTDATA("Sum of Qty",'[1]Store 3mio+ last month'!$A$6,"ID Store",$C44),0)</f>
        <v>50</v>
      </c>
      <c r="AN44" s="84">
        <f t="shared" si="22"/>
        <v>60.652173913043477</v>
      </c>
      <c r="AO44" s="84">
        <f t="shared" si="23"/>
        <v>10.652173913043477</v>
      </c>
      <c r="AP44" s="86">
        <f t="shared" si="24"/>
        <v>0.21304347826086953</v>
      </c>
      <c r="AQ44" s="85">
        <f>IFERROR(GETPIVOTDATA("Sum of Qty",'[1]DATA LAST MONTH DEVICE'!$A$6,"ID Store",$C44,"Segment Price","3mio&gt;"),0)</f>
        <v>25</v>
      </c>
      <c r="AR44" s="87">
        <f t="shared" si="25"/>
        <v>25</v>
      </c>
      <c r="AS44" s="87">
        <f t="shared" si="26"/>
        <v>0</v>
      </c>
      <c r="AT44" s="86">
        <f t="shared" si="27"/>
        <v>0</v>
      </c>
      <c r="AU44" s="101">
        <f>IFERROR(GETPIVOTDATA("Sum of SRP",'[1]DATA LAST MONTH DEVICE'!$A$6,"ID Store",$C44),0)</f>
        <v>196262000</v>
      </c>
      <c r="AV44" s="101">
        <f t="shared" si="28"/>
        <v>216655000</v>
      </c>
      <c r="AW44" s="101">
        <f t="shared" si="29"/>
        <v>20393000</v>
      </c>
      <c r="AX44" s="86">
        <f t="shared" si="30"/>
        <v>0.1039070222457735</v>
      </c>
      <c r="AY44" s="101">
        <f>IFERROR(VLOOKUP(C44,'[1]DATA SALES LAST MONTH'!A:E,5,0),0)</f>
        <v>5164789.4736842103</v>
      </c>
      <c r="AZ44" s="88">
        <f t="shared" si="31"/>
        <v>4814555.555555556</v>
      </c>
      <c r="BA44" s="88">
        <f t="shared" si="32"/>
        <v>-350233.91812865436</v>
      </c>
      <c r="BB44" s="98">
        <f t="shared" si="33"/>
        <v>-6.7811847881346698E-2</v>
      </c>
      <c r="BC44" s="81">
        <f>IFERROR(VLOOKUP(C44,'[1]TARGET THIS MONTH'!C:U,15,0),0)</f>
        <v>6</v>
      </c>
      <c r="BD44" s="102">
        <f>IFERROR(GETPIVOTDATA("Sum of Qty",[1]ACC!$A$5,"ID Store",$C44),0)</f>
        <v>10</v>
      </c>
      <c r="BE44" s="86">
        <f t="shared" si="34"/>
        <v>1.6666666666666667</v>
      </c>
      <c r="BF44" s="103">
        <f>IFERROR(VLOOKUP(C44,'[1]TARGET THIS MONTH'!C:U,16,0),0)</f>
        <v>1500000</v>
      </c>
      <c r="BG44" s="103">
        <f>IFERROR(GETPIVOTDATA("Sum of SRP",'[1]Insurance by Store'!$A$5,"ID Store",$C44,"Product Type","Qoala"),0)</f>
        <v>647000</v>
      </c>
      <c r="BH44" s="86">
        <f t="shared" si="35"/>
        <v>0.43133333333333335</v>
      </c>
      <c r="BI44" s="103">
        <f>IFERROR(VLOOKUP(C44,'[1]TARGET THIS MONTH'!C:U,17,0),0)</f>
        <v>300000</v>
      </c>
      <c r="BJ44" s="103">
        <f>IFERROR(GETPIVOTDATA("Sum of SRP",'[1]Insurance by Store'!$A$5,"ID Store",$C44,"Product Type","Vivo Care"),0)</f>
        <v>1000000</v>
      </c>
      <c r="BK44" s="86">
        <f t="shared" si="36"/>
        <v>3.3333333333333335</v>
      </c>
      <c r="BL44" s="84">
        <f>IFERROR(VLOOKUP(C44,'[1]TARGET THIS MONTH'!C:U,18,0),0)</f>
        <v>1.8</v>
      </c>
      <c r="BM44" s="85">
        <f>IFERROR(GETPIVOTDATA("Sum of Qty",'[1]Operator by Store'!$A$5,"ID Store",$C44,"Product Type","Indosat"),0)</f>
        <v>0</v>
      </c>
      <c r="BN44" s="86">
        <f t="shared" si="37"/>
        <v>0</v>
      </c>
      <c r="BO44" s="84">
        <f>VLOOKUP(C44,'[1]TARGET THIS MONTH'!C:U,19,0)</f>
        <v>18</v>
      </c>
      <c r="BP44" s="85">
        <f>IFERROR(GETPIVOTDATA("Sum of Qty",'[1]Operator by Store'!$A$5,"ID Store",$C44,"Product Type","Telkomsel"),0)</f>
        <v>0</v>
      </c>
      <c r="BQ44" s="104">
        <f t="shared" si="38"/>
        <v>0</v>
      </c>
    </row>
    <row r="45" spans="1:69" x14ac:dyDescent="0.2">
      <c r="A45" s="75">
        <v>41</v>
      </c>
      <c r="B45" s="76" t="s">
        <v>104</v>
      </c>
      <c r="C45" s="77">
        <v>6100702</v>
      </c>
      <c r="D45" s="78" t="s">
        <v>105</v>
      </c>
      <c r="E45" s="106" t="s">
        <v>100</v>
      </c>
      <c r="F45" s="80">
        <v>1</v>
      </c>
      <c r="G45" s="81">
        <f>IFERROR(VLOOKUP(C45,'[1]TARGET THIS MONTH'!C:E,3,0),0)</f>
        <v>50</v>
      </c>
      <c r="H45" s="82">
        <f>IFERROR(VLOOKUP(C45,'[1]TARGET THIS MONTH'!C:M,11,0),0)</f>
        <v>350000000</v>
      </c>
      <c r="I45" s="81">
        <f>IFERROR(GETPIVOTDATA("Sum of Qty",'[1]DEVICE &amp; VALUE'!$A$6,"ID Store",$C45),0)</f>
        <v>22</v>
      </c>
      <c r="J45" s="83">
        <f t="shared" si="0"/>
        <v>0.44</v>
      </c>
      <c r="K45" s="84">
        <f t="shared" si="1"/>
        <v>-28</v>
      </c>
      <c r="L45" s="85">
        <f>IFERROR(GETPIVOTDATA("Sum of Qty",[1]PF!$A$5,"ID Store",$C45),0)</f>
        <v>9</v>
      </c>
      <c r="M45" s="85">
        <f>IFERROR(GETPIVOTDATA("Sum of Qty",'[1]DEVICE &amp; VALUE'!$A$6,"ID Store",$C45,"Segment Price","3mio&gt;"),0)</f>
        <v>15</v>
      </c>
      <c r="N45" s="86">
        <f t="shared" si="2"/>
        <v>0.68181818181818177</v>
      </c>
      <c r="O45" s="87">
        <f>IFERROR(GETPIVOTDATA("Sum of Qty",[1]IQOO!$A$6,"ID Store",$C45),0)</f>
        <v>2</v>
      </c>
      <c r="P45" s="86">
        <f t="shared" si="3"/>
        <v>9.0909090909090912E-2</v>
      </c>
      <c r="Q45" s="86">
        <f t="shared" si="4"/>
        <v>0.68181818181818177</v>
      </c>
      <c r="R45" s="88">
        <f>IFERROR(GETPIVOTDATA("Sum of SRP",'[1]DEVICE &amp; VALUE'!$A$6,"ID Store",$C45),0)</f>
        <v>122978000</v>
      </c>
      <c r="S45" s="86">
        <f t="shared" si="5"/>
        <v>0.35136571428571428</v>
      </c>
      <c r="T45" s="89">
        <f t="shared" si="6"/>
        <v>-227022000</v>
      </c>
      <c r="U45" s="90">
        <f t="shared" si="7"/>
        <v>29.65217391304348</v>
      </c>
      <c r="V45" s="91">
        <f t="shared" si="8"/>
        <v>0.59304347826086956</v>
      </c>
      <c r="W45" s="92">
        <f t="shared" si="9"/>
        <v>-20.34782608695652</v>
      </c>
      <c r="X45" s="92">
        <f t="shared" si="10"/>
        <v>20.217391304347828</v>
      </c>
      <c r="Y45" s="92">
        <f t="shared" si="11"/>
        <v>-29.782608695652172</v>
      </c>
      <c r="Z45" s="93">
        <f t="shared" si="12"/>
        <v>165752956.52173913</v>
      </c>
      <c r="AA45" s="93">
        <f t="shared" si="13"/>
        <v>-184247043.47826087</v>
      </c>
      <c r="AB45" s="94">
        <f t="shared" si="14"/>
        <v>0.47357987577639749</v>
      </c>
      <c r="AC45" s="95">
        <f t="shared" si="15"/>
        <v>3.5</v>
      </c>
      <c r="AD45" s="96">
        <f t="shared" si="16"/>
        <v>28377750</v>
      </c>
      <c r="AE45" s="81">
        <f>IFERROR(GETPIVOTDATA("Sum of Qty",'[1]DATA LAST MONTH IQOO'!$A$6,"ID Store",$C45),0)</f>
        <v>7</v>
      </c>
      <c r="AF45" s="97">
        <f>IFERROR(GETPIVOTDATA("Sum of Qty",[1]IQOO!$A$6,"ID Store",$C45),0)</f>
        <v>2</v>
      </c>
      <c r="AG45" s="84">
        <f t="shared" si="17"/>
        <v>-5</v>
      </c>
      <c r="AH45" s="98">
        <f t="shared" si="18"/>
        <v>-0.7142857142857143</v>
      </c>
      <c r="AI45" s="99">
        <f>IFERROR(GETPIVOTDATA("Sum of Qty",'[1]DATA LAST MONTH DEVICE'!$A$6,"ID Store",$C45),0)</f>
        <v>40</v>
      </c>
      <c r="AJ45" s="100">
        <f t="shared" si="19"/>
        <v>22</v>
      </c>
      <c r="AK45" s="84">
        <f t="shared" si="20"/>
        <v>-18</v>
      </c>
      <c r="AL45" s="86">
        <f t="shared" si="21"/>
        <v>-0.45</v>
      </c>
      <c r="AM45" s="85">
        <f>IFERROR(GETPIVOTDATA("Sum of Qty",'[1]Store 3mio+ last month'!$A$6,"ID Store",$C45),0)</f>
        <v>49</v>
      </c>
      <c r="AN45" s="84">
        <f t="shared" si="22"/>
        <v>29.65217391304348</v>
      </c>
      <c r="AO45" s="84">
        <f t="shared" si="23"/>
        <v>-19.34782608695652</v>
      </c>
      <c r="AP45" s="86">
        <f t="shared" si="24"/>
        <v>-0.39485359361135752</v>
      </c>
      <c r="AQ45" s="85">
        <f>IFERROR(GETPIVOTDATA("Sum of Qty",'[1]DATA LAST MONTH DEVICE'!$A$6,"ID Store",$C45,"Segment Price","3mio&gt;"),0)</f>
        <v>29</v>
      </c>
      <c r="AR45" s="87">
        <f t="shared" si="25"/>
        <v>15</v>
      </c>
      <c r="AS45" s="87">
        <f t="shared" si="26"/>
        <v>-14</v>
      </c>
      <c r="AT45" s="86">
        <f t="shared" si="27"/>
        <v>-0.48275862068965519</v>
      </c>
      <c r="AU45" s="101">
        <f>IFERROR(GETPIVOTDATA("Sum of SRP",'[1]DATA LAST MONTH DEVICE'!$A$6,"ID Store",$C45),0)</f>
        <v>273960000</v>
      </c>
      <c r="AV45" s="101">
        <f t="shared" si="28"/>
        <v>122978000</v>
      </c>
      <c r="AW45" s="101">
        <f t="shared" si="29"/>
        <v>-150982000</v>
      </c>
      <c r="AX45" s="86">
        <f t="shared" si="30"/>
        <v>-0.55110965104394805</v>
      </c>
      <c r="AY45" s="101">
        <f>IFERROR(VLOOKUP(C45,'[1]DATA SALES LAST MONTH'!A:E,5,0),0)</f>
        <v>6849000</v>
      </c>
      <c r="AZ45" s="88">
        <f t="shared" si="31"/>
        <v>5589909.0909090899</v>
      </c>
      <c r="BA45" s="88">
        <f t="shared" si="32"/>
        <v>-1259090.9090909101</v>
      </c>
      <c r="BB45" s="98">
        <f t="shared" si="33"/>
        <v>-0.18383572917081473</v>
      </c>
      <c r="BC45" s="81">
        <f>IFERROR(VLOOKUP(C45,'[1]TARGET THIS MONTH'!C:U,15,0),0)</f>
        <v>5</v>
      </c>
      <c r="BD45" s="102">
        <f>IFERROR(GETPIVOTDATA("Sum of Qty",[1]ACC!$A$5,"ID Store",$C45),0)</f>
        <v>4</v>
      </c>
      <c r="BE45" s="86">
        <f t="shared" si="34"/>
        <v>0.8</v>
      </c>
      <c r="BF45" s="103">
        <f>IFERROR(VLOOKUP(C45,'[1]TARGET THIS MONTH'!C:U,16,0),0)</f>
        <v>1750000</v>
      </c>
      <c r="BG45" s="103">
        <f>IFERROR(GETPIVOTDATA("Sum of SRP",'[1]Insurance by Store'!$A$5,"ID Store",$C45,"Product Type","Qoala"),0)</f>
        <v>318000</v>
      </c>
      <c r="BH45" s="86">
        <f t="shared" si="35"/>
        <v>0.18171428571428572</v>
      </c>
      <c r="BI45" s="103">
        <f>IFERROR(VLOOKUP(C45,'[1]TARGET THIS MONTH'!C:U,17,0),0)</f>
        <v>350000</v>
      </c>
      <c r="BJ45" s="103">
        <f>IFERROR(GETPIVOTDATA("Sum of SRP",'[1]Insurance by Store'!$A$5,"ID Store",$C45,"Product Type","Vivo Care"),0)</f>
        <v>0</v>
      </c>
      <c r="BK45" s="86">
        <f t="shared" si="36"/>
        <v>0</v>
      </c>
      <c r="BL45" s="84">
        <f>IFERROR(VLOOKUP(C45,'[1]TARGET THIS MONTH'!C:U,18,0),0)</f>
        <v>1.5</v>
      </c>
      <c r="BM45" s="85">
        <f>IFERROR(GETPIVOTDATA("Sum of Qty",'[1]Operator by Store'!$A$5,"ID Store",$C45,"Product Type","Indosat"),0)</f>
        <v>0</v>
      </c>
      <c r="BN45" s="86">
        <f t="shared" si="37"/>
        <v>0</v>
      </c>
      <c r="BO45" s="84">
        <f>VLOOKUP(C45,'[1]TARGET THIS MONTH'!C:U,19,0)</f>
        <v>15</v>
      </c>
      <c r="BP45" s="85">
        <f>IFERROR(GETPIVOTDATA("Sum of Qty",'[1]Operator by Store'!$A$5,"ID Store",$C45,"Product Type","Telkomsel"),0)</f>
        <v>0</v>
      </c>
      <c r="BQ45" s="104">
        <f t="shared" si="38"/>
        <v>0</v>
      </c>
    </row>
    <row r="46" spans="1:69" x14ac:dyDescent="0.2">
      <c r="A46" s="75">
        <v>42</v>
      </c>
      <c r="B46" s="76" t="s">
        <v>104</v>
      </c>
      <c r="C46" s="77">
        <v>6140706</v>
      </c>
      <c r="D46" s="78" t="s">
        <v>106</v>
      </c>
      <c r="E46" s="105" t="s">
        <v>107</v>
      </c>
      <c r="F46" s="80">
        <v>2</v>
      </c>
      <c r="G46" s="81">
        <f>IFERROR(VLOOKUP(C46,'[1]TARGET THIS MONTH'!C:E,3,0),0)</f>
        <v>30</v>
      </c>
      <c r="H46" s="82">
        <f>IFERROR(VLOOKUP(C46,'[1]TARGET THIS MONTH'!C:M,11,0),0)</f>
        <v>210000000</v>
      </c>
      <c r="I46" s="81">
        <f>IFERROR(GETPIVOTDATA("Sum of Qty",'[1]DEVICE &amp; VALUE'!$A$6,"ID Store",$C46),0)</f>
        <v>19</v>
      </c>
      <c r="J46" s="83">
        <f t="shared" si="0"/>
        <v>0.6333333333333333</v>
      </c>
      <c r="K46" s="84">
        <f t="shared" si="1"/>
        <v>-11</v>
      </c>
      <c r="L46" s="85">
        <f>IFERROR(GETPIVOTDATA("Sum of Qty",[1]PF!$A$5,"ID Store",$C46),0)</f>
        <v>3</v>
      </c>
      <c r="M46" s="85">
        <f>IFERROR(GETPIVOTDATA("Sum of Qty",'[1]DEVICE &amp; VALUE'!$A$6,"ID Store",$C46,"Segment Price","3mio&gt;"),0)</f>
        <v>11</v>
      </c>
      <c r="N46" s="86">
        <f t="shared" si="2"/>
        <v>0.57894736842105265</v>
      </c>
      <c r="O46" s="87">
        <f>IFERROR(GETPIVOTDATA("Sum of Qty",[1]IQOO!$A$6,"ID Store",$C46),0)</f>
        <v>3</v>
      </c>
      <c r="P46" s="86">
        <f t="shared" si="3"/>
        <v>0.15789473684210525</v>
      </c>
      <c r="Q46" s="86">
        <f t="shared" si="4"/>
        <v>0.57894736842105265</v>
      </c>
      <c r="R46" s="88">
        <f>IFERROR(GETPIVOTDATA("Sum of SRP",'[1]DEVICE &amp; VALUE'!$A$6,"ID Store",$C46),0)</f>
        <v>132181000</v>
      </c>
      <c r="S46" s="86">
        <f t="shared" si="5"/>
        <v>0.62943333333333329</v>
      </c>
      <c r="T46" s="89">
        <f t="shared" si="6"/>
        <v>-77819000</v>
      </c>
      <c r="U46" s="90">
        <f t="shared" si="7"/>
        <v>25.608695652173914</v>
      </c>
      <c r="V46" s="91">
        <f t="shared" si="8"/>
        <v>0.8536231884057971</v>
      </c>
      <c r="W46" s="92">
        <f t="shared" si="9"/>
        <v>-4.391304347826086</v>
      </c>
      <c r="X46" s="92">
        <f t="shared" si="10"/>
        <v>14.82608695652174</v>
      </c>
      <c r="Y46" s="92">
        <f t="shared" si="11"/>
        <v>-15.17391304347826</v>
      </c>
      <c r="Z46" s="93">
        <f t="shared" si="12"/>
        <v>178157000</v>
      </c>
      <c r="AA46" s="93">
        <f t="shared" si="13"/>
        <v>-31843000</v>
      </c>
      <c r="AB46" s="94">
        <f t="shared" si="14"/>
        <v>0.84836666666666671</v>
      </c>
      <c r="AC46" s="95">
        <f t="shared" si="15"/>
        <v>1.375</v>
      </c>
      <c r="AD46" s="96">
        <f t="shared" si="16"/>
        <v>9727375</v>
      </c>
      <c r="AE46" s="81">
        <f>IFERROR(GETPIVOTDATA("Sum of Qty",'[1]DATA LAST MONTH IQOO'!$A$6,"ID Store",$C46),0)</f>
        <v>5</v>
      </c>
      <c r="AF46" s="97">
        <f>IFERROR(GETPIVOTDATA("Sum of Qty",[1]IQOO!$A$6,"ID Store",$C46),0)</f>
        <v>3</v>
      </c>
      <c r="AG46" s="84">
        <f t="shared" si="17"/>
        <v>-2</v>
      </c>
      <c r="AH46" s="98">
        <f t="shared" si="18"/>
        <v>-0.4</v>
      </c>
      <c r="AI46" s="99">
        <f>IFERROR(GETPIVOTDATA("Sum of Qty",'[1]DATA LAST MONTH DEVICE'!$A$6,"ID Store",$C46),0)</f>
        <v>23</v>
      </c>
      <c r="AJ46" s="100">
        <f t="shared" si="19"/>
        <v>19</v>
      </c>
      <c r="AK46" s="84">
        <f t="shared" si="20"/>
        <v>-4</v>
      </c>
      <c r="AL46" s="86">
        <f t="shared" si="21"/>
        <v>-0.17391304347826086</v>
      </c>
      <c r="AM46" s="85">
        <f>IFERROR(GETPIVOTDATA("Sum of Qty",'[1]Store 3mio+ last month'!$A$6,"ID Store",$C46),0)</f>
        <v>29</v>
      </c>
      <c r="AN46" s="84">
        <f t="shared" si="22"/>
        <v>25.608695652173914</v>
      </c>
      <c r="AO46" s="84">
        <f t="shared" si="23"/>
        <v>-3.391304347826086</v>
      </c>
      <c r="AP46" s="86">
        <f t="shared" si="24"/>
        <v>-0.11694152923538227</v>
      </c>
      <c r="AQ46" s="85">
        <f>IFERROR(GETPIVOTDATA("Sum of Qty",'[1]DATA LAST MONTH DEVICE'!$A$6,"ID Store",$C46,"Segment Price","3mio&gt;"),0)</f>
        <v>18</v>
      </c>
      <c r="AR46" s="87">
        <f t="shared" si="25"/>
        <v>11</v>
      </c>
      <c r="AS46" s="87">
        <f t="shared" si="26"/>
        <v>-7</v>
      </c>
      <c r="AT46" s="86">
        <f t="shared" si="27"/>
        <v>-0.3888888888888889</v>
      </c>
      <c r="AU46" s="101">
        <f>IFERROR(GETPIVOTDATA("Sum of SRP",'[1]DATA LAST MONTH DEVICE'!$A$6,"ID Store",$C46),0)</f>
        <v>202577000</v>
      </c>
      <c r="AV46" s="101">
        <f t="shared" si="28"/>
        <v>132181000</v>
      </c>
      <c r="AW46" s="101">
        <f t="shared" si="29"/>
        <v>-70396000</v>
      </c>
      <c r="AX46" s="86">
        <f t="shared" si="30"/>
        <v>-0.34750243117431889</v>
      </c>
      <c r="AY46" s="101">
        <f>IFERROR(VLOOKUP(C46,'[1]DATA SALES LAST MONTH'!A:E,5,0),0)</f>
        <v>0</v>
      </c>
      <c r="AZ46" s="88">
        <f t="shared" si="31"/>
        <v>6956894.7368421052</v>
      </c>
      <c r="BA46" s="88">
        <f t="shared" si="32"/>
        <v>6956894.7368421052</v>
      </c>
      <c r="BB46" s="98">
        <f t="shared" si="33"/>
        <v>0</v>
      </c>
      <c r="BC46" s="81">
        <f>IFERROR(VLOOKUP(C46,'[1]TARGET THIS MONTH'!C:U,15,0),0)</f>
        <v>3</v>
      </c>
      <c r="BD46" s="102">
        <f>IFERROR(GETPIVOTDATA("Sum of Qty",[1]ACC!$A$5,"ID Store",$C46),0)</f>
        <v>1</v>
      </c>
      <c r="BE46" s="86">
        <f t="shared" si="34"/>
        <v>0.33333333333333331</v>
      </c>
      <c r="BF46" s="103">
        <f>IFERROR(VLOOKUP(C46,'[1]TARGET THIS MONTH'!C:U,16,0),0)</f>
        <v>1050000</v>
      </c>
      <c r="BG46" s="103">
        <f>IFERROR(GETPIVOTDATA("Sum of SRP",'[1]Insurance by Store'!$A$5,"ID Store",$C46,"Product Type","Qoala"),0)</f>
        <v>0</v>
      </c>
      <c r="BH46" s="86">
        <f t="shared" si="35"/>
        <v>0</v>
      </c>
      <c r="BI46" s="103">
        <f>IFERROR(VLOOKUP(C46,'[1]TARGET THIS MONTH'!C:U,17,0),0)</f>
        <v>210000</v>
      </c>
      <c r="BJ46" s="103">
        <f>IFERROR(GETPIVOTDATA("Sum of SRP",'[1]Insurance by Store'!$A$5,"ID Store",$C46,"Product Type","Vivo Care"),0)</f>
        <v>0</v>
      </c>
      <c r="BK46" s="86">
        <f t="shared" si="36"/>
        <v>0</v>
      </c>
      <c r="BL46" s="84">
        <f>IFERROR(VLOOKUP(C46,'[1]TARGET THIS MONTH'!C:U,18,0),0)</f>
        <v>0.9</v>
      </c>
      <c r="BM46" s="85">
        <f>IFERROR(GETPIVOTDATA("Sum of Qty",'[1]Operator by Store'!$A$5,"ID Store",$C46,"Product Type","Indosat"),0)</f>
        <v>0</v>
      </c>
      <c r="BN46" s="86">
        <f t="shared" si="37"/>
        <v>0</v>
      </c>
      <c r="BO46" s="84">
        <f>VLOOKUP(C46,'[1]TARGET THIS MONTH'!C:U,19,0)</f>
        <v>9</v>
      </c>
      <c r="BP46" s="85">
        <f>IFERROR(GETPIVOTDATA("Sum of Qty",'[1]Operator by Store'!$A$5,"ID Store",$C46,"Product Type","Telkomsel"),0)</f>
        <v>0</v>
      </c>
      <c r="BQ46" s="104">
        <f t="shared" si="38"/>
        <v>0</v>
      </c>
    </row>
    <row r="47" spans="1:69" ht="17" thickBot="1" x14ac:dyDescent="0.25">
      <c r="A47" s="107">
        <v>43</v>
      </c>
      <c r="B47" s="108" t="s">
        <v>104</v>
      </c>
      <c r="C47" s="109">
        <v>6140705</v>
      </c>
      <c r="D47" s="110" t="s">
        <v>108</v>
      </c>
      <c r="E47" s="111" t="s">
        <v>109</v>
      </c>
      <c r="F47" s="112">
        <v>3</v>
      </c>
      <c r="G47" s="113">
        <f>IFERROR(VLOOKUP(C47,'[1]TARGET THIS MONTH'!C:E,3,0),0)</f>
        <v>60</v>
      </c>
      <c r="H47" s="114">
        <f>IFERROR(VLOOKUP(C47,'[1]TARGET THIS MONTH'!C:M,11,0),0)</f>
        <v>420000000</v>
      </c>
      <c r="I47" s="113">
        <f>IFERROR(GETPIVOTDATA("Sum of Qty",'[1]DEVICE &amp; VALUE'!$A$6,"ID Store",$C47),0)</f>
        <v>37</v>
      </c>
      <c r="J47" s="115">
        <f t="shared" si="0"/>
        <v>0.6166666666666667</v>
      </c>
      <c r="K47" s="116">
        <f t="shared" si="1"/>
        <v>-23</v>
      </c>
      <c r="L47" s="117">
        <f>IFERROR(GETPIVOTDATA("Sum of Qty",[1]PF!$A$5,"ID Store",$C47),0)</f>
        <v>7</v>
      </c>
      <c r="M47" s="117">
        <f>IFERROR(GETPIVOTDATA("Sum of Qty",'[1]DEVICE &amp; VALUE'!$A$6,"ID Store",$C47,"Segment Price","3mio&gt;"),0)</f>
        <v>26</v>
      </c>
      <c r="N47" s="118">
        <f t="shared" si="2"/>
        <v>0.70270270270270274</v>
      </c>
      <c r="O47" s="119">
        <f>IFERROR(GETPIVOTDATA("Sum of Qty",[1]IQOO!$A$6,"ID Store",$C47),0)</f>
        <v>9</v>
      </c>
      <c r="P47" s="118">
        <f t="shared" si="3"/>
        <v>0.24324324324324326</v>
      </c>
      <c r="Q47" s="118">
        <f t="shared" si="4"/>
        <v>0.70270270270270274</v>
      </c>
      <c r="R47" s="120">
        <f>IFERROR(GETPIVOTDATA("Sum of SRP",'[1]DEVICE &amp; VALUE'!$A$6,"ID Store",$C47),0)</f>
        <v>213563000</v>
      </c>
      <c r="S47" s="118">
        <f t="shared" si="5"/>
        <v>0.50848333333333329</v>
      </c>
      <c r="T47" s="121">
        <f t="shared" si="6"/>
        <v>-206437000</v>
      </c>
      <c r="U47" s="122">
        <f t="shared" si="7"/>
        <v>49.869565217391305</v>
      </c>
      <c r="V47" s="123">
        <f t="shared" si="8"/>
        <v>0.83115942028985512</v>
      </c>
      <c r="W47" s="124">
        <f t="shared" si="9"/>
        <v>-10.130434782608695</v>
      </c>
      <c r="X47" s="124">
        <f t="shared" si="10"/>
        <v>35.043478260869563</v>
      </c>
      <c r="Y47" s="124">
        <f t="shared" si="11"/>
        <v>-24.956521739130437</v>
      </c>
      <c r="Z47" s="125">
        <f t="shared" si="12"/>
        <v>287845782.60869569</v>
      </c>
      <c r="AA47" s="125">
        <f t="shared" si="13"/>
        <v>-132154217.39130431</v>
      </c>
      <c r="AB47" s="126">
        <f t="shared" si="14"/>
        <v>0.68534710144927546</v>
      </c>
      <c r="AC47" s="127">
        <f t="shared" si="15"/>
        <v>2.875</v>
      </c>
      <c r="AD47" s="128">
        <f t="shared" si="16"/>
        <v>25804625</v>
      </c>
      <c r="AE47" s="113">
        <f>IFERROR(GETPIVOTDATA("Sum of Qty",'[1]DATA LAST MONTH IQOO'!$A$6,"ID Store",$C47),0)</f>
        <v>15</v>
      </c>
      <c r="AF47" s="129">
        <f>IFERROR(GETPIVOTDATA("Sum of Qty",[1]IQOO!$A$6,"ID Store",$C47),0)</f>
        <v>9</v>
      </c>
      <c r="AG47" s="116">
        <f t="shared" si="17"/>
        <v>-6</v>
      </c>
      <c r="AH47" s="130">
        <f t="shared" si="18"/>
        <v>-0.4</v>
      </c>
      <c r="AI47" s="131">
        <f>IFERROR(GETPIVOTDATA("Sum of Qty",'[1]DATA LAST MONTH DEVICE'!$A$6,"ID Store",$C47),0)</f>
        <v>49</v>
      </c>
      <c r="AJ47" s="132">
        <f t="shared" si="19"/>
        <v>37</v>
      </c>
      <c r="AK47" s="116">
        <f t="shared" si="20"/>
        <v>-12</v>
      </c>
      <c r="AL47" s="118">
        <f t="shared" si="21"/>
        <v>-0.24489795918367346</v>
      </c>
      <c r="AM47" s="117">
        <f>IFERROR(GETPIVOTDATA("Sum of Qty",'[1]Store 3mio+ last month'!$A$6,"ID Store",$C47),0)</f>
        <v>58</v>
      </c>
      <c r="AN47" s="116">
        <f t="shared" si="22"/>
        <v>49.869565217391305</v>
      </c>
      <c r="AO47" s="116">
        <f t="shared" si="23"/>
        <v>-8.1304347826086953</v>
      </c>
      <c r="AP47" s="118">
        <f t="shared" si="24"/>
        <v>-0.14017991004497751</v>
      </c>
      <c r="AQ47" s="117">
        <f>IFERROR(GETPIVOTDATA("Sum of Qty",'[1]DATA LAST MONTH DEVICE'!$A$6,"ID Store",$C47,"Segment Price","3mio&gt;"),0)</f>
        <v>40</v>
      </c>
      <c r="AR47" s="119">
        <f t="shared" si="25"/>
        <v>26</v>
      </c>
      <c r="AS47" s="119">
        <f t="shared" si="26"/>
        <v>-14</v>
      </c>
      <c r="AT47" s="118">
        <f t="shared" si="27"/>
        <v>-0.35</v>
      </c>
      <c r="AU47" s="133">
        <f>IFERROR(GETPIVOTDATA("Sum of SRP",'[1]DATA LAST MONTH DEVICE'!$A$6,"ID Store",$C47),0)</f>
        <v>388351000</v>
      </c>
      <c r="AV47" s="133">
        <f t="shared" si="28"/>
        <v>213563000</v>
      </c>
      <c r="AW47" s="133">
        <f t="shared" si="29"/>
        <v>-174788000</v>
      </c>
      <c r="AX47" s="118">
        <f t="shared" si="30"/>
        <v>-0.4500773784540274</v>
      </c>
      <c r="AY47" s="133">
        <f>IFERROR(VLOOKUP(C47,'[1]DATA SALES LAST MONTH'!A:E,5,0),0)</f>
        <v>7925530.6122448975</v>
      </c>
      <c r="AZ47" s="120">
        <f t="shared" si="31"/>
        <v>5771972.9729729732</v>
      </c>
      <c r="BA47" s="120">
        <f t="shared" si="32"/>
        <v>-2153557.6392719243</v>
      </c>
      <c r="BB47" s="130">
        <f t="shared" si="33"/>
        <v>-0.27172409579046863</v>
      </c>
      <c r="BC47" s="113">
        <f>IFERROR(VLOOKUP(C47,'[1]TARGET THIS MONTH'!C:U,15,0),0)</f>
        <v>6</v>
      </c>
      <c r="BD47" s="134">
        <f>IFERROR(GETPIVOTDATA("Sum of Qty",[1]ACC!$A$5,"ID Store",$C47),0)</f>
        <v>10</v>
      </c>
      <c r="BE47" s="118">
        <f t="shared" si="34"/>
        <v>1.6666666666666667</v>
      </c>
      <c r="BF47" s="135">
        <f>IFERROR(VLOOKUP(C47,'[1]TARGET THIS MONTH'!C:U,16,0),0)</f>
        <v>2100000</v>
      </c>
      <c r="BG47" s="135">
        <f>IFERROR(GETPIVOTDATA("Sum of SRP",'[1]Insurance by Store'!$A$5,"ID Store",$C47,"Product Type","Qoala"),0)</f>
        <v>907000</v>
      </c>
      <c r="BH47" s="118">
        <f t="shared" si="35"/>
        <v>0.4319047619047619</v>
      </c>
      <c r="BI47" s="135">
        <f>IFERROR(VLOOKUP(C47,'[1]TARGET THIS MONTH'!C:U,17,0),0)</f>
        <v>420000</v>
      </c>
      <c r="BJ47" s="135">
        <f>IFERROR(GETPIVOTDATA("Sum of SRP",'[1]Insurance by Store'!$A$5,"ID Store",$C47,"Product Type","Vivo Care"),0)</f>
        <v>0</v>
      </c>
      <c r="BK47" s="118">
        <f t="shared" si="36"/>
        <v>0</v>
      </c>
      <c r="BL47" s="116">
        <f>IFERROR(VLOOKUP(C47,'[1]TARGET THIS MONTH'!C:U,18,0),0)</f>
        <v>1.8</v>
      </c>
      <c r="BM47" s="117">
        <f>IFERROR(GETPIVOTDATA("Sum of Qty",'[1]Operator by Store'!$A$5,"ID Store",$C47,"Product Type","Indosat"),0)</f>
        <v>0</v>
      </c>
      <c r="BN47" s="118">
        <f t="shared" si="37"/>
        <v>0</v>
      </c>
      <c r="BO47" s="116">
        <f>VLOOKUP(C47,'[1]TARGET THIS MONTH'!C:U,19,0)</f>
        <v>18</v>
      </c>
      <c r="BP47" s="117">
        <f>IFERROR(GETPIVOTDATA("Sum of Qty",'[1]Operator by Store'!$A$5,"ID Store",$C47,"Product Type","Telkomsel"),0)</f>
        <v>0</v>
      </c>
      <c r="BQ47" s="136">
        <f t="shared" si="38"/>
        <v>0</v>
      </c>
    </row>
    <row r="48" spans="1:69" ht="17" thickBot="1" x14ac:dyDescent="0.25">
      <c r="A48" s="310" t="s">
        <v>110</v>
      </c>
      <c r="B48" s="311"/>
      <c r="C48" s="311"/>
      <c r="D48" s="311"/>
      <c r="E48" s="311"/>
      <c r="F48" s="2">
        <f>SUM(F5:F47)</f>
        <v>114</v>
      </c>
      <c r="G48" s="3">
        <f>SUM(G5:G47)</f>
        <v>3400</v>
      </c>
      <c r="H48" s="4">
        <f>SUM(H5:H47)</f>
        <v>15659000000</v>
      </c>
      <c r="I48" s="3">
        <f>SUM(I5:I47)</f>
        <v>2477</v>
      </c>
      <c r="J48" s="5">
        <f t="shared" si="0"/>
        <v>0.72852941176470587</v>
      </c>
      <c r="K48" s="6">
        <f t="shared" si="1"/>
        <v>-923</v>
      </c>
      <c r="L48" s="1">
        <f>SUM(L5:L47)</f>
        <v>546</v>
      </c>
      <c r="M48" s="1">
        <f>SUM(M5:M47)</f>
        <v>946</v>
      </c>
      <c r="N48" s="7">
        <f>M48/I48</f>
        <v>0.38191360516754136</v>
      </c>
      <c r="O48" s="6">
        <f>SUM(O5:O47)</f>
        <v>94</v>
      </c>
      <c r="P48" s="7">
        <f>O48/I48</f>
        <v>3.7949132014533711E-2</v>
      </c>
      <c r="Q48" s="7">
        <f>M48/I48</f>
        <v>0.38191360516754136</v>
      </c>
      <c r="R48" s="8">
        <f>SUM(R5:R47)</f>
        <v>9512723000</v>
      </c>
      <c r="S48" s="7">
        <f>R48/H48</f>
        <v>0.60749236860591349</v>
      </c>
      <c r="T48" s="9">
        <f t="shared" si="6"/>
        <v>-6146277000</v>
      </c>
      <c r="U48" s="10">
        <f>SUM(U5:U47)</f>
        <v>3338.5652173913059</v>
      </c>
      <c r="V48" s="5">
        <f>U48/G48</f>
        <v>0.98193094629156052</v>
      </c>
      <c r="W48" s="6">
        <f t="shared" si="9"/>
        <v>-61.43478260869415</v>
      </c>
      <c r="X48" s="6">
        <f>SUM(X5:X47)</f>
        <v>1275.0434782608693</v>
      </c>
      <c r="Y48" s="6">
        <f t="shared" si="11"/>
        <v>-2124.9565217391309</v>
      </c>
      <c r="Z48" s="8">
        <f>SUM(Z5:Z47)</f>
        <v>12821496217.391308</v>
      </c>
      <c r="AA48" s="8">
        <f t="shared" si="13"/>
        <v>-2837503782.6086922</v>
      </c>
      <c r="AB48" s="11">
        <f>Z48/H48</f>
        <v>0.81879406203405758</v>
      </c>
      <c r="AC48" s="12">
        <f>SUM(AC5:AC47)</f>
        <v>115.375</v>
      </c>
      <c r="AD48" s="4">
        <f>SUM(AD5:AD47)</f>
        <v>768284625</v>
      </c>
      <c r="AE48" s="3">
        <f>SUM(AE5:AE47)</f>
        <v>277</v>
      </c>
      <c r="AF48" s="13">
        <f>SUM(AF5:AF47)</f>
        <v>94</v>
      </c>
      <c r="AG48" s="6">
        <f t="shared" si="17"/>
        <v>-183</v>
      </c>
      <c r="AH48" s="11">
        <f>AG48/AE48</f>
        <v>-0.66064981949458479</v>
      </c>
      <c r="AI48" s="14">
        <f>SUM(AI5:AI47)</f>
        <v>2767</v>
      </c>
      <c r="AJ48" s="13">
        <f>SUM(AJ5:AJ47)</f>
        <v>2477</v>
      </c>
      <c r="AK48" s="6">
        <f t="shared" si="20"/>
        <v>-290</v>
      </c>
      <c r="AL48" s="7">
        <f>AK48/AI48</f>
        <v>-0.10480664980122877</v>
      </c>
      <c r="AM48" s="1">
        <f>SUM(AM5:AM47)</f>
        <v>3442</v>
      </c>
      <c r="AN48" s="6">
        <f>SUM(AN5:AN47)</f>
        <v>3338.5652173913059</v>
      </c>
      <c r="AO48" s="6">
        <f t="shared" si="23"/>
        <v>-103.43478260869415</v>
      </c>
      <c r="AP48" s="7">
        <f>AO48/AM48</f>
        <v>-3.0050779374983773E-2</v>
      </c>
      <c r="AQ48" s="1">
        <f>SUM(AQ5:AQ47)</f>
        <v>1317</v>
      </c>
      <c r="AR48" s="6">
        <f>SUM(AR5:AR47)</f>
        <v>946</v>
      </c>
      <c r="AS48" s="6">
        <f t="shared" si="26"/>
        <v>-371</v>
      </c>
      <c r="AT48" s="7">
        <f>AS48/AQ48</f>
        <v>-0.28170083523158695</v>
      </c>
      <c r="AU48" s="8">
        <f>SUM(AU5:AU47)</f>
        <v>13038033000</v>
      </c>
      <c r="AV48" s="8">
        <f>SUM(AV5:AV47)</f>
        <v>9512723000</v>
      </c>
      <c r="AW48" s="8">
        <f t="shared" si="29"/>
        <v>-3525310000</v>
      </c>
      <c r="AX48" s="7">
        <f>AW48/AU48</f>
        <v>-0.27038664497934617</v>
      </c>
      <c r="AY48" s="8">
        <f>AU48/AI48</f>
        <v>4711974.3404409103</v>
      </c>
      <c r="AZ48" s="8">
        <f>Z48/U48</f>
        <v>3840421.0738796927</v>
      </c>
      <c r="BA48" s="8">
        <f t="shared" si="32"/>
        <v>-871553.26656121761</v>
      </c>
      <c r="BB48" s="11">
        <f>BA48/AY48</f>
        <v>-0.18496562238912029</v>
      </c>
      <c r="BC48" s="3">
        <f>SUM(BC5:BC47)</f>
        <v>340</v>
      </c>
      <c r="BD48" s="15">
        <f>SUM(BD5:BD47)</f>
        <v>530</v>
      </c>
      <c r="BE48" s="7">
        <f>BD48/BC48</f>
        <v>1.5588235294117647</v>
      </c>
      <c r="BF48" s="8">
        <f>SUM(BF5:BF47)</f>
        <v>76290000</v>
      </c>
      <c r="BG48" s="8">
        <f>SUM(BG5:BG47)</f>
        <v>44582000</v>
      </c>
      <c r="BH48" s="7">
        <f>BG48/BF48</f>
        <v>0.58437540962118228</v>
      </c>
      <c r="BI48" s="8">
        <f>SUM(BI5:BI47)</f>
        <v>15508000</v>
      </c>
      <c r="BJ48" s="8">
        <f>SUM(BJ5:BJ47)</f>
        <v>2000000</v>
      </c>
      <c r="BK48" s="7">
        <f>BJ48/BI48</f>
        <v>0.12896569512509673</v>
      </c>
      <c r="BL48" s="6">
        <f>SUM(BL5:BL47)</f>
        <v>102</v>
      </c>
      <c r="BM48" s="1">
        <f>SUM(BM5:BM47)</f>
        <v>39</v>
      </c>
      <c r="BN48" s="7">
        <f>BM48/BL48</f>
        <v>0.38235294117647056</v>
      </c>
      <c r="BO48" s="6">
        <f>SUM(BO5:BO47)</f>
        <v>1020</v>
      </c>
      <c r="BP48" s="1">
        <f>SUM(BP5:BP47)</f>
        <v>0</v>
      </c>
      <c r="BQ48" s="16">
        <f>BP48/BO48</f>
        <v>0</v>
      </c>
    </row>
  </sheetData>
  <mergeCells count="40"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  <mergeCell ref="BI3:BI4"/>
    <mergeCell ref="BJ3:BJ4"/>
    <mergeCell ref="BK3:BK4"/>
    <mergeCell ref="F3:F4"/>
    <mergeCell ref="BC3:BC4"/>
    <mergeCell ref="BD3:BD4"/>
    <mergeCell ref="BE3:BE4"/>
    <mergeCell ref="BF3:BF4"/>
    <mergeCell ref="AI3:AL3"/>
    <mergeCell ref="AM3:AP3"/>
    <mergeCell ref="AQ3:AT3"/>
    <mergeCell ref="AU3:AX3"/>
    <mergeCell ref="AY3:BB3"/>
    <mergeCell ref="A48:E48"/>
    <mergeCell ref="A3:A4"/>
    <mergeCell ref="B3:B4"/>
    <mergeCell ref="C3:C4"/>
    <mergeCell ref="D3:D4"/>
    <mergeCell ref="E3:E4"/>
    <mergeCell ref="BC1:BQ1"/>
    <mergeCell ref="BC2:BE2"/>
    <mergeCell ref="BF2:BH2"/>
    <mergeCell ref="BI2:BK2"/>
    <mergeCell ref="BL2:BN2"/>
    <mergeCell ref="BO2:BQ2"/>
  </mergeCells>
  <conditionalFormatting sqref="A5 C5:D5 A7 A9 A11 A13 A15 A17 A19 A21:A23 A25 A27 A29 A31 A33 A35 A37 A39:A41 A43 A45 A47">
    <cfRule type="duplicateValues" dxfId="55" priority="52"/>
  </conditionalFormatting>
  <conditionalFormatting sqref="A6 A8 A10 A12 A14 A16 A18 A20 A24 A26 A28 A30 A32 A34 A36 A38 A42 A44 A46">
    <cfRule type="duplicateValues" dxfId="54" priority="9"/>
  </conditionalFormatting>
  <conditionalFormatting sqref="A5:BQ47">
    <cfRule type="expression" dxfId="53" priority="53">
      <formula>MOD(ROW(),2)=0</formula>
    </cfRule>
  </conditionalFormatting>
  <conditionalFormatting sqref="B5:B47">
    <cfRule type="expression" dxfId="52" priority="54" stopIfTrue="1">
      <formula>AND(ROW()&gt;5,$B5=$B4)</formula>
    </cfRule>
  </conditionalFormatting>
  <conditionalFormatting sqref="B6:C6">
    <cfRule type="duplicateValues" dxfId="51" priority="51"/>
  </conditionalFormatting>
  <conditionalFormatting sqref="B7:C7">
    <cfRule type="duplicateValues" dxfId="50" priority="50"/>
  </conditionalFormatting>
  <conditionalFormatting sqref="B8:C8">
    <cfRule type="duplicateValues" dxfId="49" priority="49"/>
  </conditionalFormatting>
  <conditionalFormatting sqref="B9:C9">
    <cfRule type="duplicateValues" dxfId="48" priority="48"/>
  </conditionalFormatting>
  <conditionalFormatting sqref="B10:C10">
    <cfRule type="duplicateValues" dxfId="47" priority="47"/>
  </conditionalFormatting>
  <conditionalFormatting sqref="B11:C11">
    <cfRule type="duplicateValues" dxfId="46" priority="46"/>
  </conditionalFormatting>
  <conditionalFormatting sqref="B12:C12">
    <cfRule type="duplicateValues" dxfId="45" priority="45"/>
  </conditionalFormatting>
  <conditionalFormatting sqref="B13:C13">
    <cfRule type="duplicateValues" dxfId="44" priority="44"/>
  </conditionalFormatting>
  <conditionalFormatting sqref="B14:C14">
    <cfRule type="duplicateValues" dxfId="43" priority="43"/>
  </conditionalFormatting>
  <conditionalFormatting sqref="B15:C15">
    <cfRule type="duplicateValues" dxfId="42" priority="42"/>
  </conditionalFormatting>
  <conditionalFormatting sqref="B16:C16">
    <cfRule type="duplicateValues" dxfId="41" priority="41"/>
  </conditionalFormatting>
  <conditionalFormatting sqref="B17:C17">
    <cfRule type="duplicateValues" dxfId="40" priority="40"/>
  </conditionalFormatting>
  <conditionalFormatting sqref="B18:C18">
    <cfRule type="duplicateValues" dxfId="39" priority="39"/>
  </conditionalFormatting>
  <conditionalFormatting sqref="B19:C19">
    <cfRule type="duplicateValues" dxfId="38" priority="38"/>
  </conditionalFormatting>
  <conditionalFormatting sqref="B20:C20">
    <cfRule type="duplicateValues" dxfId="37" priority="37"/>
  </conditionalFormatting>
  <conditionalFormatting sqref="B21:C21">
    <cfRule type="duplicateValues" dxfId="36" priority="36"/>
  </conditionalFormatting>
  <conditionalFormatting sqref="B22:C22">
    <cfRule type="duplicateValues" dxfId="35" priority="35"/>
  </conditionalFormatting>
  <conditionalFormatting sqref="B23:C23">
    <cfRule type="duplicateValues" dxfId="34" priority="34"/>
  </conditionalFormatting>
  <conditionalFormatting sqref="B24:C24">
    <cfRule type="duplicateValues" dxfId="33" priority="33"/>
  </conditionalFormatting>
  <conditionalFormatting sqref="B25:C25">
    <cfRule type="duplicateValues" dxfId="32" priority="32"/>
  </conditionalFormatting>
  <conditionalFormatting sqref="B26:C26">
    <cfRule type="duplicateValues" dxfId="31" priority="31"/>
  </conditionalFormatting>
  <conditionalFormatting sqref="B27:C27">
    <cfRule type="duplicateValues" dxfId="30" priority="30"/>
  </conditionalFormatting>
  <conditionalFormatting sqref="B28:C28">
    <cfRule type="duplicateValues" dxfId="29" priority="29"/>
  </conditionalFormatting>
  <conditionalFormatting sqref="B29:C29">
    <cfRule type="duplicateValues" dxfId="28" priority="28"/>
  </conditionalFormatting>
  <conditionalFormatting sqref="B30:C30">
    <cfRule type="duplicateValues" dxfId="27" priority="27"/>
  </conditionalFormatting>
  <conditionalFormatting sqref="B31:C31">
    <cfRule type="duplicateValues" dxfId="26" priority="26"/>
  </conditionalFormatting>
  <conditionalFormatting sqref="B32:C32">
    <cfRule type="duplicateValues" dxfId="25" priority="25"/>
  </conditionalFormatting>
  <conditionalFormatting sqref="B33:C33">
    <cfRule type="duplicateValues" dxfId="24" priority="24"/>
  </conditionalFormatting>
  <conditionalFormatting sqref="B34:C34">
    <cfRule type="duplicateValues" dxfId="23" priority="23"/>
  </conditionalFormatting>
  <conditionalFormatting sqref="B35:C35">
    <cfRule type="duplicateValues" dxfId="22" priority="22"/>
  </conditionalFormatting>
  <conditionalFormatting sqref="B36:C36">
    <cfRule type="duplicateValues" dxfId="21" priority="21"/>
  </conditionalFormatting>
  <conditionalFormatting sqref="B37:C37">
    <cfRule type="duplicateValues" dxfId="20" priority="20"/>
  </conditionalFormatting>
  <conditionalFormatting sqref="B38:C38">
    <cfRule type="duplicateValues" dxfId="19" priority="19"/>
  </conditionalFormatting>
  <conditionalFormatting sqref="B39:C39">
    <cfRule type="duplicateValues" dxfId="18" priority="18"/>
  </conditionalFormatting>
  <conditionalFormatting sqref="B40:C40">
    <cfRule type="duplicateValues" dxfId="17" priority="17"/>
  </conditionalFormatting>
  <conditionalFormatting sqref="B41:C41">
    <cfRule type="duplicateValues" dxfId="16" priority="16"/>
  </conditionalFormatting>
  <conditionalFormatting sqref="B42:C42">
    <cfRule type="duplicateValues" dxfId="15" priority="15"/>
  </conditionalFormatting>
  <conditionalFormatting sqref="B43:C43">
    <cfRule type="duplicateValues" dxfId="14" priority="14"/>
  </conditionalFormatting>
  <conditionalFormatting sqref="B44:C44">
    <cfRule type="duplicateValues" dxfId="13" priority="13"/>
  </conditionalFormatting>
  <conditionalFormatting sqref="B45:C45">
    <cfRule type="duplicateValues" dxfId="12" priority="12"/>
  </conditionalFormatting>
  <conditionalFormatting sqref="B46:C46">
    <cfRule type="duplicateValues" dxfId="11" priority="11"/>
  </conditionalFormatting>
  <conditionalFormatting sqref="B47:C47">
    <cfRule type="duplicateValues" dxfId="10" priority="10"/>
  </conditionalFormatting>
  <conditionalFormatting sqref="J5:J47">
    <cfRule type="cellIs" dxfId="9" priority="8" operator="lessThan">
      <formula>$F$2</formula>
    </cfRule>
  </conditionalFormatting>
  <conditionalFormatting sqref="K5:K47">
    <cfRule type="cellIs" dxfId="8" priority="4" operator="lessThan">
      <formula>0</formula>
    </cfRule>
  </conditionalFormatting>
  <conditionalFormatting sqref="S5:S47">
    <cfRule type="cellIs" dxfId="7" priority="7" operator="lessThan">
      <formula>$F$2</formula>
    </cfRule>
  </conditionalFormatting>
  <conditionalFormatting sqref="AL5:AL47">
    <cfRule type="cellIs" dxfId="6" priority="6" operator="lessThan">
      <formula>0</formula>
    </cfRule>
  </conditionalFormatting>
  <conditionalFormatting sqref="AX5:AX47">
    <cfRule type="cellIs" dxfId="5" priority="5" operator="lessThan">
      <formula>0</formula>
    </cfRule>
  </conditionalFormatting>
  <conditionalFormatting sqref="BE5:BE47">
    <cfRule type="cellIs" dxfId="4" priority="3" operator="lessThan">
      <formula>$F$2</formula>
    </cfRule>
  </conditionalFormatting>
  <conditionalFormatting sqref="BH5:BH47">
    <cfRule type="cellIs" dxfId="3" priority="2" operator="lessThan">
      <formula>$F$2</formula>
    </cfRule>
  </conditionalFormatting>
  <conditionalFormatting sqref="BN5:BN47">
    <cfRule type="cellIs" dxfId="2" priority="1" operator="lessThan">
      <formula>$F$2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B8579-B58F-D34A-8CCF-A346163FEBFD}">
  <dimension ref="A1:GZ60"/>
  <sheetViews>
    <sheetView topLeftCell="EO1" zoomScale="75" workbookViewId="0">
      <selection activeCell="FC30" sqref="A1:FE48"/>
    </sheetView>
  </sheetViews>
  <sheetFormatPr baseColWidth="10" defaultColWidth="10.83203125" defaultRowHeight="13" x14ac:dyDescent="0.15"/>
  <cols>
    <col min="1" max="1" width="27.83203125" style="17" customWidth="1"/>
    <col min="2" max="2" width="20.1640625" style="17" customWidth="1"/>
    <col min="3" max="3" width="9.1640625" style="17" customWidth="1"/>
    <col min="4" max="4" width="42.83203125" style="17" customWidth="1"/>
    <col min="5" max="5" width="20" style="17" customWidth="1"/>
    <col min="6" max="6" width="8" style="17" customWidth="1"/>
    <col min="7" max="7" width="7.5" style="17" customWidth="1"/>
    <col min="8" max="8" width="10.1640625" style="17" customWidth="1"/>
    <col min="9" max="9" width="11.1640625" style="17" customWidth="1"/>
    <col min="10" max="10" width="12.6640625" style="17" customWidth="1"/>
    <col min="11" max="11" width="12.1640625" style="17" customWidth="1"/>
    <col min="12" max="12" width="8" style="17" customWidth="1"/>
    <col min="13" max="13" width="7.5" style="17" customWidth="1"/>
    <col min="14" max="14" width="10.1640625" style="17" customWidth="1"/>
    <col min="15" max="17" width="11.1640625" style="17" customWidth="1"/>
    <col min="18" max="18" width="10.33203125" style="17" customWidth="1"/>
    <col min="19" max="19" width="7.5" style="17" customWidth="1"/>
    <col min="20" max="20" width="10.1640625" style="17" customWidth="1"/>
    <col min="21" max="21" width="9.1640625" style="17" customWidth="1"/>
    <col min="22" max="22" width="9.33203125" style="17" customWidth="1"/>
    <col min="23" max="23" width="10.1640625" style="17" customWidth="1"/>
    <col min="24" max="24" width="8" style="17" customWidth="1"/>
    <col min="25" max="25" width="7.5" style="17" customWidth="1"/>
    <col min="26" max="26" width="10.1640625" style="17" customWidth="1"/>
    <col min="27" max="28" width="11.1640625" style="17" customWidth="1"/>
    <col min="29" max="29" width="12.1640625" style="17" customWidth="1"/>
    <col min="30" max="30" width="8" style="17" customWidth="1"/>
    <col min="31" max="31" width="7.5" style="17" customWidth="1"/>
    <col min="32" max="32" width="10.1640625" style="17" customWidth="1"/>
    <col min="33" max="35" width="11.1640625" style="17" customWidth="1"/>
    <col min="36" max="36" width="8.6640625" style="17" customWidth="1"/>
    <col min="37" max="37" width="7.5" style="17" customWidth="1"/>
    <col min="38" max="38" width="10.1640625" style="17" customWidth="1"/>
    <col min="39" max="39" width="11.1640625" style="17" customWidth="1"/>
    <col min="40" max="40" width="10.1640625" style="17" customWidth="1"/>
    <col min="41" max="41" width="11.1640625" style="17" customWidth="1"/>
    <col min="42" max="42" width="8" style="17" customWidth="1"/>
    <col min="43" max="43" width="7.5" style="17" customWidth="1"/>
    <col min="44" max="46" width="10.1640625" style="17" customWidth="1"/>
    <col min="47" max="47" width="11.1640625" style="17" customWidth="1"/>
    <col min="48" max="48" width="8.83203125" style="17" customWidth="1"/>
    <col min="49" max="49" width="7.5" style="17" customWidth="1"/>
    <col min="50" max="51" width="10.1640625" style="17" customWidth="1"/>
    <col min="52" max="52" width="11.1640625" style="17" customWidth="1"/>
    <col min="53" max="53" width="12.1640625" style="17" customWidth="1"/>
    <col min="54" max="54" width="8" style="17" customWidth="1"/>
    <col min="55" max="55" width="7.5" style="17" customWidth="1"/>
    <col min="56" max="56" width="10.1640625" style="17" customWidth="1"/>
    <col min="57" max="59" width="11.1640625" style="17" customWidth="1"/>
    <col min="60" max="60" width="8.83203125" style="17" customWidth="1"/>
    <col min="61" max="61" width="7.5" style="17" customWidth="1"/>
    <col min="62" max="63" width="10.1640625" style="17" customWidth="1"/>
    <col min="64" max="64" width="11.1640625" style="17" customWidth="1"/>
    <col min="65" max="65" width="12.1640625" style="17" customWidth="1"/>
    <col min="66" max="66" width="8" style="17" customWidth="1"/>
    <col min="67" max="67" width="7.5" style="17" customWidth="1"/>
    <col min="68" max="68" width="10.1640625" style="17" customWidth="1"/>
    <col min="69" max="71" width="11.1640625" style="17" customWidth="1"/>
    <col min="72" max="72" width="9.33203125" style="17" customWidth="1"/>
    <col min="73" max="73" width="7.5" style="17" customWidth="1"/>
    <col min="74" max="75" width="10.1640625" style="17" customWidth="1"/>
    <col min="76" max="76" width="11.1640625" style="17" customWidth="1"/>
    <col min="77" max="77" width="12.1640625" style="17" customWidth="1"/>
    <col min="78" max="78" width="8" style="17" customWidth="1"/>
    <col min="79" max="79" width="7.5" style="17" customWidth="1"/>
    <col min="80" max="80" width="10.1640625" style="17" customWidth="1"/>
    <col min="81" max="81" width="11.1640625" style="17" customWidth="1"/>
    <col min="82" max="82" width="10.1640625" style="17" customWidth="1"/>
    <col min="83" max="83" width="11.1640625" style="17" customWidth="1"/>
    <col min="84" max="84" width="9.6640625" style="17" customWidth="1"/>
    <col min="85" max="85" width="7.5" style="17" customWidth="1"/>
    <col min="86" max="86" width="10.1640625" style="17" customWidth="1"/>
    <col min="87" max="87" width="11.1640625" style="17" customWidth="1"/>
    <col min="88" max="88" width="10.1640625" style="17" customWidth="1"/>
    <col min="89" max="89" width="11.1640625" style="17" customWidth="1"/>
    <col min="90" max="90" width="8.1640625" style="17" customWidth="1"/>
    <col min="91" max="91" width="7.5" style="17" customWidth="1"/>
    <col min="92" max="93" width="10.1640625" style="17" customWidth="1"/>
    <col min="94" max="94" width="11.1640625" style="17" customWidth="1"/>
    <col min="95" max="95" width="12.1640625" style="17" customWidth="1"/>
    <col min="96" max="96" width="10.1640625" style="17" customWidth="1"/>
    <col min="97" max="97" width="7.5" style="17" customWidth="1"/>
    <col min="98" max="99" width="10.1640625" style="17" customWidth="1"/>
    <col min="100" max="100" width="11.1640625" style="17" customWidth="1"/>
    <col min="101" max="101" width="12.1640625" style="17" customWidth="1"/>
    <col min="102" max="102" width="9.1640625" style="17" customWidth="1"/>
    <col min="103" max="103" width="7.5" style="17" customWidth="1"/>
    <col min="104" max="104" width="10.1640625" style="17" customWidth="1"/>
    <col min="105" max="107" width="11.1640625" style="17" customWidth="1"/>
    <col min="108" max="108" width="10.1640625" style="17" customWidth="1"/>
    <col min="109" max="109" width="7.5" style="17" customWidth="1"/>
    <col min="110" max="110" width="10.1640625" style="17" customWidth="1"/>
    <col min="111" max="111" width="8" style="17" customWidth="1"/>
    <col min="112" max="112" width="9.33203125" style="17" customWidth="1"/>
    <col min="113" max="113" width="10.1640625" style="17" customWidth="1"/>
    <col min="114" max="114" width="10.5" style="17" customWidth="1"/>
    <col min="115" max="115" width="7.5" style="17" customWidth="1"/>
    <col min="116" max="116" width="10.1640625" style="17" customWidth="1"/>
    <col min="117" max="117" width="8" style="17" customWidth="1"/>
    <col min="118" max="118" width="11.1640625" style="17" customWidth="1"/>
    <col min="119" max="119" width="12.1640625" style="17" customWidth="1"/>
    <col min="120" max="120" width="10.1640625" style="17" customWidth="1"/>
    <col min="121" max="121" width="7.5" style="17" customWidth="1"/>
    <col min="122" max="122" width="10.1640625" style="17" customWidth="1"/>
    <col min="123" max="123" width="8" style="17" customWidth="1"/>
    <col min="124" max="124" width="10.1640625" style="17" customWidth="1"/>
    <col min="125" max="125" width="11.1640625" style="17" customWidth="1"/>
    <col min="126" max="126" width="10.1640625" style="17" customWidth="1"/>
    <col min="127" max="127" width="7.5" style="17" customWidth="1"/>
    <col min="128" max="128" width="10.1640625" style="17" customWidth="1"/>
    <col min="129" max="129" width="8" style="17" customWidth="1"/>
    <col min="130" max="130" width="11.1640625" style="17" customWidth="1"/>
    <col min="131" max="131" width="12.1640625" style="17" customWidth="1"/>
    <col min="132" max="132" width="10.1640625" style="17" customWidth="1"/>
    <col min="133" max="133" width="7.5" style="17" customWidth="1"/>
    <col min="134" max="134" width="10.1640625" style="17" customWidth="1"/>
    <col min="135" max="135" width="8" style="17" customWidth="1"/>
    <col min="136" max="136" width="10.1640625" style="17" customWidth="1"/>
    <col min="137" max="137" width="11.1640625" style="17" customWidth="1"/>
    <col min="138" max="138" width="10.1640625" style="17" customWidth="1"/>
    <col min="139" max="139" width="7.5" style="17" customWidth="1"/>
    <col min="140" max="140" width="10.1640625" style="17" customWidth="1"/>
    <col min="141" max="141" width="8" style="17" customWidth="1"/>
    <col min="142" max="142" width="10.1640625" style="17" customWidth="1"/>
    <col min="143" max="143" width="11.1640625" style="17" customWidth="1"/>
    <col min="144" max="144" width="10.1640625" style="17" customWidth="1"/>
    <col min="145" max="145" width="7.5" style="17" customWidth="1"/>
    <col min="146" max="146" width="10.1640625" style="17" customWidth="1"/>
    <col min="147" max="147" width="8" style="17" customWidth="1"/>
    <col min="148" max="148" width="12.6640625" style="17" customWidth="1"/>
    <col min="149" max="149" width="13.6640625" style="17" customWidth="1"/>
    <col min="150" max="150" width="10.1640625" style="17" customWidth="1"/>
    <col min="151" max="151" width="7.5" style="17" customWidth="1"/>
    <col min="152" max="152" width="10.1640625" style="17" customWidth="1"/>
    <col min="153" max="153" width="8" style="17" customWidth="1"/>
    <col min="154" max="154" width="9.33203125" style="17" customWidth="1"/>
    <col min="155" max="155" width="6.83203125" style="17" customWidth="1"/>
    <col min="156" max="156" width="8" style="17" customWidth="1"/>
    <col min="157" max="157" width="7.5" style="17" customWidth="1"/>
    <col min="158" max="158" width="10.1640625" style="17" customWidth="1"/>
    <col min="159" max="159" width="12.6640625" style="17" customWidth="1"/>
    <col min="160" max="161" width="13.6640625" style="17" customWidth="1"/>
    <col min="162" max="16384" width="10.83203125" style="17"/>
  </cols>
  <sheetData>
    <row r="1" spans="1:208" ht="16" x14ac:dyDescent="0.2">
      <c r="A1" s="348" t="s">
        <v>113</v>
      </c>
      <c r="B1" s="348"/>
      <c r="C1" s="348"/>
      <c r="D1" s="348"/>
      <c r="E1" s="348"/>
      <c r="F1" s="348"/>
      <c r="G1" s="348"/>
      <c r="H1" s="348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8"/>
      <c r="AC1" s="348"/>
      <c r="AD1" s="348"/>
      <c r="AE1" s="348"/>
      <c r="AF1" s="348"/>
      <c r="AG1" s="348"/>
      <c r="AH1" s="348"/>
      <c r="AI1" s="348"/>
      <c r="AJ1" s="348"/>
      <c r="AK1" s="348"/>
      <c r="AL1" s="348"/>
      <c r="AM1" s="348"/>
      <c r="AN1" s="348"/>
      <c r="AO1" s="348"/>
      <c r="AP1" s="348"/>
      <c r="AQ1" s="348"/>
      <c r="AR1" s="348"/>
      <c r="AS1" s="348"/>
      <c r="AT1" s="348"/>
      <c r="AU1" s="348"/>
      <c r="AV1" s="348"/>
      <c r="AW1" s="348"/>
      <c r="AX1" s="348"/>
      <c r="AY1" s="348"/>
      <c r="AZ1" s="348"/>
      <c r="BA1" s="348"/>
      <c r="BB1" s="348"/>
      <c r="BC1" s="348"/>
      <c r="BD1" s="348"/>
      <c r="BE1" s="348"/>
      <c r="BF1" s="348"/>
      <c r="BG1" s="348"/>
      <c r="BH1" s="348"/>
      <c r="BI1" s="348"/>
      <c r="BJ1" s="348"/>
      <c r="BK1" s="348"/>
      <c r="BL1" s="348"/>
      <c r="BM1" s="348"/>
      <c r="BN1" s="348"/>
      <c r="BO1" s="348"/>
      <c r="BP1" s="348"/>
      <c r="BQ1" s="348"/>
      <c r="BR1" s="348"/>
      <c r="BS1" s="348"/>
      <c r="BT1" s="348"/>
      <c r="BU1" s="348"/>
      <c r="BV1" s="348"/>
      <c r="BW1" s="348"/>
      <c r="BX1" s="348"/>
      <c r="BY1" s="348"/>
      <c r="BZ1" s="348"/>
      <c r="CA1" s="348"/>
      <c r="CB1" s="348"/>
      <c r="CC1" s="348"/>
      <c r="CD1" s="348"/>
      <c r="CE1" s="348"/>
      <c r="CF1" s="348"/>
      <c r="CG1" s="348"/>
      <c r="CH1" s="348"/>
      <c r="CI1" s="348"/>
      <c r="CJ1" s="348"/>
      <c r="CK1" s="348"/>
      <c r="CL1" s="348"/>
      <c r="CM1" s="348"/>
      <c r="CN1" s="348"/>
      <c r="CO1" s="348"/>
      <c r="CP1" s="348"/>
      <c r="CQ1" s="348"/>
      <c r="CR1" s="348"/>
      <c r="CS1" s="348"/>
      <c r="CT1" s="348"/>
      <c r="CU1" s="348"/>
      <c r="CV1" s="348"/>
      <c r="CW1" s="348"/>
      <c r="CX1" s="348"/>
      <c r="CY1" s="348"/>
      <c r="CZ1" s="348"/>
      <c r="DA1" s="348"/>
      <c r="DB1" s="348"/>
      <c r="DC1" s="348"/>
      <c r="DD1" s="348"/>
      <c r="DE1" s="348"/>
      <c r="DF1" s="348"/>
      <c r="DG1" s="348"/>
      <c r="DH1" s="348"/>
      <c r="DI1" s="348"/>
      <c r="DJ1" s="348"/>
      <c r="DK1" s="348"/>
      <c r="DL1" s="348"/>
      <c r="DM1" s="348"/>
      <c r="DN1" s="348"/>
      <c r="DO1" s="348"/>
      <c r="DP1" s="348"/>
      <c r="DQ1" s="348"/>
      <c r="DR1" s="348"/>
      <c r="DS1" s="348"/>
      <c r="DT1" s="348"/>
      <c r="DU1" s="348"/>
      <c r="DV1" s="348"/>
      <c r="DW1" s="348"/>
      <c r="DX1" s="348"/>
      <c r="DY1" s="348"/>
      <c r="DZ1" s="348"/>
      <c r="EA1" s="348"/>
      <c r="EB1" s="348"/>
      <c r="EC1" s="348"/>
      <c r="ED1" s="348"/>
      <c r="EE1" s="348"/>
      <c r="EF1" s="348"/>
      <c r="EG1" s="348"/>
      <c r="EH1" s="348"/>
      <c r="EI1" s="348"/>
      <c r="EJ1" s="348"/>
      <c r="EK1" s="348"/>
      <c r="EL1" s="348"/>
      <c r="EM1" s="348"/>
      <c r="EN1" s="348"/>
      <c r="EO1" s="348"/>
      <c r="EP1" s="348"/>
      <c r="EQ1" s="348"/>
      <c r="ER1" s="348"/>
      <c r="ES1" s="348"/>
      <c r="ET1" s="348"/>
      <c r="EU1" s="348"/>
      <c r="EV1" s="348"/>
      <c r="EW1" s="348"/>
      <c r="EX1" s="348"/>
      <c r="EY1" s="348"/>
      <c r="EZ1" s="348"/>
      <c r="FA1" s="348"/>
      <c r="FB1" s="348"/>
      <c r="FC1" s="348"/>
      <c r="FD1" s="348"/>
      <c r="FE1" s="348"/>
      <c r="FF1"/>
      <c r="FG1" t="s">
        <v>114</v>
      </c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  <c r="GC1"/>
      <c r="GD1"/>
      <c r="GE1"/>
      <c r="GF1"/>
      <c r="GG1"/>
      <c r="GH1"/>
      <c r="GI1"/>
      <c r="GJ1"/>
      <c r="GK1"/>
      <c r="GL1"/>
      <c r="GM1"/>
      <c r="GN1"/>
      <c r="GO1"/>
      <c r="GP1"/>
      <c r="GQ1"/>
      <c r="GR1"/>
      <c r="GS1"/>
      <c r="GT1"/>
      <c r="GU1"/>
      <c r="GV1"/>
      <c r="GW1"/>
      <c r="GX1"/>
      <c r="GY1"/>
      <c r="GZ1"/>
    </row>
    <row r="2" spans="1:208" ht="29" x14ac:dyDescent="0.2">
      <c r="A2" s="137" t="s">
        <v>115</v>
      </c>
      <c r="B2" s="138" t="s">
        <v>116</v>
      </c>
      <c r="F2" s="139" t="s">
        <v>117</v>
      </c>
      <c r="G2" s="139"/>
      <c r="H2" s="139"/>
      <c r="I2" s="139"/>
      <c r="J2" s="139"/>
      <c r="K2" s="139"/>
      <c r="L2" s="139" t="s">
        <v>117</v>
      </c>
      <c r="M2" s="139"/>
      <c r="N2" s="139"/>
      <c r="O2" s="139"/>
      <c r="P2" s="139"/>
      <c r="Q2" s="139"/>
      <c r="R2" s="139" t="s">
        <v>117</v>
      </c>
      <c r="S2" s="139"/>
      <c r="T2" s="139"/>
      <c r="U2" s="139"/>
      <c r="V2" s="139"/>
      <c r="W2" s="139"/>
      <c r="X2" s="139" t="s">
        <v>117</v>
      </c>
      <c r="Y2" s="139"/>
      <c r="Z2" s="139"/>
      <c r="AA2" s="139"/>
      <c r="AB2" s="139"/>
      <c r="AC2" s="139"/>
      <c r="AD2" s="139" t="s">
        <v>118</v>
      </c>
      <c r="AE2" s="139"/>
      <c r="AF2" s="139"/>
      <c r="AG2" s="139"/>
      <c r="AH2" s="139"/>
      <c r="AI2" s="139"/>
      <c r="AJ2" s="139" t="s">
        <v>118</v>
      </c>
      <c r="AK2" s="139"/>
      <c r="AL2" s="139"/>
      <c r="AM2" s="139"/>
      <c r="AN2" s="139"/>
      <c r="AO2" s="139"/>
      <c r="AP2" s="139" t="s">
        <v>118</v>
      </c>
      <c r="AQ2" s="139"/>
      <c r="AR2" s="139"/>
      <c r="AS2" s="139"/>
      <c r="AT2" s="139"/>
      <c r="AU2" s="139"/>
      <c r="AV2" s="139" t="s">
        <v>118</v>
      </c>
      <c r="AW2" s="139"/>
      <c r="AX2" s="139"/>
      <c r="AY2" s="139"/>
      <c r="AZ2" s="139"/>
      <c r="BA2" s="139"/>
      <c r="BB2" s="139" t="s">
        <v>118</v>
      </c>
      <c r="BC2" s="139"/>
      <c r="BD2" s="139"/>
      <c r="BE2" s="139"/>
      <c r="BF2" s="139"/>
      <c r="BG2" s="139"/>
      <c r="BH2" s="139" t="s">
        <v>118</v>
      </c>
      <c r="BI2" s="139"/>
      <c r="BJ2" s="139"/>
      <c r="BK2" s="139"/>
      <c r="BL2" s="139"/>
      <c r="BM2" s="139"/>
      <c r="BN2" s="139" t="s">
        <v>118</v>
      </c>
      <c r="BO2" s="139"/>
      <c r="BP2" s="139"/>
      <c r="BQ2" s="139"/>
      <c r="BR2" s="139"/>
      <c r="BS2" s="139"/>
      <c r="BT2" s="139" t="s">
        <v>118</v>
      </c>
      <c r="BU2" s="139"/>
      <c r="BV2" s="139"/>
      <c r="BW2" s="139"/>
      <c r="BX2" s="139"/>
      <c r="BY2" s="139"/>
      <c r="BZ2" s="139" t="s">
        <v>118</v>
      </c>
      <c r="CA2" s="139"/>
      <c r="CB2" s="139"/>
      <c r="CC2" s="139"/>
      <c r="CD2" s="139"/>
      <c r="CE2" s="139"/>
      <c r="CF2" s="139" t="s">
        <v>118</v>
      </c>
      <c r="CG2" s="139"/>
      <c r="CH2" s="139"/>
      <c r="CI2" s="139"/>
      <c r="CJ2" s="139"/>
      <c r="CK2" s="139"/>
      <c r="CL2" s="139" t="s">
        <v>118</v>
      </c>
      <c r="CM2" s="139"/>
      <c r="CN2" s="139"/>
      <c r="CO2" s="139"/>
      <c r="CP2" s="139"/>
      <c r="CQ2" s="139"/>
      <c r="CR2" s="139" t="s">
        <v>118</v>
      </c>
      <c r="CS2" s="139"/>
      <c r="CT2" s="139"/>
      <c r="CU2" s="139"/>
      <c r="CV2" s="139"/>
      <c r="CW2" s="139"/>
      <c r="CX2" s="139" t="s">
        <v>118</v>
      </c>
      <c r="CY2" s="139"/>
      <c r="CZ2" s="139"/>
      <c r="DA2" s="139"/>
      <c r="DB2" s="139"/>
      <c r="DC2" s="139"/>
      <c r="DD2" s="139" t="s">
        <v>119</v>
      </c>
      <c r="DE2" s="139"/>
      <c r="DF2" s="139"/>
      <c r="DG2" s="139"/>
      <c r="DH2" s="139"/>
      <c r="DI2" s="139"/>
      <c r="DJ2" s="139" t="s">
        <v>120</v>
      </c>
      <c r="DK2" s="139"/>
      <c r="DL2" s="139"/>
      <c r="DM2" s="139"/>
      <c r="DN2" s="139"/>
      <c r="DO2" s="139"/>
      <c r="DP2" s="139" t="s">
        <v>120</v>
      </c>
      <c r="DQ2" s="139"/>
      <c r="DR2" s="139"/>
      <c r="DS2" s="139"/>
      <c r="DT2" s="139"/>
      <c r="DU2" s="139"/>
      <c r="DV2" s="139" t="s">
        <v>120</v>
      </c>
      <c r="DW2" s="139"/>
      <c r="DX2" s="139"/>
      <c r="DY2" s="139"/>
      <c r="DZ2" s="139"/>
      <c r="EA2" s="139"/>
      <c r="EB2" s="139" t="s">
        <v>120</v>
      </c>
      <c r="EC2" s="139"/>
      <c r="ED2" s="139"/>
      <c r="EE2" s="139"/>
      <c r="EF2" s="139"/>
      <c r="EG2" s="139"/>
      <c r="EH2" s="139" t="s">
        <v>120</v>
      </c>
      <c r="EI2" s="139"/>
      <c r="EJ2" s="139"/>
      <c r="EK2" s="139"/>
      <c r="EL2" s="139"/>
      <c r="EM2" s="139"/>
      <c r="EN2" s="139" t="s">
        <v>120</v>
      </c>
      <c r="EO2" s="139"/>
      <c r="EP2" s="139"/>
      <c r="EQ2" s="139"/>
      <c r="ER2" s="139"/>
      <c r="ES2" s="139"/>
      <c r="ET2" s="139" t="s">
        <v>120</v>
      </c>
      <c r="EU2" s="139"/>
      <c r="EV2" s="139"/>
      <c r="EW2" s="139"/>
      <c r="EX2" s="139"/>
      <c r="EY2" s="139"/>
      <c r="EZ2" s="139" t="s">
        <v>110</v>
      </c>
      <c r="FA2" s="139"/>
      <c r="FB2" s="139"/>
      <c r="FC2" s="139"/>
      <c r="FD2" s="139"/>
      <c r="FE2" s="139"/>
      <c r="FF2"/>
      <c r="FG2" t="e">
        <f>MATCH("Y11d",INDEX('[2]Sales per type juli'!$D$8:$BA$8,1,MATCH("3mio&gt;",'[2]Sales per type juli'!$D$7:$BA$7,0)):INDEX('[2]Sales per type juli'!$D$8:$BA$8,1,COLUMNS('[2]Sales per type juli'!$D$8:$BA$8)),0)+MATCH("3mio&gt;",'[2]Sales per type juli'!$D$7:$BA$7,0)-1</f>
        <v>#REF!</v>
      </c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  <c r="GC2"/>
      <c r="GD2"/>
      <c r="GE2"/>
      <c r="GF2"/>
      <c r="GG2"/>
      <c r="GH2"/>
      <c r="GI2"/>
      <c r="GJ2"/>
      <c r="GK2"/>
      <c r="GL2"/>
      <c r="GM2"/>
      <c r="GN2"/>
      <c r="GO2"/>
      <c r="GP2"/>
      <c r="GQ2"/>
      <c r="GR2"/>
      <c r="GS2"/>
      <c r="GT2"/>
      <c r="GU2"/>
      <c r="GV2"/>
      <c r="GW2"/>
      <c r="GX2"/>
      <c r="GY2"/>
      <c r="GZ2"/>
    </row>
    <row r="3" spans="1:208" ht="30" customHeight="1" x14ac:dyDescent="0.2">
      <c r="A3" s="349" t="s">
        <v>15</v>
      </c>
      <c r="B3" s="349" t="s">
        <v>16</v>
      </c>
      <c r="C3" s="349" t="s">
        <v>112</v>
      </c>
      <c r="D3" s="349" t="s">
        <v>18</v>
      </c>
      <c r="E3" s="349" t="s">
        <v>111</v>
      </c>
      <c r="F3" s="345" t="s">
        <v>121</v>
      </c>
      <c r="G3" s="346"/>
      <c r="H3" s="346"/>
      <c r="I3" s="346"/>
      <c r="J3" s="346"/>
      <c r="K3" s="347"/>
      <c r="L3" s="345" t="s">
        <v>122</v>
      </c>
      <c r="M3" s="346"/>
      <c r="N3" s="346"/>
      <c r="O3" s="346"/>
      <c r="P3" s="346"/>
      <c r="Q3" s="347"/>
      <c r="R3" s="345" t="s">
        <v>123</v>
      </c>
      <c r="S3" s="346"/>
      <c r="T3" s="346"/>
      <c r="U3" s="346"/>
      <c r="V3" s="346"/>
      <c r="W3" s="347"/>
      <c r="X3" s="345" t="s">
        <v>124</v>
      </c>
      <c r="Y3" s="346"/>
      <c r="Z3" s="346"/>
      <c r="AA3" s="346"/>
      <c r="AB3" s="346"/>
      <c r="AC3" s="347"/>
      <c r="AD3" s="345" t="s">
        <v>125</v>
      </c>
      <c r="AE3" s="346"/>
      <c r="AF3" s="346"/>
      <c r="AG3" s="346"/>
      <c r="AH3" s="346"/>
      <c r="AI3" s="347"/>
      <c r="AJ3" s="345" t="s">
        <v>126</v>
      </c>
      <c r="AK3" s="346"/>
      <c r="AL3" s="346"/>
      <c r="AM3" s="346"/>
      <c r="AN3" s="346"/>
      <c r="AO3" s="347"/>
      <c r="AP3" s="345" t="s">
        <v>127</v>
      </c>
      <c r="AQ3" s="346"/>
      <c r="AR3" s="346"/>
      <c r="AS3" s="346"/>
      <c r="AT3" s="346"/>
      <c r="AU3" s="347"/>
      <c r="AV3" s="345" t="s">
        <v>128</v>
      </c>
      <c r="AW3" s="346"/>
      <c r="AX3" s="346"/>
      <c r="AY3" s="346"/>
      <c r="AZ3" s="346"/>
      <c r="BA3" s="347"/>
      <c r="BB3" s="345" t="s">
        <v>129</v>
      </c>
      <c r="BC3" s="346"/>
      <c r="BD3" s="346"/>
      <c r="BE3" s="346"/>
      <c r="BF3" s="346"/>
      <c r="BG3" s="347"/>
      <c r="BH3" s="345" t="s">
        <v>130</v>
      </c>
      <c r="BI3" s="346"/>
      <c r="BJ3" s="346"/>
      <c r="BK3" s="346"/>
      <c r="BL3" s="346"/>
      <c r="BM3" s="347"/>
      <c r="BN3" s="345" t="s">
        <v>131</v>
      </c>
      <c r="BO3" s="346"/>
      <c r="BP3" s="346"/>
      <c r="BQ3" s="346"/>
      <c r="BR3" s="346"/>
      <c r="BS3" s="347"/>
      <c r="BT3" s="345" t="s">
        <v>132</v>
      </c>
      <c r="BU3" s="346"/>
      <c r="BV3" s="346"/>
      <c r="BW3" s="346"/>
      <c r="BX3" s="346"/>
      <c r="BY3" s="347"/>
      <c r="BZ3" s="345" t="s">
        <v>133</v>
      </c>
      <c r="CA3" s="346"/>
      <c r="CB3" s="346"/>
      <c r="CC3" s="346"/>
      <c r="CD3" s="346"/>
      <c r="CE3" s="347"/>
      <c r="CF3" s="345" t="s">
        <v>134</v>
      </c>
      <c r="CG3" s="346"/>
      <c r="CH3" s="346"/>
      <c r="CI3" s="346"/>
      <c r="CJ3" s="346"/>
      <c r="CK3" s="347"/>
      <c r="CL3" s="345" t="s">
        <v>135</v>
      </c>
      <c r="CM3" s="346"/>
      <c r="CN3" s="346"/>
      <c r="CO3" s="346"/>
      <c r="CP3" s="346"/>
      <c r="CQ3" s="347"/>
      <c r="CR3" s="345" t="s">
        <v>136</v>
      </c>
      <c r="CS3" s="346"/>
      <c r="CT3" s="346"/>
      <c r="CU3" s="346"/>
      <c r="CV3" s="346"/>
      <c r="CW3" s="347"/>
      <c r="CX3" s="345" t="s">
        <v>137</v>
      </c>
      <c r="CY3" s="346"/>
      <c r="CZ3" s="346"/>
      <c r="DA3" s="346"/>
      <c r="DB3" s="346"/>
      <c r="DC3" s="347"/>
      <c r="DD3" s="345" t="s">
        <v>138</v>
      </c>
      <c r="DE3" s="346"/>
      <c r="DF3" s="346"/>
      <c r="DG3" s="346"/>
      <c r="DH3" s="346"/>
      <c r="DI3" s="347"/>
      <c r="DJ3" s="345" t="s">
        <v>139</v>
      </c>
      <c r="DK3" s="346"/>
      <c r="DL3" s="346"/>
      <c r="DM3" s="346"/>
      <c r="DN3" s="346"/>
      <c r="DO3" s="347"/>
      <c r="DP3" s="345" t="s">
        <v>140</v>
      </c>
      <c r="DQ3" s="346"/>
      <c r="DR3" s="346"/>
      <c r="DS3" s="346"/>
      <c r="DT3" s="346"/>
      <c r="DU3" s="347"/>
      <c r="DV3" s="345" t="s">
        <v>141</v>
      </c>
      <c r="DW3" s="346"/>
      <c r="DX3" s="346"/>
      <c r="DY3" s="346"/>
      <c r="DZ3" s="346"/>
      <c r="EA3" s="347"/>
      <c r="EB3" s="345" t="s">
        <v>142</v>
      </c>
      <c r="EC3" s="346"/>
      <c r="ED3" s="346"/>
      <c r="EE3" s="346"/>
      <c r="EF3" s="346"/>
      <c r="EG3" s="347"/>
      <c r="EH3" s="345" t="s">
        <v>143</v>
      </c>
      <c r="EI3" s="346"/>
      <c r="EJ3" s="346"/>
      <c r="EK3" s="346"/>
      <c r="EL3" s="346"/>
      <c r="EM3" s="347"/>
      <c r="EN3" s="345" t="s">
        <v>144</v>
      </c>
      <c r="EO3" s="346"/>
      <c r="EP3" s="346"/>
      <c r="EQ3" s="346"/>
      <c r="ER3" s="346"/>
      <c r="ES3" s="347"/>
      <c r="ET3" s="345" t="s">
        <v>145</v>
      </c>
      <c r="EU3" s="346"/>
      <c r="EV3" s="346"/>
      <c r="EW3" s="346"/>
      <c r="EX3" s="346"/>
      <c r="EY3" s="347"/>
      <c r="EZ3" s="345" t="s">
        <v>110</v>
      </c>
      <c r="FA3" s="346"/>
      <c r="FB3" s="346"/>
      <c r="FC3" s="346"/>
      <c r="FD3" s="346"/>
      <c r="FE3" s="347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</row>
    <row r="4" spans="1:208" ht="29" x14ac:dyDescent="0.2">
      <c r="A4" s="349"/>
      <c r="B4" s="349"/>
      <c r="C4" s="349"/>
      <c r="D4" s="349"/>
      <c r="E4" s="349"/>
      <c r="F4" s="140" t="s">
        <v>146</v>
      </c>
      <c r="G4" s="140" t="s">
        <v>147</v>
      </c>
      <c r="H4" s="140" t="s">
        <v>148</v>
      </c>
      <c r="I4" s="140" t="s">
        <v>149</v>
      </c>
      <c r="J4" s="140" t="s">
        <v>150</v>
      </c>
      <c r="K4" s="140" t="s">
        <v>151</v>
      </c>
      <c r="L4" s="140" t="s">
        <v>146</v>
      </c>
      <c r="M4" s="140" t="s">
        <v>147</v>
      </c>
      <c r="N4" s="140" t="s">
        <v>148</v>
      </c>
      <c r="O4" s="140" t="s">
        <v>149</v>
      </c>
      <c r="P4" s="140" t="s">
        <v>150</v>
      </c>
      <c r="Q4" s="140" t="s">
        <v>151</v>
      </c>
      <c r="R4" s="140" t="s">
        <v>146</v>
      </c>
      <c r="S4" s="140" t="s">
        <v>147</v>
      </c>
      <c r="T4" s="140" t="s">
        <v>148</v>
      </c>
      <c r="U4" s="140" t="s">
        <v>149</v>
      </c>
      <c r="V4" s="140" t="s">
        <v>150</v>
      </c>
      <c r="W4" s="140" t="s">
        <v>151</v>
      </c>
      <c r="X4" s="140" t="s">
        <v>146</v>
      </c>
      <c r="Y4" s="140" t="s">
        <v>147</v>
      </c>
      <c r="Z4" s="140" t="s">
        <v>148</v>
      </c>
      <c r="AA4" s="140" t="s">
        <v>149</v>
      </c>
      <c r="AB4" s="140" t="s">
        <v>150</v>
      </c>
      <c r="AC4" s="140" t="s">
        <v>151</v>
      </c>
      <c r="AD4" s="140" t="s">
        <v>146</v>
      </c>
      <c r="AE4" s="140" t="s">
        <v>147</v>
      </c>
      <c r="AF4" s="140" t="s">
        <v>148</v>
      </c>
      <c r="AG4" s="140" t="s">
        <v>149</v>
      </c>
      <c r="AH4" s="140" t="s">
        <v>150</v>
      </c>
      <c r="AI4" s="140" t="s">
        <v>151</v>
      </c>
      <c r="AJ4" s="140" t="s">
        <v>146</v>
      </c>
      <c r="AK4" s="140" t="s">
        <v>147</v>
      </c>
      <c r="AL4" s="140" t="s">
        <v>148</v>
      </c>
      <c r="AM4" s="140" t="s">
        <v>149</v>
      </c>
      <c r="AN4" s="140" t="s">
        <v>150</v>
      </c>
      <c r="AO4" s="140" t="s">
        <v>151</v>
      </c>
      <c r="AP4" s="140" t="s">
        <v>146</v>
      </c>
      <c r="AQ4" s="140" t="s">
        <v>147</v>
      </c>
      <c r="AR4" s="140" t="s">
        <v>148</v>
      </c>
      <c r="AS4" s="140" t="s">
        <v>149</v>
      </c>
      <c r="AT4" s="140" t="s">
        <v>150</v>
      </c>
      <c r="AU4" s="140" t="s">
        <v>151</v>
      </c>
      <c r="AV4" s="140" t="s">
        <v>146</v>
      </c>
      <c r="AW4" s="140" t="s">
        <v>147</v>
      </c>
      <c r="AX4" s="140" t="s">
        <v>148</v>
      </c>
      <c r="AY4" s="140" t="s">
        <v>149</v>
      </c>
      <c r="AZ4" s="140" t="s">
        <v>150</v>
      </c>
      <c r="BA4" s="140" t="s">
        <v>151</v>
      </c>
      <c r="BB4" s="140" t="s">
        <v>146</v>
      </c>
      <c r="BC4" s="140" t="s">
        <v>147</v>
      </c>
      <c r="BD4" s="140" t="s">
        <v>148</v>
      </c>
      <c r="BE4" s="140" t="s">
        <v>149</v>
      </c>
      <c r="BF4" s="140" t="s">
        <v>150</v>
      </c>
      <c r="BG4" s="140" t="s">
        <v>151</v>
      </c>
      <c r="BH4" s="140" t="s">
        <v>146</v>
      </c>
      <c r="BI4" s="140" t="s">
        <v>147</v>
      </c>
      <c r="BJ4" s="140" t="s">
        <v>148</v>
      </c>
      <c r="BK4" s="140" t="s">
        <v>149</v>
      </c>
      <c r="BL4" s="140" t="s">
        <v>150</v>
      </c>
      <c r="BM4" s="140" t="s">
        <v>151</v>
      </c>
      <c r="BN4" s="140" t="s">
        <v>146</v>
      </c>
      <c r="BO4" s="140" t="s">
        <v>147</v>
      </c>
      <c r="BP4" s="140" t="s">
        <v>148</v>
      </c>
      <c r="BQ4" s="140" t="s">
        <v>149</v>
      </c>
      <c r="BR4" s="140" t="s">
        <v>150</v>
      </c>
      <c r="BS4" s="140" t="s">
        <v>151</v>
      </c>
      <c r="BT4" s="140" t="s">
        <v>146</v>
      </c>
      <c r="BU4" s="140" t="s">
        <v>147</v>
      </c>
      <c r="BV4" s="140" t="s">
        <v>148</v>
      </c>
      <c r="BW4" s="140" t="s">
        <v>149</v>
      </c>
      <c r="BX4" s="140" t="s">
        <v>150</v>
      </c>
      <c r="BY4" s="140" t="s">
        <v>151</v>
      </c>
      <c r="BZ4" s="140" t="s">
        <v>146</v>
      </c>
      <c r="CA4" s="140" t="s">
        <v>147</v>
      </c>
      <c r="CB4" s="140" t="s">
        <v>148</v>
      </c>
      <c r="CC4" s="140" t="s">
        <v>149</v>
      </c>
      <c r="CD4" s="140" t="s">
        <v>150</v>
      </c>
      <c r="CE4" s="140" t="s">
        <v>151</v>
      </c>
      <c r="CF4" s="140" t="s">
        <v>146</v>
      </c>
      <c r="CG4" s="140" t="s">
        <v>147</v>
      </c>
      <c r="CH4" s="140" t="s">
        <v>148</v>
      </c>
      <c r="CI4" s="140" t="s">
        <v>149</v>
      </c>
      <c r="CJ4" s="140" t="s">
        <v>150</v>
      </c>
      <c r="CK4" s="140" t="s">
        <v>151</v>
      </c>
      <c r="CL4" s="140" t="s">
        <v>146</v>
      </c>
      <c r="CM4" s="140" t="s">
        <v>147</v>
      </c>
      <c r="CN4" s="140" t="s">
        <v>148</v>
      </c>
      <c r="CO4" s="140" t="s">
        <v>149</v>
      </c>
      <c r="CP4" s="140" t="s">
        <v>150</v>
      </c>
      <c r="CQ4" s="140" t="s">
        <v>151</v>
      </c>
      <c r="CR4" s="140" t="s">
        <v>146</v>
      </c>
      <c r="CS4" s="140" t="s">
        <v>147</v>
      </c>
      <c r="CT4" s="140" t="s">
        <v>148</v>
      </c>
      <c r="CU4" s="140" t="s">
        <v>149</v>
      </c>
      <c r="CV4" s="140" t="s">
        <v>150</v>
      </c>
      <c r="CW4" s="140" t="s">
        <v>151</v>
      </c>
      <c r="CX4" s="140" t="s">
        <v>146</v>
      </c>
      <c r="CY4" s="140" t="s">
        <v>147</v>
      </c>
      <c r="CZ4" s="140" t="s">
        <v>148</v>
      </c>
      <c r="DA4" s="140" t="s">
        <v>149</v>
      </c>
      <c r="DB4" s="140" t="s">
        <v>150</v>
      </c>
      <c r="DC4" s="140" t="s">
        <v>151</v>
      </c>
      <c r="DD4" s="140" t="s">
        <v>146</v>
      </c>
      <c r="DE4" s="140" t="s">
        <v>147</v>
      </c>
      <c r="DF4" s="140" t="s">
        <v>148</v>
      </c>
      <c r="DG4" s="140" t="s">
        <v>149</v>
      </c>
      <c r="DH4" s="140" t="s">
        <v>150</v>
      </c>
      <c r="DI4" s="140" t="s">
        <v>151</v>
      </c>
      <c r="DJ4" s="140" t="s">
        <v>146</v>
      </c>
      <c r="DK4" s="140" t="s">
        <v>147</v>
      </c>
      <c r="DL4" s="140" t="s">
        <v>148</v>
      </c>
      <c r="DM4" s="140" t="s">
        <v>149</v>
      </c>
      <c r="DN4" s="140" t="s">
        <v>150</v>
      </c>
      <c r="DO4" s="140" t="s">
        <v>151</v>
      </c>
      <c r="DP4" s="140" t="s">
        <v>146</v>
      </c>
      <c r="DQ4" s="140" t="s">
        <v>147</v>
      </c>
      <c r="DR4" s="140" t="s">
        <v>148</v>
      </c>
      <c r="DS4" s="140" t="s">
        <v>149</v>
      </c>
      <c r="DT4" s="140" t="s">
        <v>150</v>
      </c>
      <c r="DU4" s="140" t="s">
        <v>151</v>
      </c>
      <c r="DV4" s="140" t="s">
        <v>146</v>
      </c>
      <c r="DW4" s="140" t="s">
        <v>147</v>
      </c>
      <c r="DX4" s="140" t="s">
        <v>148</v>
      </c>
      <c r="DY4" s="140" t="s">
        <v>149</v>
      </c>
      <c r="DZ4" s="140" t="s">
        <v>150</v>
      </c>
      <c r="EA4" s="140" t="s">
        <v>151</v>
      </c>
      <c r="EB4" s="140" t="s">
        <v>146</v>
      </c>
      <c r="EC4" s="140" t="s">
        <v>147</v>
      </c>
      <c r="ED4" s="140" t="s">
        <v>148</v>
      </c>
      <c r="EE4" s="140" t="s">
        <v>149</v>
      </c>
      <c r="EF4" s="140" t="s">
        <v>150</v>
      </c>
      <c r="EG4" s="140" t="s">
        <v>151</v>
      </c>
      <c r="EH4" s="140" t="s">
        <v>146</v>
      </c>
      <c r="EI4" s="140" t="s">
        <v>147</v>
      </c>
      <c r="EJ4" s="140" t="s">
        <v>148</v>
      </c>
      <c r="EK4" s="140" t="s">
        <v>149</v>
      </c>
      <c r="EL4" s="140" t="s">
        <v>150</v>
      </c>
      <c r="EM4" s="140" t="s">
        <v>151</v>
      </c>
      <c r="EN4" s="140" t="s">
        <v>146</v>
      </c>
      <c r="EO4" s="140" t="s">
        <v>147</v>
      </c>
      <c r="EP4" s="140" t="s">
        <v>148</v>
      </c>
      <c r="EQ4" s="140" t="s">
        <v>149</v>
      </c>
      <c r="ER4" s="140" t="s">
        <v>150</v>
      </c>
      <c r="ES4" s="140" t="s">
        <v>151</v>
      </c>
      <c r="ET4" s="140" t="s">
        <v>146</v>
      </c>
      <c r="EU4" s="140" t="s">
        <v>147</v>
      </c>
      <c r="EV4" s="140" t="s">
        <v>148</v>
      </c>
      <c r="EW4" s="140" t="s">
        <v>149</v>
      </c>
      <c r="EX4" s="140" t="s">
        <v>150</v>
      </c>
      <c r="EY4" s="140" t="s">
        <v>151</v>
      </c>
      <c r="EZ4" s="140" t="s">
        <v>146</v>
      </c>
      <c r="FA4" s="140" t="s">
        <v>147</v>
      </c>
      <c r="FB4" s="140" t="s">
        <v>148</v>
      </c>
      <c r="FC4" s="140" t="s">
        <v>149</v>
      </c>
      <c r="FD4" s="140" t="s">
        <v>150</v>
      </c>
      <c r="FE4" s="140" t="s">
        <v>151</v>
      </c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</row>
    <row r="5" spans="1:208" ht="16" x14ac:dyDescent="0.2">
      <c r="A5" s="141">
        <f>'[1]ACHIEVEMENT STORE'!A5</f>
        <v>1</v>
      </c>
      <c r="B5" s="142" t="str">
        <f>'[1]ACHIEVEMENT STORE'!B5</f>
        <v>601 雅加达西北 JKT BU</v>
      </c>
      <c r="C5" s="141">
        <f>'[1]ACHIEVEMENT STORE'!C5</f>
        <v>6010708</v>
      </c>
      <c r="D5" s="142" t="str">
        <f>'[1]ACHIEVEMENT STORE'!D5</f>
        <v>6010708-MVS SHOWROOM CENTRAL PARK</v>
      </c>
      <c r="E5" s="142" t="str">
        <f>'[1]ACHIEVEMENT STORE'!E5</f>
        <v>NANDI FEBRIANA</v>
      </c>
      <c r="F5" s="143">
        <f>IFERROR(INDEX('[1]SALES PERTYPE'!$D$10:$D$52,MATCH($C5,'[1]SALES PERTYPE'!$B$10:$B$52,0)),0)</f>
        <v>11</v>
      </c>
      <c r="G5" s="143">
        <f>IFERROR(INDEX('[1]Sales per type juli'!$D$10:$BA$51,MATCH($C5,'[1]Sales per type juli'!$B$10:$B$51,0),MATCH("Y05",'[1]Sales per type juli'!$D$8:$BA$8,0)),0)</f>
        <v>26</v>
      </c>
      <c r="H5" s="143">
        <f t="shared" ref="H5:H48" si="0">F5-G5</f>
        <v>-15</v>
      </c>
      <c r="I5" s="143">
        <f>IFERROR(INDEX('[1]SALES PERTYPE'!$E$10:$E$52,MATCH($C5,'[1]SALES PERTYPE'!$B$10:$B$52,0)),0)</f>
        <v>28289000</v>
      </c>
      <c r="J5" s="143" cm="1">
        <f t="array" ref="J5">IFERROR(INDEX('[1]Sales per type juli'!$D$10:$BA$51,MATCH($C5,'[1]Sales per type juli'!$B$10:$B$51,0),MATCH("Y05",'[1]Sales per type juli'!$D$8:$BA$8,0)+1),0)</f>
        <v>59074000</v>
      </c>
      <c r="K5" s="143">
        <f t="shared" ref="K5:K48" si="1">I5-J5</f>
        <v>-30785000</v>
      </c>
      <c r="L5" s="143">
        <f>IFERROR(INDEX('[1]SALES PERTYPE'!$F$10:$F$52,MATCH($C5,'[1]SALES PERTYPE'!$B$10:$B$52,0)),0)</f>
        <v>8</v>
      </c>
      <c r="M5" s="143">
        <f>IFERROR(INDEX('[1]Sales per type juli'!$D$10:$BA$51,MATCH($C5,'[1]Sales per type juli'!$B$10:$B$51,0),MATCH("Y11d",'[1]Sales per type juli'!$D$8:$BA$8,0)),0)</f>
        <v>8</v>
      </c>
      <c r="N5" s="143">
        <f t="shared" ref="N5:N48" si="2">L5-M5</f>
        <v>0</v>
      </c>
      <c r="O5" s="143">
        <f>IFERROR(INDEX('[1]SALES PERTYPE'!$G$10:$G$52,MATCH($C5,'[1]SALES PERTYPE'!$B$10:$B$52,0)),0)</f>
        <v>21192000</v>
      </c>
      <c r="P5" s="143" cm="1">
        <f t="array" ref="P5">IFERROR(INDEX('[1]Sales per type juli'!$D$10:$BA$51,MATCH($C5,'[1]Sales per type juli'!$B$10:$B$51,0),MATCH("Y11d",'[1]Sales per type juli'!$D$8:$BA$8,0)+1),0)</f>
        <v>21592000</v>
      </c>
      <c r="Q5" s="143">
        <f t="shared" ref="Q5:Q48" si="3">O5-P5</f>
        <v>-400000</v>
      </c>
      <c r="R5" s="143">
        <f>IFERROR(INDEX('[1]SALES PERTYPE'!$H$10:$H$52,MATCH($C5,'[1]SALES PERTYPE'!$B$10:$B$52,0)),0)</f>
        <v>0</v>
      </c>
      <c r="S5" s="143">
        <f>IFERROR(INDEX('[1]Sales per type juli'!$D$10:$BA$51,MATCH($C5,'[1]Sales per type juli'!$B$10:$B$51,0),MATCH("Watch GT 2",'[1]Sales per type juli'!$D$8:$BA$8,0)),0)</f>
        <v>0</v>
      </c>
      <c r="T5" s="143">
        <f t="shared" ref="T5:T48" si="4">R5-S5</f>
        <v>0</v>
      </c>
      <c r="U5" s="143">
        <f>IFERROR(INDEX('[1]SALES PERTYPE'!$I$10:$I$52,MATCH($C5,'[1]SALES PERTYPE'!$B$10:$B$52,0)),0)</f>
        <v>0</v>
      </c>
      <c r="V5" s="143" cm="1">
        <f t="array" ref="V5">IFERROR(INDEX('[1]Sales per type juli'!$D$10:$BA$51,MATCH($C5,'[1]Sales per type juli'!$B$10:$B$51,0),MATCH("Watch GT 2",'[1]Sales per type juli'!$D$8:$BA$8,0)+1),0)</f>
        <v>0</v>
      </c>
      <c r="W5" s="143">
        <f t="shared" ref="W5:W48" si="5">U5-V5</f>
        <v>0</v>
      </c>
      <c r="X5" s="143">
        <f>IFERROR(INDEX('[1]SALES PERTYPE'!$J$10:$J$52,MATCH($C5,'[1]SALES PERTYPE'!$B$10:$B$52,0)),0)</f>
        <v>8</v>
      </c>
      <c r="Y5" s="143">
        <f>IFERROR(INDEX('[1]Sales per type juli'!$D$10:$BA$51,MATCH($C5,'[1]Sales per type juli'!$B$10:$B$51,0),MATCH("Y05e",'[1]Sales per type juli'!$D$8:$BA$8,0)),0)</f>
        <v>0</v>
      </c>
      <c r="Z5" s="143">
        <f t="shared" ref="Z5:Z48" si="6">X5-Y5</f>
        <v>8</v>
      </c>
      <c r="AA5" s="143">
        <f>IFERROR(INDEX('[1]SALES PERTYPE'!$K$10:$K$52,MATCH($C5,'[1]SALES PERTYPE'!$B$10:$B$52,0)),0)</f>
        <v>16792000</v>
      </c>
      <c r="AB5" s="143" cm="1">
        <f t="array" ref="AB5">IFERROR(INDEX('[1]Sales per type juli'!$D$10:$BA$51,MATCH($C5,'[1]Sales per type juli'!$B$10:$B$51,0),MATCH("Y05e",'[1]Sales per type juli'!$D$8:$BA$8,0)+1),0)</f>
        <v>0</v>
      </c>
      <c r="AC5" s="143">
        <f t="shared" ref="AC5:AC48" si="7">AA5-AB5</f>
        <v>16792000</v>
      </c>
      <c r="AD5" s="143">
        <f>IFERROR(INDEX('[1]SALES PERTYPE'!$L$10:$L$52,MATCH($C5,'[1]SALES PERTYPE'!$B$10:$B$52,0)),0)</f>
        <v>2</v>
      </c>
      <c r="AE5" s="143">
        <f>IFERROR(INDEX('[1]Sales per type juli'!$D$10:$BA$51,MATCH($C5,'[1]Sales per type juli'!$B$10:$B$51,0),MATCH("V70",'[1]Sales per type juli'!$D$8:$BA$8,0)),0)</f>
        <v>5</v>
      </c>
      <c r="AF5" s="143">
        <f t="shared" ref="AF5:AF48" si="8">AD5-AE5</f>
        <v>-3</v>
      </c>
      <c r="AG5" s="143">
        <f>IFERROR(INDEX('[1]SALES PERTYPE'!$M$10:$M$52,MATCH($C5,'[1]SALES PERTYPE'!$B$10:$B$52,0)),0)</f>
        <v>19998000</v>
      </c>
      <c r="AH5" s="143" cm="1">
        <f t="array" ref="AH5">IFERROR(INDEX('[1]Sales per type juli'!$D$10:$BA$51,MATCH($C5,'[1]Sales per type juli'!$B$10:$B$51,0),MATCH("V70",'[1]Sales per type juli'!$D$8:$BA$8,0)+1),0)</f>
        <v>50995000</v>
      </c>
      <c r="AI5" s="143">
        <f t="shared" ref="AI5:AI48" si="9">AG5-AH5</f>
        <v>-30997000</v>
      </c>
      <c r="AJ5" s="143">
        <f>IFERROR(INDEX('[1]SALES PERTYPE'!$N$10:$N$52,MATCH($C5,'[1]SALES PERTYPE'!$B$10:$B$52,0)),0)</f>
        <v>7</v>
      </c>
      <c r="AK5" s="143">
        <f>IFERROR(INDEX('[1]Sales per type juli'!$D$10:$BA$51,MATCH($C5,'[1]Sales per type juli'!$B$10:$B$51,0),MATCH("Y31d Pro",'[1]Sales per type juli'!$D$8:$BA$8,0)),0)</f>
        <v>4</v>
      </c>
      <c r="AL5" s="143">
        <f t="shared" ref="AL5:AL48" si="10">AJ5-AK5</f>
        <v>3</v>
      </c>
      <c r="AM5" s="143">
        <f>IFERROR(INDEX('[1]SALES PERTYPE'!$O$10:$O$52,MATCH($C5,'[1]SALES PERTYPE'!$B$10:$B$52,0)),0)</f>
        <v>32493000</v>
      </c>
      <c r="AN5" s="143" cm="1">
        <f t="array" ref="AN5">IFERROR(INDEX('[1]Sales per type juli'!$D$10:$BA$51,MATCH($C5,'[1]Sales per type juli'!$B$10:$B$51,0),MATCH("Y31d Pro",'[1]Sales per type juli'!$D$8:$BA$8,0)+1),0)</f>
        <v>15996000</v>
      </c>
      <c r="AO5" s="143">
        <f t="shared" ref="AO5:AO48" si="11">AM5-AN5</f>
        <v>16497000</v>
      </c>
      <c r="AP5" s="143">
        <f>IFERROR(INDEX('[1]SALES PERTYPE'!$P$10:$P$52,MATCH($C5,'[1]SALES PERTYPE'!$B$10:$B$52,0)),0)</f>
        <v>0</v>
      </c>
      <c r="AQ5" s="143" cm="1">
        <f t="array" ref="AQ5">IFERROR(INDEX('[1]Sales per type juli'!$D$10:$BA$51,MATCH($C5,'[1]Sales per type juli'!$B$10:$B$51,0),$FG$2),0)</f>
        <v>0</v>
      </c>
      <c r="AR5" s="143">
        <f t="shared" ref="AR5:AR48" si="12">AP5-AQ5</f>
        <v>0</v>
      </c>
      <c r="AS5" s="143">
        <f>IFERROR(INDEX('[1]SALES PERTYPE'!$Q$10:$Q$52,MATCH($C5,'[1]SALES PERTYPE'!$B$10:$B$52,0)),0)</f>
        <v>0</v>
      </c>
      <c r="AT5" s="143" cm="1">
        <f t="array" ref="AT5">IFERROR(INDEX('[1]Sales per type juli'!$D$10:$BA$51,MATCH($C5,'[1]Sales per type juli'!$B$10:$B$51,0),$FG$2+1),0)</f>
        <v>0</v>
      </c>
      <c r="AU5" s="143">
        <f t="shared" ref="AU5:AU48" si="13">AS5-AT5</f>
        <v>0</v>
      </c>
      <c r="AV5" s="143">
        <f>IFERROR(INDEX('[1]SALES PERTYPE'!$R$10:$R$52,MATCH($C5,'[1]SALES PERTYPE'!$B$10:$B$52,0)),0)</f>
        <v>0</v>
      </c>
      <c r="AW5" s="143">
        <f>IFERROR(INDEX('[1]Sales per type juli'!$D$10:$BA$51,MATCH($C5,'[1]Sales per type juli'!$B$10:$B$51,0),MATCH("Y31d ",'[1]Sales per type juli'!$D$8:$BA$8,0)),0)</f>
        <v>1</v>
      </c>
      <c r="AX5" s="143">
        <f t="shared" ref="AX5:AX48" si="14">AV5-AW5</f>
        <v>-1</v>
      </c>
      <c r="AY5" s="143">
        <f>IFERROR(INDEX('[1]SALES PERTYPE'!$S$10:$S$52,MATCH($C5,'[1]SALES PERTYPE'!$B$10:$B$52,0)),0)</f>
        <v>0</v>
      </c>
      <c r="AZ5" s="143" cm="1">
        <f t="array" ref="AZ5">IFERROR(INDEX('[1]Sales per type juli'!$D$10:$BA$51,MATCH($C5,'[1]Sales per type juli'!$B$10:$B$51,0),MATCH("Y31d ",'[1]Sales per type juli'!$D$8:$BA$8,0)+1),0)</f>
        <v>3599000</v>
      </c>
      <c r="BA5" s="143">
        <f t="shared" ref="BA5:BA48" si="15">AY5-AZ5</f>
        <v>-3599000</v>
      </c>
      <c r="BB5" s="143">
        <f>IFERROR(INDEX('[1]SALES PERTYPE'!$T$10:$T$52,MATCH($C5,'[1]SALES PERTYPE'!$B$10:$B$52,0)),0)</f>
        <v>5</v>
      </c>
      <c r="BC5" s="143">
        <f>IFERROR(INDEX('[1]Sales per type juli'!$D$10:$BA$51,MATCH($C5,'[1]Sales per type juli'!$B$10:$B$51,0),MATCH("V70 FE",'[1]Sales per type juli'!$D$8:$BA$8,0)),0)</f>
        <v>6</v>
      </c>
      <c r="BD5" s="143">
        <f t="shared" ref="BD5:BD48" si="16">BB5-BC5</f>
        <v>-1</v>
      </c>
      <c r="BE5" s="143">
        <f>IFERROR(INDEX('[1]SALES PERTYPE'!$U$10:$U$52,MATCH($C5,'[1]SALES PERTYPE'!$B$10:$B$52,0)),0)</f>
        <v>39995000</v>
      </c>
      <c r="BF5" s="143" cm="1">
        <f t="array" ref="BF5">IFERROR(INDEX('[1]Sales per type juli'!$D$10:$BA$51,MATCH($C5,'[1]Sales per type juli'!$B$10:$B$51,0),MATCH("V70 FE",'[1]Sales per type juli'!$D$8:$BA$8,0)+1),0)</f>
        <v>40394000</v>
      </c>
      <c r="BG5" s="143">
        <f t="shared" ref="BG5:BG48" si="17">BE5-BF5</f>
        <v>-399000</v>
      </c>
      <c r="BH5" s="143">
        <f>IFERROR(INDEX('[1]SALES PERTYPE'!$V$10:$V$52,MATCH($C5,'[1]SALES PERTYPE'!$B$10:$B$52,0)),0)</f>
        <v>0</v>
      </c>
      <c r="BI5" s="143">
        <f>IFERROR(INDEX('[1]Sales per type juli'!$D$10:$BA$51,MATCH($C5,'[1]Sales per type juli'!$B$10:$B$51,0),MATCH("Y31d",'[1]Sales per type juli'!$D$8:$BA$8,0)),0)</f>
        <v>3</v>
      </c>
      <c r="BJ5" s="143">
        <f t="shared" ref="BJ5:BJ48" si="18">BH5-BI5</f>
        <v>-3</v>
      </c>
      <c r="BK5" s="143">
        <f>IFERROR(INDEX('[1]SALES PERTYPE'!$W$10:$W$52,MATCH($C5,'[1]SALES PERTYPE'!$B$10:$B$52,0)),0)</f>
        <v>0</v>
      </c>
      <c r="BL5" s="143" cm="1">
        <f t="array" ref="BL5">IFERROR(INDEX('[1]Sales per type juli'!$D$10:$BA$51,MATCH($C5,'[1]Sales per type juli'!$B$10:$B$51,0),MATCH("Y31d",'[1]Sales per type juli'!$D$8:$BA$8,0)+1),0)</f>
        <v>10797000</v>
      </c>
      <c r="BM5" s="143">
        <f t="shared" ref="BM5:BM48" si="19">BK5-BL5</f>
        <v>-10797000</v>
      </c>
      <c r="BN5" s="143">
        <f>IFERROR(INDEX('[1]SALES PERTYPE'!$X$10:$X$52,MATCH($C5,'[1]SALES PERTYPE'!$B$10:$B$52,0)),0)</f>
        <v>1</v>
      </c>
      <c r="BO5" s="143">
        <f>IFERROR(INDEX('[1]Sales per type juli'!$D$10:$BA$51,MATCH($C5,'[1]Sales per type juli'!$B$10:$B$51,0),MATCH("Y500",'[1]Sales per type juli'!$D$8:$BA$8,0)),0)</f>
        <v>3</v>
      </c>
      <c r="BP5" s="143">
        <f t="shared" ref="BP5:BP48" si="20">BN5-BO5</f>
        <v>-2</v>
      </c>
      <c r="BQ5" s="143">
        <f>IFERROR(INDEX('[1]SALES PERTYPE'!$Y$10:$Y$52,MATCH($C5,'[1]SALES PERTYPE'!$B$10:$B$52,0)),0)</f>
        <v>5499000</v>
      </c>
      <c r="BR5" s="143" cm="1">
        <f t="array" ref="BR5">IFERROR(INDEX('[1]Sales per type juli'!$D$10:$BA$51,MATCH($C5,'[1]Sales per type juli'!$B$10:$B$51,0),MATCH("Y500",'[1]Sales per type juli'!$D$8:$BA$8,0)+1),0)</f>
        <v>18097000</v>
      </c>
      <c r="BS5" s="143">
        <f t="shared" ref="BS5:BS48" si="21">BQ5-BR5</f>
        <v>-12598000</v>
      </c>
      <c r="BT5" s="143">
        <f>IFERROR(INDEX('[1]SALES PERTYPE'!$Z$10:$Z$52,MATCH($C5,'[1]SALES PERTYPE'!$B$10:$B$52,0)),0)</f>
        <v>0</v>
      </c>
      <c r="BU5" s="143">
        <f>IFERROR(INDEX('[1]Sales per type juli'!$D$10:$BA$51,MATCH($C5,'[1]Sales per type juli'!$B$10:$B$51,0),MATCH("IQOO 15R",'[1]Sales per type juli'!$D$8:$BA$8,0)),0)</f>
        <v>3</v>
      </c>
      <c r="BV5" s="143">
        <f t="shared" ref="BV5:BV48" si="22">BT5-BU5</f>
        <v>-3</v>
      </c>
      <c r="BW5" s="143">
        <f>IFERROR(INDEX('[1]SALES PERTYPE'!$AA$10:$AA$52,MATCH($C5,'[1]SALES PERTYPE'!$B$10:$B$52,0)),0)</f>
        <v>0</v>
      </c>
      <c r="BX5" s="143" cm="1">
        <f t="array" ref="BX5">IFERROR(INDEX('[1]Sales per type juli'!$D$10:$BA$51,MATCH($C5,'[1]Sales per type juli'!$B$10:$B$51,0),MATCH("IQOO 15R",'[1]Sales per type juli'!$D$8:$BA$8,0)+1),0)</f>
        <v>29697000</v>
      </c>
      <c r="BY5" s="143">
        <f t="shared" ref="BY5:BY48" si="23">BW5-BX5</f>
        <v>-29697000</v>
      </c>
      <c r="BZ5" s="143">
        <f>IFERROR(INDEX('[1]SALES PERTYPE'!$AB$10:$AB$52,MATCH($C5,'[1]SALES PERTYPE'!$B$10:$B$52,0)),0)</f>
        <v>7</v>
      </c>
      <c r="CA5" s="143">
        <f>IFERROR(INDEX('[1]Sales per type juli'!$D$10:$BA$51,MATCH($C5,'[1]Sales per type juli'!$B$10:$B$51,0),MATCH("V60 Lite",'[1]Sales per type juli'!$D$8:$BA$8,0)),0)</f>
        <v>4</v>
      </c>
      <c r="CB5" s="143">
        <f t="shared" ref="CB5:CB48" si="24">BZ5-CA5</f>
        <v>3</v>
      </c>
      <c r="CC5" s="143">
        <f>IFERROR(INDEX('[1]SALES PERTYPE'!$AC$10:$AC$52,MATCH($C5,'[1]SALES PERTYPE'!$B$10:$B$52,0)),0)</f>
        <v>41293000</v>
      </c>
      <c r="CD5" s="143" cm="1">
        <f t="array" ref="CD5">IFERROR(INDEX('[1]Sales per type juli'!$D$10:$BA$51,MATCH($C5,'[1]Sales per type juli'!$B$10:$B$51,0),MATCH("V60 Lite",'[1]Sales per type juli'!$D$8:$BA$8,0)+1),0)</f>
        <v>22596000</v>
      </c>
      <c r="CE5" s="143">
        <f t="shared" ref="CE5:CE48" si="25">CC5-CD5</f>
        <v>18697000</v>
      </c>
      <c r="CF5" s="143">
        <f>IFERROR(INDEX('[1]SALES PERTYPE'!$AD$10:$AD$52,MATCH($C5,'[1]SALES PERTYPE'!$B$10:$B$52,0)),0)</f>
        <v>2</v>
      </c>
      <c r="CG5" s="143">
        <f>IFERROR(INDEX('[1]Sales per type juli'!$D$10:$BA$51,MATCH($C5,'[1]Sales per type juli'!$B$10:$B$51,0),MATCH("X300 Ultra",'[1]Sales per type juli'!$D$8:$BA$8,0)),0)</f>
        <v>5</v>
      </c>
      <c r="CH5" s="143">
        <f t="shared" ref="CH5:CH48" si="26">CF5-CG5</f>
        <v>-3</v>
      </c>
      <c r="CI5" s="143">
        <f>IFERROR(INDEX('[1]SALES PERTYPE'!$AE$10:$AE$52,MATCH($C5,'[1]SALES PERTYPE'!$B$10:$B$52,0)),0)</f>
        <v>51998000</v>
      </c>
      <c r="CJ5" s="143" cm="1">
        <f t="array" ref="CJ5">IFERROR(INDEX('[1]Sales per type juli'!$D$10:$BA$51,MATCH($C5,'[1]Sales per type juli'!$B$10:$B$51,0),MATCH("X300 Ultra",'[1]Sales per type juli'!$D$8:$BA$8,0)+1),0)</f>
        <v>137995000</v>
      </c>
      <c r="CK5" s="143">
        <f t="shared" ref="CK5:CK48" si="27">CI5-CJ5</f>
        <v>-85997000</v>
      </c>
      <c r="CL5" s="143">
        <f>IFERROR(INDEX('[1]SALES PERTYPE'!$AF$10:$AF$52,MATCH($C5,'[1]SALES PERTYPE'!$B$10:$B$52,0)),0)</f>
        <v>0</v>
      </c>
      <c r="CM5" s="143">
        <f>IFERROR(INDEX('[1]Sales per type juli'!$D$10:$BA$51,MATCH($C5,'[1]Sales per type juli'!$B$10:$B$51,0),MATCH("IQOO 15",'[1]Sales per type juli'!$D$8:$BA$8,0)),0)</f>
        <v>5</v>
      </c>
      <c r="CN5" s="143">
        <f t="shared" ref="CN5:CN48" si="28">CL5-CM5</f>
        <v>-5</v>
      </c>
      <c r="CO5" s="143">
        <f>IFERROR(INDEX('[1]SALES PERTYPE'!$AG$10:$AG$52,MATCH($C5,'[1]SALES PERTYPE'!$B$10:$B$52,0)),0)</f>
        <v>0</v>
      </c>
      <c r="CP5" s="143" cm="1">
        <f t="array" ref="CP5">IFERROR(INDEX('[1]Sales per type juli'!$D$10:$BA$51,MATCH($C5,'[1]Sales per type juli'!$B$10:$B$51,0),MATCH("IQOO 15",'[1]Sales per type juli'!$D$8:$BA$8,0)+1),0)</f>
        <v>69995000</v>
      </c>
      <c r="CQ5" s="143">
        <f t="shared" ref="CQ5:CQ48" si="29">CO5-CP5</f>
        <v>-69995000</v>
      </c>
      <c r="CR5" s="143">
        <f>IFERROR(INDEX('[1]SALES PERTYPE'!$AH$10:$AH$52,MATCH($C5,'[1]SALES PERTYPE'!$B$10:$B$52,0)),0)</f>
        <v>1</v>
      </c>
      <c r="CS5" s="143">
        <f>IFERROR(INDEX('[1]Sales per type juli'!$D$10:$BA$51,MATCH($C5,'[1]Sales per type juli'!$B$10:$B$51,0),MATCH("IQOO Z11x",'[1]Sales per type juli'!$D$8:$BA$8,0)),0)</f>
        <v>3</v>
      </c>
      <c r="CT5" s="143">
        <f t="shared" ref="CT5:CT48" si="30">CR5-CS5</f>
        <v>-2</v>
      </c>
      <c r="CU5" s="143">
        <f>IFERROR(INDEX('[1]SALES PERTYPE'!$AI$10:$AI$52,MATCH($C5,'[1]SALES PERTYPE'!$B$10:$B$52,0)),0)</f>
        <v>5699000</v>
      </c>
      <c r="CV5" s="143" cm="1">
        <f t="array" ref="CV5">IFERROR(INDEX('[1]Sales per type juli'!$D$10:$BA$51,MATCH($C5,'[1]Sales per type juli'!$B$10:$B$51,0),MATCH("IQOO Z11x",'[1]Sales per type juli'!$D$8:$BA$8,0)+1),0)</f>
        <v>15997000</v>
      </c>
      <c r="CW5" s="143">
        <f t="shared" ref="CW5:CW48" si="31">CU5-CV5</f>
        <v>-10298000</v>
      </c>
      <c r="CX5" s="143">
        <f>IFERROR(INDEX('[1]SALES PERTYPE'!$AJ$10:$AJ$52,MATCH($C5,'[1]SALES PERTYPE'!$B$10:$B$52,0)),0)</f>
        <v>1</v>
      </c>
      <c r="CY5" s="143">
        <f>IFERROR(INDEX('[1]Sales per type juli'!$D$10:$BA$51,MATCH($C5,'[1]Sales per type juli'!$B$10:$B$51,0),MATCH("IQOO Z11",'[1]Sales per type juli'!$D$8:$BA$8,0)),0)</f>
        <v>2</v>
      </c>
      <c r="CZ5" s="143">
        <f t="shared" ref="CZ5:CZ48" si="32">CX5-CY5</f>
        <v>-1</v>
      </c>
      <c r="DA5" s="143">
        <f>IFERROR(INDEX('[1]SALES PERTYPE'!$AK$10:$AK$52,MATCH($C5,'[1]SALES PERTYPE'!$B$10:$B$52,0)),0)</f>
        <v>8399000</v>
      </c>
      <c r="DB5" s="143" cm="1">
        <f t="array" ref="DB5">IFERROR(INDEX('[1]Sales per type juli'!$D$10:$BA$51,MATCH($C5,'[1]Sales per type juli'!$B$10:$B$51,0),MATCH("IQOO Z11",'[1]Sales per type juli'!$D$8:$BA$8,0)+1),0)</f>
        <v>12398000</v>
      </c>
      <c r="DC5" s="143">
        <f t="shared" ref="DC5:DC48" si="33">DA5-DB5</f>
        <v>-3999000</v>
      </c>
      <c r="DD5" s="143">
        <v>0</v>
      </c>
      <c r="DE5" s="143">
        <f>IFERROR(INDEX('[1]Sales per type juli'!$D$10:$BA$51,MATCH($C5,'[1]Sales per type juli'!$B$10:$B$51,0),MATCH("WATCH 3",'[1]Sales per type juli'!$D$8:$BA$8,0)),0)</f>
        <v>0</v>
      </c>
      <c r="DF5" s="143">
        <f t="shared" ref="DF5:DF48" si="34">DD5-DE5</f>
        <v>0</v>
      </c>
      <c r="DG5" s="143">
        <v>0</v>
      </c>
      <c r="DH5" s="143" cm="1">
        <f t="array" ref="DH5">IFERROR(INDEX('[1]Sales per type juli'!$D$10:$BA$51,MATCH($C5,'[1]Sales per type juli'!$B$10:$B$51,0),MATCH("WATCH 3",'[1]Sales per type juli'!$D$8:$BA$8,0)+1),0)</f>
        <v>0</v>
      </c>
      <c r="DI5" s="143">
        <f t="shared" ref="DI5:DI48" si="35">DG5-DH5</f>
        <v>0</v>
      </c>
      <c r="DJ5" s="143">
        <v>0</v>
      </c>
      <c r="DK5" s="143">
        <f>IFERROR(INDEX('[1]Sales per type juli'!$D$10:$BA$51,MATCH($C5,'[1]Sales per type juli'!$B$10:$B$51,0),MATCH("X300 Demo",'[1]Sales per type juli'!$D$8:$BA$8,0)),0)</f>
        <v>0</v>
      </c>
      <c r="DL5" s="143">
        <f t="shared" ref="DL5:DL48" si="36">DJ5-DK5</f>
        <v>0</v>
      </c>
      <c r="DM5" s="143">
        <v>0</v>
      </c>
      <c r="DN5" s="143" cm="1">
        <f t="array" ref="DN5">IFERROR(INDEX('[1]Sales per type juli'!$D$10:$BA$51,MATCH($C5,'[1]Sales per type juli'!$B$10:$B$51,0),MATCH("X300 Demo",'[1]Sales per type juli'!$D$8:$BA$8,0)+1),0)</f>
        <v>0</v>
      </c>
      <c r="DO5" s="143">
        <f t="shared" ref="DO5:DO48" si="37">DM5-DN5</f>
        <v>0</v>
      </c>
      <c r="DP5" s="143">
        <v>0</v>
      </c>
      <c r="DQ5" s="143">
        <f>IFERROR(INDEX('[1]Sales per type juli'!$D$10:$BA$51,MATCH($C5,'[1]Sales per type juli'!$B$10:$B$51,0),MATCH("X300 Pro Demo",'[1]Sales per type juli'!$D$8:$BA$8,0)),0)</f>
        <v>0</v>
      </c>
      <c r="DR5" s="143">
        <f t="shared" ref="DR5:DR48" si="38">DP5-DQ5</f>
        <v>0</v>
      </c>
      <c r="DS5" s="143">
        <v>0</v>
      </c>
      <c r="DT5" s="143" cm="1">
        <f t="array" ref="DT5">IFERROR(INDEX('[1]Sales per type juli'!$D$10:$BA$51,MATCH($C5,'[1]Sales per type juli'!$B$10:$B$51,0),MATCH("X300 Pro Demo",'[1]Sales per type juli'!$D$8:$BA$8,0)+1),0)</f>
        <v>0</v>
      </c>
      <c r="DU5" s="143">
        <f t="shared" ref="DU5:DU48" si="39">DS5-DT5</f>
        <v>0</v>
      </c>
      <c r="DV5" s="143">
        <v>0</v>
      </c>
      <c r="DW5" s="143">
        <f>IFERROR(INDEX('[1]Sales per type juli'!$D$10:$BA$51,MATCH($C5,'[1]Sales per type juli'!$B$10:$B$51,0),MATCH("X Fold5 DEMO",'[1]Sales per type juli'!$D$8:$BA$8,0)),0)</f>
        <v>0</v>
      </c>
      <c r="DX5" s="143">
        <f t="shared" ref="DX5:DX48" si="40">DV5-DW5</f>
        <v>0</v>
      </c>
      <c r="DY5" s="143">
        <v>0</v>
      </c>
      <c r="DZ5" s="143" cm="1">
        <f t="array" ref="DZ5">IFERROR(INDEX('[1]Sales per type juli'!$D$10:$BA$51,MATCH($C5,'[1]Sales per type juli'!$B$10:$B$51,0),MATCH("X Fold5 DEMO",'[1]Sales per type juli'!$D$8:$BA$8,0)+1),0)</f>
        <v>0</v>
      </c>
      <c r="EA5" s="143">
        <f t="shared" ref="EA5:EA48" si="41">DY5-DZ5</f>
        <v>0</v>
      </c>
      <c r="EB5" s="143">
        <v>0</v>
      </c>
      <c r="EC5" s="143">
        <f>IFERROR(INDEX('[1]Sales per type juli'!$D$10:$BA$51,MATCH($C5,'[1]Sales per type juli'!$B$10:$B$51,0),MATCH("X Fold5",'[1]Sales per type juli'!$D$8:$BA$8,0)),0)</f>
        <v>0</v>
      </c>
      <c r="ED5" s="143">
        <f t="shared" ref="ED5:ED48" si="42">EB5-EC5</f>
        <v>0</v>
      </c>
      <c r="EE5" s="143">
        <v>0</v>
      </c>
      <c r="EF5" s="143" cm="1">
        <f t="array" ref="EF5">IFERROR(INDEX('[1]Sales per type juli'!$D$10:$BA$51,MATCH($C5,'[1]Sales per type juli'!$B$10:$B$51,0),MATCH("X Fold5",'[1]Sales per type juli'!$D$8:$BA$8,0)+1),0)</f>
        <v>0</v>
      </c>
      <c r="EG5" s="143">
        <f t="shared" ref="EG5:EG48" si="43">EE5-EF5</f>
        <v>0</v>
      </c>
      <c r="EH5" s="143">
        <v>0</v>
      </c>
      <c r="EI5" s="143">
        <f>IFERROR(INDEX('[1]Sales per type juli'!$D$10:$BA$51,MATCH($C5,'[1]Sales per type juli'!$B$10:$B$51,0),MATCH("IQOO 15 Demo",'[1]Sales per type juli'!$D$8:$BA$8,0)),0)</f>
        <v>0</v>
      </c>
      <c r="EJ5" s="143">
        <f t="shared" ref="EJ5:EJ48" si="44">EH5-EI5</f>
        <v>0</v>
      </c>
      <c r="EK5" s="143">
        <v>0</v>
      </c>
      <c r="EL5" s="143" cm="1">
        <f t="array" ref="EL5">IFERROR(INDEX('[1]Sales per type juli'!$D$10:$BA$51,MATCH($C5,'[1]Sales per type juli'!$B$10:$B$51,0),MATCH("IQOO 15 Demo",'[1]Sales per type juli'!$D$8:$BA$8,0)+1),0)</f>
        <v>0</v>
      </c>
      <c r="EM5" s="143">
        <f t="shared" ref="EM5:EM48" si="45">EK5-EL5</f>
        <v>0</v>
      </c>
      <c r="EN5" s="143">
        <v>0</v>
      </c>
      <c r="EO5" s="143">
        <f>IFERROR(INDEX('[1]Sales per type juli'!$D$10:$BA$51,MATCH($C5,'[1]Sales per type juli'!$B$10:$B$51,0),MATCH("X300 PRO",'[1]Sales per type juli'!$D$8:$BA$8,0)),0)</f>
        <v>0</v>
      </c>
      <c r="EP5" s="143">
        <f t="shared" ref="EP5:EP48" si="46">EN5-EO5</f>
        <v>0</v>
      </c>
      <c r="EQ5" s="143">
        <v>0</v>
      </c>
      <c r="ER5" s="143" cm="1">
        <f t="array" ref="ER5">IFERROR(INDEX('[1]Sales per type juli'!$D$10:$BA$51,MATCH($C5,'[1]Sales per type juli'!$B$10:$B$51,0),MATCH("X300 PRO",'[1]Sales per type juli'!$D$8:$BA$8,0)+1),0)</f>
        <v>0</v>
      </c>
      <c r="ES5" s="143">
        <f t="shared" ref="ES5:ES48" si="47">EQ5-ER5</f>
        <v>0</v>
      </c>
      <c r="ET5" s="143">
        <v>0</v>
      </c>
      <c r="EU5" s="143">
        <f>IFERROR(INDEX('[1]Sales per type juli'!$D$10:$BA$51,MATCH($C5,'[1]Sales per type juli'!$B$10:$B$51,0),MATCH("X300 ",'[1]Sales per type juli'!$D$8:$BA$8,0)),0)</f>
        <v>2</v>
      </c>
      <c r="EV5" s="143">
        <f t="shared" ref="EV5:EV48" si="48">ET5-EU5</f>
        <v>-2</v>
      </c>
      <c r="EW5" s="143">
        <v>0</v>
      </c>
      <c r="EX5" s="143" cm="1">
        <f t="array" ref="EX5">IFERROR(INDEX('[1]Sales per type juli'!$D$10:$BA$51,MATCH($C5,'[1]Sales per type juli'!$B$10:$B$51,0),MATCH("X300 ",'[1]Sales per type juli'!$D$8:$BA$8,0)+1),0)</f>
        <v>29998000</v>
      </c>
      <c r="EY5" s="143">
        <f t="shared" ref="EY5:EY48" si="49">EW5-EX5</f>
        <v>-29998000</v>
      </c>
      <c r="EZ5" s="143">
        <f t="shared" ref="EZ5:FA47" si="50">F5+L5+R5+X5+AD5+AJ5+AP5+AV5+BB5+BH5+BN5+BT5+BZ5+CF5+CL5+CR5+CX5+DD5+DJ5+DP5+DV5+EB5+EH5+EN5+ET5</f>
        <v>53</v>
      </c>
      <c r="FA5" s="143">
        <f t="shared" si="50"/>
        <v>80</v>
      </c>
      <c r="FB5" s="143">
        <f t="shared" ref="FB5:FB48" si="51">EZ5-FA5</f>
        <v>-27</v>
      </c>
      <c r="FC5" s="143">
        <f t="shared" ref="FC5:FD47" si="52">I5+O5+U5+AA5+AG5+AM5+AS5+AY5+BE5+BK5+BQ5+BW5+CC5+CI5+CO5+CU5+DA5+DG5+DM5+DS5+DY5+EE5+EK5+EQ5+EW5</f>
        <v>271647000</v>
      </c>
      <c r="FD5" s="143">
        <f t="shared" si="52"/>
        <v>539220000</v>
      </c>
      <c r="FE5" s="143">
        <f t="shared" ref="FE5:FE48" si="53">FC5-FD5</f>
        <v>-267573000</v>
      </c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</row>
    <row r="6" spans="1:208" ht="16" x14ac:dyDescent="0.2">
      <c r="A6" s="144">
        <f>'[1]ACHIEVEMENT STORE'!A6</f>
        <v>2</v>
      </c>
      <c r="B6" s="145" t="str">
        <f>'[1]ACHIEVEMENT STORE'!B6</f>
        <v>601 雅加达西北 JKT BU</v>
      </c>
      <c r="C6" s="144">
        <f>'[1]ACHIEVEMENT STORE'!C6</f>
        <v>6010701</v>
      </c>
      <c r="D6" s="145" t="str">
        <f>'[1]ACHIEVEMENT STORE'!D6</f>
        <v>6010701-MVS ROXY SHOWROOM 21</v>
      </c>
      <c r="E6" s="145" t="str">
        <f>'[1]ACHIEVEMENT STORE'!E6</f>
        <v>ANGGARIA</v>
      </c>
      <c r="F6" s="143">
        <f>IFERROR(INDEX('[1]SALES PERTYPE'!$D$10:$D$52,MATCH($C6,'[1]SALES PERTYPE'!$B$10:$B$52,0)),0)</f>
        <v>40</v>
      </c>
      <c r="G6" s="143">
        <f>IFERROR(INDEX('[1]Sales per type juli'!$D$10:$BA$51,MATCH($C6,'[1]Sales per type juli'!$B$10:$B$51,0),MATCH("Y05",'[1]Sales per type juli'!$D$8:$BA$8,0)),0)</f>
        <v>85</v>
      </c>
      <c r="H6" s="143">
        <f t="shared" si="0"/>
        <v>-45</v>
      </c>
      <c r="I6" s="143">
        <f>IFERROR(INDEX('[1]SALES PERTYPE'!$E$10:$E$52,MATCH($C6,'[1]SALES PERTYPE'!$B$10:$B$52,0)),0)</f>
        <v>96760000</v>
      </c>
      <c r="J6" s="143" cm="1">
        <f t="array" ref="J6">IFERROR(INDEX('[1]Sales per type juli'!$D$10:$BA$51,MATCH($C6,'[1]Sales per type juli'!$B$10:$B$51,0),MATCH("Y05",'[1]Sales per type juli'!$D$8:$BA$8,0)+1),0)</f>
        <v>187215000</v>
      </c>
      <c r="K6" s="143">
        <f t="shared" si="1"/>
        <v>-90455000</v>
      </c>
      <c r="L6" s="143">
        <f>IFERROR(INDEX('[1]SALES PERTYPE'!$F$10:$F$52,MATCH($C6,'[1]SALES PERTYPE'!$B$10:$B$52,0)),0)</f>
        <v>40</v>
      </c>
      <c r="M6" s="143">
        <f>IFERROR(INDEX('[1]Sales per type juli'!$D$10:$BA$51,MATCH($C6,'[1]Sales per type juli'!$B$10:$B$51,0),MATCH("Y11d",'[1]Sales per type juli'!$D$8:$BA$8,0)),0)</f>
        <v>41</v>
      </c>
      <c r="N6" s="143">
        <f t="shared" si="2"/>
        <v>-1</v>
      </c>
      <c r="O6" s="143">
        <f>IFERROR(INDEX('[1]SALES PERTYPE'!$G$10:$G$52,MATCH($C6,'[1]SALES PERTYPE'!$B$10:$B$52,0)),0)</f>
        <v>106360000</v>
      </c>
      <c r="P6" s="143" cm="1">
        <f t="array" ref="P6">IFERROR(INDEX('[1]Sales per type juli'!$D$10:$BA$51,MATCH($C6,'[1]Sales per type juli'!$B$10:$B$51,0),MATCH("Y11d",'[1]Sales per type juli'!$D$8:$BA$8,0)+1),0)</f>
        <v>107559000</v>
      </c>
      <c r="Q6" s="143">
        <f t="shared" si="3"/>
        <v>-1199000</v>
      </c>
      <c r="R6" s="143">
        <f>IFERROR(INDEX('[1]SALES PERTYPE'!$H$10:$H$52,MATCH($C6,'[1]SALES PERTYPE'!$B$10:$B$52,0)),0)</f>
        <v>0</v>
      </c>
      <c r="S6" s="143">
        <f>IFERROR(INDEX('[1]Sales per type juli'!$D$10:$BA$51,MATCH($C6,'[1]Sales per type juli'!$B$10:$B$51,0),MATCH("Watch GT 2",'[1]Sales per type juli'!$D$8:$BA$8,0)),0)</f>
        <v>0</v>
      </c>
      <c r="T6" s="143">
        <f t="shared" si="4"/>
        <v>0</v>
      </c>
      <c r="U6" s="143">
        <f>IFERROR(INDEX('[1]SALES PERTYPE'!$I$10:$I$52,MATCH($C6,'[1]SALES PERTYPE'!$B$10:$B$52,0)),0)</f>
        <v>0</v>
      </c>
      <c r="V6" s="143" cm="1">
        <f t="array" ref="V6">IFERROR(INDEX('[1]Sales per type juli'!$D$10:$BA$51,MATCH($C6,'[1]Sales per type juli'!$B$10:$B$51,0),MATCH("Watch GT 2",'[1]Sales per type juli'!$D$8:$BA$8,0)+1),0)</f>
        <v>0</v>
      </c>
      <c r="W6" s="143">
        <f t="shared" si="5"/>
        <v>0</v>
      </c>
      <c r="X6" s="143">
        <f>IFERROR(INDEX('[1]SALES PERTYPE'!$J$10:$J$52,MATCH($C6,'[1]SALES PERTYPE'!$B$10:$B$52,0)),0)</f>
        <v>38</v>
      </c>
      <c r="Y6" s="143">
        <f>IFERROR(INDEX('[1]Sales per type juli'!$D$10:$BA$51,MATCH($C6,'[1]Sales per type juli'!$B$10:$B$51,0),MATCH("Y05e",'[1]Sales per type juli'!$D$8:$BA$8,0)),0)</f>
        <v>0</v>
      </c>
      <c r="Z6" s="143">
        <f t="shared" si="6"/>
        <v>38</v>
      </c>
      <c r="AA6" s="143">
        <f>IFERROR(INDEX('[1]SALES PERTYPE'!$K$10:$K$52,MATCH($C6,'[1]SALES PERTYPE'!$B$10:$B$52,0)),0)</f>
        <v>79762000</v>
      </c>
      <c r="AB6" s="143" cm="1">
        <f t="array" ref="AB6">IFERROR(INDEX('[1]Sales per type juli'!$D$10:$BA$51,MATCH($C6,'[1]Sales per type juli'!$B$10:$B$51,0),MATCH("Y05e",'[1]Sales per type juli'!$D$8:$BA$8,0)+1),0)</f>
        <v>0</v>
      </c>
      <c r="AC6" s="143">
        <f t="shared" si="7"/>
        <v>79762000</v>
      </c>
      <c r="AD6" s="143">
        <f>IFERROR(INDEX('[1]SALES PERTYPE'!$L$10:$L$52,MATCH($C6,'[1]SALES PERTYPE'!$B$10:$B$52,0)),0)</f>
        <v>2</v>
      </c>
      <c r="AE6" s="143">
        <f>IFERROR(INDEX('[1]Sales per type juli'!$D$10:$BA$51,MATCH($C6,'[1]Sales per type juli'!$B$10:$B$51,0),MATCH("V70",'[1]Sales per type juli'!$D$8:$BA$8,0)),0)</f>
        <v>4</v>
      </c>
      <c r="AF6" s="143">
        <f t="shared" si="8"/>
        <v>-2</v>
      </c>
      <c r="AG6" s="143">
        <f>IFERROR(INDEX('[1]SALES PERTYPE'!$M$10:$M$52,MATCH($C6,'[1]SALES PERTYPE'!$B$10:$B$52,0)),0)</f>
        <v>19998000</v>
      </c>
      <c r="AH6" s="143" cm="1">
        <f t="array" ref="AH6">IFERROR(INDEX('[1]Sales per type juli'!$D$10:$BA$51,MATCH($C6,'[1]Sales per type juli'!$B$10:$B$51,0),MATCH("V70",'[1]Sales per type juli'!$D$8:$BA$8,0)+1),0)</f>
        <v>35996000</v>
      </c>
      <c r="AI6" s="143">
        <f t="shared" si="9"/>
        <v>-15998000</v>
      </c>
      <c r="AJ6" s="143">
        <f>IFERROR(INDEX('[1]SALES PERTYPE'!$N$10:$N$52,MATCH($C6,'[1]SALES PERTYPE'!$B$10:$B$52,0)),0)</f>
        <v>46</v>
      </c>
      <c r="AK6" s="143">
        <f>IFERROR(INDEX('[1]Sales per type juli'!$D$10:$BA$51,MATCH($C6,'[1]Sales per type juli'!$B$10:$B$51,0),MATCH("Y31d Pro",'[1]Sales per type juli'!$D$8:$BA$8,0)),0)</f>
        <v>18</v>
      </c>
      <c r="AL6" s="143">
        <f t="shared" si="10"/>
        <v>28</v>
      </c>
      <c r="AM6" s="143">
        <f>IFERROR(INDEX('[1]SALES PERTYPE'!$O$10:$O$52,MATCH($C6,'[1]SALES PERTYPE'!$B$10:$B$52,0)),0)</f>
        <v>214754000</v>
      </c>
      <c r="AN6" s="143" cm="1">
        <f t="array" ref="AN6">IFERROR(INDEX('[1]Sales per type juli'!$D$10:$BA$51,MATCH($C6,'[1]Sales per type juli'!$B$10:$B$51,0),MATCH("Y31d Pro",'[1]Sales per type juli'!$D$8:$BA$8,0)+1),0)</f>
        <v>76382000</v>
      </c>
      <c r="AO6" s="143">
        <f t="shared" si="11"/>
        <v>138372000</v>
      </c>
      <c r="AP6" s="143">
        <f>IFERROR(INDEX('[1]SALES PERTYPE'!$P$10:$P$52,MATCH($C6,'[1]SALES PERTYPE'!$B$10:$B$52,0)),0)</f>
        <v>5</v>
      </c>
      <c r="AQ6" s="143" cm="1">
        <f t="array" ref="AQ6">IFERROR(INDEX('[1]Sales per type juli'!$D$10:$BA$51,MATCH($C6,'[1]Sales per type juli'!$B$10:$B$51,0),$FG$2),0)</f>
        <v>0</v>
      </c>
      <c r="AR6" s="143">
        <f t="shared" si="12"/>
        <v>5</v>
      </c>
      <c r="AS6" s="143">
        <f>IFERROR(INDEX('[1]SALES PERTYPE'!$Q$10:$Q$52,MATCH($C6,'[1]SALES PERTYPE'!$B$10:$B$52,0)),0)</f>
        <v>17995000</v>
      </c>
      <c r="AT6" s="143" cm="1">
        <f t="array" ref="AT6">IFERROR(INDEX('[1]Sales per type juli'!$D$10:$BA$51,MATCH($C6,'[1]Sales per type juli'!$B$10:$B$51,0),$FG$2+1),0)</f>
        <v>0</v>
      </c>
      <c r="AU6" s="143">
        <f t="shared" si="13"/>
        <v>17995000</v>
      </c>
      <c r="AV6" s="143">
        <f>IFERROR(INDEX('[1]SALES PERTYPE'!$R$10:$R$52,MATCH($C6,'[1]SALES PERTYPE'!$B$10:$B$52,0)),0)</f>
        <v>9</v>
      </c>
      <c r="AW6" s="143">
        <f>IFERROR(INDEX('[1]Sales per type juli'!$D$10:$BA$51,MATCH($C6,'[1]Sales per type juli'!$B$10:$B$51,0),MATCH("Y31d ",'[1]Sales per type juli'!$D$8:$BA$8,0)),0)</f>
        <v>4</v>
      </c>
      <c r="AX6" s="143">
        <f t="shared" si="14"/>
        <v>5</v>
      </c>
      <c r="AY6" s="143">
        <f>IFERROR(INDEX('[1]SALES PERTYPE'!$S$10:$S$52,MATCH($C6,'[1]SALES PERTYPE'!$B$10:$B$52,0)),0)</f>
        <v>32391000</v>
      </c>
      <c r="AZ6" s="143" cm="1">
        <f t="array" ref="AZ6">IFERROR(INDEX('[1]Sales per type juli'!$D$10:$BA$51,MATCH($C6,'[1]Sales per type juli'!$B$10:$B$51,0),MATCH("Y31d ",'[1]Sales per type juli'!$D$8:$BA$8,0)+1),0)</f>
        <v>14396000</v>
      </c>
      <c r="BA6" s="143">
        <f t="shared" si="15"/>
        <v>17995000</v>
      </c>
      <c r="BB6" s="143">
        <f>IFERROR(INDEX('[1]SALES PERTYPE'!$T$10:$T$52,MATCH($C6,'[1]SALES PERTYPE'!$B$10:$B$52,0)),0)</f>
        <v>8</v>
      </c>
      <c r="BC6" s="143">
        <f>IFERROR(INDEX('[1]Sales per type juli'!$D$10:$BA$51,MATCH($C6,'[1]Sales per type juli'!$B$10:$B$51,0),MATCH("V70 FE",'[1]Sales per type juli'!$D$8:$BA$8,0)),0)</f>
        <v>16</v>
      </c>
      <c r="BD6" s="143">
        <f t="shared" si="16"/>
        <v>-8</v>
      </c>
      <c r="BE6" s="143">
        <f>IFERROR(INDEX('[1]SALES PERTYPE'!$U$10:$U$52,MATCH($C6,'[1]SALES PERTYPE'!$B$10:$B$52,0)),0)</f>
        <v>63992000</v>
      </c>
      <c r="BF6" s="143" cm="1">
        <f t="array" ref="BF6">IFERROR(INDEX('[1]Sales per type juli'!$D$10:$BA$51,MATCH($C6,'[1]Sales per type juli'!$B$10:$B$51,0),MATCH("V70 FE",'[1]Sales per type juli'!$D$8:$BA$8,0)+1),0)</f>
        <v>106784000</v>
      </c>
      <c r="BG6" s="143">
        <f t="shared" si="17"/>
        <v>-42792000</v>
      </c>
      <c r="BH6" s="143">
        <f>IFERROR(INDEX('[1]SALES PERTYPE'!$V$10:$V$52,MATCH($C6,'[1]SALES PERTYPE'!$B$10:$B$52,0)),0)</f>
        <v>4</v>
      </c>
      <c r="BI6" s="143">
        <f>IFERROR(INDEX('[1]Sales per type juli'!$D$10:$BA$51,MATCH($C6,'[1]Sales per type juli'!$B$10:$B$51,0),MATCH("Y31d",'[1]Sales per type juli'!$D$8:$BA$8,0)),0)</f>
        <v>14</v>
      </c>
      <c r="BJ6" s="143">
        <f t="shared" si="18"/>
        <v>-10</v>
      </c>
      <c r="BK6" s="143">
        <f>IFERROR(INDEX('[1]SALES PERTYPE'!$W$10:$W$52,MATCH($C6,'[1]SALES PERTYPE'!$B$10:$B$52,0)),0)</f>
        <v>14396000</v>
      </c>
      <c r="BL6" s="143" cm="1">
        <f t="array" ref="BL6">IFERROR(INDEX('[1]Sales per type juli'!$D$10:$BA$51,MATCH($C6,'[1]Sales per type juli'!$B$10:$B$51,0),MATCH("Y31d",'[1]Sales per type juli'!$D$8:$BA$8,0)+1),0)</f>
        <v>50386000</v>
      </c>
      <c r="BM6" s="143">
        <f t="shared" si="19"/>
        <v>-35990000</v>
      </c>
      <c r="BN6" s="143">
        <f>IFERROR(INDEX('[1]SALES PERTYPE'!$X$10:$X$52,MATCH($C6,'[1]SALES PERTYPE'!$B$10:$B$52,0)),0)</f>
        <v>6</v>
      </c>
      <c r="BO6" s="143">
        <f>IFERROR(INDEX('[1]Sales per type juli'!$D$10:$BA$51,MATCH($C6,'[1]Sales per type juli'!$B$10:$B$51,0),MATCH("Y500",'[1]Sales per type juli'!$D$8:$BA$8,0)),0)</f>
        <v>11</v>
      </c>
      <c r="BP6" s="143">
        <f t="shared" si="20"/>
        <v>-5</v>
      </c>
      <c r="BQ6" s="143">
        <f>IFERROR(INDEX('[1]SALES PERTYPE'!$Y$10:$Y$52,MATCH($C6,'[1]SALES PERTYPE'!$B$10:$B$52,0)),0)</f>
        <v>36194000</v>
      </c>
      <c r="BR6" s="143" cm="1">
        <f t="array" ref="BR6">IFERROR(INDEX('[1]Sales per type juli'!$D$10:$BA$51,MATCH($C6,'[1]Sales per type juli'!$B$10:$B$51,0),MATCH("Y500",'[1]Sales per type juli'!$D$8:$BA$8,0)+1),0)</f>
        <v>64489000</v>
      </c>
      <c r="BS6" s="143">
        <f t="shared" si="21"/>
        <v>-28295000</v>
      </c>
      <c r="BT6" s="143">
        <f>IFERROR(INDEX('[1]SALES PERTYPE'!$Z$10:$Z$52,MATCH($C6,'[1]SALES PERTYPE'!$B$10:$B$52,0)),0)</f>
        <v>0</v>
      </c>
      <c r="BU6" s="143">
        <f>IFERROR(INDEX('[1]Sales per type juli'!$D$10:$BA$51,MATCH($C6,'[1]Sales per type juli'!$B$10:$B$51,0),MATCH("IQOO 15R",'[1]Sales per type juli'!$D$8:$BA$8,0)),0)</f>
        <v>2</v>
      </c>
      <c r="BV6" s="143">
        <f t="shared" si="22"/>
        <v>-2</v>
      </c>
      <c r="BW6" s="143">
        <f>IFERROR(INDEX('[1]SALES PERTYPE'!$AA$10:$AA$52,MATCH($C6,'[1]SALES PERTYPE'!$B$10:$B$52,0)),0)</f>
        <v>0</v>
      </c>
      <c r="BX6" s="143" cm="1">
        <f t="array" ref="BX6">IFERROR(INDEX('[1]Sales per type juli'!$D$10:$BA$51,MATCH($C6,'[1]Sales per type juli'!$B$10:$B$51,0),MATCH("IQOO 15R",'[1]Sales per type juli'!$D$8:$BA$8,0)+1),0)</f>
        <v>21298000</v>
      </c>
      <c r="BY6" s="143">
        <f t="shared" si="23"/>
        <v>-21298000</v>
      </c>
      <c r="BZ6" s="143">
        <f>IFERROR(INDEX('[1]SALES PERTYPE'!$AB$10:$AB$52,MATCH($C6,'[1]SALES PERTYPE'!$B$10:$B$52,0)),0)</f>
        <v>2</v>
      </c>
      <c r="CA6" s="143">
        <f>IFERROR(INDEX('[1]Sales per type juli'!$D$10:$BA$51,MATCH($C6,'[1]Sales per type juli'!$B$10:$B$51,0),MATCH("V60 Lite",'[1]Sales per type juli'!$D$8:$BA$8,0)),0)</f>
        <v>7</v>
      </c>
      <c r="CB6" s="143">
        <f t="shared" si="24"/>
        <v>-5</v>
      </c>
      <c r="CC6" s="143">
        <f>IFERROR(INDEX('[1]SALES PERTYPE'!$AC$10:$AC$52,MATCH($C6,'[1]SALES PERTYPE'!$B$10:$B$52,0)),0)</f>
        <v>11798000</v>
      </c>
      <c r="CD6" s="143" cm="1">
        <f t="array" ref="CD6">IFERROR(INDEX('[1]Sales per type juli'!$D$10:$BA$51,MATCH($C6,'[1]Sales per type juli'!$B$10:$B$51,0),MATCH("V60 Lite",'[1]Sales per type juli'!$D$8:$BA$8,0)+1),0)</f>
        <v>39893000</v>
      </c>
      <c r="CE6" s="143">
        <f t="shared" si="25"/>
        <v>-28095000</v>
      </c>
      <c r="CF6" s="143">
        <f>IFERROR(INDEX('[1]SALES PERTYPE'!$AD$10:$AD$52,MATCH($C6,'[1]SALES PERTYPE'!$B$10:$B$52,0)),0)</f>
        <v>1</v>
      </c>
      <c r="CG6" s="143">
        <f>IFERROR(INDEX('[1]Sales per type juli'!$D$10:$BA$51,MATCH($C6,'[1]Sales per type juli'!$B$10:$B$51,0),MATCH("X300 Ultra",'[1]Sales per type juli'!$D$8:$BA$8,0)),0)</f>
        <v>0</v>
      </c>
      <c r="CH6" s="143">
        <f t="shared" si="26"/>
        <v>1</v>
      </c>
      <c r="CI6" s="143">
        <f>IFERROR(INDEX('[1]SALES PERTYPE'!$AE$10:$AE$52,MATCH($C6,'[1]SALES PERTYPE'!$B$10:$B$52,0)),0)</f>
        <v>25999000</v>
      </c>
      <c r="CJ6" s="143" cm="1">
        <f t="array" ref="CJ6">IFERROR(INDEX('[1]Sales per type juli'!$D$10:$BA$51,MATCH($C6,'[1]Sales per type juli'!$B$10:$B$51,0),MATCH("X300 Ultra",'[1]Sales per type juli'!$D$8:$BA$8,0)+1),0)</f>
        <v>0</v>
      </c>
      <c r="CK6" s="143">
        <f t="shared" si="27"/>
        <v>25999000</v>
      </c>
      <c r="CL6" s="143">
        <f>IFERROR(INDEX('[1]SALES PERTYPE'!$AF$10:$AF$52,MATCH($C6,'[1]SALES PERTYPE'!$B$10:$B$52,0)),0)</f>
        <v>0</v>
      </c>
      <c r="CM6" s="143">
        <f>IFERROR(INDEX('[1]Sales per type juli'!$D$10:$BA$51,MATCH($C6,'[1]Sales per type juli'!$B$10:$B$51,0),MATCH("IQOO 15",'[1]Sales per type juli'!$D$8:$BA$8,0)),0)</f>
        <v>0</v>
      </c>
      <c r="CN6" s="143">
        <f t="shared" si="28"/>
        <v>0</v>
      </c>
      <c r="CO6" s="143">
        <f>IFERROR(INDEX('[1]SALES PERTYPE'!$AG$10:$AG$52,MATCH($C6,'[1]SALES PERTYPE'!$B$10:$B$52,0)),0)</f>
        <v>0</v>
      </c>
      <c r="CP6" s="143" cm="1">
        <f t="array" ref="CP6">IFERROR(INDEX('[1]Sales per type juli'!$D$10:$BA$51,MATCH($C6,'[1]Sales per type juli'!$B$10:$B$51,0),MATCH("IQOO 15",'[1]Sales per type juli'!$D$8:$BA$8,0)+1),0)</f>
        <v>0</v>
      </c>
      <c r="CQ6" s="143">
        <f t="shared" si="29"/>
        <v>0</v>
      </c>
      <c r="CR6" s="143">
        <f>IFERROR(INDEX('[1]SALES PERTYPE'!$AH$10:$AH$52,MATCH($C6,'[1]SALES PERTYPE'!$B$10:$B$52,0)),0)</f>
        <v>1</v>
      </c>
      <c r="CS6" s="143">
        <f>IFERROR(INDEX('[1]Sales per type juli'!$D$10:$BA$51,MATCH($C6,'[1]Sales per type juli'!$B$10:$B$51,0),MATCH("IQOO Z11x",'[1]Sales per type juli'!$D$8:$BA$8,0)),0)</f>
        <v>2</v>
      </c>
      <c r="CT6" s="143">
        <f t="shared" si="30"/>
        <v>-1</v>
      </c>
      <c r="CU6" s="143">
        <f>IFERROR(INDEX('[1]SALES PERTYPE'!$AI$10:$AI$52,MATCH($C6,'[1]SALES PERTYPE'!$B$10:$B$52,0)),0)</f>
        <v>5699000</v>
      </c>
      <c r="CV6" s="143" cm="1">
        <f t="array" ref="CV6">IFERROR(INDEX('[1]Sales per type juli'!$D$10:$BA$51,MATCH($C6,'[1]Sales per type juli'!$B$10:$B$51,0),MATCH("IQOO Z11x",'[1]Sales per type juli'!$D$8:$BA$8,0)+1),0)</f>
        <v>9598000</v>
      </c>
      <c r="CW6" s="143">
        <f t="shared" si="31"/>
        <v>-3899000</v>
      </c>
      <c r="CX6" s="143">
        <f>IFERROR(INDEX('[1]SALES PERTYPE'!$AJ$10:$AJ$52,MATCH($C6,'[1]SALES PERTYPE'!$B$10:$B$52,0)),0)</f>
        <v>4</v>
      </c>
      <c r="CY6" s="143">
        <f>IFERROR(INDEX('[1]Sales per type juli'!$D$10:$BA$51,MATCH($C6,'[1]Sales per type juli'!$B$10:$B$51,0),MATCH("IQOO Z11",'[1]Sales per type juli'!$D$8:$BA$8,0)),0)</f>
        <v>5</v>
      </c>
      <c r="CZ6" s="143">
        <f t="shared" si="32"/>
        <v>-1</v>
      </c>
      <c r="DA6" s="143">
        <f>IFERROR(INDEX('[1]SALES PERTYPE'!$AK$10:$AK$52,MATCH($C6,'[1]SALES PERTYPE'!$B$10:$B$52,0)),0)</f>
        <v>29096000</v>
      </c>
      <c r="DB6" s="143" cm="1">
        <f t="array" ref="DB6">IFERROR(INDEX('[1]Sales per type juli'!$D$10:$BA$51,MATCH($C6,'[1]Sales per type juli'!$B$10:$B$51,0),MATCH("IQOO Z11",'[1]Sales per type juli'!$D$8:$BA$8,0)+1),0)</f>
        <v>28495000</v>
      </c>
      <c r="DC6" s="143">
        <f t="shared" si="33"/>
        <v>601000</v>
      </c>
      <c r="DD6" s="143">
        <v>0</v>
      </c>
      <c r="DE6" s="143">
        <f>IFERROR(INDEX('[1]Sales per type juli'!$D$10:$BA$51,MATCH($C6,'[1]Sales per type juli'!$B$10:$B$51,0),MATCH("WATCH 3",'[1]Sales per type juli'!$D$8:$BA$8,0)),0)</f>
        <v>0</v>
      </c>
      <c r="DF6" s="143">
        <f t="shared" si="34"/>
        <v>0</v>
      </c>
      <c r="DG6" s="143">
        <v>0</v>
      </c>
      <c r="DH6" s="143" cm="1">
        <f t="array" ref="DH6">IFERROR(INDEX('[1]Sales per type juli'!$D$10:$BA$51,MATCH($C6,'[1]Sales per type juli'!$B$10:$B$51,0),MATCH("WATCH 3",'[1]Sales per type juli'!$D$8:$BA$8,0)+1),0)</f>
        <v>0</v>
      </c>
      <c r="DI6" s="143">
        <f t="shared" si="35"/>
        <v>0</v>
      </c>
      <c r="DJ6" s="143">
        <v>0</v>
      </c>
      <c r="DK6" s="143">
        <f>IFERROR(INDEX('[1]Sales per type juli'!$D$10:$BA$51,MATCH($C6,'[1]Sales per type juli'!$B$10:$B$51,0),MATCH("X300 Demo",'[1]Sales per type juli'!$D$8:$BA$8,0)),0)</f>
        <v>2</v>
      </c>
      <c r="DL6" s="143">
        <f t="shared" si="36"/>
        <v>-2</v>
      </c>
      <c r="DM6" s="143">
        <v>0</v>
      </c>
      <c r="DN6" s="143" cm="1">
        <f t="array" ref="DN6">IFERROR(INDEX('[1]Sales per type juli'!$D$10:$BA$51,MATCH($C6,'[1]Sales per type juli'!$B$10:$B$51,0),MATCH("X300 Demo",'[1]Sales per type juli'!$D$8:$BA$8,0)+1),0)</f>
        <v>33998000</v>
      </c>
      <c r="DO6" s="143">
        <f t="shared" si="37"/>
        <v>-33998000</v>
      </c>
      <c r="DP6" s="143">
        <v>0</v>
      </c>
      <c r="DQ6" s="143">
        <f>IFERROR(INDEX('[1]Sales per type juli'!$D$10:$BA$51,MATCH($C6,'[1]Sales per type juli'!$B$10:$B$51,0),MATCH("X300 Pro Demo",'[1]Sales per type juli'!$D$8:$BA$8,0)),0)</f>
        <v>1</v>
      </c>
      <c r="DR6" s="143">
        <f t="shared" si="38"/>
        <v>-1</v>
      </c>
      <c r="DS6" s="143">
        <v>0</v>
      </c>
      <c r="DT6" s="143" cm="1">
        <f t="array" ref="DT6">IFERROR(INDEX('[1]Sales per type juli'!$D$10:$BA$51,MATCH($C6,'[1]Sales per type juli'!$B$10:$B$51,0),MATCH("X300 Pro Demo",'[1]Sales per type juli'!$D$8:$BA$8,0)+1),0)</f>
        <v>18999000</v>
      </c>
      <c r="DU6" s="143">
        <f t="shared" si="39"/>
        <v>-18999000</v>
      </c>
      <c r="DV6" s="143">
        <v>0</v>
      </c>
      <c r="DW6" s="143">
        <f>IFERROR(INDEX('[1]Sales per type juli'!$D$10:$BA$51,MATCH($C6,'[1]Sales per type juli'!$B$10:$B$51,0),MATCH("X Fold5 DEMO",'[1]Sales per type juli'!$D$8:$BA$8,0)),0)</f>
        <v>0</v>
      </c>
      <c r="DX6" s="143">
        <f t="shared" si="40"/>
        <v>0</v>
      </c>
      <c r="DY6" s="143">
        <v>0</v>
      </c>
      <c r="DZ6" s="143" cm="1">
        <f t="array" ref="DZ6">IFERROR(INDEX('[1]Sales per type juli'!$D$10:$BA$51,MATCH($C6,'[1]Sales per type juli'!$B$10:$B$51,0),MATCH("X Fold5 DEMO",'[1]Sales per type juli'!$D$8:$BA$8,0)+1),0)</f>
        <v>0</v>
      </c>
      <c r="EA6" s="143">
        <f t="shared" si="41"/>
        <v>0</v>
      </c>
      <c r="EB6" s="143">
        <v>0</v>
      </c>
      <c r="EC6" s="143">
        <f>IFERROR(INDEX('[1]Sales per type juli'!$D$10:$BA$51,MATCH($C6,'[1]Sales per type juli'!$B$10:$B$51,0),MATCH("X Fold5",'[1]Sales per type juli'!$D$8:$BA$8,0)),0)</f>
        <v>0</v>
      </c>
      <c r="ED6" s="143">
        <f t="shared" si="42"/>
        <v>0</v>
      </c>
      <c r="EE6" s="143">
        <v>0</v>
      </c>
      <c r="EF6" s="143" cm="1">
        <f t="array" ref="EF6">IFERROR(INDEX('[1]Sales per type juli'!$D$10:$BA$51,MATCH($C6,'[1]Sales per type juli'!$B$10:$B$51,0),MATCH("X Fold5",'[1]Sales per type juli'!$D$8:$BA$8,0)+1),0)</f>
        <v>0</v>
      </c>
      <c r="EG6" s="143">
        <f t="shared" si="43"/>
        <v>0</v>
      </c>
      <c r="EH6" s="143">
        <v>0</v>
      </c>
      <c r="EI6" s="143">
        <f>IFERROR(INDEX('[1]Sales per type juli'!$D$10:$BA$51,MATCH($C6,'[1]Sales per type juli'!$B$10:$B$51,0),MATCH("IQOO 15 Demo",'[1]Sales per type juli'!$D$8:$BA$8,0)),0)</f>
        <v>1</v>
      </c>
      <c r="EJ6" s="143">
        <f t="shared" si="44"/>
        <v>-1</v>
      </c>
      <c r="EK6" s="143">
        <v>0</v>
      </c>
      <c r="EL6" s="143" cm="1">
        <f t="array" ref="EL6">IFERROR(INDEX('[1]Sales per type juli'!$D$10:$BA$51,MATCH($C6,'[1]Sales per type juli'!$B$10:$B$51,0),MATCH("IQOO 15 Demo",'[1]Sales per type juli'!$D$8:$BA$8,0)+1),0)</f>
        <v>13999000</v>
      </c>
      <c r="EM6" s="143">
        <f t="shared" si="45"/>
        <v>-13999000</v>
      </c>
      <c r="EN6" s="143">
        <v>0</v>
      </c>
      <c r="EO6" s="143">
        <f>IFERROR(INDEX('[1]Sales per type juli'!$D$10:$BA$51,MATCH($C6,'[1]Sales per type juli'!$B$10:$B$51,0),MATCH("X300 PRO",'[1]Sales per type juli'!$D$8:$BA$8,0)),0)</f>
        <v>0</v>
      </c>
      <c r="EP6" s="143">
        <f t="shared" si="46"/>
        <v>0</v>
      </c>
      <c r="EQ6" s="143">
        <v>0</v>
      </c>
      <c r="ER6" s="143" cm="1">
        <f t="array" ref="ER6">IFERROR(INDEX('[1]Sales per type juli'!$D$10:$BA$51,MATCH($C6,'[1]Sales per type juli'!$B$10:$B$51,0),MATCH("X300 PRO",'[1]Sales per type juli'!$D$8:$BA$8,0)+1),0)</f>
        <v>0</v>
      </c>
      <c r="ES6" s="143">
        <f t="shared" si="47"/>
        <v>0</v>
      </c>
      <c r="ET6" s="143">
        <v>0</v>
      </c>
      <c r="EU6" s="143">
        <f>IFERROR(INDEX('[1]Sales per type juli'!$D$10:$BA$51,MATCH($C6,'[1]Sales per type juli'!$B$10:$B$51,0),MATCH("X300 ",'[1]Sales per type juli'!$D$8:$BA$8,0)),0)</f>
        <v>0</v>
      </c>
      <c r="EV6" s="143">
        <f t="shared" si="48"/>
        <v>0</v>
      </c>
      <c r="EW6" s="143">
        <v>0</v>
      </c>
      <c r="EX6" s="143" cm="1">
        <f t="array" ref="EX6">IFERROR(INDEX('[1]Sales per type juli'!$D$10:$BA$51,MATCH($C6,'[1]Sales per type juli'!$B$10:$B$51,0),MATCH("X300 ",'[1]Sales per type juli'!$D$8:$BA$8,0)+1),0)</f>
        <v>0</v>
      </c>
      <c r="EY6" s="143">
        <f t="shared" si="49"/>
        <v>0</v>
      </c>
      <c r="EZ6" s="143">
        <f t="shared" si="50"/>
        <v>206</v>
      </c>
      <c r="FA6" s="143">
        <f t="shared" si="50"/>
        <v>213</v>
      </c>
      <c r="FB6" s="143">
        <f t="shared" si="51"/>
        <v>-7</v>
      </c>
      <c r="FC6" s="143">
        <f t="shared" si="52"/>
        <v>755194000</v>
      </c>
      <c r="FD6" s="143">
        <f t="shared" si="52"/>
        <v>809487000</v>
      </c>
      <c r="FE6" s="143">
        <f t="shared" si="53"/>
        <v>-54293000</v>
      </c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</row>
    <row r="7" spans="1:208" ht="16" x14ac:dyDescent="0.2">
      <c r="A7" s="141">
        <f>'[1]ACHIEVEMENT STORE'!A7</f>
        <v>3</v>
      </c>
      <c r="B7" s="142" t="str">
        <f>'[1]ACHIEVEMENT STORE'!B7</f>
        <v>601 雅加达西北 JKT BU</v>
      </c>
      <c r="C7" s="141">
        <f>'[1]ACHIEVEMENT STORE'!C7</f>
        <v>6010702</v>
      </c>
      <c r="D7" s="142" t="str">
        <f>'[1]ACHIEVEMENT STORE'!D7</f>
        <v>6010702-ME ROXY PAMERAN TIMUR</v>
      </c>
      <c r="E7" s="142" t="str">
        <f>'[1]ACHIEVEMENT STORE'!E7</f>
        <v>ANGGARIA</v>
      </c>
      <c r="F7" s="143">
        <f>IFERROR(INDEX('[1]SALES PERTYPE'!$D$10:$D$52,MATCH($C7,'[1]SALES PERTYPE'!$B$10:$B$52,0)),0)</f>
        <v>40</v>
      </c>
      <c r="G7" s="143">
        <f>IFERROR(INDEX('[1]Sales per type juli'!$D$10:$BA$51,MATCH($C7,'[1]Sales per type juli'!$B$10:$B$51,0),MATCH("Y05",'[1]Sales per type juli'!$D$8:$BA$8,0)),0)</f>
        <v>119</v>
      </c>
      <c r="H7" s="143">
        <f t="shared" si="0"/>
        <v>-79</v>
      </c>
      <c r="I7" s="143">
        <f>IFERROR(INDEX('[1]SALES PERTYPE'!$E$10:$E$52,MATCH($C7,'[1]SALES PERTYPE'!$B$10:$B$52,0)),0)</f>
        <v>97060000</v>
      </c>
      <c r="J7" s="143" cm="1">
        <f t="array" ref="J7">IFERROR(INDEX('[1]Sales per type juli'!$D$10:$BA$51,MATCH($C7,'[1]Sales per type juli'!$B$10:$B$51,0),MATCH("Y05",'[1]Sales per type juli'!$D$8:$BA$8,0)+1),0)</f>
        <v>260481000</v>
      </c>
      <c r="K7" s="143">
        <f t="shared" si="1"/>
        <v>-163421000</v>
      </c>
      <c r="L7" s="143">
        <f>IFERROR(INDEX('[1]SALES PERTYPE'!$F$10:$F$52,MATCH($C7,'[1]SALES PERTYPE'!$B$10:$B$52,0)),0)</f>
        <v>44</v>
      </c>
      <c r="M7" s="143">
        <f>IFERROR(INDEX('[1]Sales per type juli'!$D$10:$BA$51,MATCH($C7,'[1]Sales per type juli'!$B$10:$B$51,0),MATCH("Y11d",'[1]Sales per type juli'!$D$8:$BA$8,0)),0)</f>
        <v>22</v>
      </c>
      <c r="N7" s="143">
        <f t="shared" si="2"/>
        <v>22</v>
      </c>
      <c r="O7" s="143">
        <f>IFERROR(INDEX('[1]SALES PERTYPE'!$G$10:$G$52,MATCH($C7,'[1]SALES PERTYPE'!$B$10:$B$52,0)),0)</f>
        <v>117156000</v>
      </c>
      <c r="P7" s="143" cm="1">
        <f t="array" ref="P7">IFERROR(INDEX('[1]Sales per type juli'!$D$10:$BA$51,MATCH($C7,'[1]Sales per type juli'!$B$10:$B$51,0),MATCH("Y11d",'[1]Sales per type juli'!$D$8:$BA$8,0)+1),0)</f>
        <v>57578000</v>
      </c>
      <c r="Q7" s="143">
        <f t="shared" si="3"/>
        <v>59578000</v>
      </c>
      <c r="R7" s="143">
        <f>IFERROR(INDEX('[1]SALES PERTYPE'!$H$10:$H$52,MATCH($C7,'[1]SALES PERTYPE'!$B$10:$B$52,0)),0)</f>
        <v>0</v>
      </c>
      <c r="S7" s="143">
        <f>IFERROR(INDEX('[1]Sales per type juli'!$D$10:$BA$51,MATCH($C7,'[1]Sales per type juli'!$B$10:$B$51,0),MATCH("Watch GT 2",'[1]Sales per type juli'!$D$8:$BA$8,0)),0)</f>
        <v>0</v>
      </c>
      <c r="T7" s="143">
        <f t="shared" si="4"/>
        <v>0</v>
      </c>
      <c r="U7" s="143">
        <f>IFERROR(INDEX('[1]SALES PERTYPE'!$I$10:$I$52,MATCH($C7,'[1]SALES PERTYPE'!$B$10:$B$52,0)),0)</f>
        <v>0</v>
      </c>
      <c r="V7" s="143" cm="1">
        <f t="array" ref="V7">IFERROR(INDEX('[1]Sales per type juli'!$D$10:$BA$51,MATCH($C7,'[1]Sales per type juli'!$B$10:$B$51,0),MATCH("Watch GT 2",'[1]Sales per type juli'!$D$8:$BA$8,0)+1),0)</f>
        <v>0</v>
      </c>
      <c r="W7" s="143">
        <f t="shared" si="5"/>
        <v>0</v>
      </c>
      <c r="X7" s="143">
        <f>IFERROR(INDEX('[1]SALES PERTYPE'!$J$10:$J$52,MATCH($C7,'[1]SALES PERTYPE'!$B$10:$B$52,0)),0)</f>
        <v>84</v>
      </c>
      <c r="Y7" s="143">
        <f>IFERROR(INDEX('[1]Sales per type juli'!$D$10:$BA$51,MATCH($C7,'[1]Sales per type juli'!$B$10:$B$51,0),MATCH("Y05e",'[1]Sales per type juli'!$D$8:$BA$8,0)),0)</f>
        <v>0</v>
      </c>
      <c r="Z7" s="143">
        <f t="shared" si="6"/>
        <v>84</v>
      </c>
      <c r="AA7" s="143">
        <f>IFERROR(INDEX('[1]SALES PERTYPE'!$K$10:$K$52,MATCH($C7,'[1]SALES PERTYPE'!$B$10:$B$52,0)),0)</f>
        <v>176316000</v>
      </c>
      <c r="AB7" s="143" cm="1">
        <f t="array" ref="AB7">IFERROR(INDEX('[1]Sales per type juli'!$D$10:$BA$51,MATCH($C7,'[1]Sales per type juli'!$B$10:$B$51,0),MATCH("Y05e",'[1]Sales per type juli'!$D$8:$BA$8,0)+1),0)</f>
        <v>0</v>
      </c>
      <c r="AC7" s="143">
        <f t="shared" si="7"/>
        <v>176316000</v>
      </c>
      <c r="AD7" s="143">
        <f>IFERROR(INDEX('[1]SALES PERTYPE'!$L$10:$L$52,MATCH($C7,'[1]SALES PERTYPE'!$B$10:$B$52,0)),0)</f>
        <v>3</v>
      </c>
      <c r="AE7" s="143">
        <f>IFERROR(INDEX('[1]Sales per type juli'!$D$10:$BA$51,MATCH($C7,'[1]Sales per type juli'!$B$10:$B$51,0),MATCH("V70",'[1]Sales per type juli'!$D$8:$BA$8,0)),0)</f>
        <v>7</v>
      </c>
      <c r="AF7" s="143">
        <f t="shared" si="8"/>
        <v>-4</v>
      </c>
      <c r="AG7" s="143">
        <f>IFERROR(INDEX('[1]SALES PERTYPE'!$M$10:$M$52,MATCH($C7,'[1]SALES PERTYPE'!$B$10:$B$52,0)),0)</f>
        <v>29997000</v>
      </c>
      <c r="AH7" s="143" cm="1">
        <f t="array" ref="AH7">IFERROR(INDEX('[1]Sales per type juli'!$D$10:$BA$51,MATCH($C7,'[1]Sales per type juli'!$B$10:$B$51,0),MATCH("V70",'[1]Sales per type juli'!$D$8:$BA$8,0)+1),0)</f>
        <v>68993000</v>
      </c>
      <c r="AI7" s="143">
        <f t="shared" si="9"/>
        <v>-38996000</v>
      </c>
      <c r="AJ7" s="143">
        <f>IFERROR(INDEX('[1]SALES PERTYPE'!$N$10:$N$52,MATCH($C7,'[1]SALES PERTYPE'!$B$10:$B$52,0)),0)</f>
        <v>35</v>
      </c>
      <c r="AK7" s="143">
        <f>IFERROR(INDEX('[1]Sales per type juli'!$D$10:$BA$51,MATCH($C7,'[1]Sales per type juli'!$B$10:$B$51,0),MATCH("Y31d Pro",'[1]Sales per type juli'!$D$8:$BA$8,0)),0)</f>
        <v>13</v>
      </c>
      <c r="AL7" s="143">
        <f t="shared" si="10"/>
        <v>22</v>
      </c>
      <c r="AM7" s="143">
        <f>IFERROR(INDEX('[1]SALES PERTYPE'!$O$10:$O$52,MATCH($C7,'[1]SALES PERTYPE'!$B$10:$B$52,0)),0)</f>
        <v>155865000</v>
      </c>
      <c r="AN7" s="143" cm="1">
        <f t="array" ref="AN7">IFERROR(INDEX('[1]Sales per type juli'!$D$10:$BA$51,MATCH($C7,'[1]Sales per type juli'!$B$10:$B$51,0),MATCH("Y31d Pro",'[1]Sales per type juli'!$D$8:$BA$8,0)+1),0)</f>
        <v>56687000</v>
      </c>
      <c r="AO7" s="143">
        <f t="shared" si="11"/>
        <v>99178000</v>
      </c>
      <c r="AP7" s="143">
        <f>IFERROR(INDEX('[1]SALES PERTYPE'!$P$10:$P$52,MATCH($C7,'[1]SALES PERTYPE'!$B$10:$B$52,0)),0)</f>
        <v>3</v>
      </c>
      <c r="AQ7" s="143" cm="1">
        <f t="array" ref="AQ7">IFERROR(INDEX('[1]Sales per type juli'!$D$10:$BA$51,MATCH($C7,'[1]Sales per type juli'!$B$10:$B$51,0),$FG$2),0)</f>
        <v>0</v>
      </c>
      <c r="AR7" s="143">
        <f t="shared" si="12"/>
        <v>3</v>
      </c>
      <c r="AS7" s="143">
        <f>IFERROR(INDEX('[1]SALES PERTYPE'!$Q$10:$Q$52,MATCH($C7,'[1]SALES PERTYPE'!$B$10:$B$52,0)),0)</f>
        <v>10797000</v>
      </c>
      <c r="AT7" s="143" cm="1">
        <f t="array" ref="AT7">IFERROR(INDEX('[1]Sales per type juli'!$D$10:$BA$51,MATCH($C7,'[1]Sales per type juli'!$B$10:$B$51,0),$FG$2+1),0)</f>
        <v>0</v>
      </c>
      <c r="AU7" s="143">
        <f t="shared" si="13"/>
        <v>10797000</v>
      </c>
      <c r="AV7" s="143">
        <f>IFERROR(INDEX('[1]SALES PERTYPE'!$R$10:$R$52,MATCH($C7,'[1]SALES PERTYPE'!$B$10:$B$52,0)),0)</f>
        <v>0</v>
      </c>
      <c r="AW7" s="143">
        <f>IFERROR(INDEX('[1]Sales per type juli'!$D$10:$BA$51,MATCH($C7,'[1]Sales per type juli'!$B$10:$B$51,0),MATCH("Y31d ",'[1]Sales per type juli'!$D$8:$BA$8,0)),0)</f>
        <v>2</v>
      </c>
      <c r="AX7" s="143">
        <f t="shared" si="14"/>
        <v>-2</v>
      </c>
      <c r="AY7" s="143">
        <f>IFERROR(INDEX('[1]SALES PERTYPE'!$S$10:$S$52,MATCH($C7,'[1]SALES PERTYPE'!$B$10:$B$52,0)),0)</f>
        <v>0</v>
      </c>
      <c r="AZ7" s="143" cm="1">
        <f t="array" ref="AZ7">IFERROR(INDEX('[1]Sales per type juli'!$D$10:$BA$51,MATCH($C7,'[1]Sales per type juli'!$B$10:$B$51,0),MATCH("Y31d ",'[1]Sales per type juli'!$D$8:$BA$8,0)+1),0)</f>
        <v>7198000</v>
      </c>
      <c r="BA7" s="143">
        <f t="shared" si="15"/>
        <v>-7198000</v>
      </c>
      <c r="BB7" s="143">
        <f>IFERROR(INDEX('[1]SALES PERTYPE'!$T$10:$T$52,MATCH($C7,'[1]SALES PERTYPE'!$B$10:$B$52,0)),0)</f>
        <v>2</v>
      </c>
      <c r="BC7" s="143">
        <f>IFERROR(INDEX('[1]Sales per type juli'!$D$10:$BA$51,MATCH($C7,'[1]Sales per type juli'!$B$10:$B$51,0),MATCH("V70 FE",'[1]Sales per type juli'!$D$8:$BA$8,0)),0)</f>
        <v>11</v>
      </c>
      <c r="BD7" s="143">
        <f t="shared" si="16"/>
        <v>-9</v>
      </c>
      <c r="BE7" s="143">
        <f>IFERROR(INDEX('[1]SALES PERTYPE'!$U$10:$U$52,MATCH($C7,'[1]SALES PERTYPE'!$B$10:$B$52,0)),0)</f>
        <v>15998000</v>
      </c>
      <c r="BF7" s="143" cm="1">
        <f t="array" ref="BF7">IFERROR(INDEX('[1]Sales per type juli'!$D$10:$BA$51,MATCH($C7,'[1]Sales per type juli'!$B$10:$B$51,0),MATCH("V70 FE",'[1]Sales per type juli'!$D$8:$BA$8,0)+1),0)</f>
        <v>74289000</v>
      </c>
      <c r="BG7" s="143">
        <f t="shared" si="17"/>
        <v>-58291000</v>
      </c>
      <c r="BH7" s="143">
        <f>IFERROR(INDEX('[1]SALES PERTYPE'!$V$10:$V$52,MATCH($C7,'[1]SALES PERTYPE'!$B$10:$B$52,0)),0)</f>
        <v>0</v>
      </c>
      <c r="BI7" s="143">
        <f>IFERROR(INDEX('[1]Sales per type juli'!$D$10:$BA$51,MATCH($C7,'[1]Sales per type juli'!$B$10:$B$51,0),MATCH("Y31d",'[1]Sales per type juli'!$D$8:$BA$8,0)),0)</f>
        <v>7</v>
      </c>
      <c r="BJ7" s="143">
        <f t="shared" si="18"/>
        <v>-7</v>
      </c>
      <c r="BK7" s="143">
        <f>IFERROR(INDEX('[1]SALES PERTYPE'!$W$10:$W$52,MATCH($C7,'[1]SALES PERTYPE'!$B$10:$B$52,0)),0)</f>
        <v>0</v>
      </c>
      <c r="BL7" s="143" cm="1">
        <f t="array" ref="BL7">IFERROR(INDEX('[1]Sales per type juli'!$D$10:$BA$51,MATCH($C7,'[1]Sales per type juli'!$B$10:$B$51,0),MATCH("Y31d",'[1]Sales per type juli'!$D$8:$BA$8,0)+1),0)</f>
        <v>25193000</v>
      </c>
      <c r="BM7" s="143">
        <f t="shared" si="19"/>
        <v>-25193000</v>
      </c>
      <c r="BN7" s="143">
        <f>IFERROR(INDEX('[1]SALES PERTYPE'!$X$10:$X$52,MATCH($C7,'[1]SALES PERTYPE'!$B$10:$B$52,0)),0)</f>
        <v>5</v>
      </c>
      <c r="BO7" s="143">
        <f>IFERROR(INDEX('[1]Sales per type juli'!$D$10:$BA$51,MATCH($C7,'[1]Sales per type juli'!$B$10:$B$51,0),MATCH("Y500",'[1]Sales per type juli'!$D$8:$BA$8,0)),0)</f>
        <v>4</v>
      </c>
      <c r="BP7" s="143">
        <f t="shared" si="20"/>
        <v>1</v>
      </c>
      <c r="BQ7" s="143">
        <f>IFERROR(INDEX('[1]SALES PERTYPE'!$Y$10:$Y$52,MATCH($C7,'[1]SALES PERTYPE'!$B$10:$B$52,0)),0)</f>
        <v>28295000</v>
      </c>
      <c r="BR7" s="143" cm="1">
        <f t="array" ref="BR7">IFERROR(INDEX('[1]Sales per type juli'!$D$10:$BA$51,MATCH($C7,'[1]Sales per type juli'!$B$10:$B$51,0),MATCH("Y500",'[1]Sales per type juli'!$D$8:$BA$8,0)+1),0)</f>
        <v>23596000</v>
      </c>
      <c r="BS7" s="143">
        <f t="shared" si="21"/>
        <v>4699000</v>
      </c>
      <c r="BT7" s="143">
        <f>IFERROR(INDEX('[1]SALES PERTYPE'!$Z$10:$Z$52,MATCH($C7,'[1]SALES PERTYPE'!$B$10:$B$52,0)),0)</f>
        <v>0</v>
      </c>
      <c r="BU7" s="143">
        <f>IFERROR(INDEX('[1]Sales per type juli'!$D$10:$BA$51,MATCH($C7,'[1]Sales per type juli'!$B$10:$B$51,0),MATCH("IQOO 15R",'[1]Sales per type juli'!$D$8:$BA$8,0)),0)</f>
        <v>2</v>
      </c>
      <c r="BV7" s="143">
        <f t="shared" si="22"/>
        <v>-2</v>
      </c>
      <c r="BW7" s="143">
        <f>IFERROR(INDEX('[1]SALES PERTYPE'!$AA$10:$AA$52,MATCH($C7,'[1]SALES PERTYPE'!$B$10:$B$52,0)),0)</f>
        <v>0</v>
      </c>
      <c r="BX7" s="143" cm="1">
        <f t="array" ref="BX7">IFERROR(INDEX('[1]Sales per type juli'!$D$10:$BA$51,MATCH($C7,'[1]Sales per type juli'!$B$10:$B$51,0),MATCH("IQOO 15R",'[1]Sales per type juli'!$D$8:$BA$8,0)+1),0)</f>
        <v>21298000</v>
      </c>
      <c r="BY7" s="143">
        <f t="shared" si="23"/>
        <v>-21298000</v>
      </c>
      <c r="BZ7" s="143">
        <f>IFERROR(INDEX('[1]SALES PERTYPE'!$AB$10:$AB$52,MATCH($C7,'[1]SALES PERTYPE'!$B$10:$B$52,0)),0)</f>
        <v>1</v>
      </c>
      <c r="CA7" s="143">
        <f>IFERROR(INDEX('[1]Sales per type juli'!$D$10:$BA$51,MATCH($C7,'[1]Sales per type juli'!$B$10:$B$51,0),MATCH("V60 Lite",'[1]Sales per type juli'!$D$8:$BA$8,0)),0)</f>
        <v>5</v>
      </c>
      <c r="CB7" s="143">
        <f t="shared" si="24"/>
        <v>-4</v>
      </c>
      <c r="CC7" s="143">
        <f>IFERROR(INDEX('[1]SALES PERTYPE'!$AC$10:$AC$52,MATCH($C7,'[1]SALES PERTYPE'!$B$10:$B$52,0)),0)</f>
        <v>5299000</v>
      </c>
      <c r="CD7" s="143" cm="1">
        <f t="array" ref="CD7">IFERROR(INDEX('[1]Sales per type juli'!$D$10:$BA$51,MATCH($C7,'[1]Sales per type juli'!$B$10:$B$51,0),MATCH("V60 Lite",'[1]Sales per type juli'!$D$8:$BA$8,0)+1),0)</f>
        <v>27895000</v>
      </c>
      <c r="CE7" s="143">
        <f t="shared" si="25"/>
        <v>-22596000</v>
      </c>
      <c r="CF7" s="143">
        <f>IFERROR(INDEX('[1]SALES PERTYPE'!$AD$10:$AD$52,MATCH($C7,'[1]SALES PERTYPE'!$B$10:$B$52,0)),0)</f>
        <v>0</v>
      </c>
      <c r="CG7" s="143">
        <f>IFERROR(INDEX('[1]Sales per type juli'!$D$10:$BA$51,MATCH($C7,'[1]Sales per type juli'!$B$10:$B$51,0),MATCH("X300 Ultra",'[1]Sales per type juli'!$D$8:$BA$8,0)),0)</f>
        <v>1</v>
      </c>
      <c r="CH7" s="143">
        <f t="shared" si="26"/>
        <v>-1</v>
      </c>
      <c r="CI7" s="143">
        <f>IFERROR(INDEX('[1]SALES PERTYPE'!$AE$10:$AE$52,MATCH($C7,'[1]SALES PERTYPE'!$B$10:$B$52,0)),0)</f>
        <v>0</v>
      </c>
      <c r="CJ7" s="143" cm="1">
        <f t="array" ref="CJ7">IFERROR(INDEX('[1]Sales per type juli'!$D$10:$BA$51,MATCH($C7,'[1]Sales per type juli'!$B$10:$B$51,0),MATCH("X300 Ultra",'[1]Sales per type juli'!$D$8:$BA$8,0)+1),0)</f>
        <v>29999000</v>
      </c>
      <c r="CK7" s="143">
        <f t="shared" si="27"/>
        <v>-29999000</v>
      </c>
      <c r="CL7" s="143">
        <f>IFERROR(INDEX('[1]SALES PERTYPE'!$AF$10:$AF$52,MATCH($C7,'[1]SALES PERTYPE'!$B$10:$B$52,0)),0)</f>
        <v>0</v>
      </c>
      <c r="CM7" s="143">
        <f>IFERROR(INDEX('[1]Sales per type juli'!$D$10:$BA$51,MATCH($C7,'[1]Sales per type juli'!$B$10:$B$51,0),MATCH("IQOO 15",'[1]Sales per type juli'!$D$8:$BA$8,0)),0)</f>
        <v>0</v>
      </c>
      <c r="CN7" s="143">
        <f t="shared" si="28"/>
        <v>0</v>
      </c>
      <c r="CO7" s="143">
        <f>IFERROR(INDEX('[1]SALES PERTYPE'!$AG$10:$AG$52,MATCH($C7,'[1]SALES PERTYPE'!$B$10:$B$52,0)),0)</f>
        <v>0</v>
      </c>
      <c r="CP7" s="143" cm="1">
        <f t="array" ref="CP7">IFERROR(INDEX('[1]Sales per type juli'!$D$10:$BA$51,MATCH($C7,'[1]Sales per type juli'!$B$10:$B$51,0),MATCH("IQOO 15",'[1]Sales per type juli'!$D$8:$BA$8,0)+1),0)</f>
        <v>0</v>
      </c>
      <c r="CQ7" s="143">
        <f t="shared" si="29"/>
        <v>0</v>
      </c>
      <c r="CR7" s="143">
        <f>IFERROR(INDEX('[1]SALES PERTYPE'!$AH$10:$AH$52,MATCH($C7,'[1]SALES PERTYPE'!$B$10:$B$52,0)),0)</f>
        <v>1</v>
      </c>
      <c r="CS7" s="143">
        <f>IFERROR(INDEX('[1]Sales per type juli'!$D$10:$BA$51,MATCH($C7,'[1]Sales per type juli'!$B$10:$B$51,0),MATCH("IQOO Z11x",'[1]Sales per type juli'!$D$8:$BA$8,0)),0)</f>
        <v>0</v>
      </c>
      <c r="CT7" s="143">
        <f t="shared" si="30"/>
        <v>1</v>
      </c>
      <c r="CU7" s="143">
        <f>IFERROR(INDEX('[1]SALES PERTYPE'!$AI$10:$AI$52,MATCH($C7,'[1]SALES PERTYPE'!$B$10:$B$52,0)),0)</f>
        <v>5599000</v>
      </c>
      <c r="CV7" s="143" cm="1">
        <f t="array" ref="CV7">IFERROR(INDEX('[1]Sales per type juli'!$D$10:$BA$51,MATCH($C7,'[1]Sales per type juli'!$B$10:$B$51,0),MATCH("IQOO Z11x",'[1]Sales per type juli'!$D$8:$BA$8,0)+1),0)</f>
        <v>0</v>
      </c>
      <c r="CW7" s="143">
        <f t="shared" si="31"/>
        <v>5599000</v>
      </c>
      <c r="CX7" s="143">
        <f>IFERROR(INDEX('[1]SALES PERTYPE'!$AJ$10:$AJ$52,MATCH($C7,'[1]SALES PERTYPE'!$B$10:$B$52,0)),0)</f>
        <v>3</v>
      </c>
      <c r="CY7" s="143">
        <f>IFERROR(INDEX('[1]Sales per type juli'!$D$10:$BA$51,MATCH($C7,'[1]Sales per type juli'!$B$10:$B$51,0),MATCH("IQOO Z11",'[1]Sales per type juli'!$D$8:$BA$8,0)),0)</f>
        <v>6</v>
      </c>
      <c r="CZ7" s="143">
        <f t="shared" si="32"/>
        <v>-3</v>
      </c>
      <c r="DA7" s="143">
        <f>IFERROR(INDEX('[1]SALES PERTYPE'!$AK$10:$AK$52,MATCH($C7,'[1]SALES PERTYPE'!$B$10:$B$52,0)),0)</f>
        <v>21997000</v>
      </c>
      <c r="DB7" s="143" cm="1">
        <f t="array" ref="DB7">IFERROR(INDEX('[1]Sales per type juli'!$D$10:$BA$51,MATCH($C7,'[1]Sales per type juli'!$B$10:$B$51,0),MATCH("IQOO Z11",'[1]Sales per type juli'!$D$8:$BA$8,0)+1),0)</f>
        <v>36494000</v>
      </c>
      <c r="DC7" s="143">
        <f t="shared" si="33"/>
        <v>-14497000</v>
      </c>
      <c r="DD7" s="143">
        <v>0</v>
      </c>
      <c r="DE7" s="143">
        <f>IFERROR(INDEX('[1]Sales per type juli'!$D$10:$BA$51,MATCH($C7,'[1]Sales per type juli'!$B$10:$B$51,0),MATCH("WATCH 3",'[1]Sales per type juli'!$D$8:$BA$8,0)),0)</f>
        <v>0</v>
      </c>
      <c r="DF7" s="143">
        <f t="shared" si="34"/>
        <v>0</v>
      </c>
      <c r="DG7" s="143">
        <v>0</v>
      </c>
      <c r="DH7" s="143" cm="1">
        <f t="array" ref="DH7">IFERROR(INDEX('[1]Sales per type juli'!$D$10:$BA$51,MATCH($C7,'[1]Sales per type juli'!$B$10:$B$51,0),MATCH("WATCH 3",'[1]Sales per type juli'!$D$8:$BA$8,0)+1),0)</f>
        <v>0</v>
      </c>
      <c r="DI7" s="143">
        <f t="shared" si="35"/>
        <v>0</v>
      </c>
      <c r="DJ7" s="143">
        <v>0</v>
      </c>
      <c r="DK7" s="143">
        <f>IFERROR(INDEX('[1]Sales per type juli'!$D$10:$BA$51,MATCH($C7,'[1]Sales per type juli'!$B$10:$B$51,0),MATCH("X300 Demo",'[1]Sales per type juli'!$D$8:$BA$8,0)),0)</f>
        <v>2</v>
      </c>
      <c r="DL7" s="143">
        <f t="shared" si="36"/>
        <v>-2</v>
      </c>
      <c r="DM7" s="143">
        <v>0</v>
      </c>
      <c r="DN7" s="143" cm="1">
        <f t="array" ref="DN7">IFERROR(INDEX('[1]Sales per type juli'!$D$10:$BA$51,MATCH($C7,'[1]Sales per type juli'!$B$10:$B$51,0),MATCH("X300 Demo",'[1]Sales per type juli'!$D$8:$BA$8,0)+1),0)</f>
        <v>33998000</v>
      </c>
      <c r="DO7" s="143">
        <f t="shared" si="37"/>
        <v>-33998000</v>
      </c>
      <c r="DP7" s="143">
        <v>0</v>
      </c>
      <c r="DQ7" s="143">
        <f>IFERROR(INDEX('[1]Sales per type juli'!$D$10:$BA$51,MATCH($C7,'[1]Sales per type juli'!$B$10:$B$51,0),MATCH("X300 Pro Demo",'[1]Sales per type juli'!$D$8:$BA$8,0)),0)</f>
        <v>0</v>
      </c>
      <c r="DR7" s="143">
        <f t="shared" si="38"/>
        <v>0</v>
      </c>
      <c r="DS7" s="143">
        <v>0</v>
      </c>
      <c r="DT7" s="143" cm="1">
        <f t="array" ref="DT7">IFERROR(INDEX('[1]Sales per type juli'!$D$10:$BA$51,MATCH($C7,'[1]Sales per type juli'!$B$10:$B$51,0),MATCH("X300 Pro Demo",'[1]Sales per type juli'!$D$8:$BA$8,0)+1),0)</f>
        <v>0</v>
      </c>
      <c r="DU7" s="143">
        <f t="shared" si="39"/>
        <v>0</v>
      </c>
      <c r="DV7" s="143">
        <v>0</v>
      </c>
      <c r="DW7" s="143">
        <f>IFERROR(INDEX('[1]Sales per type juli'!$D$10:$BA$51,MATCH($C7,'[1]Sales per type juli'!$B$10:$B$51,0),MATCH("X Fold5 DEMO",'[1]Sales per type juli'!$D$8:$BA$8,0)),0)</f>
        <v>0</v>
      </c>
      <c r="DX7" s="143">
        <f t="shared" si="40"/>
        <v>0</v>
      </c>
      <c r="DY7" s="143">
        <v>0</v>
      </c>
      <c r="DZ7" s="143" cm="1">
        <f t="array" ref="DZ7">IFERROR(INDEX('[1]Sales per type juli'!$D$10:$BA$51,MATCH($C7,'[1]Sales per type juli'!$B$10:$B$51,0),MATCH("X Fold5 DEMO",'[1]Sales per type juli'!$D$8:$BA$8,0)+1),0)</f>
        <v>0</v>
      </c>
      <c r="EA7" s="143">
        <f t="shared" si="41"/>
        <v>0</v>
      </c>
      <c r="EB7" s="143">
        <v>0</v>
      </c>
      <c r="EC7" s="143">
        <f>IFERROR(INDEX('[1]Sales per type juli'!$D$10:$BA$51,MATCH($C7,'[1]Sales per type juli'!$B$10:$B$51,0),MATCH("X Fold5",'[1]Sales per type juli'!$D$8:$BA$8,0)),0)</f>
        <v>0</v>
      </c>
      <c r="ED7" s="143">
        <f t="shared" si="42"/>
        <v>0</v>
      </c>
      <c r="EE7" s="143">
        <v>0</v>
      </c>
      <c r="EF7" s="143" cm="1">
        <f t="array" ref="EF7">IFERROR(INDEX('[1]Sales per type juli'!$D$10:$BA$51,MATCH($C7,'[1]Sales per type juli'!$B$10:$B$51,0),MATCH("X Fold5",'[1]Sales per type juli'!$D$8:$BA$8,0)+1),0)</f>
        <v>0</v>
      </c>
      <c r="EG7" s="143">
        <f t="shared" si="43"/>
        <v>0</v>
      </c>
      <c r="EH7" s="143">
        <v>0</v>
      </c>
      <c r="EI7" s="143">
        <f>IFERROR(INDEX('[1]Sales per type juli'!$D$10:$BA$51,MATCH($C7,'[1]Sales per type juli'!$B$10:$B$51,0),MATCH("IQOO 15 Demo",'[1]Sales per type juli'!$D$8:$BA$8,0)),0)</f>
        <v>1</v>
      </c>
      <c r="EJ7" s="143">
        <f t="shared" si="44"/>
        <v>-1</v>
      </c>
      <c r="EK7" s="143">
        <v>0</v>
      </c>
      <c r="EL7" s="143" cm="1">
        <f t="array" ref="EL7">IFERROR(INDEX('[1]Sales per type juli'!$D$10:$BA$51,MATCH($C7,'[1]Sales per type juli'!$B$10:$B$51,0),MATCH("IQOO 15 Demo",'[1]Sales per type juli'!$D$8:$BA$8,0)+1),0)</f>
        <v>13999000</v>
      </c>
      <c r="EM7" s="143">
        <f t="shared" si="45"/>
        <v>-13999000</v>
      </c>
      <c r="EN7" s="143">
        <v>0</v>
      </c>
      <c r="EO7" s="143">
        <f>IFERROR(INDEX('[1]Sales per type juli'!$D$10:$BA$51,MATCH($C7,'[1]Sales per type juli'!$B$10:$B$51,0),MATCH("X300 PRO",'[1]Sales per type juli'!$D$8:$BA$8,0)),0)</f>
        <v>0</v>
      </c>
      <c r="EP7" s="143">
        <f t="shared" si="46"/>
        <v>0</v>
      </c>
      <c r="EQ7" s="143">
        <v>0</v>
      </c>
      <c r="ER7" s="143" cm="1">
        <f t="array" ref="ER7">IFERROR(INDEX('[1]Sales per type juli'!$D$10:$BA$51,MATCH($C7,'[1]Sales per type juli'!$B$10:$B$51,0),MATCH("X300 PRO",'[1]Sales per type juli'!$D$8:$BA$8,0)+1),0)</f>
        <v>0</v>
      </c>
      <c r="ES7" s="143">
        <f t="shared" si="47"/>
        <v>0</v>
      </c>
      <c r="ET7" s="143">
        <v>0</v>
      </c>
      <c r="EU7" s="143">
        <f>IFERROR(INDEX('[1]Sales per type juli'!$D$10:$BA$51,MATCH($C7,'[1]Sales per type juli'!$B$10:$B$51,0),MATCH("X300 ",'[1]Sales per type juli'!$D$8:$BA$8,0)),0)</f>
        <v>0</v>
      </c>
      <c r="EV7" s="143">
        <f t="shared" si="48"/>
        <v>0</v>
      </c>
      <c r="EW7" s="143">
        <v>0</v>
      </c>
      <c r="EX7" s="143" cm="1">
        <f t="array" ref="EX7">IFERROR(INDEX('[1]Sales per type juli'!$D$10:$BA$51,MATCH($C7,'[1]Sales per type juli'!$B$10:$B$51,0),MATCH("X300 ",'[1]Sales per type juli'!$D$8:$BA$8,0)+1),0)</f>
        <v>0</v>
      </c>
      <c r="EY7" s="143">
        <f t="shared" si="49"/>
        <v>0</v>
      </c>
      <c r="EZ7" s="143">
        <f t="shared" si="50"/>
        <v>221</v>
      </c>
      <c r="FA7" s="143">
        <f t="shared" si="50"/>
        <v>202</v>
      </c>
      <c r="FB7" s="143">
        <f t="shared" si="51"/>
        <v>19</v>
      </c>
      <c r="FC7" s="143">
        <f t="shared" si="52"/>
        <v>664379000</v>
      </c>
      <c r="FD7" s="143">
        <f t="shared" si="52"/>
        <v>737698000</v>
      </c>
      <c r="FE7" s="143">
        <f t="shared" si="53"/>
        <v>-73319000</v>
      </c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</row>
    <row r="8" spans="1:208" ht="16" x14ac:dyDescent="0.2">
      <c r="A8" s="144">
        <f>'[1]ACHIEVEMENT STORE'!A8</f>
        <v>4</v>
      </c>
      <c r="B8" s="145" t="str">
        <f>'[1]ACHIEVEMENT STORE'!B8</f>
        <v>601 雅加达西北 JKT BU</v>
      </c>
      <c r="C8" s="144">
        <f>'[1]ACHIEVEMENT STORE'!C8</f>
        <v>6010703</v>
      </c>
      <c r="D8" s="145" t="str">
        <f>'[1]ACHIEVEMENT STORE'!D8</f>
        <v>6010703-VIVO STORE WINSHOP</v>
      </c>
      <c r="E8" s="145" t="str">
        <f>'[1]ACHIEVEMENT STORE'!E8</f>
        <v>NUR IRAWATI</v>
      </c>
      <c r="F8" s="143">
        <f>IFERROR(INDEX('[1]SALES PERTYPE'!$D$10:$D$52,MATCH($C8,'[1]SALES PERTYPE'!$B$10:$B$52,0)),0)</f>
        <v>7</v>
      </c>
      <c r="G8" s="143">
        <f>IFERROR(INDEX('[1]Sales per type juli'!$D$10:$BA$51,MATCH($C8,'[1]Sales per type juli'!$B$10:$B$51,0),MATCH("Y05",'[1]Sales per type juli'!$D$8:$BA$8,0)),0)</f>
        <v>55</v>
      </c>
      <c r="H8" s="143">
        <f t="shared" si="0"/>
        <v>-48</v>
      </c>
      <c r="I8" s="143">
        <f>IFERROR(INDEX('[1]SALES PERTYPE'!$E$10:$E$52,MATCH($C8,'[1]SALES PERTYPE'!$B$10:$B$52,0)),0)</f>
        <v>16393000</v>
      </c>
      <c r="J8" s="143" cm="1">
        <f t="array" ref="J8">IFERROR(INDEX('[1]Sales per type juli'!$D$10:$BA$51,MATCH($C8,'[1]Sales per type juli'!$B$10:$B$51,0),MATCH("Y05",'[1]Sales per type juli'!$D$8:$BA$8,0)+1),0)</f>
        <v>116945000</v>
      </c>
      <c r="K8" s="143">
        <f t="shared" si="1"/>
        <v>-100552000</v>
      </c>
      <c r="L8" s="143">
        <f>IFERROR(INDEX('[1]SALES PERTYPE'!$F$10:$F$52,MATCH($C8,'[1]SALES PERTYPE'!$B$10:$B$52,0)),0)</f>
        <v>18</v>
      </c>
      <c r="M8" s="143">
        <f>IFERROR(INDEX('[1]Sales per type juli'!$D$10:$BA$51,MATCH($C8,'[1]Sales per type juli'!$B$10:$B$51,0),MATCH("Y11d",'[1]Sales per type juli'!$D$8:$BA$8,0)),0)</f>
        <v>13</v>
      </c>
      <c r="N8" s="143">
        <f t="shared" si="2"/>
        <v>5</v>
      </c>
      <c r="O8" s="143">
        <f>IFERROR(INDEX('[1]SALES PERTYPE'!$G$10:$G$52,MATCH($C8,'[1]SALES PERTYPE'!$B$10:$B$52,0)),0)</f>
        <v>46782000</v>
      </c>
      <c r="P8" s="143" cm="1">
        <f t="array" ref="P8">IFERROR(INDEX('[1]Sales per type juli'!$D$10:$BA$51,MATCH($C8,'[1]Sales per type juli'!$B$10:$B$51,0),MATCH("Y11d",'[1]Sales per type juli'!$D$8:$BA$8,0)+1),0)</f>
        <v>34387000</v>
      </c>
      <c r="Q8" s="143">
        <f t="shared" si="3"/>
        <v>12395000</v>
      </c>
      <c r="R8" s="143">
        <f>IFERROR(INDEX('[1]SALES PERTYPE'!$H$10:$H$52,MATCH($C8,'[1]SALES PERTYPE'!$B$10:$B$52,0)),0)</f>
        <v>0</v>
      </c>
      <c r="S8" s="143">
        <f>IFERROR(INDEX('[1]Sales per type juli'!$D$10:$BA$51,MATCH($C8,'[1]Sales per type juli'!$B$10:$B$51,0),MATCH("Watch GT 2",'[1]Sales per type juli'!$D$8:$BA$8,0)),0)</f>
        <v>0</v>
      </c>
      <c r="T8" s="143">
        <f t="shared" si="4"/>
        <v>0</v>
      </c>
      <c r="U8" s="143">
        <f>IFERROR(INDEX('[1]SALES PERTYPE'!$I$10:$I$52,MATCH($C8,'[1]SALES PERTYPE'!$B$10:$B$52,0)),0)</f>
        <v>0</v>
      </c>
      <c r="V8" s="143" cm="1">
        <f t="array" ref="V8">IFERROR(INDEX('[1]Sales per type juli'!$D$10:$BA$51,MATCH($C8,'[1]Sales per type juli'!$B$10:$B$51,0),MATCH("Watch GT 2",'[1]Sales per type juli'!$D$8:$BA$8,0)+1),0)</f>
        <v>0</v>
      </c>
      <c r="W8" s="143">
        <f t="shared" si="5"/>
        <v>0</v>
      </c>
      <c r="X8" s="143">
        <f>IFERROR(INDEX('[1]SALES PERTYPE'!$J$10:$J$52,MATCH($C8,'[1]SALES PERTYPE'!$B$10:$B$52,0)),0)</f>
        <v>74</v>
      </c>
      <c r="Y8" s="143">
        <f>IFERROR(INDEX('[1]Sales per type juli'!$D$10:$BA$51,MATCH($C8,'[1]Sales per type juli'!$B$10:$B$51,0),MATCH("Y05e",'[1]Sales per type juli'!$D$8:$BA$8,0)),0)</f>
        <v>0</v>
      </c>
      <c r="Z8" s="143">
        <f t="shared" si="6"/>
        <v>74</v>
      </c>
      <c r="AA8" s="143">
        <f>IFERROR(INDEX('[1]SALES PERTYPE'!$K$10:$K$52,MATCH($C8,'[1]SALES PERTYPE'!$B$10:$B$52,0)),0)</f>
        <v>155326000</v>
      </c>
      <c r="AB8" s="143" cm="1">
        <f t="array" ref="AB8">IFERROR(INDEX('[1]Sales per type juli'!$D$10:$BA$51,MATCH($C8,'[1]Sales per type juli'!$B$10:$B$51,0),MATCH("Y05e",'[1]Sales per type juli'!$D$8:$BA$8,0)+1),0)</f>
        <v>0</v>
      </c>
      <c r="AC8" s="143">
        <f t="shared" si="7"/>
        <v>155326000</v>
      </c>
      <c r="AD8" s="143">
        <f>IFERROR(INDEX('[1]SALES PERTYPE'!$L$10:$L$52,MATCH($C8,'[1]SALES PERTYPE'!$B$10:$B$52,0)),0)</f>
        <v>0</v>
      </c>
      <c r="AE8" s="143">
        <f>IFERROR(INDEX('[1]Sales per type juli'!$D$10:$BA$51,MATCH($C8,'[1]Sales per type juli'!$B$10:$B$51,0),MATCH("V70",'[1]Sales per type juli'!$D$8:$BA$8,0)),0)</f>
        <v>0</v>
      </c>
      <c r="AF8" s="143">
        <f t="shared" si="8"/>
        <v>0</v>
      </c>
      <c r="AG8" s="143">
        <f>IFERROR(INDEX('[1]SALES PERTYPE'!$M$10:$M$52,MATCH($C8,'[1]SALES PERTYPE'!$B$10:$B$52,0)),0)</f>
        <v>0</v>
      </c>
      <c r="AH8" s="143" cm="1">
        <f t="array" ref="AH8">IFERROR(INDEX('[1]Sales per type juli'!$D$10:$BA$51,MATCH($C8,'[1]Sales per type juli'!$B$10:$B$51,0),MATCH("V70",'[1]Sales per type juli'!$D$8:$BA$8,0)+1),0)</f>
        <v>0</v>
      </c>
      <c r="AI8" s="143">
        <f t="shared" si="9"/>
        <v>0</v>
      </c>
      <c r="AJ8" s="143">
        <f>IFERROR(INDEX('[1]SALES PERTYPE'!$N$10:$N$52,MATCH($C8,'[1]SALES PERTYPE'!$B$10:$B$52,0)),0)</f>
        <v>9</v>
      </c>
      <c r="AK8" s="143">
        <f>IFERROR(INDEX('[1]Sales per type juli'!$D$10:$BA$51,MATCH($C8,'[1]Sales per type juli'!$B$10:$B$51,0),MATCH("Y31d Pro",'[1]Sales per type juli'!$D$8:$BA$8,0)),0)</f>
        <v>5</v>
      </c>
      <c r="AL8" s="143">
        <f t="shared" si="10"/>
        <v>4</v>
      </c>
      <c r="AM8" s="143">
        <f>IFERROR(INDEX('[1]SALES PERTYPE'!$O$10:$O$52,MATCH($C8,'[1]SALES PERTYPE'!$B$10:$B$52,0)),0)</f>
        <v>37291000</v>
      </c>
      <c r="AN8" s="143" cm="1">
        <f t="array" ref="AN8">IFERROR(INDEX('[1]Sales per type juli'!$D$10:$BA$51,MATCH($C8,'[1]Sales per type juli'!$B$10:$B$51,0),MATCH("Y31d Pro",'[1]Sales per type juli'!$D$8:$BA$8,0)+1),0)</f>
        <v>21695000</v>
      </c>
      <c r="AO8" s="143">
        <f t="shared" si="11"/>
        <v>15596000</v>
      </c>
      <c r="AP8" s="143">
        <f>IFERROR(INDEX('[1]SALES PERTYPE'!$P$10:$P$52,MATCH($C8,'[1]SALES PERTYPE'!$B$10:$B$52,0)),0)</f>
        <v>0</v>
      </c>
      <c r="AQ8" s="143" cm="1">
        <f t="array" ref="AQ8">IFERROR(INDEX('[1]Sales per type juli'!$D$10:$BA$51,MATCH($C8,'[1]Sales per type juli'!$B$10:$B$51,0),$FG$2),0)</f>
        <v>0</v>
      </c>
      <c r="AR8" s="143">
        <f t="shared" si="12"/>
        <v>0</v>
      </c>
      <c r="AS8" s="143">
        <f>IFERROR(INDEX('[1]SALES PERTYPE'!$Q$10:$Q$52,MATCH($C8,'[1]SALES PERTYPE'!$B$10:$B$52,0)),0)</f>
        <v>0</v>
      </c>
      <c r="AT8" s="143" cm="1">
        <f t="array" ref="AT8">IFERROR(INDEX('[1]Sales per type juli'!$D$10:$BA$51,MATCH($C8,'[1]Sales per type juli'!$B$10:$B$51,0),$FG$2+1),0)</f>
        <v>0</v>
      </c>
      <c r="AU8" s="143">
        <f t="shared" si="13"/>
        <v>0</v>
      </c>
      <c r="AV8" s="143">
        <f>IFERROR(INDEX('[1]SALES PERTYPE'!$R$10:$R$52,MATCH($C8,'[1]SALES PERTYPE'!$B$10:$B$52,0)),0)</f>
        <v>1</v>
      </c>
      <c r="AW8" s="143">
        <f>IFERROR(INDEX('[1]Sales per type juli'!$D$10:$BA$51,MATCH($C8,'[1]Sales per type juli'!$B$10:$B$51,0),MATCH("Y31d ",'[1]Sales per type juli'!$D$8:$BA$8,0)),0)</f>
        <v>0</v>
      </c>
      <c r="AX8" s="143">
        <f t="shared" si="14"/>
        <v>1</v>
      </c>
      <c r="AY8" s="143">
        <f>IFERROR(INDEX('[1]SALES PERTYPE'!$S$10:$S$52,MATCH($C8,'[1]SALES PERTYPE'!$B$10:$B$52,0)),0)</f>
        <v>3599000</v>
      </c>
      <c r="AZ8" s="143" cm="1">
        <f t="array" ref="AZ8">IFERROR(INDEX('[1]Sales per type juli'!$D$10:$BA$51,MATCH($C8,'[1]Sales per type juli'!$B$10:$B$51,0),MATCH("Y31d ",'[1]Sales per type juli'!$D$8:$BA$8,0)+1),0)</f>
        <v>0</v>
      </c>
      <c r="BA8" s="143">
        <f t="shared" si="15"/>
        <v>3599000</v>
      </c>
      <c r="BB8" s="143">
        <f>IFERROR(INDEX('[1]SALES PERTYPE'!$T$10:$T$52,MATCH($C8,'[1]SALES PERTYPE'!$B$10:$B$52,0)),0)</f>
        <v>1</v>
      </c>
      <c r="BC8" s="143">
        <f>IFERROR(INDEX('[1]Sales per type juli'!$D$10:$BA$51,MATCH($C8,'[1]Sales per type juli'!$B$10:$B$51,0),MATCH("V70 FE",'[1]Sales per type juli'!$D$8:$BA$8,0)),0)</f>
        <v>2</v>
      </c>
      <c r="BD8" s="143">
        <f t="shared" si="16"/>
        <v>-1</v>
      </c>
      <c r="BE8" s="143">
        <f>IFERROR(INDEX('[1]SALES PERTYPE'!$U$10:$U$52,MATCH($C8,'[1]SALES PERTYPE'!$B$10:$B$52,0)),0)</f>
        <v>7999000</v>
      </c>
      <c r="BF8" s="143" cm="1">
        <f t="array" ref="BF8">IFERROR(INDEX('[1]Sales per type juli'!$D$10:$BA$51,MATCH($C8,'[1]Sales per type juli'!$B$10:$B$51,0),MATCH("V70 FE",'[1]Sales per type juli'!$D$8:$BA$8,0)+1),0)</f>
        <v>14398000</v>
      </c>
      <c r="BG8" s="143">
        <f t="shared" si="17"/>
        <v>-6399000</v>
      </c>
      <c r="BH8" s="143">
        <f>IFERROR(INDEX('[1]SALES PERTYPE'!$V$10:$V$52,MATCH($C8,'[1]SALES PERTYPE'!$B$10:$B$52,0)),0)</f>
        <v>1</v>
      </c>
      <c r="BI8" s="143">
        <f>IFERROR(INDEX('[1]Sales per type juli'!$D$10:$BA$51,MATCH($C8,'[1]Sales per type juli'!$B$10:$B$51,0),MATCH("Y31d",'[1]Sales per type juli'!$D$8:$BA$8,0)),0)</f>
        <v>9</v>
      </c>
      <c r="BJ8" s="143">
        <f t="shared" si="18"/>
        <v>-8</v>
      </c>
      <c r="BK8" s="143">
        <f>IFERROR(INDEX('[1]SALES PERTYPE'!$W$10:$W$52,MATCH($C8,'[1]SALES PERTYPE'!$B$10:$B$52,0)),0)</f>
        <v>3599000</v>
      </c>
      <c r="BL8" s="143" cm="1">
        <f t="array" ref="BL8">IFERROR(INDEX('[1]Sales per type juli'!$D$10:$BA$51,MATCH($C8,'[1]Sales per type juli'!$B$10:$B$51,0),MATCH("Y31d",'[1]Sales per type juli'!$D$8:$BA$8,0)+1),0)</f>
        <v>32391000</v>
      </c>
      <c r="BM8" s="143">
        <f t="shared" si="19"/>
        <v>-28792000</v>
      </c>
      <c r="BN8" s="143">
        <f>IFERROR(INDEX('[1]SALES PERTYPE'!$X$10:$X$52,MATCH($C8,'[1]SALES PERTYPE'!$B$10:$B$52,0)),0)</f>
        <v>2</v>
      </c>
      <c r="BO8" s="143">
        <f>IFERROR(INDEX('[1]Sales per type juli'!$D$10:$BA$51,MATCH($C8,'[1]Sales per type juli'!$B$10:$B$51,0),MATCH("Y500",'[1]Sales per type juli'!$D$8:$BA$8,0)),0)</f>
        <v>0</v>
      </c>
      <c r="BP8" s="143">
        <f t="shared" si="20"/>
        <v>2</v>
      </c>
      <c r="BQ8" s="143">
        <f>IFERROR(INDEX('[1]SALES PERTYPE'!$Y$10:$Y$52,MATCH($C8,'[1]SALES PERTYPE'!$B$10:$B$52,0)),0)</f>
        <v>11798000</v>
      </c>
      <c r="BR8" s="143" cm="1">
        <f t="array" ref="BR8">IFERROR(INDEX('[1]Sales per type juli'!$D$10:$BA$51,MATCH($C8,'[1]Sales per type juli'!$B$10:$B$51,0),MATCH("Y500",'[1]Sales per type juli'!$D$8:$BA$8,0)+1),0)</f>
        <v>0</v>
      </c>
      <c r="BS8" s="143">
        <f t="shared" si="21"/>
        <v>11798000</v>
      </c>
      <c r="BT8" s="143">
        <f>IFERROR(INDEX('[1]SALES PERTYPE'!$Z$10:$Z$52,MATCH($C8,'[1]SALES PERTYPE'!$B$10:$B$52,0)),0)</f>
        <v>0</v>
      </c>
      <c r="BU8" s="143">
        <f>IFERROR(INDEX('[1]Sales per type juli'!$D$10:$BA$51,MATCH($C8,'[1]Sales per type juli'!$B$10:$B$51,0),MATCH("IQOO 15R",'[1]Sales per type juli'!$D$8:$BA$8,0)),0)</f>
        <v>1</v>
      </c>
      <c r="BV8" s="143">
        <f t="shared" si="22"/>
        <v>-1</v>
      </c>
      <c r="BW8" s="143">
        <f>IFERROR(INDEX('[1]SALES PERTYPE'!$AA$10:$AA$52,MATCH($C8,'[1]SALES PERTYPE'!$B$10:$B$52,0)),0)</f>
        <v>0</v>
      </c>
      <c r="BX8" s="143" cm="1">
        <f t="array" ref="BX8">IFERROR(INDEX('[1]Sales per type juli'!$D$10:$BA$51,MATCH($C8,'[1]Sales per type juli'!$B$10:$B$51,0),MATCH("IQOO 15R",'[1]Sales per type juli'!$D$8:$BA$8,0)+1),0)</f>
        <v>11399000</v>
      </c>
      <c r="BY8" s="143">
        <f t="shared" si="23"/>
        <v>-11399000</v>
      </c>
      <c r="BZ8" s="143">
        <f>IFERROR(INDEX('[1]SALES PERTYPE'!$AB$10:$AB$52,MATCH($C8,'[1]SALES PERTYPE'!$B$10:$B$52,0)),0)</f>
        <v>0</v>
      </c>
      <c r="CA8" s="143">
        <f>IFERROR(INDEX('[1]Sales per type juli'!$D$10:$BA$51,MATCH($C8,'[1]Sales per type juli'!$B$10:$B$51,0),MATCH("V60 Lite",'[1]Sales per type juli'!$D$8:$BA$8,0)),0)</f>
        <v>0</v>
      </c>
      <c r="CB8" s="143">
        <f t="shared" si="24"/>
        <v>0</v>
      </c>
      <c r="CC8" s="143">
        <f>IFERROR(INDEX('[1]SALES PERTYPE'!$AC$10:$AC$52,MATCH($C8,'[1]SALES PERTYPE'!$B$10:$B$52,0)),0)</f>
        <v>0</v>
      </c>
      <c r="CD8" s="143" cm="1">
        <f t="array" ref="CD8">IFERROR(INDEX('[1]Sales per type juli'!$D$10:$BA$51,MATCH($C8,'[1]Sales per type juli'!$B$10:$B$51,0),MATCH("V60 Lite",'[1]Sales per type juli'!$D$8:$BA$8,0)+1),0)</f>
        <v>0</v>
      </c>
      <c r="CE8" s="143">
        <f t="shared" si="25"/>
        <v>0</v>
      </c>
      <c r="CF8" s="143">
        <f>IFERROR(INDEX('[1]SALES PERTYPE'!$AD$10:$AD$52,MATCH($C8,'[1]SALES PERTYPE'!$B$10:$B$52,0)),0)</f>
        <v>0</v>
      </c>
      <c r="CG8" s="143">
        <f>IFERROR(INDEX('[1]Sales per type juli'!$D$10:$BA$51,MATCH($C8,'[1]Sales per type juli'!$B$10:$B$51,0),MATCH("X300 Ultra",'[1]Sales per type juli'!$D$8:$BA$8,0)),0)</f>
        <v>0</v>
      </c>
      <c r="CH8" s="143">
        <f t="shared" si="26"/>
        <v>0</v>
      </c>
      <c r="CI8" s="143">
        <f>IFERROR(INDEX('[1]SALES PERTYPE'!$AE$10:$AE$52,MATCH($C8,'[1]SALES PERTYPE'!$B$10:$B$52,0)),0)</f>
        <v>0</v>
      </c>
      <c r="CJ8" s="143" cm="1">
        <f t="array" ref="CJ8">IFERROR(INDEX('[1]Sales per type juli'!$D$10:$BA$51,MATCH($C8,'[1]Sales per type juli'!$B$10:$B$51,0),MATCH("X300 Ultra",'[1]Sales per type juli'!$D$8:$BA$8,0)+1),0)</f>
        <v>0</v>
      </c>
      <c r="CK8" s="143">
        <f t="shared" si="27"/>
        <v>0</v>
      </c>
      <c r="CL8" s="143">
        <f>IFERROR(INDEX('[1]SALES PERTYPE'!$AF$10:$AF$52,MATCH($C8,'[1]SALES PERTYPE'!$B$10:$B$52,0)),0)</f>
        <v>0</v>
      </c>
      <c r="CM8" s="143">
        <f>IFERROR(INDEX('[1]Sales per type juli'!$D$10:$BA$51,MATCH($C8,'[1]Sales per type juli'!$B$10:$B$51,0),MATCH("IQOO 15",'[1]Sales per type juli'!$D$8:$BA$8,0)),0)</f>
        <v>0</v>
      </c>
      <c r="CN8" s="143">
        <f t="shared" si="28"/>
        <v>0</v>
      </c>
      <c r="CO8" s="143">
        <f>IFERROR(INDEX('[1]SALES PERTYPE'!$AG$10:$AG$52,MATCH($C8,'[1]SALES PERTYPE'!$B$10:$B$52,0)),0)</f>
        <v>0</v>
      </c>
      <c r="CP8" s="143" cm="1">
        <f t="array" ref="CP8">IFERROR(INDEX('[1]Sales per type juli'!$D$10:$BA$51,MATCH($C8,'[1]Sales per type juli'!$B$10:$B$51,0),MATCH("IQOO 15",'[1]Sales per type juli'!$D$8:$BA$8,0)+1),0)</f>
        <v>0</v>
      </c>
      <c r="CQ8" s="143">
        <f t="shared" si="29"/>
        <v>0</v>
      </c>
      <c r="CR8" s="143">
        <f>IFERROR(INDEX('[1]SALES PERTYPE'!$AH$10:$AH$52,MATCH($C8,'[1]SALES PERTYPE'!$B$10:$B$52,0)),0)</f>
        <v>1</v>
      </c>
      <c r="CS8" s="143">
        <f>IFERROR(INDEX('[1]Sales per type juli'!$D$10:$BA$51,MATCH($C8,'[1]Sales per type juli'!$B$10:$B$51,0),MATCH("IQOO Z11x",'[1]Sales per type juli'!$D$8:$BA$8,0)),0)</f>
        <v>0</v>
      </c>
      <c r="CT8" s="143">
        <f t="shared" si="30"/>
        <v>1</v>
      </c>
      <c r="CU8" s="143">
        <f>IFERROR(INDEX('[1]SALES PERTYPE'!$AI$10:$AI$52,MATCH($C8,'[1]SALES PERTYPE'!$B$10:$B$52,0)),0)</f>
        <v>5699000</v>
      </c>
      <c r="CV8" s="143" cm="1">
        <f t="array" ref="CV8">IFERROR(INDEX('[1]Sales per type juli'!$D$10:$BA$51,MATCH($C8,'[1]Sales per type juli'!$B$10:$B$51,0),MATCH("IQOO Z11x",'[1]Sales per type juli'!$D$8:$BA$8,0)+1),0)</f>
        <v>0</v>
      </c>
      <c r="CW8" s="143">
        <f t="shared" si="31"/>
        <v>5699000</v>
      </c>
      <c r="CX8" s="143">
        <f>IFERROR(INDEX('[1]SALES PERTYPE'!$AJ$10:$AJ$52,MATCH($C8,'[1]SALES PERTYPE'!$B$10:$B$52,0)),0)</f>
        <v>1</v>
      </c>
      <c r="CY8" s="143">
        <f>IFERROR(INDEX('[1]Sales per type juli'!$D$10:$BA$51,MATCH($C8,'[1]Sales per type juli'!$B$10:$B$51,0),MATCH("IQOO Z11",'[1]Sales per type juli'!$D$8:$BA$8,0)),0)</f>
        <v>5</v>
      </c>
      <c r="CZ8" s="143">
        <f t="shared" si="32"/>
        <v>-4</v>
      </c>
      <c r="DA8" s="143">
        <f>IFERROR(INDEX('[1]SALES PERTYPE'!$AK$10:$AK$52,MATCH($C8,'[1]SALES PERTYPE'!$B$10:$B$52,0)),0)</f>
        <v>6899000</v>
      </c>
      <c r="DB8" s="143" cm="1">
        <f t="array" ref="DB8">IFERROR(INDEX('[1]Sales per type juli'!$D$10:$BA$51,MATCH($C8,'[1]Sales per type juli'!$B$10:$B$51,0),MATCH("IQOO Z11",'[1]Sales per type juli'!$D$8:$BA$8,0)+1),0)</f>
        <v>29495000</v>
      </c>
      <c r="DC8" s="143">
        <f t="shared" si="33"/>
        <v>-22596000</v>
      </c>
      <c r="DD8" s="143">
        <v>0</v>
      </c>
      <c r="DE8" s="143">
        <f>IFERROR(INDEX('[1]Sales per type juli'!$D$10:$BA$51,MATCH($C8,'[1]Sales per type juli'!$B$10:$B$51,0),MATCH("WATCH 3",'[1]Sales per type juli'!$D$8:$BA$8,0)),0)</f>
        <v>0</v>
      </c>
      <c r="DF8" s="143">
        <f t="shared" si="34"/>
        <v>0</v>
      </c>
      <c r="DG8" s="143">
        <v>0</v>
      </c>
      <c r="DH8" s="143" cm="1">
        <f t="array" ref="DH8">IFERROR(INDEX('[1]Sales per type juli'!$D$10:$BA$51,MATCH($C8,'[1]Sales per type juli'!$B$10:$B$51,0),MATCH("WATCH 3",'[1]Sales per type juli'!$D$8:$BA$8,0)+1),0)</f>
        <v>0</v>
      </c>
      <c r="DI8" s="143">
        <f t="shared" si="35"/>
        <v>0</v>
      </c>
      <c r="DJ8" s="143">
        <v>0</v>
      </c>
      <c r="DK8" s="143">
        <f>IFERROR(INDEX('[1]Sales per type juli'!$D$10:$BA$51,MATCH($C8,'[1]Sales per type juli'!$B$10:$B$51,0),MATCH("X300 Demo",'[1]Sales per type juli'!$D$8:$BA$8,0)),0)</f>
        <v>0</v>
      </c>
      <c r="DL8" s="143">
        <f t="shared" si="36"/>
        <v>0</v>
      </c>
      <c r="DM8" s="143">
        <v>0</v>
      </c>
      <c r="DN8" s="143" cm="1">
        <f t="array" ref="DN8">IFERROR(INDEX('[1]Sales per type juli'!$D$10:$BA$51,MATCH($C8,'[1]Sales per type juli'!$B$10:$B$51,0),MATCH("X300 Demo",'[1]Sales per type juli'!$D$8:$BA$8,0)+1),0)</f>
        <v>0</v>
      </c>
      <c r="DO8" s="143">
        <f t="shared" si="37"/>
        <v>0</v>
      </c>
      <c r="DP8" s="143">
        <v>0</v>
      </c>
      <c r="DQ8" s="143">
        <f>IFERROR(INDEX('[1]Sales per type juli'!$D$10:$BA$51,MATCH($C8,'[1]Sales per type juli'!$B$10:$B$51,0),MATCH("X300 Pro Demo",'[1]Sales per type juli'!$D$8:$BA$8,0)),0)</f>
        <v>0</v>
      </c>
      <c r="DR8" s="143">
        <f t="shared" si="38"/>
        <v>0</v>
      </c>
      <c r="DS8" s="143">
        <v>0</v>
      </c>
      <c r="DT8" s="143" cm="1">
        <f t="array" ref="DT8">IFERROR(INDEX('[1]Sales per type juli'!$D$10:$BA$51,MATCH($C8,'[1]Sales per type juli'!$B$10:$B$51,0),MATCH("X300 Pro Demo",'[1]Sales per type juli'!$D$8:$BA$8,0)+1),0)</f>
        <v>0</v>
      </c>
      <c r="DU8" s="143">
        <f t="shared" si="39"/>
        <v>0</v>
      </c>
      <c r="DV8" s="143">
        <v>0</v>
      </c>
      <c r="DW8" s="143">
        <f>IFERROR(INDEX('[1]Sales per type juli'!$D$10:$BA$51,MATCH($C8,'[1]Sales per type juli'!$B$10:$B$51,0),MATCH("X Fold5 DEMO",'[1]Sales per type juli'!$D$8:$BA$8,0)),0)</f>
        <v>0</v>
      </c>
      <c r="DX8" s="143">
        <f t="shared" si="40"/>
        <v>0</v>
      </c>
      <c r="DY8" s="143">
        <v>0</v>
      </c>
      <c r="DZ8" s="143" cm="1">
        <f t="array" ref="DZ8">IFERROR(INDEX('[1]Sales per type juli'!$D$10:$BA$51,MATCH($C8,'[1]Sales per type juli'!$B$10:$B$51,0),MATCH("X Fold5 DEMO",'[1]Sales per type juli'!$D$8:$BA$8,0)+1),0)</f>
        <v>0</v>
      </c>
      <c r="EA8" s="143">
        <f t="shared" si="41"/>
        <v>0</v>
      </c>
      <c r="EB8" s="143">
        <v>0</v>
      </c>
      <c r="EC8" s="143">
        <f>IFERROR(INDEX('[1]Sales per type juli'!$D$10:$BA$51,MATCH($C8,'[1]Sales per type juli'!$B$10:$B$51,0),MATCH("X Fold5",'[1]Sales per type juli'!$D$8:$BA$8,0)),0)</f>
        <v>0</v>
      </c>
      <c r="ED8" s="143">
        <f t="shared" si="42"/>
        <v>0</v>
      </c>
      <c r="EE8" s="143">
        <v>0</v>
      </c>
      <c r="EF8" s="143" cm="1">
        <f t="array" ref="EF8">IFERROR(INDEX('[1]Sales per type juli'!$D$10:$BA$51,MATCH($C8,'[1]Sales per type juli'!$B$10:$B$51,0),MATCH("X Fold5",'[1]Sales per type juli'!$D$8:$BA$8,0)+1),0)</f>
        <v>0</v>
      </c>
      <c r="EG8" s="143">
        <f t="shared" si="43"/>
        <v>0</v>
      </c>
      <c r="EH8" s="143">
        <v>0</v>
      </c>
      <c r="EI8" s="143">
        <f>IFERROR(INDEX('[1]Sales per type juli'!$D$10:$BA$51,MATCH($C8,'[1]Sales per type juli'!$B$10:$B$51,0),MATCH("IQOO 15 Demo",'[1]Sales per type juli'!$D$8:$BA$8,0)),0)</f>
        <v>0</v>
      </c>
      <c r="EJ8" s="143">
        <f t="shared" si="44"/>
        <v>0</v>
      </c>
      <c r="EK8" s="143">
        <v>0</v>
      </c>
      <c r="EL8" s="143" cm="1">
        <f t="array" ref="EL8">IFERROR(INDEX('[1]Sales per type juli'!$D$10:$BA$51,MATCH($C8,'[1]Sales per type juli'!$B$10:$B$51,0),MATCH("IQOO 15 Demo",'[1]Sales per type juli'!$D$8:$BA$8,0)+1),0)</f>
        <v>0</v>
      </c>
      <c r="EM8" s="143">
        <f t="shared" si="45"/>
        <v>0</v>
      </c>
      <c r="EN8" s="143">
        <v>0</v>
      </c>
      <c r="EO8" s="143">
        <f>IFERROR(INDEX('[1]Sales per type juli'!$D$10:$BA$51,MATCH($C8,'[1]Sales per type juli'!$B$10:$B$51,0),MATCH("X300 PRO",'[1]Sales per type juli'!$D$8:$BA$8,0)),0)</f>
        <v>0</v>
      </c>
      <c r="EP8" s="143">
        <f t="shared" si="46"/>
        <v>0</v>
      </c>
      <c r="EQ8" s="143">
        <v>0</v>
      </c>
      <c r="ER8" s="143" cm="1">
        <f t="array" ref="ER8">IFERROR(INDEX('[1]Sales per type juli'!$D$10:$BA$51,MATCH($C8,'[1]Sales per type juli'!$B$10:$B$51,0),MATCH("X300 PRO",'[1]Sales per type juli'!$D$8:$BA$8,0)+1),0)</f>
        <v>0</v>
      </c>
      <c r="ES8" s="143">
        <f t="shared" si="47"/>
        <v>0</v>
      </c>
      <c r="ET8" s="143">
        <v>0</v>
      </c>
      <c r="EU8" s="143">
        <f>IFERROR(INDEX('[1]Sales per type juli'!$D$10:$BA$51,MATCH($C8,'[1]Sales per type juli'!$B$10:$B$51,0),MATCH("X300 ",'[1]Sales per type juli'!$D$8:$BA$8,0)),0)</f>
        <v>0</v>
      </c>
      <c r="EV8" s="143">
        <f t="shared" si="48"/>
        <v>0</v>
      </c>
      <c r="EW8" s="143">
        <v>0</v>
      </c>
      <c r="EX8" s="143" cm="1">
        <f t="array" ref="EX8">IFERROR(INDEX('[1]Sales per type juli'!$D$10:$BA$51,MATCH($C8,'[1]Sales per type juli'!$B$10:$B$51,0),MATCH("X300 ",'[1]Sales per type juli'!$D$8:$BA$8,0)+1),0)</f>
        <v>0</v>
      </c>
      <c r="EY8" s="143">
        <f t="shared" si="49"/>
        <v>0</v>
      </c>
      <c r="EZ8" s="143">
        <f t="shared" si="50"/>
        <v>115</v>
      </c>
      <c r="FA8" s="143">
        <f t="shared" si="50"/>
        <v>90</v>
      </c>
      <c r="FB8" s="143">
        <f t="shared" si="51"/>
        <v>25</v>
      </c>
      <c r="FC8" s="143">
        <f t="shared" si="52"/>
        <v>295385000</v>
      </c>
      <c r="FD8" s="143">
        <f t="shared" si="52"/>
        <v>260710000</v>
      </c>
      <c r="FE8" s="143">
        <f t="shared" si="53"/>
        <v>34675000</v>
      </c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</row>
    <row r="9" spans="1:208" ht="16" x14ac:dyDescent="0.2">
      <c r="A9" s="141">
        <f>'[1]ACHIEVEMENT STORE'!A9</f>
        <v>5</v>
      </c>
      <c r="B9" s="142" t="str">
        <f>'[1]ACHIEVEMENT STORE'!B9</f>
        <v>601 雅加达西北 JKT BU</v>
      </c>
      <c r="C9" s="141">
        <f>'[1]ACHIEVEMENT STORE'!C9</f>
        <v>6010709</v>
      </c>
      <c r="D9" s="142" t="str">
        <f>'[1]ACHIEVEMENT STORE'!D9</f>
        <v>A100303-PAMERAN UTARA</v>
      </c>
      <c r="E9" s="142" t="str">
        <f>'[1]ACHIEVEMENT STORE'!E9</f>
        <v>NUR IRAWATI</v>
      </c>
      <c r="F9" s="143">
        <f>IFERROR(INDEX('[1]SALES PERTYPE'!$D$10:$D$52,MATCH($C9,'[1]SALES PERTYPE'!$B$10:$B$52,0)),0)</f>
        <v>52</v>
      </c>
      <c r="G9" s="143">
        <f>IFERROR(INDEX('[1]Sales per type juli'!$D$10:$BA$51,MATCH($C9,'[1]Sales per type juli'!$B$10:$B$51,0),MATCH("Y05",'[1]Sales per type juli'!$D$8:$BA$8,0)),0)</f>
        <v>176</v>
      </c>
      <c r="H9" s="143">
        <f t="shared" si="0"/>
        <v>-124</v>
      </c>
      <c r="I9" s="143">
        <f>IFERROR(INDEX('[1]SALES PERTYPE'!$E$10:$E$52,MATCH($C9,'[1]SALES PERTYPE'!$B$10:$B$52,0)),0)</f>
        <v>124048000</v>
      </c>
      <c r="J9" s="143" cm="1">
        <f t="array" ref="J9">IFERROR(INDEX('[1]Sales per type juli'!$D$10:$BA$51,MATCH($C9,'[1]Sales per type juli'!$B$10:$B$51,0),MATCH("Y05",'[1]Sales per type juli'!$D$8:$BA$8,0)+1),0)</f>
        <v>382324000</v>
      </c>
      <c r="K9" s="143">
        <f t="shared" si="1"/>
        <v>-258276000</v>
      </c>
      <c r="L9" s="143">
        <f>IFERROR(INDEX('[1]SALES PERTYPE'!$F$10:$F$52,MATCH($C9,'[1]SALES PERTYPE'!$B$10:$B$52,0)),0)</f>
        <v>50</v>
      </c>
      <c r="M9" s="143">
        <f>IFERROR(INDEX('[1]Sales per type juli'!$D$10:$BA$51,MATCH($C9,'[1]Sales per type juli'!$B$10:$B$51,0),MATCH("Y11d",'[1]Sales per type juli'!$D$8:$BA$8,0)),0)</f>
        <v>36</v>
      </c>
      <c r="N9" s="143">
        <f t="shared" si="2"/>
        <v>14</v>
      </c>
      <c r="O9" s="143">
        <f>IFERROR(INDEX('[1]SALES PERTYPE'!$G$10:$G$52,MATCH($C9,'[1]SALES PERTYPE'!$B$10:$B$52,0)),0)</f>
        <v>130750000</v>
      </c>
      <c r="P9" s="143" cm="1">
        <f t="array" ref="P9">IFERROR(INDEX('[1]Sales per type juli'!$D$10:$BA$51,MATCH($C9,'[1]Sales per type juli'!$B$10:$B$51,0),MATCH("Y11d",'[1]Sales per type juli'!$D$8:$BA$8,0)+1),0)</f>
        <v>95564000</v>
      </c>
      <c r="Q9" s="143">
        <f t="shared" si="3"/>
        <v>35186000</v>
      </c>
      <c r="R9" s="143">
        <f>IFERROR(INDEX('[1]SALES PERTYPE'!$H$10:$H$52,MATCH($C9,'[1]SALES PERTYPE'!$B$10:$B$52,0)),0)</f>
        <v>1</v>
      </c>
      <c r="S9" s="143">
        <f>IFERROR(INDEX('[1]Sales per type juli'!$D$10:$BA$51,MATCH($C9,'[1]Sales per type juli'!$B$10:$B$51,0),MATCH("Watch GT 2",'[1]Sales per type juli'!$D$8:$BA$8,0)),0)</f>
        <v>0</v>
      </c>
      <c r="T9" s="143">
        <f t="shared" si="4"/>
        <v>1</v>
      </c>
      <c r="U9" s="143">
        <f>IFERROR(INDEX('[1]SALES PERTYPE'!$I$10:$I$52,MATCH($C9,'[1]SALES PERTYPE'!$B$10:$B$52,0)),0)</f>
        <v>1799000</v>
      </c>
      <c r="V9" s="143" cm="1">
        <f t="array" ref="V9">IFERROR(INDEX('[1]Sales per type juli'!$D$10:$BA$51,MATCH($C9,'[1]Sales per type juli'!$B$10:$B$51,0),MATCH("Watch GT 2",'[1]Sales per type juli'!$D$8:$BA$8,0)+1),0)</f>
        <v>0</v>
      </c>
      <c r="W9" s="143">
        <f t="shared" si="5"/>
        <v>1799000</v>
      </c>
      <c r="X9" s="143">
        <f>IFERROR(INDEX('[1]SALES PERTYPE'!$J$10:$J$52,MATCH($C9,'[1]SALES PERTYPE'!$B$10:$B$52,0)),0)</f>
        <v>110</v>
      </c>
      <c r="Y9" s="143">
        <f>IFERROR(INDEX('[1]Sales per type juli'!$D$10:$BA$51,MATCH($C9,'[1]Sales per type juli'!$B$10:$B$51,0),MATCH("Y05e",'[1]Sales per type juli'!$D$8:$BA$8,0)),0)</f>
        <v>0</v>
      </c>
      <c r="Z9" s="143">
        <f t="shared" si="6"/>
        <v>110</v>
      </c>
      <c r="AA9" s="143">
        <f>IFERROR(INDEX('[1]SALES PERTYPE'!$K$10:$K$52,MATCH($C9,'[1]SALES PERTYPE'!$B$10:$B$52,0)),0)</f>
        <v>230890000</v>
      </c>
      <c r="AB9" s="143" cm="1">
        <f t="array" ref="AB9">IFERROR(INDEX('[1]Sales per type juli'!$D$10:$BA$51,MATCH($C9,'[1]Sales per type juli'!$B$10:$B$51,0),MATCH("Y05e",'[1]Sales per type juli'!$D$8:$BA$8,0)+1),0)</f>
        <v>0</v>
      </c>
      <c r="AC9" s="143">
        <f t="shared" si="7"/>
        <v>230890000</v>
      </c>
      <c r="AD9" s="143">
        <f>IFERROR(INDEX('[1]SALES PERTYPE'!$L$10:$L$52,MATCH($C9,'[1]SALES PERTYPE'!$B$10:$B$52,0)),0)</f>
        <v>2</v>
      </c>
      <c r="AE9" s="143">
        <f>IFERROR(INDEX('[1]Sales per type juli'!$D$10:$BA$51,MATCH($C9,'[1]Sales per type juli'!$B$10:$B$51,0),MATCH("V70",'[1]Sales per type juli'!$D$8:$BA$8,0)),0)</f>
        <v>6</v>
      </c>
      <c r="AF9" s="143">
        <f t="shared" si="8"/>
        <v>-4</v>
      </c>
      <c r="AG9" s="143">
        <f>IFERROR(INDEX('[1]SALES PERTYPE'!$M$10:$M$52,MATCH($C9,'[1]SALES PERTYPE'!$B$10:$B$52,0)),0)</f>
        <v>18998000</v>
      </c>
      <c r="AH9" s="143" cm="1">
        <f t="array" ref="AH9">IFERROR(INDEX('[1]Sales per type juli'!$D$10:$BA$51,MATCH($C9,'[1]Sales per type juli'!$B$10:$B$51,0),MATCH("V70",'[1]Sales per type juli'!$D$8:$BA$8,0)+1),0)</f>
        <v>55994000</v>
      </c>
      <c r="AI9" s="143">
        <f t="shared" si="9"/>
        <v>-36996000</v>
      </c>
      <c r="AJ9" s="143">
        <f>IFERROR(INDEX('[1]SALES PERTYPE'!$N$10:$N$52,MATCH($C9,'[1]SALES PERTYPE'!$B$10:$B$52,0)),0)</f>
        <v>23</v>
      </c>
      <c r="AK9" s="143">
        <f>IFERROR(INDEX('[1]Sales per type juli'!$D$10:$BA$51,MATCH($C9,'[1]Sales per type juli'!$B$10:$B$51,0),MATCH("Y31d Pro",'[1]Sales per type juli'!$D$8:$BA$8,0)),0)</f>
        <v>15</v>
      </c>
      <c r="AL9" s="143">
        <f t="shared" si="10"/>
        <v>8</v>
      </c>
      <c r="AM9" s="143">
        <f>IFERROR(INDEX('[1]SALES PERTYPE'!$O$10:$O$52,MATCH($C9,'[1]SALES PERTYPE'!$B$10:$B$52,0)),0)</f>
        <v>100477000</v>
      </c>
      <c r="AN9" s="143" cm="1">
        <f t="array" ref="AN9">IFERROR(INDEX('[1]Sales per type juli'!$D$10:$BA$51,MATCH($C9,'[1]Sales per type juli'!$B$10:$B$51,0),MATCH("Y31d Pro",'[1]Sales per type juli'!$D$8:$BA$8,0)+1),0)</f>
        <v>67485000</v>
      </c>
      <c r="AO9" s="143">
        <f t="shared" si="11"/>
        <v>32992000</v>
      </c>
      <c r="AP9" s="143">
        <f>IFERROR(INDEX('[1]SALES PERTYPE'!$P$10:$P$52,MATCH($C9,'[1]SALES PERTYPE'!$B$10:$B$52,0)),0)</f>
        <v>3</v>
      </c>
      <c r="AQ9" s="143" cm="1">
        <f t="array" ref="AQ9">IFERROR(INDEX('[1]Sales per type juli'!$D$10:$BA$51,MATCH($C9,'[1]Sales per type juli'!$B$10:$B$51,0),$FG$2),0)</f>
        <v>0</v>
      </c>
      <c r="AR9" s="143">
        <f t="shared" si="12"/>
        <v>3</v>
      </c>
      <c r="AS9" s="143">
        <f>IFERROR(INDEX('[1]SALES PERTYPE'!$Q$10:$Q$52,MATCH($C9,'[1]SALES PERTYPE'!$B$10:$B$52,0)),0)</f>
        <v>10797000</v>
      </c>
      <c r="AT9" s="143" cm="1">
        <f t="array" ref="AT9">IFERROR(INDEX('[1]Sales per type juli'!$D$10:$BA$51,MATCH($C9,'[1]Sales per type juli'!$B$10:$B$51,0),$FG$2+1),0)</f>
        <v>0</v>
      </c>
      <c r="AU9" s="143">
        <f t="shared" si="13"/>
        <v>10797000</v>
      </c>
      <c r="AV9" s="143">
        <f>IFERROR(INDEX('[1]SALES PERTYPE'!$R$10:$R$52,MATCH($C9,'[1]SALES PERTYPE'!$B$10:$B$52,0)),0)</f>
        <v>9</v>
      </c>
      <c r="AW9" s="143">
        <f>IFERROR(INDEX('[1]Sales per type juli'!$D$10:$BA$51,MATCH($C9,'[1]Sales per type juli'!$B$10:$B$51,0),MATCH("Y31d ",'[1]Sales per type juli'!$D$8:$BA$8,0)),0)</f>
        <v>2</v>
      </c>
      <c r="AX9" s="143">
        <f t="shared" si="14"/>
        <v>7</v>
      </c>
      <c r="AY9" s="143">
        <f>IFERROR(INDEX('[1]SALES PERTYPE'!$S$10:$S$52,MATCH($C9,'[1]SALES PERTYPE'!$B$10:$B$52,0)),0)</f>
        <v>32391000</v>
      </c>
      <c r="AZ9" s="143" cm="1">
        <f t="array" ref="AZ9">IFERROR(INDEX('[1]Sales per type juli'!$D$10:$BA$51,MATCH($C9,'[1]Sales per type juli'!$B$10:$B$51,0),MATCH("Y31d ",'[1]Sales per type juli'!$D$8:$BA$8,0)+1),0)</f>
        <v>7198000</v>
      </c>
      <c r="BA9" s="143">
        <f t="shared" si="15"/>
        <v>25193000</v>
      </c>
      <c r="BB9" s="143">
        <f>IFERROR(INDEX('[1]SALES PERTYPE'!$T$10:$T$52,MATCH($C9,'[1]SALES PERTYPE'!$B$10:$B$52,0)),0)</f>
        <v>4</v>
      </c>
      <c r="BC9" s="143">
        <f>IFERROR(INDEX('[1]Sales per type juli'!$D$10:$BA$51,MATCH($C9,'[1]Sales per type juli'!$B$10:$B$51,0),MATCH("V70 FE",'[1]Sales per type juli'!$D$8:$BA$8,0)),0)</f>
        <v>9</v>
      </c>
      <c r="BD9" s="143">
        <f t="shared" si="16"/>
        <v>-5</v>
      </c>
      <c r="BE9" s="143">
        <f>IFERROR(INDEX('[1]SALES PERTYPE'!$U$10:$U$52,MATCH($C9,'[1]SALES PERTYPE'!$B$10:$B$52,0)),0)</f>
        <v>30496000</v>
      </c>
      <c r="BF9" s="143" cm="1">
        <f t="array" ref="BF9">IFERROR(INDEX('[1]Sales per type juli'!$D$10:$BA$51,MATCH($C9,'[1]Sales per type juli'!$B$10:$B$51,0),MATCH("V70 FE",'[1]Sales per type juli'!$D$8:$BA$8,0)+1),0)</f>
        <v>60591000</v>
      </c>
      <c r="BG9" s="143">
        <f t="shared" si="17"/>
        <v>-30095000</v>
      </c>
      <c r="BH9" s="143">
        <f>IFERROR(INDEX('[1]SALES PERTYPE'!$V$10:$V$52,MATCH($C9,'[1]SALES PERTYPE'!$B$10:$B$52,0)),0)</f>
        <v>12</v>
      </c>
      <c r="BI9" s="143">
        <f>IFERROR(INDEX('[1]Sales per type juli'!$D$10:$BA$51,MATCH($C9,'[1]Sales per type juli'!$B$10:$B$51,0),MATCH("Y31d",'[1]Sales per type juli'!$D$8:$BA$8,0)),0)</f>
        <v>20</v>
      </c>
      <c r="BJ9" s="143">
        <f t="shared" si="18"/>
        <v>-8</v>
      </c>
      <c r="BK9" s="143">
        <f>IFERROR(INDEX('[1]SALES PERTYPE'!$W$10:$W$52,MATCH($C9,'[1]SALES PERTYPE'!$B$10:$B$52,0)),0)</f>
        <v>43188000</v>
      </c>
      <c r="BL9" s="143" cm="1">
        <f t="array" ref="BL9">IFERROR(INDEX('[1]Sales per type juli'!$D$10:$BA$51,MATCH($C9,'[1]Sales per type juli'!$B$10:$B$51,0),MATCH("Y31d",'[1]Sales per type juli'!$D$8:$BA$8,0)+1),0)</f>
        <v>71980000</v>
      </c>
      <c r="BM9" s="143">
        <f t="shared" si="19"/>
        <v>-28792000</v>
      </c>
      <c r="BN9" s="143">
        <f>IFERROR(INDEX('[1]SALES PERTYPE'!$X$10:$X$52,MATCH($C9,'[1]SALES PERTYPE'!$B$10:$B$52,0)),0)</f>
        <v>3</v>
      </c>
      <c r="BO9" s="143">
        <f>IFERROR(INDEX('[1]Sales per type juli'!$D$10:$BA$51,MATCH($C9,'[1]Sales per type juli'!$B$10:$B$51,0),MATCH("Y500",'[1]Sales per type juli'!$D$8:$BA$8,0)),0)</f>
        <v>7</v>
      </c>
      <c r="BP9" s="143">
        <f t="shared" si="20"/>
        <v>-4</v>
      </c>
      <c r="BQ9" s="143">
        <f>IFERROR(INDEX('[1]SALES PERTYPE'!$Y$10:$Y$52,MATCH($C9,'[1]SALES PERTYPE'!$B$10:$B$52,0)),0)</f>
        <v>16497000</v>
      </c>
      <c r="BR9" s="143" cm="1">
        <f t="array" ref="BR9">IFERROR(INDEX('[1]Sales per type juli'!$D$10:$BA$51,MATCH($C9,'[1]Sales per type juli'!$B$10:$B$51,0),MATCH("Y500",'[1]Sales per type juli'!$D$8:$BA$8,0)+1),0)</f>
        <v>41693000</v>
      </c>
      <c r="BS9" s="143">
        <f t="shared" si="21"/>
        <v>-25196000</v>
      </c>
      <c r="BT9" s="143">
        <f>IFERROR(INDEX('[1]SALES PERTYPE'!$Z$10:$Z$52,MATCH($C9,'[1]SALES PERTYPE'!$B$10:$B$52,0)),0)</f>
        <v>0</v>
      </c>
      <c r="BU9" s="143">
        <f>IFERROR(INDEX('[1]Sales per type juli'!$D$10:$BA$51,MATCH($C9,'[1]Sales per type juli'!$B$10:$B$51,0),MATCH("IQOO 15R",'[1]Sales per type juli'!$D$8:$BA$8,0)),0)</f>
        <v>1</v>
      </c>
      <c r="BV9" s="143">
        <f t="shared" si="22"/>
        <v>-1</v>
      </c>
      <c r="BW9" s="143">
        <f>IFERROR(INDEX('[1]SALES PERTYPE'!$AA$10:$AA$52,MATCH($C9,'[1]SALES PERTYPE'!$B$10:$B$52,0)),0)</f>
        <v>0</v>
      </c>
      <c r="BX9" s="143" cm="1">
        <f t="array" ref="BX9">IFERROR(INDEX('[1]Sales per type juli'!$D$10:$BA$51,MATCH($C9,'[1]Sales per type juli'!$B$10:$B$51,0),MATCH("IQOO 15R",'[1]Sales per type juli'!$D$8:$BA$8,0)+1),0)</f>
        <v>9899000</v>
      </c>
      <c r="BY9" s="143">
        <f t="shared" si="23"/>
        <v>-9899000</v>
      </c>
      <c r="BZ9" s="143">
        <f>IFERROR(INDEX('[1]SALES PERTYPE'!$AB$10:$AB$52,MATCH($C9,'[1]SALES PERTYPE'!$B$10:$B$52,0)),0)</f>
        <v>7</v>
      </c>
      <c r="CA9" s="143">
        <f>IFERROR(INDEX('[1]Sales per type juli'!$D$10:$BA$51,MATCH($C9,'[1]Sales per type juli'!$B$10:$B$51,0),MATCH("V60 Lite",'[1]Sales per type juli'!$D$8:$BA$8,0)),0)</f>
        <v>4</v>
      </c>
      <c r="CB9" s="143">
        <f t="shared" si="24"/>
        <v>3</v>
      </c>
      <c r="CC9" s="143">
        <f>IFERROR(INDEX('[1]SALES PERTYPE'!$AC$10:$AC$52,MATCH($C9,'[1]SALES PERTYPE'!$B$10:$B$52,0)),0)</f>
        <v>40693000</v>
      </c>
      <c r="CD9" s="143" cm="1">
        <f t="array" ref="CD9">IFERROR(INDEX('[1]Sales per type juli'!$D$10:$BA$51,MATCH($C9,'[1]Sales per type juli'!$B$10:$B$51,0),MATCH("V60 Lite",'[1]Sales per type juli'!$D$8:$BA$8,0)+1),0)</f>
        <v>21896000</v>
      </c>
      <c r="CE9" s="143">
        <f t="shared" si="25"/>
        <v>18797000</v>
      </c>
      <c r="CF9" s="143">
        <f>IFERROR(INDEX('[1]SALES PERTYPE'!$AD$10:$AD$52,MATCH($C9,'[1]SALES PERTYPE'!$B$10:$B$52,0)),0)</f>
        <v>0</v>
      </c>
      <c r="CG9" s="143">
        <f>IFERROR(INDEX('[1]Sales per type juli'!$D$10:$BA$51,MATCH($C9,'[1]Sales per type juli'!$B$10:$B$51,0),MATCH("X300 Ultra",'[1]Sales per type juli'!$D$8:$BA$8,0)),0)</f>
        <v>1</v>
      </c>
      <c r="CH9" s="143">
        <f t="shared" si="26"/>
        <v>-1</v>
      </c>
      <c r="CI9" s="143">
        <f>IFERROR(INDEX('[1]SALES PERTYPE'!$AE$10:$AE$52,MATCH($C9,'[1]SALES PERTYPE'!$B$10:$B$52,0)),0)</f>
        <v>0</v>
      </c>
      <c r="CJ9" s="143" cm="1">
        <f t="array" ref="CJ9">IFERROR(INDEX('[1]Sales per type juli'!$D$10:$BA$51,MATCH($C9,'[1]Sales per type juli'!$B$10:$B$51,0),MATCH("X300 Ultra",'[1]Sales per type juli'!$D$8:$BA$8,0)+1),0)</f>
        <v>25999000</v>
      </c>
      <c r="CK9" s="143">
        <f t="shared" si="27"/>
        <v>-25999000</v>
      </c>
      <c r="CL9" s="143">
        <f>IFERROR(INDEX('[1]SALES PERTYPE'!$AF$10:$AF$52,MATCH($C9,'[1]SALES PERTYPE'!$B$10:$B$52,0)),0)</f>
        <v>0</v>
      </c>
      <c r="CM9" s="143">
        <f>IFERROR(INDEX('[1]Sales per type juli'!$D$10:$BA$51,MATCH($C9,'[1]Sales per type juli'!$B$10:$B$51,0),MATCH("IQOO 15",'[1]Sales per type juli'!$D$8:$BA$8,0)),0)</f>
        <v>0</v>
      </c>
      <c r="CN9" s="143">
        <f t="shared" si="28"/>
        <v>0</v>
      </c>
      <c r="CO9" s="143">
        <f>IFERROR(INDEX('[1]SALES PERTYPE'!$AG$10:$AG$52,MATCH($C9,'[1]SALES PERTYPE'!$B$10:$B$52,0)),0)</f>
        <v>0</v>
      </c>
      <c r="CP9" s="143" cm="1">
        <f t="array" ref="CP9">IFERROR(INDEX('[1]Sales per type juli'!$D$10:$BA$51,MATCH($C9,'[1]Sales per type juli'!$B$10:$B$51,0),MATCH("IQOO 15",'[1]Sales per type juli'!$D$8:$BA$8,0)+1),0)</f>
        <v>0</v>
      </c>
      <c r="CQ9" s="143">
        <f t="shared" si="29"/>
        <v>0</v>
      </c>
      <c r="CR9" s="143">
        <f>IFERROR(INDEX('[1]SALES PERTYPE'!$AH$10:$AH$52,MATCH($C9,'[1]SALES PERTYPE'!$B$10:$B$52,0)),0)</f>
        <v>1</v>
      </c>
      <c r="CS9" s="143">
        <f>IFERROR(INDEX('[1]Sales per type juli'!$D$10:$BA$51,MATCH($C9,'[1]Sales per type juli'!$B$10:$B$51,0),MATCH("IQOO Z11x",'[1]Sales per type juli'!$D$8:$BA$8,0)),0)</f>
        <v>4</v>
      </c>
      <c r="CT9" s="143">
        <f t="shared" si="30"/>
        <v>-3</v>
      </c>
      <c r="CU9" s="143">
        <f>IFERROR(INDEX('[1]SALES PERTYPE'!$AI$10:$AI$52,MATCH($C9,'[1]SALES PERTYPE'!$B$10:$B$52,0)),0)</f>
        <v>5699000</v>
      </c>
      <c r="CV9" s="143" cm="1">
        <f t="array" ref="CV9">IFERROR(INDEX('[1]Sales per type juli'!$D$10:$BA$51,MATCH($C9,'[1]Sales per type juli'!$B$10:$B$51,0),MATCH("IQOO Z11x",'[1]Sales per type juli'!$D$8:$BA$8,0)+1),0)</f>
        <v>19196000</v>
      </c>
      <c r="CW9" s="143">
        <f t="shared" si="31"/>
        <v>-13497000</v>
      </c>
      <c r="CX9" s="143">
        <f>IFERROR(INDEX('[1]SALES PERTYPE'!$AJ$10:$AJ$52,MATCH($C9,'[1]SALES PERTYPE'!$B$10:$B$52,0)),0)</f>
        <v>2</v>
      </c>
      <c r="CY9" s="143">
        <f>IFERROR(INDEX('[1]Sales per type juli'!$D$10:$BA$51,MATCH($C9,'[1]Sales per type juli'!$B$10:$B$51,0),MATCH("IQOO Z11",'[1]Sales per type juli'!$D$8:$BA$8,0)),0)</f>
        <v>5</v>
      </c>
      <c r="CZ9" s="143">
        <f t="shared" si="32"/>
        <v>-3</v>
      </c>
      <c r="DA9" s="143">
        <f>IFERROR(INDEX('[1]SALES PERTYPE'!$AK$10:$AK$52,MATCH($C9,'[1]SALES PERTYPE'!$B$10:$B$52,0)),0)</f>
        <v>13798000</v>
      </c>
      <c r="DB9" s="143" cm="1">
        <f t="array" ref="DB9">IFERROR(INDEX('[1]Sales per type juli'!$D$10:$BA$51,MATCH($C9,'[1]Sales per type juli'!$B$10:$B$51,0),MATCH("IQOO Z11",'[1]Sales per type juli'!$D$8:$BA$8,0)+1),0)</f>
        <v>29495000</v>
      </c>
      <c r="DC9" s="143">
        <f t="shared" si="33"/>
        <v>-15697000</v>
      </c>
      <c r="DD9" s="143">
        <v>0</v>
      </c>
      <c r="DE9" s="143">
        <f>IFERROR(INDEX('[1]Sales per type juli'!$D$10:$BA$51,MATCH($C9,'[1]Sales per type juli'!$B$10:$B$51,0),MATCH("WATCH 3",'[1]Sales per type juli'!$D$8:$BA$8,0)),0)</f>
        <v>0</v>
      </c>
      <c r="DF9" s="143">
        <f t="shared" si="34"/>
        <v>0</v>
      </c>
      <c r="DG9" s="143">
        <v>0</v>
      </c>
      <c r="DH9" s="143" cm="1">
        <f t="array" ref="DH9">IFERROR(INDEX('[1]Sales per type juli'!$D$10:$BA$51,MATCH($C9,'[1]Sales per type juli'!$B$10:$B$51,0),MATCH("WATCH 3",'[1]Sales per type juli'!$D$8:$BA$8,0)+1),0)</f>
        <v>0</v>
      </c>
      <c r="DI9" s="143">
        <f t="shared" si="35"/>
        <v>0</v>
      </c>
      <c r="DJ9" s="143">
        <v>0</v>
      </c>
      <c r="DK9" s="143">
        <f>IFERROR(INDEX('[1]Sales per type juli'!$D$10:$BA$51,MATCH($C9,'[1]Sales per type juli'!$B$10:$B$51,0),MATCH("X300 Demo",'[1]Sales per type juli'!$D$8:$BA$8,0)),0)</f>
        <v>0</v>
      </c>
      <c r="DL9" s="143">
        <f t="shared" si="36"/>
        <v>0</v>
      </c>
      <c r="DM9" s="143">
        <v>0</v>
      </c>
      <c r="DN9" s="143" cm="1">
        <f t="array" ref="DN9">IFERROR(INDEX('[1]Sales per type juli'!$D$10:$BA$51,MATCH($C9,'[1]Sales per type juli'!$B$10:$B$51,0),MATCH("X300 Demo",'[1]Sales per type juli'!$D$8:$BA$8,0)+1),0)</f>
        <v>0</v>
      </c>
      <c r="DO9" s="143">
        <f t="shared" si="37"/>
        <v>0</v>
      </c>
      <c r="DP9" s="143">
        <v>0</v>
      </c>
      <c r="DQ9" s="143">
        <f>IFERROR(INDEX('[1]Sales per type juli'!$D$10:$BA$51,MATCH($C9,'[1]Sales per type juli'!$B$10:$B$51,0),MATCH("X300 Pro Demo",'[1]Sales per type juli'!$D$8:$BA$8,0)),0)</f>
        <v>0</v>
      </c>
      <c r="DR9" s="143">
        <f t="shared" si="38"/>
        <v>0</v>
      </c>
      <c r="DS9" s="143">
        <v>0</v>
      </c>
      <c r="DT9" s="143" cm="1">
        <f t="array" ref="DT9">IFERROR(INDEX('[1]Sales per type juli'!$D$10:$BA$51,MATCH($C9,'[1]Sales per type juli'!$B$10:$B$51,0),MATCH("X300 Pro Demo",'[1]Sales per type juli'!$D$8:$BA$8,0)+1),0)</f>
        <v>0</v>
      </c>
      <c r="DU9" s="143">
        <f t="shared" si="39"/>
        <v>0</v>
      </c>
      <c r="DV9" s="143">
        <v>0</v>
      </c>
      <c r="DW9" s="143">
        <f>IFERROR(INDEX('[1]Sales per type juli'!$D$10:$BA$51,MATCH($C9,'[1]Sales per type juli'!$B$10:$B$51,0),MATCH("X Fold5 DEMO",'[1]Sales per type juli'!$D$8:$BA$8,0)),0)</f>
        <v>0</v>
      </c>
      <c r="DX9" s="143">
        <f t="shared" si="40"/>
        <v>0</v>
      </c>
      <c r="DY9" s="143">
        <v>0</v>
      </c>
      <c r="DZ9" s="143" cm="1">
        <f t="array" ref="DZ9">IFERROR(INDEX('[1]Sales per type juli'!$D$10:$BA$51,MATCH($C9,'[1]Sales per type juli'!$B$10:$B$51,0),MATCH("X Fold5 DEMO",'[1]Sales per type juli'!$D$8:$BA$8,0)+1),0)</f>
        <v>0</v>
      </c>
      <c r="EA9" s="143">
        <f t="shared" si="41"/>
        <v>0</v>
      </c>
      <c r="EB9" s="143">
        <v>0</v>
      </c>
      <c r="EC9" s="143">
        <f>IFERROR(INDEX('[1]Sales per type juli'!$D$10:$BA$51,MATCH($C9,'[1]Sales per type juli'!$B$10:$B$51,0),MATCH("X Fold5",'[1]Sales per type juli'!$D$8:$BA$8,0)),0)</f>
        <v>0</v>
      </c>
      <c r="ED9" s="143">
        <f t="shared" si="42"/>
        <v>0</v>
      </c>
      <c r="EE9" s="143">
        <v>0</v>
      </c>
      <c r="EF9" s="143" cm="1">
        <f t="array" ref="EF9">IFERROR(INDEX('[1]Sales per type juli'!$D$10:$BA$51,MATCH($C9,'[1]Sales per type juli'!$B$10:$B$51,0),MATCH("X Fold5",'[1]Sales per type juli'!$D$8:$BA$8,0)+1),0)</f>
        <v>0</v>
      </c>
      <c r="EG9" s="143">
        <f t="shared" si="43"/>
        <v>0</v>
      </c>
      <c r="EH9" s="143">
        <v>0</v>
      </c>
      <c r="EI9" s="143">
        <f>IFERROR(INDEX('[1]Sales per type juli'!$D$10:$BA$51,MATCH($C9,'[1]Sales per type juli'!$B$10:$B$51,0),MATCH("IQOO 15 Demo",'[1]Sales per type juli'!$D$8:$BA$8,0)),0)</f>
        <v>0</v>
      </c>
      <c r="EJ9" s="143">
        <f t="shared" si="44"/>
        <v>0</v>
      </c>
      <c r="EK9" s="143">
        <v>0</v>
      </c>
      <c r="EL9" s="143" cm="1">
        <f t="array" ref="EL9">IFERROR(INDEX('[1]Sales per type juli'!$D$10:$BA$51,MATCH($C9,'[1]Sales per type juli'!$B$10:$B$51,0),MATCH("IQOO 15 Demo",'[1]Sales per type juli'!$D$8:$BA$8,0)+1),0)</f>
        <v>0</v>
      </c>
      <c r="EM9" s="143">
        <f t="shared" si="45"/>
        <v>0</v>
      </c>
      <c r="EN9" s="143">
        <v>0</v>
      </c>
      <c r="EO9" s="143">
        <f>IFERROR(INDEX('[1]Sales per type juli'!$D$10:$BA$51,MATCH($C9,'[1]Sales per type juli'!$B$10:$B$51,0),MATCH("X300 PRO",'[1]Sales per type juli'!$D$8:$BA$8,0)),0)</f>
        <v>0</v>
      </c>
      <c r="EP9" s="143">
        <f t="shared" si="46"/>
        <v>0</v>
      </c>
      <c r="EQ9" s="143">
        <v>0</v>
      </c>
      <c r="ER9" s="143" cm="1">
        <f t="array" ref="ER9">IFERROR(INDEX('[1]Sales per type juli'!$D$10:$BA$51,MATCH($C9,'[1]Sales per type juli'!$B$10:$B$51,0),MATCH("X300 PRO",'[1]Sales per type juli'!$D$8:$BA$8,0)+1),0)</f>
        <v>0</v>
      </c>
      <c r="ES9" s="143">
        <f t="shared" si="47"/>
        <v>0</v>
      </c>
      <c r="ET9" s="143">
        <v>0</v>
      </c>
      <c r="EU9" s="143">
        <f>IFERROR(INDEX('[1]Sales per type juli'!$D$10:$BA$51,MATCH($C9,'[1]Sales per type juli'!$B$10:$B$51,0),MATCH("X300 ",'[1]Sales per type juli'!$D$8:$BA$8,0)),0)</f>
        <v>0</v>
      </c>
      <c r="EV9" s="143">
        <f t="shared" si="48"/>
        <v>0</v>
      </c>
      <c r="EW9" s="143">
        <v>0</v>
      </c>
      <c r="EX9" s="143" cm="1">
        <f t="array" ref="EX9">IFERROR(INDEX('[1]Sales per type juli'!$D$10:$BA$51,MATCH($C9,'[1]Sales per type juli'!$B$10:$B$51,0),MATCH("X300 ",'[1]Sales per type juli'!$D$8:$BA$8,0)+1),0)</f>
        <v>0</v>
      </c>
      <c r="EY9" s="143">
        <f t="shared" si="49"/>
        <v>0</v>
      </c>
      <c r="EZ9" s="143">
        <f t="shared" si="50"/>
        <v>279</v>
      </c>
      <c r="FA9" s="143">
        <f t="shared" si="50"/>
        <v>286</v>
      </c>
      <c r="FB9" s="143">
        <f t="shared" si="51"/>
        <v>-7</v>
      </c>
      <c r="FC9" s="143">
        <f t="shared" si="52"/>
        <v>800521000</v>
      </c>
      <c r="FD9" s="143">
        <f t="shared" si="52"/>
        <v>889314000</v>
      </c>
      <c r="FE9" s="143">
        <f t="shared" si="53"/>
        <v>-88793000</v>
      </c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</row>
    <row r="10" spans="1:208" ht="16" x14ac:dyDescent="0.2">
      <c r="A10" s="144">
        <f>'[1]ACHIEVEMENT STORE'!A10</f>
        <v>6</v>
      </c>
      <c r="B10" s="145" t="str">
        <f>'[1]ACHIEVEMENT STORE'!B10</f>
        <v>601 雅加达西北 JKT BU</v>
      </c>
      <c r="C10" s="144">
        <f>'[1]ACHIEVEMENT STORE'!C10</f>
        <v>6010710</v>
      </c>
      <c r="D10" s="145" t="str">
        <f>'[1]ACHIEVEMENT STORE'!D10</f>
        <v>A100304-PAMERAN SELATAN</v>
      </c>
      <c r="E10" s="145" t="str">
        <f>'[1]ACHIEVEMENT STORE'!E10</f>
        <v>NUR IRAWATI</v>
      </c>
      <c r="F10" s="143">
        <f>IFERROR(INDEX('[1]SALES PERTYPE'!$D$10:$D$52,MATCH($C10,'[1]SALES PERTYPE'!$B$10:$B$52,0)),0)</f>
        <v>13</v>
      </c>
      <c r="G10" s="143">
        <f>IFERROR(INDEX('[1]Sales per type juli'!$D$10:$BA$51,MATCH($C10,'[1]Sales per type juli'!$B$10:$B$51,0),MATCH("Y05",'[1]Sales per type juli'!$D$8:$BA$8,0)),0)</f>
        <v>57</v>
      </c>
      <c r="H10" s="143">
        <f t="shared" si="0"/>
        <v>-44</v>
      </c>
      <c r="I10" s="143">
        <f>IFERROR(INDEX('[1]SALES PERTYPE'!$E$10:$E$52,MATCH($C10,'[1]SALES PERTYPE'!$B$10:$B$52,0)),0)</f>
        <v>32287000</v>
      </c>
      <c r="J10" s="143" cm="1">
        <f t="array" ref="J10">IFERROR(INDEX('[1]Sales per type juli'!$D$10:$BA$51,MATCH($C10,'[1]Sales per type juli'!$B$10:$B$51,0),MATCH("Y05",'[1]Sales per type juli'!$D$8:$BA$8,0)+1),0)</f>
        <v>124243000</v>
      </c>
      <c r="K10" s="143">
        <f t="shared" si="1"/>
        <v>-91956000</v>
      </c>
      <c r="L10" s="143">
        <f>IFERROR(INDEX('[1]SALES PERTYPE'!$F$10:$F$52,MATCH($C10,'[1]SALES PERTYPE'!$B$10:$B$52,0)),0)</f>
        <v>17</v>
      </c>
      <c r="M10" s="143">
        <f>IFERROR(INDEX('[1]Sales per type juli'!$D$10:$BA$51,MATCH($C10,'[1]Sales per type juli'!$B$10:$B$51,0),MATCH("Y11d",'[1]Sales per type juli'!$D$8:$BA$8,0)),0)</f>
        <v>7</v>
      </c>
      <c r="N10" s="143">
        <f t="shared" si="2"/>
        <v>10</v>
      </c>
      <c r="O10" s="143">
        <f>IFERROR(INDEX('[1]SALES PERTYPE'!$G$10:$G$52,MATCH($C10,'[1]SALES PERTYPE'!$B$10:$B$52,0)),0)</f>
        <v>43983000</v>
      </c>
      <c r="P10" s="143" cm="1">
        <f t="array" ref="P10">IFERROR(INDEX('[1]Sales per type juli'!$D$10:$BA$51,MATCH($C10,'[1]Sales per type juli'!$B$10:$B$51,0),MATCH("Y11d",'[1]Sales per type juli'!$D$8:$BA$8,0)+1),0)</f>
        <v>18793000</v>
      </c>
      <c r="Q10" s="143">
        <f t="shared" si="3"/>
        <v>25190000</v>
      </c>
      <c r="R10" s="143">
        <f>IFERROR(INDEX('[1]SALES PERTYPE'!$H$10:$H$52,MATCH($C10,'[1]SALES PERTYPE'!$B$10:$B$52,0)),0)</f>
        <v>0</v>
      </c>
      <c r="S10" s="143">
        <f>IFERROR(INDEX('[1]Sales per type juli'!$D$10:$BA$51,MATCH($C10,'[1]Sales per type juli'!$B$10:$B$51,0),MATCH("Watch GT 2",'[1]Sales per type juli'!$D$8:$BA$8,0)),0)</f>
        <v>0</v>
      </c>
      <c r="T10" s="143">
        <f t="shared" si="4"/>
        <v>0</v>
      </c>
      <c r="U10" s="143">
        <f>IFERROR(INDEX('[1]SALES PERTYPE'!$I$10:$I$52,MATCH($C10,'[1]SALES PERTYPE'!$B$10:$B$52,0)),0)</f>
        <v>0</v>
      </c>
      <c r="V10" s="143" cm="1">
        <f t="array" ref="V10">IFERROR(INDEX('[1]Sales per type juli'!$D$10:$BA$51,MATCH($C10,'[1]Sales per type juli'!$B$10:$B$51,0),MATCH("Watch GT 2",'[1]Sales per type juli'!$D$8:$BA$8,0)+1),0)</f>
        <v>0</v>
      </c>
      <c r="W10" s="143">
        <f t="shared" si="5"/>
        <v>0</v>
      </c>
      <c r="X10" s="143">
        <f>IFERROR(INDEX('[1]SALES PERTYPE'!$J$10:$J$52,MATCH($C10,'[1]SALES PERTYPE'!$B$10:$B$52,0)),0)</f>
        <v>44</v>
      </c>
      <c r="Y10" s="143">
        <f>IFERROR(INDEX('[1]Sales per type juli'!$D$10:$BA$51,MATCH($C10,'[1]Sales per type juli'!$B$10:$B$51,0),MATCH("Y05e",'[1]Sales per type juli'!$D$8:$BA$8,0)),0)</f>
        <v>0</v>
      </c>
      <c r="Z10" s="143">
        <f t="shared" si="6"/>
        <v>44</v>
      </c>
      <c r="AA10" s="143">
        <f>IFERROR(INDEX('[1]SALES PERTYPE'!$K$10:$K$52,MATCH($C10,'[1]SALES PERTYPE'!$B$10:$B$52,0)),0)</f>
        <v>92356000</v>
      </c>
      <c r="AB10" s="143" cm="1">
        <f t="array" ref="AB10">IFERROR(INDEX('[1]Sales per type juli'!$D$10:$BA$51,MATCH($C10,'[1]Sales per type juli'!$B$10:$B$51,0),MATCH("Y05e",'[1]Sales per type juli'!$D$8:$BA$8,0)+1),0)</f>
        <v>0</v>
      </c>
      <c r="AC10" s="143">
        <f t="shared" si="7"/>
        <v>92356000</v>
      </c>
      <c r="AD10" s="143">
        <f>IFERROR(INDEX('[1]SALES PERTYPE'!$L$10:$L$52,MATCH($C10,'[1]SALES PERTYPE'!$B$10:$B$52,0)),0)</f>
        <v>0</v>
      </c>
      <c r="AE10" s="143">
        <f>IFERROR(INDEX('[1]Sales per type juli'!$D$10:$BA$51,MATCH($C10,'[1]Sales per type juli'!$B$10:$B$51,0),MATCH("V70",'[1]Sales per type juli'!$D$8:$BA$8,0)),0)</f>
        <v>2</v>
      </c>
      <c r="AF10" s="143">
        <f t="shared" si="8"/>
        <v>-2</v>
      </c>
      <c r="AG10" s="143">
        <f>IFERROR(INDEX('[1]SALES PERTYPE'!$M$10:$M$52,MATCH($C10,'[1]SALES PERTYPE'!$B$10:$B$52,0)),0)</f>
        <v>0</v>
      </c>
      <c r="AH10" s="143" cm="1">
        <f t="array" ref="AH10">IFERROR(INDEX('[1]Sales per type juli'!$D$10:$BA$51,MATCH($C10,'[1]Sales per type juli'!$B$10:$B$51,0),MATCH("V70",'[1]Sales per type juli'!$D$8:$BA$8,0)+1),0)</f>
        <v>17998000</v>
      </c>
      <c r="AI10" s="143">
        <f t="shared" si="9"/>
        <v>-17998000</v>
      </c>
      <c r="AJ10" s="143">
        <f>IFERROR(INDEX('[1]SALES PERTYPE'!$N$10:$N$52,MATCH($C10,'[1]SALES PERTYPE'!$B$10:$B$52,0)),0)</f>
        <v>9</v>
      </c>
      <c r="AK10" s="143">
        <f>IFERROR(INDEX('[1]Sales per type juli'!$D$10:$BA$51,MATCH($C10,'[1]Sales per type juli'!$B$10:$B$51,0),MATCH("Y31d Pro",'[1]Sales per type juli'!$D$8:$BA$8,0)),0)</f>
        <v>2</v>
      </c>
      <c r="AL10" s="143">
        <f t="shared" si="10"/>
        <v>7</v>
      </c>
      <c r="AM10" s="143">
        <f>IFERROR(INDEX('[1]SALES PERTYPE'!$O$10:$O$52,MATCH($C10,'[1]SALES PERTYPE'!$B$10:$B$52,0)),0)</f>
        <v>39291000</v>
      </c>
      <c r="AN10" s="143" cm="1">
        <f t="array" ref="AN10">IFERROR(INDEX('[1]Sales per type juli'!$D$10:$BA$51,MATCH($C10,'[1]Sales per type juli'!$B$10:$B$51,0),MATCH("Y31d Pro",'[1]Sales per type juli'!$D$8:$BA$8,0)+1),0)</f>
        <v>7798000</v>
      </c>
      <c r="AO10" s="143">
        <f t="shared" si="11"/>
        <v>31493000</v>
      </c>
      <c r="AP10" s="143">
        <f>IFERROR(INDEX('[1]SALES PERTYPE'!$P$10:$P$52,MATCH($C10,'[1]SALES PERTYPE'!$B$10:$B$52,0)),0)</f>
        <v>0</v>
      </c>
      <c r="AQ10" s="143" cm="1">
        <f t="array" ref="AQ10">IFERROR(INDEX('[1]Sales per type juli'!$D$10:$BA$51,MATCH($C10,'[1]Sales per type juli'!$B$10:$B$51,0),$FG$2),0)</f>
        <v>0</v>
      </c>
      <c r="AR10" s="143">
        <f t="shared" si="12"/>
        <v>0</v>
      </c>
      <c r="AS10" s="143">
        <f>IFERROR(INDEX('[1]SALES PERTYPE'!$Q$10:$Q$52,MATCH($C10,'[1]SALES PERTYPE'!$B$10:$B$52,0)),0)</f>
        <v>0</v>
      </c>
      <c r="AT10" s="143" cm="1">
        <f t="array" ref="AT10">IFERROR(INDEX('[1]Sales per type juli'!$D$10:$BA$51,MATCH($C10,'[1]Sales per type juli'!$B$10:$B$51,0),$FG$2+1),0)</f>
        <v>0</v>
      </c>
      <c r="AU10" s="143">
        <f t="shared" si="13"/>
        <v>0</v>
      </c>
      <c r="AV10" s="143">
        <f>IFERROR(INDEX('[1]SALES PERTYPE'!$R$10:$R$52,MATCH($C10,'[1]SALES PERTYPE'!$B$10:$B$52,0)),0)</f>
        <v>2</v>
      </c>
      <c r="AW10" s="143">
        <f>IFERROR(INDEX('[1]Sales per type juli'!$D$10:$BA$51,MATCH($C10,'[1]Sales per type juli'!$B$10:$B$51,0),MATCH("Y31d ",'[1]Sales per type juli'!$D$8:$BA$8,0)),0)</f>
        <v>3</v>
      </c>
      <c r="AX10" s="143">
        <f t="shared" si="14"/>
        <v>-1</v>
      </c>
      <c r="AY10" s="143">
        <f>IFERROR(INDEX('[1]SALES PERTYPE'!$S$10:$S$52,MATCH($C10,'[1]SALES PERTYPE'!$B$10:$B$52,0)),0)</f>
        <v>7198000</v>
      </c>
      <c r="AZ10" s="143" cm="1">
        <f t="array" ref="AZ10">IFERROR(INDEX('[1]Sales per type juli'!$D$10:$BA$51,MATCH($C10,'[1]Sales per type juli'!$B$10:$B$51,0),MATCH("Y31d ",'[1]Sales per type juli'!$D$8:$BA$8,0)+1),0)</f>
        <v>10797000</v>
      </c>
      <c r="BA10" s="143">
        <f t="shared" si="15"/>
        <v>-3599000</v>
      </c>
      <c r="BB10" s="143">
        <f>IFERROR(INDEX('[1]SALES PERTYPE'!$T$10:$T$52,MATCH($C10,'[1]SALES PERTYPE'!$B$10:$B$52,0)),0)</f>
        <v>2</v>
      </c>
      <c r="BC10" s="143">
        <f>IFERROR(INDEX('[1]Sales per type juli'!$D$10:$BA$51,MATCH($C10,'[1]Sales per type juli'!$B$10:$B$51,0),MATCH("V70 FE",'[1]Sales per type juli'!$D$8:$BA$8,0)),0)</f>
        <v>3</v>
      </c>
      <c r="BD10" s="143">
        <f t="shared" si="16"/>
        <v>-1</v>
      </c>
      <c r="BE10" s="143">
        <f>IFERROR(INDEX('[1]SALES PERTYPE'!$U$10:$U$52,MATCH($C10,'[1]SALES PERTYPE'!$B$10:$B$52,0)),0)</f>
        <v>15998000</v>
      </c>
      <c r="BF10" s="143" cm="1">
        <f t="array" ref="BF10">IFERROR(INDEX('[1]Sales per type juli'!$D$10:$BA$51,MATCH($C10,'[1]Sales per type juli'!$B$10:$B$51,0),MATCH("V70 FE",'[1]Sales per type juli'!$D$8:$BA$8,0)+1),0)</f>
        <v>19497000</v>
      </c>
      <c r="BG10" s="143">
        <f t="shared" si="17"/>
        <v>-3499000</v>
      </c>
      <c r="BH10" s="143">
        <f>IFERROR(INDEX('[1]SALES PERTYPE'!$V$10:$V$52,MATCH($C10,'[1]SALES PERTYPE'!$B$10:$B$52,0)),0)</f>
        <v>1</v>
      </c>
      <c r="BI10" s="143">
        <f>IFERROR(INDEX('[1]Sales per type juli'!$D$10:$BA$51,MATCH($C10,'[1]Sales per type juli'!$B$10:$B$51,0),MATCH("Y31d",'[1]Sales per type juli'!$D$8:$BA$8,0)),0)</f>
        <v>9</v>
      </c>
      <c r="BJ10" s="143">
        <f t="shared" si="18"/>
        <v>-8</v>
      </c>
      <c r="BK10" s="143">
        <f>IFERROR(INDEX('[1]SALES PERTYPE'!$W$10:$W$52,MATCH($C10,'[1]SALES PERTYPE'!$B$10:$B$52,0)),0)</f>
        <v>3599000</v>
      </c>
      <c r="BL10" s="143" cm="1">
        <f t="array" ref="BL10">IFERROR(INDEX('[1]Sales per type juli'!$D$10:$BA$51,MATCH($C10,'[1]Sales per type juli'!$B$10:$B$51,0),MATCH("Y31d",'[1]Sales per type juli'!$D$8:$BA$8,0)+1),0)</f>
        <v>32391000</v>
      </c>
      <c r="BM10" s="143">
        <f t="shared" si="19"/>
        <v>-28792000</v>
      </c>
      <c r="BN10" s="143">
        <f>IFERROR(INDEX('[1]SALES PERTYPE'!$X$10:$X$52,MATCH($C10,'[1]SALES PERTYPE'!$B$10:$B$52,0)),0)</f>
        <v>2</v>
      </c>
      <c r="BO10" s="143">
        <f>IFERROR(INDEX('[1]Sales per type juli'!$D$10:$BA$51,MATCH($C10,'[1]Sales per type juli'!$B$10:$B$51,0),MATCH("Y500",'[1]Sales per type juli'!$D$8:$BA$8,0)),0)</f>
        <v>3</v>
      </c>
      <c r="BP10" s="143">
        <f t="shared" si="20"/>
        <v>-1</v>
      </c>
      <c r="BQ10" s="143">
        <f>IFERROR(INDEX('[1]SALES PERTYPE'!$Y$10:$Y$52,MATCH($C10,'[1]SALES PERTYPE'!$B$10:$B$52,0)),0)</f>
        <v>11798000</v>
      </c>
      <c r="BR10" s="143" cm="1">
        <f t="array" ref="BR10">IFERROR(INDEX('[1]Sales per type juli'!$D$10:$BA$51,MATCH($C10,'[1]Sales per type juli'!$B$10:$B$51,0),MATCH("Y500",'[1]Sales per type juli'!$D$8:$BA$8,0)+1),0)</f>
        <v>16497000</v>
      </c>
      <c r="BS10" s="143">
        <f t="shared" si="21"/>
        <v>-4699000</v>
      </c>
      <c r="BT10" s="143">
        <f>IFERROR(INDEX('[1]SALES PERTYPE'!$Z$10:$Z$52,MATCH($C10,'[1]SALES PERTYPE'!$B$10:$B$52,0)),0)</f>
        <v>0</v>
      </c>
      <c r="BU10" s="143">
        <f>IFERROR(INDEX('[1]Sales per type juli'!$D$10:$BA$51,MATCH($C10,'[1]Sales per type juli'!$B$10:$B$51,0),MATCH("IQOO 15R",'[1]Sales per type juli'!$D$8:$BA$8,0)),0)</f>
        <v>0</v>
      </c>
      <c r="BV10" s="143">
        <f t="shared" si="22"/>
        <v>0</v>
      </c>
      <c r="BW10" s="143">
        <f>IFERROR(INDEX('[1]SALES PERTYPE'!$AA$10:$AA$52,MATCH($C10,'[1]SALES PERTYPE'!$B$10:$B$52,0)),0)</f>
        <v>0</v>
      </c>
      <c r="BX10" s="143" cm="1">
        <f t="array" ref="BX10">IFERROR(INDEX('[1]Sales per type juli'!$D$10:$BA$51,MATCH($C10,'[1]Sales per type juli'!$B$10:$B$51,0),MATCH("IQOO 15R",'[1]Sales per type juli'!$D$8:$BA$8,0)+1),0)</f>
        <v>0</v>
      </c>
      <c r="BY10" s="143">
        <f t="shared" si="23"/>
        <v>0</v>
      </c>
      <c r="BZ10" s="143">
        <f>IFERROR(INDEX('[1]SALES PERTYPE'!$AB$10:$AB$52,MATCH($C10,'[1]SALES PERTYPE'!$B$10:$B$52,0)),0)</f>
        <v>0</v>
      </c>
      <c r="CA10" s="143">
        <f>IFERROR(INDEX('[1]Sales per type juli'!$D$10:$BA$51,MATCH($C10,'[1]Sales per type juli'!$B$10:$B$51,0),MATCH("V60 Lite",'[1]Sales per type juli'!$D$8:$BA$8,0)),0)</f>
        <v>0</v>
      </c>
      <c r="CB10" s="143">
        <f t="shared" si="24"/>
        <v>0</v>
      </c>
      <c r="CC10" s="143">
        <f>IFERROR(INDEX('[1]SALES PERTYPE'!$AC$10:$AC$52,MATCH($C10,'[1]SALES PERTYPE'!$B$10:$B$52,0)),0)</f>
        <v>0</v>
      </c>
      <c r="CD10" s="143" cm="1">
        <f t="array" ref="CD10">IFERROR(INDEX('[1]Sales per type juli'!$D$10:$BA$51,MATCH($C10,'[1]Sales per type juli'!$B$10:$B$51,0),MATCH("V60 Lite",'[1]Sales per type juli'!$D$8:$BA$8,0)+1),0)</f>
        <v>0</v>
      </c>
      <c r="CE10" s="143">
        <f t="shared" si="25"/>
        <v>0</v>
      </c>
      <c r="CF10" s="143">
        <f>IFERROR(INDEX('[1]SALES PERTYPE'!$AD$10:$AD$52,MATCH($C10,'[1]SALES PERTYPE'!$B$10:$B$52,0)),0)</f>
        <v>0</v>
      </c>
      <c r="CG10" s="143">
        <f>IFERROR(INDEX('[1]Sales per type juli'!$D$10:$BA$51,MATCH($C10,'[1]Sales per type juli'!$B$10:$B$51,0),MATCH("X300 Ultra",'[1]Sales per type juli'!$D$8:$BA$8,0)),0)</f>
        <v>0</v>
      </c>
      <c r="CH10" s="143">
        <f t="shared" si="26"/>
        <v>0</v>
      </c>
      <c r="CI10" s="143">
        <f>IFERROR(INDEX('[1]SALES PERTYPE'!$AE$10:$AE$52,MATCH($C10,'[1]SALES PERTYPE'!$B$10:$B$52,0)),0)</f>
        <v>0</v>
      </c>
      <c r="CJ10" s="143" cm="1">
        <f t="array" ref="CJ10">IFERROR(INDEX('[1]Sales per type juli'!$D$10:$BA$51,MATCH($C10,'[1]Sales per type juli'!$B$10:$B$51,0),MATCH("X300 Ultra",'[1]Sales per type juli'!$D$8:$BA$8,0)+1),0)</f>
        <v>0</v>
      </c>
      <c r="CK10" s="143">
        <f t="shared" si="27"/>
        <v>0</v>
      </c>
      <c r="CL10" s="143">
        <f>IFERROR(INDEX('[1]SALES PERTYPE'!$AF$10:$AF$52,MATCH($C10,'[1]SALES PERTYPE'!$B$10:$B$52,0)),0)</f>
        <v>0</v>
      </c>
      <c r="CM10" s="143">
        <f>IFERROR(INDEX('[1]Sales per type juli'!$D$10:$BA$51,MATCH($C10,'[1]Sales per type juli'!$B$10:$B$51,0),MATCH("IQOO 15",'[1]Sales per type juli'!$D$8:$BA$8,0)),0)</f>
        <v>0</v>
      </c>
      <c r="CN10" s="143">
        <f t="shared" si="28"/>
        <v>0</v>
      </c>
      <c r="CO10" s="143">
        <f>IFERROR(INDEX('[1]SALES PERTYPE'!$AG$10:$AG$52,MATCH($C10,'[1]SALES PERTYPE'!$B$10:$B$52,0)),0)</f>
        <v>0</v>
      </c>
      <c r="CP10" s="143" cm="1">
        <f t="array" ref="CP10">IFERROR(INDEX('[1]Sales per type juli'!$D$10:$BA$51,MATCH($C10,'[1]Sales per type juli'!$B$10:$B$51,0),MATCH("IQOO 15",'[1]Sales per type juli'!$D$8:$BA$8,0)+1),0)</f>
        <v>0</v>
      </c>
      <c r="CQ10" s="143">
        <f t="shared" si="29"/>
        <v>0</v>
      </c>
      <c r="CR10" s="143">
        <f>IFERROR(INDEX('[1]SALES PERTYPE'!$AH$10:$AH$52,MATCH($C10,'[1]SALES PERTYPE'!$B$10:$B$52,0)),0)</f>
        <v>1</v>
      </c>
      <c r="CS10" s="143">
        <f>IFERROR(INDEX('[1]Sales per type juli'!$D$10:$BA$51,MATCH($C10,'[1]Sales per type juli'!$B$10:$B$51,0),MATCH("IQOO Z11x",'[1]Sales per type juli'!$D$8:$BA$8,0)),0)</f>
        <v>2</v>
      </c>
      <c r="CT10" s="143">
        <f t="shared" si="30"/>
        <v>-1</v>
      </c>
      <c r="CU10" s="143">
        <f>IFERROR(INDEX('[1]SALES PERTYPE'!$AI$10:$AI$52,MATCH($C10,'[1]SALES PERTYPE'!$B$10:$B$52,0)),0)</f>
        <v>5699000</v>
      </c>
      <c r="CV10" s="143" cm="1">
        <f t="array" ref="CV10">IFERROR(INDEX('[1]Sales per type juli'!$D$10:$BA$51,MATCH($C10,'[1]Sales per type juli'!$B$10:$B$51,0),MATCH("IQOO Z11x",'[1]Sales per type juli'!$D$8:$BA$8,0)+1),0)</f>
        <v>10398000</v>
      </c>
      <c r="CW10" s="143">
        <f t="shared" si="31"/>
        <v>-4699000</v>
      </c>
      <c r="CX10" s="143">
        <f>IFERROR(INDEX('[1]SALES PERTYPE'!$AJ$10:$AJ$52,MATCH($C10,'[1]SALES PERTYPE'!$B$10:$B$52,0)),0)</f>
        <v>2</v>
      </c>
      <c r="CY10" s="143">
        <f>IFERROR(INDEX('[1]Sales per type juli'!$D$10:$BA$51,MATCH($C10,'[1]Sales per type juli'!$B$10:$B$51,0),MATCH("IQOO Z11",'[1]Sales per type juli'!$D$8:$BA$8,0)),0)</f>
        <v>1</v>
      </c>
      <c r="CZ10" s="143">
        <f t="shared" si="32"/>
        <v>1</v>
      </c>
      <c r="DA10" s="143">
        <f>IFERROR(INDEX('[1]SALES PERTYPE'!$AK$10:$AK$52,MATCH($C10,'[1]SALES PERTYPE'!$B$10:$B$52,0)),0)</f>
        <v>15298000</v>
      </c>
      <c r="DB10" s="143" cm="1">
        <f t="array" ref="DB10">IFERROR(INDEX('[1]Sales per type juli'!$D$10:$BA$51,MATCH($C10,'[1]Sales per type juli'!$B$10:$B$51,0),MATCH("IQOO Z11",'[1]Sales per type juli'!$D$8:$BA$8,0)+1),0)</f>
        <v>5699000</v>
      </c>
      <c r="DC10" s="143">
        <f t="shared" si="33"/>
        <v>9599000</v>
      </c>
      <c r="DD10" s="143">
        <v>0</v>
      </c>
      <c r="DE10" s="143">
        <f>IFERROR(INDEX('[1]Sales per type juli'!$D$10:$BA$51,MATCH($C10,'[1]Sales per type juli'!$B$10:$B$51,0),MATCH("WATCH 3",'[1]Sales per type juli'!$D$8:$BA$8,0)),0)</f>
        <v>0</v>
      </c>
      <c r="DF10" s="143">
        <f t="shared" si="34"/>
        <v>0</v>
      </c>
      <c r="DG10" s="143">
        <v>0</v>
      </c>
      <c r="DH10" s="143" cm="1">
        <f t="array" ref="DH10">IFERROR(INDEX('[1]Sales per type juli'!$D$10:$BA$51,MATCH($C10,'[1]Sales per type juli'!$B$10:$B$51,0),MATCH("WATCH 3",'[1]Sales per type juli'!$D$8:$BA$8,0)+1),0)</f>
        <v>0</v>
      </c>
      <c r="DI10" s="143">
        <f t="shared" si="35"/>
        <v>0</v>
      </c>
      <c r="DJ10" s="143">
        <v>0</v>
      </c>
      <c r="DK10" s="143">
        <f>IFERROR(INDEX('[1]Sales per type juli'!$D$10:$BA$51,MATCH($C10,'[1]Sales per type juli'!$B$10:$B$51,0),MATCH("X300 Demo",'[1]Sales per type juli'!$D$8:$BA$8,0)),0)</f>
        <v>6</v>
      </c>
      <c r="DL10" s="143">
        <f t="shared" si="36"/>
        <v>-6</v>
      </c>
      <c r="DM10" s="143">
        <v>0</v>
      </c>
      <c r="DN10" s="143" cm="1">
        <f t="array" ref="DN10">IFERROR(INDEX('[1]Sales per type juli'!$D$10:$BA$51,MATCH($C10,'[1]Sales per type juli'!$B$10:$B$51,0),MATCH("X300 Demo",'[1]Sales per type juli'!$D$8:$BA$8,0)+1),0)</f>
        <v>101994000</v>
      </c>
      <c r="DO10" s="143">
        <f t="shared" si="37"/>
        <v>-101994000</v>
      </c>
      <c r="DP10" s="143">
        <v>0</v>
      </c>
      <c r="DQ10" s="143">
        <f>IFERROR(INDEX('[1]Sales per type juli'!$D$10:$BA$51,MATCH($C10,'[1]Sales per type juli'!$B$10:$B$51,0),MATCH("X300 Pro Demo",'[1]Sales per type juli'!$D$8:$BA$8,0)),0)</f>
        <v>1</v>
      </c>
      <c r="DR10" s="143">
        <f t="shared" si="38"/>
        <v>-1</v>
      </c>
      <c r="DS10" s="143">
        <v>0</v>
      </c>
      <c r="DT10" s="143" cm="1">
        <f t="array" ref="DT10">IFERROR(INDEX('[1]Sales per type juli'!$D$10:$BA$51,MATCH($C10,'[1]Sales per type juli'!$B$10:$B$51,0),MATCH("X300 Pro Demo",'[1]Sales per type juli'!$D$8:$BA$8,0)+1),0)</f>
        <v>18999000</v>
      </c>
      <c r="DU10" s="143">
        <f t="shared" si="39"/>
        <v>-18999000</v>
      </c>
      <c r="DV10" s="143">
        <v>0</v>
      </c>
      <c r="DW10" s="143">
        <f>IFERROR(INDEX('[1]Sales per type juli'!$D$10:$BA$51,MATCH($C10,'[1]Sales per type juli'!$B$10:$B$51,0),MATCH("X Fold5 DEMO",'[1]Sales per type juli'!$D$8:$BA$8,0)),0)</f>
        <v>0</v>
      </c>
      <c r="DX10" s="143">
        <f t="shared" si="40"/>
        <v>0</v>
      </c>
      <c r="DY10" s="143">
        <v>0</v>
      </c>
      <c r="DZ10" s="143" cm="1">
        <f t="array" ref="DZ10">IFERROR(INDEX('[1]Sales per type juli'!$D$10:$BA$51,MATCH($C10,'[1]Sales per type juli'!$B$10:$B$51,0),MATCH("X Fold5 DEMO",'[1]Sales per type juli'!$D$8:$BA$8,0)+1),0)</f>
        <v>0</v>
      </c>
      <c r="EA10" s="143">
        <f t="shared" si="41"/>
        <v>0</v>
      </c>
      <c r="EB10" s="143">
        <v>0</v>
      </c>
      <c r="EC10" s="143">
        <f>IFERROR(INDEX('[1]Sales per type juli'!$D$10:$BA$51,MATCH($C10,'[1]Sales per type juli'!$B$10:$B$51,0),MATCH("X Fold5",'[1]Sales per type juli'!$D$8:$BA$8,0)),0)</f>
        <v>0</v>
      </c>
      <c r="ED10" s="143">
        <f t="shared" si="42"/>
        <v>0</v>
      </c>
      <c r="EE10" s="143">
        <v>0</v>
      </c>
      <c r="EF10" s="143" cm="1">
        <f t="array" ref="EF10">IFERROR(INDEX('[1]Sales per type juli'!$D$10:$BA$51,MATCH($C10,'[1]Sales per type juli'!$B$10:$B$51,0),MATCH("X Fold5",'[1]Sales per type juli'!$D$8:$BA$8,0)+1),0)</f>
        <v>0</v>
      </c>
      <c r="EG10" s="143">
        <f t="shared" si="43"/>
        <v>0</v>
      </c>
      <c r="EH10" s="143">
        <v>0</v>
      </c>
      <c r="EI10" s="143">
        <f>IFERROR(INDEX('[1]Sales per type juli'!$D$10:$BA$51,MATCH($C10,'[1]Sales per type juli'!$B$10:$B$51,0),MATCH("IQOO 15 Demo",'[1]Sales per type juli'!$D$8:$BA$8,0)),0)</f>
        <v>3</v>
      </c>
      <c r="EJ10" s="143">
        <f t="shared" si="44"/>
        <v>-3</v>
      </c>
      <c r="EK10" s="143">
        <v>0</v>
      </c>
      <c r="EL10" s="143" cm="1">
        <f t="array" ref="EL10">IFERROR(INDEX('[1]Sales per type juli'!$D$10:$BA$51,MATCH($C10,'[1]Sales per type juli'!$B$10:$B$51,0),MATCH("IQOO 15 Demo",'[1]Sales per type juli'!$D$8:$BA$8,0)+1),0)</f>
        <v>41997000</v>
      </c>
      <c r="EM10" s="143">
        <f t="shared" si="45"/>
        <v>-41997000</v>
      </c>
      <c r="EN10" s="143">
        <v>0</v>
      </c>
      <c r="EO10" s="143">
        <f>IFERROR(INDEX('[1]Sales per type juli'!$D$10:$BA$51,MATCH($C10,'[1]Sales per type juli'!$B$10:$B$51,0),MATCH("X300 PRO",'[1]Sales per type juli'!$D$8:$BA$8,0)),0)</f>
        <v>0</v>
      </c>
      <c r="EP10" s="143">
        <f t="shared" si="46"/>
        <v>0</v>
      </c>
      <c r="EQ10" s="143">
        <v>0</v>
      </c>
      <c r="ER10" s="143" cm="1">
        <f t="array" ref="ER10">IFERROR(INDEX('[1]Sales per type juli'!$D$10:$BA$51,MATCH($C10,'[1]Sales per type juli'!$B$10:$B$51,0),MATCH("X300 PRO",'[1]Sales per type juli'!$D$8:$BA$8,0)+1),0)</f>
        <v>0</v>
      </c>
      <c r="ES10" s="143">
        <f t="shared" si="47"/>
        <v>0</v>
      </c>
      <c r="ET10" s="143">
        <v>0</v>
      </c>
      <c r="EU10" s="143">
        <f>IFERROR(INDEX('[1]Sales per type juli'!$D$10:$BA$51,MATCH($C10,'[1]Sales per type juli'!$B$10:$B$51,0),MATCH("X300 ",'[1]Sales per type juli'!$D$8:$BA$8,0)),0)</f>
        <v>0</v>
      </c>
      <c r="EV10" s="143">
        <f t="shared" si="48"/>
        <v>0</v>
      </c>
      <c r="EW10" s="143">
        <v>0</v>
      </c>
      <c r="EX10" s="143" cm="1">
        <f t="array" ref="EX10">IFERROR(INDEX('[1]Sales per type juli'!$D$10:$BA$51,MATCH($C10,'[1]Sales per type juli'!$B$10:$B$51,0),MATCH("X300 ",'[1]Sales per type juli'!$D$8:$BA$8,0)+1),0)</f>
        <v>0</v>
      </c>
      <c r="EY10" s="143">
        <f t="shared" si="49"/>
        <v>0</v>
      </c>
      <c r="EZ10" s="143">
        <f t="shared" si="50"/>
        <v>93</v>
      </c>
      <c r="FA10" s="143">
        <f t="shared" si="50"/>
        <v>99</v>
      </c>
      <c r="FB10" s="143">
        <f t="shared" si="51"/>
        <v>-6</v>
      </c>
      <c r="FC10" s="143">
        <f t="shared" si="52"/>
        <v>267507000</v>
      </c>
      <c r="FD10" s="143">
        <f t="shared" si="52"/>
        <v>427101000</v>
      </c>
      <c r="FE10" s="143">
        <f t="shared" si="53"/>
        <v>-159594000</v>
      </c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</row>
    <row r="11" spans="1:208" ht="16" x14ac:dyDescent="0.2">
      <c r="A11" s="141">
        <f>'[1]ACHIEVEMENT STORE'!A11</f>
        <v>7</v>
      </c>
      <c r="B11" s="142" t="str">
        <f>'[1]ACHIEVEMENT STORE'!B11</f>
        <v>601 雅加达西北 JKT BU</v>
      </c>
      <c r="C11" s="141">
        <f>'[1]ACHIEVEMENT STORE'!C11</f>
        <v>6020711</v>
      </c>
      <c r="D11" s="142" t="str">
        <f>'[1]ACHIEVEMENT STORE'!D11</f>
        <v>6020711-vivostore emporium</v>
      </c>
      <c r="E11" s="142" t="str">
        <f>'[1]ACHIEVEMENT STORE'!E11</f>
        <v>M KHOIRUDIN</v>
      </c>
      <c r="F11" s="143">
        <f>IFERROR(INDEX('[1]SALES PERTYPE'!$D$10:$D$52,MATCH($C11,'[1]SALES PERTYPE'!$B$10:$B$52,0)),0)</f>
        <v>9</v>
      </c>
      <c r="G11" s="143">
        <f>IFERROR(INDEX('[1]Sales per type juli'!$D$10:$BA$51,MATCH($C11,'[1]Sales per type juli'!$B$10:$B$51,0),MATCH("Y05",'[1]Sales per type juli'!$D$8:$BA$8,0)),0)</f>
        <v>25</v>
      </c>
      <c r="H11" s="143">
        <f t="shared" si="0"/>
        <v>-16</v>
      </c>
      <c r="I11" s="143">
        <f>IFERROR(INDEX('[1]SALES PERTYPE'!$E$10:$E$52,MATCH($C11,'[1]SALES PERTYPE'!$B$10:$B$52,0)),0)</f>
        <v>20991000</v>
      </c>
      <c r="J11" s="143" cm="1">
        <f t="array" ref="J11">IFERROR(INDEX('[1]Sales per type juli'!$D$10:$BA$51,MATCH($C11,'[1]Sales per type juli'!$B$10:$B$51,0),MATCH("Y05",'[1]Sales per type juli'!$D$8:$BA$8,0)+1),0)</f>
        <v>56275000</v>
      </c>
      <c r="K11" s="143">
        <f t="shared" si="1"/>
        <v>-35284000</v>
      </c>
      <c r="L11" s="143">
        <f>IFERROR(INDEX('[1]SALES PERTYPE'!$F$10:$F$52,MATCH($C11,'[1]SALES PERTYPE'!$B$10:$B$52,0)),0)</f>
        <v>13</v>
      </c>
      <c r="M11" s="143">
        <f>IFERROR(INDEX('[1]Sales per type juli'!$D$10:$BA$51,MATCH($C11,'[1]Sales per type juli'!$B$10:$B$51,0),MATCH("Y11d",'[1]Sales per type juli'!$D$8:$BA$8,0)),0)</f>
        <v>13</v>
      </c>
      <c r="N11" s="143">
        <f t="shared" si="2"/>
        <v>0</v>
      </c>
      <c r="O11" s="143">
        <f>IFERROR(INDEX('[1]SALES PERTYPE'!$G$10:$G$52,MATCH($C11,'[1]SALES PERTYPE'!$B$10:$B$52,0)),0)</f>
        <v>33187000</v>
      </c>
      <c r="P11" s="143" cm="1">
        <f t="array" ref="P11">IFERROR(INDEX('[1]Sales per type juli'!$D$10:$BA$51,MATCH($C11,'[1]Sales per type juli'!$B$10:$B$51,0),MATCH("Y11d",'[1]Sales per type juli'!$D$8:$BA$8,0)+1),0)</f>
        <v>34387000</v>
      </c>
      <c r="Q11" s="143">
        <f t="shared" si="3"/>
        <v>-1200000</v>
      </c>
      <c r="R11" s="143">
        <f>IFERROR(INDEX('[1]SALES PERTYPE'!$H$10:$H$52,MATCH($C11,'[1]SALES PERTYPE'!$B$10:$B$52,0)),0)</f>
        <v>1</v>
      </c>
      <c r="S11" s="143">
        <f>IFERROR(INDEX('[1]Sales per type juli'!$D$10:$BA$51,MATCH($C11,'[1]Sales per type juli'!$B$10:$B$51,0),MATCH("Watch GT 2",'[1]Sales per type juli'!$D$8:$BA$8,0)),0)</f>
        <v>0</v>
      </c>
      <c r="T11" s="143">
        <f t="shared" si="4"/>
        <v>1</v>
      </c>
      <c r="U11" s="143">
        <f>IFERROR(INDEX('[1]SALES PERTYPE'!$I$10:$I$52,MATCH($C11,'[1]SALES PERTYPE'!$B$10:$B$52,0)),0)</f>
        <v>1799000</v>
      </c>
      <c r="V11" s="143" cm="1">
        <f t="array" ref="V11">IFERROR(INDEX('[1]Sales per type juli'!$D$10:$BA$51,MATCH($C11,'[1]Sales per type juli'!$B$10:$B$51,0),MATCH("Watch GT 2",'[1]Sales per type juli'!$D$8:$BA$8,0)+1),0)</f>
        <v>0</v>
      </c>
      <c r="W11" s="143">
        <f t="shared" si="5"/>
        <v>1799000</v>
      </c>
      <c r="X11" s="143">
        <f>IFERROR(INDEX('[1]SALES PERTYPE'!$J$10:$J$52,MATCH($C11,'[1]SALES PERTYPE'!$B$10:$B$52,0)),0)</f>
        <v>4</v>
      </c>
      <c r="Y11" s="143">
        <f>IFERROR(INDEX('[1]Sales per type juli'!$D$10:$BA$51,MATCH($C11,'[1]Sales per type juli'!$B$10:$B$51,0),MATCH("Y05e",'[1]Sales per type juli'!$D$8:$BA$8,0)),0)</f>
        <v>0</v>
      </c>
      <c r="Z11" s="143">
        <f t="shared" si="6"/>
        <v>4</v>
      </c>
      <c r="AA11" s="143">
        <f>IFERROR(INDEX('[1]SALES PERTYPE'!$K$10:$K$52,MATCH($C11,'[1]SALES PERTYPE'!$B$10:$B$52,0)),0)</f>
        <v>8396000</v>
      </c>
      <c r="AB11" s="143" cm="1">
        <f t="array" ref="AB11">IFERROR(INDEX('[1]Sales per type juli'!$D$10:$BA$51,MATCH($C11,'[1]Sales per type juli'!$B$10:$B$51,0),MATCH("Y05e",'[1]Sales per type juli'!$D$8:$BA$8,0)+1),0)</f>
        <v>0</v>
      </c>
      <c r="AC11" s="143">
        <f t="shared" si="7"/>
        <v>8396000</v>
      </c>
      <c r="AD11" s="143">
        <f>IFERROR(INDEX('[1]SALES PERTYPE'!$L$10:$L$52,MATCH($C11,'[1]SALES PERTYPE'!$B$10:$B$52,0)),0)</f>
        <v>4</v>
      </c>
      <c r="AE11" s="143">
        <f>IFERROR(INDEX('[1]Sales per type juli'!$D$10:$BA$51,MATCH($C11,'[1]Sales per type juli'!$B$10:$B$51,0),MATCH("V70",'[1]Sales per type juli'!$D$8:$BA$8,0)),0)</f>
        <v>8</v>
      </c>
      <c r="AF11" s="143">
        <f t="shared" si="8"/>
        <v>-4</v>
      </c>
      <c r="AG11" s="143">
        <f>IFERROR(INDEX('[1]SALES PERTYPE'!$M$10:$M$52,MATCH($C11,'[1]SALES PERTYPE'!$B$10:$B$52,0)),0)</f>
        <v>39996000</v>
      </c>
      <c r="AH11" s="143" cm="1">
        <f t="array" ref="AH11">IFERROR(INDEX('[1]Sales per type juli'!$D$10:$BA$51,MATCH($C11,'[1]Sales per type juli'!$B$10:$B$51,0),MATCH("V70",'[1]Sales per type juli'!$D$8:$BA$8,0)+1),0)</f>
        <v>73992000</v>
      </c>
      <c r="AI11" s="143">
        <f t="shared" si="9"/>
        <v>-33996000</v>
      </c>
      <c r="AJ11" s="143">
        <f>IFERROR(INDEX('[1]SALES PERTYPE'!$N$10:$N$52,MATCH($C11,'[1]SALES PERTYPE'!$B$10:$B$52,0)),0)</f>
        <v>9</v>
      </c>
      <c r="AK11" s="143">
        <f>IFERROR(INDEX('[1]Sales per type juli'!$D$10:$BA$51,MATCH($C11,'[1]Sales per type juli'!$B$10:$B$51,0),MATCH("Y31d Pro",'[1]Sales per type juli'!$D$8:$BA$8,0)),0)</f>
        <v>7</v>
      </c>
      <c r="AL11" s="143">
        <f t="shared" si="10"/>
        <v>2</v>
      </c>
      <c r="AM11" s="143">
        <f>IFERROR(INDEX('[1]SALES PERTYPE'!$O$10:$O$52,MATCH($C11,'[1]SALES PERTYPE'!$B$10:$B$52,0)),0)</f>
        <v>40491000</v>
      </c>
      <c r="AN11" s="143" cm="1">
        <f t="array" ref="AN11">IFERROR(INDEX('[1]Sales per type juli'!$D$10:$BA$51,MATCH($C11,'[1]Sales per type juli'!$B$10:$B$51,0),MATCH("Y31d Pro",'[1]Sales per type juli'!$D$8:$BA$8,0)+1),0)</f>
        <v>29093000</v>
      </c>
      <c r="AO11" s="143">
        <f t="shared" si="11"/>
        <v>11398000</v>
      </c>
      <c r="AP11" s="143">
        <f>IFERROR(INDEX('[1]SALES PERTYPE'!$P$10:$P$52,MATCH($C11,'[1]SALES PERTYPE'!$B$10:$B$52,0)),0)</f>
        <v>0</v>
      </c>
      <c r="AQ11" s="143" cm="1">
        <f t="array" ref="AQ11">IFERROR(INDEX('[1]Sales per type juli'!$D$10:$BA$51,MATCH($C11,'[1]Sales per type juli'!$B$10:$B$51,0),$FG$2),0)</f>
        <v>0</v>
      </c>
      <c r="AR11" s="143">
        <f t="shared" si="12"/>
        <v>0</v>
      </c>
      <c r="AS11" s="143">
        <f>IFERROR(INDEX('[1]SALES PERTYPE'!$Q$10:$Q$52,MATCH($C11,'[1]SALES PERTYPE'!$B$10:$B$52,0)),0)</f>
        <v>0</v>
      </c>
      <c r="AT11" s="143" cm="1">
        <f t="array" ref="AT11">IFERROR(INDEX('[1]Sales per type juli'!$D$10:$BA$51,MATCH($C11,'[1]Sales per type juli'!$B$10:$B$51,0),$FG$2+1),0)</f>
        <v>0</v>
      </c>
      <c r="AU11" s="143">
        <f t="shared" si="13"/>
        <v>0</v>
      </c>
      <c r="AV11" s="143">
        <f>IFERROR(INDEX('[1]SALES PERTYPE'!$R$10:$R$52,MATCH($C11,'[1]SALES PERTYPE'!$B$10:$B$52,0)),0)</f>
        <v>2</v>
      </c>
      <c r="AW11" s="143">
        <f>IFERROR(INDEX('[1]Sales per type juli'!$D$10:$BA$51,MATCH($C11,'[1]Sales per type juli'!$B$10:$B$51,0),MATCH("Y31d ",'[1]Sales per type juli'!$D$8:$BA$8,0)),0)</f>
        <v>1</v>
      </c>
      <c r="AX11" s="143">
        <f t="shared" si="14"/>
        <v>1</v>
      </c>
      <c r="AY11" s="143">
        <f>IFERROR(INDEX('[1]SALES PERTYPE'!$S$10:$S$52,MATCH($C11,'[1]SALES PERTYPE'!$B$10:$B$52,0)),0)</f>
        <v>7198000</v>
      </c>
      <c r="AZ11" s="143" cm="1">
        <f t="array" ref="AZ11">IFERROR(INDEX('[1]Sales per type juli'!$D$10:$BA$51,MATCH($C11,'[1]Sales per type juli'!$B$10:$B$51,0),MATCH("Y31d ",'[1]Sales per type juli'!$D$8:$BA$8,0)+1),0)</f>
        <v>3599000</v>
      </c>
      <c r="BA11" s="143">
        <f t="shared" si="15"/>
        <v>3599000</v>
      </c>
      <c r="BB11" s="143">
        <f>IFERROR(INDEX('[1]SALES PERTYPE'!$T$10:$T$52,MATCH($C11,'[1]SALES PERTYPE'!$B$10:$B$52,0)),0)</f>
        <v>10</v>
      </c>
      <c r="BC11" s="143">
        <f>IFERROR(INDEX('[1]Sales per type juli'!$D$10:$BA$51,MATCH($C11,'[1]Sales per type juli'!$B$10:$B$51,0),MATCH("V70 FE",'[1]Sales per type juli'!$D$8:$BA$8,0)),0)</f>
        <v>11</v>
      </c>
      <c r="BD11" s="143">
        <f t="shared" si="16"/>
        <v>-1</v>
      </c>
      <c r="BE11" s="143">
        <f>IFERROR(INDEX('[1]SALES PERTYPE'!$U$10:$U$52,MATCH($C11,'[1]SALES PERTYPE'!$B$10:$B$52,0)),0)</f>
        <v>77490000</v>
      </c>
      <c r="BF11" s="143" cm="1">
        <f t="array" ref="BF11">IFERROR(INDEX('[1]Sales per type juli'!$D$10:$BA$51,MATCH($C11,'[1]Sales per type juli'!$B$10:$B$51,0),MATCH("V70 FE",'[1]Sales per type juli'!$D$8:$BA$8,0)+1),0)</f>
        <v>73589000</v>
      </c>
      <c r="BG11" s="143">
        <f t="shared" si="17"/>
        <v>3901000</v>
      </c>
      <c r="BH11" s="143">
        <f>IFERROR(INDEX('[1]SALES PERTYPE'!$V$10:$V$52,MATCH($C11,'[1]SALES PERTYPE'!$B$10:$B$52,0)),0)</f>
        <v>0</v>
      </c>
      <c r="BI11" s="143">
        <f>IFERROR(INDEX('[1]Sales per type juli'!$D$10:$BA$51,MATCH($C11,'[1]Sales per type juli'!$B$10:$B$51,0),MATCH("Y31d",'[1]Sales per type juli'!$D$8:$BA$8,0)),0)</f>
        <v>2</v>
      </c>
      <c r="BJ11" s="143">
        <f t="shared" si="18"/>
        <v>-2</v>
      </c>
      <c r="BK11" s="143">
        <f>IFERROR(INDEX('[1]SALES PERTYPE'!$W$10:$W$52,MATCH($C11,'[1]SALES PERTYPE'!$B$10:$B$52,0)),0)</f>
        <v>0</v>
      </c>
      <c r="BL11" s="143" cm="1">
        <f t="array" ref="BL11">IFERROR(INDEX('[1]Sales per type juli'!$D$10:$BA$51,MATCH($C11,'[1]Sales per type juli'!$B$10:$B$51,0),MATCH("Y31d",'[1]Sales per type juli'!$D$8:$BA$8,0)+1),0)</f>
        <v>7198000</v>
      </c>
      <c r="BM11" s="143">
        <f t="shared" si="19"/>
        <v>-7198000</v>
      </c>
      <c r="BN11" s="143">
        <f>IFERROR(INDEX('[1]SALES PERTYPE'!$X$10:$X$52,MATCH($C11,'[1]SALES PERTYPE'!$B$10:$B$52,0)),0)</f>
        <v>2</v>
      </c>
      <c r="BO11" s="143">
        <f>IFERROR(INDEX('[1]Sales per type juli'!$D$10:$BA$51,MATCH($C11,'[1]Sales per type juli'!$B$10:$B$51,0),MATCH("Y500",'[1]Sales per type juli'!$D$8:$BA$8,0)),0)</f>
        <v>0</v>
      </c>
      <c r="BP11" s="143">
        <f t="shared" si="20"/>
        <v>2</v>
      </c>
      <c r="BQ11" s="143">
        <f>IFERROR(INDEX('[1]SALES PERTYPE'!$Y$10:$Y$52,MATCH($C11,'[1]SALES PERTYPE'!$B$10:$B$52,0)),0)</f>
        <v>10998000</v>
      </c>
      <c r="BR11" s="143" cm="1">
        <f t="array" ref="BR11">IFERROR(INDEX('[1]Sales per type juli'!$D$10:$BA$51,MATCH($C11,'[1]Sales per type juli'!$B$10:$B$51,0),MATCH("Y500",'[1]Sales per type juli'!$D$8:$BA$8,0)+1),0)</f>
        <v>0</v>
      </c>
      <c r="BS11" s="143">
        <f t="shared" si="21"/>
        <v>10998000</v>
      </c>
      <c r="BT11" s="143">
        <f>IFERROR(INDEX('[1]SALES PERTYPE'!$Z$10:$Z$52,MATCH($C11,'[1]SALES PERTYPE'!$B$10:$B$52,0)),0)</f>
        <v>3</v>
      </c>
      <c r="BU11" s="143">
        <f>IFERROR(INDEX('[1]Sales per type juli'!$D$10:$BA$51,MATCH($C11,'[1]Sales per type juli'!$B$10:$B$51,0),MATCH("IQOO 15R",'[1]Sales per type juli'!$D$8:$BA$8,0)),0)</f>
        <v>2</v>
      </c>
      <c r="BV11" s="143">
        <f t="shared" si="22"/>
        <v>1</v>
      </c>
      <c r="BW11" s="143">
        <f>IFERROR(INDEX('[1]SALES PERTYPE'!$AA$10:$AA$52,MATCH($C11,'[1]SALES PERTYPE'!$B$10:$B$52,0)),0)</f>
        <v>35997000</v>
      </c>
      <c r="BX11" s="143" cm="1">
        <f t="array" ref="BX11">IFERROR(INDEX('[1]Sales per type juli'!$D$10:$BA$51,MATCH($C11,'[1]Sales per type juli'!$B$10:$B$51,0),MATCH("IQOO 15R",'[1]Sales per type juli'!$D$8:$BA$8,0)+1),0)</f>
        <v>19798000</v>
      </c>
      <c r="BY11" s="143">
        <f t="shared" si="23"/>
        <v>16199000</v>
      </c>
      <c r="BZ11" s="143">
        <f>IFERROR(INDEX('[1]SALES PERTYPE'!$AB$10:$AB$52,MATCH($C11,'[1]SALES PERTYPE'!$B$10:$B$52,0)),0)</f>
        <v>4</v>
      </c>
      <c r="CA11" s="143">
        <f>IFERROR(INDEX('[1]Sales per type juli'!$D$10:$BA$51,MATCH($C11,'[1]Sales per type juli'!$B$10:$B$51,0),MATCH("V60 Lite",'[1]Sales per type juli'!$D$8:$BA$8,0)),0)</f>
        <v>6</v>
      </c>
      <c r="CB11" s="143">
        <f t="shared" si="24"/>
        <v>-2</v>
      </c>
      <c r="CC11" s="143">
        <f>IFERROR(INDEX('[1]SALES PERTYPE'!$AC$10:$AC$52,MATCH($C11,'[1]SALES PERTYPE'!$B$10:$B$52,0)),0)</f>
        <v>23596000</v>
      </c>
      <c r="CD11" s="143" cm="1">
        <f t="array" ref="CD11">IFERROR(INDEX('[1]Sales per type juli'!$D$10:$BA$51,MATCH($C11,'[1]Sales per type juli'!$B$10:$B$51,0),MATCH("V60 Lite",'[1]Sales per type juli'!$D$8:$BA$8,0)+1),0)</f>
        <v>34594000</v>
      </c>
      <c r="CE11" s="143">
        <f t="shared" si="25"/>
        <v>-10998000</v>
      </c>
      <c r="CF11" s="143">
        <f>IFERROR(INDEX('[1]SALES PERTYPE'!$AD$10:$AD$52,MATCH($C11,'[1]SALES PERTYPE'!$B$10:$B$52,0)),0)</f>
        <v>5</v>
      </c>
      <c r="CG11" s="143">
        <f>IFERROR(INDEX('[1]Sales per type juli'!$D$10:$BA$51,MATCH($C11,'[1]Sales per type juli'!$B$10:$B$51,0),MATCH("X300 Ultra",'[1]Sales per type juli'!$D$8:$BA$8,0)),0)</f>
        <v>1</v>
      </c>
      <c r="CH11" s="143">
        <f t="shared" si="26"/>
        <v>4</v>
      </c>
      <c r="CI11" s="143">
        <f>IFERROR(INDEX('[1]SALES PERTYPE'!$AE$10:$AE$52,MATCH($C11,'[1]SALES PERTYPE'!$B$10:$B$52,0)),0)</f>
        <v>133995000</v>
      </c>
      <c r="CJ11" s="143" cm="1">
        <f t="array" ref="CJ11">IFERROR(INDEX('[1]Sales per type juli'!$D$10:$BA$51,MATCH($C11,'[1]Sales per type juli'!$B$10:$B$51,0),MATCH("X300 Ultra",'[1]Sales per type juli'!$D$8:$BA$8,0)+1),0)</f>
        <v>25999000</v>
      </c>
      <c r="CK11" s="143">
        <f t="shared" si="27"/>
        <v>107996000</v>
      </c>
      <c r="CL11" s="143">
        <f>IFERROR(INDEX('[1]SALES PERTYPE'!$AF$10:$AF$52,MATCH($C11,'[1]SALES PERTYPE'!$B$10:$B$52,0)),0)</f>
        <v>0</v>
      </c>
      <c r="CM11" s="143">
        <f>IFERROR(INDEX('[1]Sales per type juli'!$D$10:$BA$51,MATCH($C11,'[1]Sales per type juli'!$B$10:$B$51,0),MATCH("IQOO 15",'[1]Sales per type juli'!$D$8:$BA$8,0)),0)</f>
        <v>3</v>
      </c>
      <c r="CN11" s="143">
        <f t="shared" si="28"/>
        <v>-3</v>
      </c>
      <c r="CO11" s="143">
        <f>IFERROR(INDEX('[1]SALES PERTYPE'!$AG$10:$AG$52,MATCH($C11,'[1]SALES PERTYPE'!$B$10:$B$52,0)),0)</f>
        <v>0</v>
      </c>
      <c r="CP11" s="143" cm="1">
        <f t="array" ref="CP11">IFERROR(INDEX('[1]Sales per type juli'!$D$10:$BA$51,MATCH($C11,'[1]Sales per type juli'!$B$10:$B$51,0),MATCH("IQOO 15",'[1]Sales per type juli'!$D$8:$BA$8,0)+1),0)</f>
        <v>43997000</v>
      </c>
      <c r="CQ11" s="143">
        <f t="shared" si="29"/>
        <v>-43997000</v>
      </c>
      <c r="CR11" s="143">
        <f>IFERROR(INDEX('[1]SALES PERTYPE'!$AH$10:$AH$52,MATCH($C11,'[1]SALES PERTYPE'!$B$10:$B$52,0)),0)</f>
        <v>0</v>
      </c>
      <c r="CS11" s="143">
        <f>IFERROR(INDEX('[1]Sales per type juli'!$D$10:$BA$51,MATCH($C11,'[1]Sales per type juli'!$B$10:$B$51,0),MATCH("IQOO Z11x",'[1]Sales per type juli'!$D$8:$BA$8,0)),0)</f>
        <v>3</v>
      </c>
      <c r="CT11" s="143">
        <f t="shared" si="30"/>
        <v>-3</v>
      </c>
      <c r="CU11" s="143">
        <f>IFERROR(INDEX('[1]SALES PERTYPE'!$AI$10:$AI$52,MATCH($C11,'[1]SALES PERTYPE'!$B$10:$B$52,0)),0)</f>
        <v>0</v>
      </c>
      <c r="CV11" s="143" cm="1">
        <f t="array" ref="CV11">IFERROR(INDEX('[1]Sales per type juli'!$D$10:$BA$51,MATCH($C11,'[1]Sales per type juli'!$B$10:$B$51,0),MATCH("IQOO Z11x",'[1]Sales per type juli'!$D$8:$BA$8,0)+1),0)</f>
        <v>15997000</v>
      </c>
      <c r="CW11" s="143">
        <f t="shared" si="31"/>
        <v>-15997000</v>
      </c>
      <c r="CX11" s="143">
        <f>IFERROR(INDEX('[1]SALES PERTYPE'!$AJ$10:$AJ$52,MATCH($C11,'[1]SALES PERTYPE'!$B$10:$B$52,0)),0)</f>
        <v>3</v>
      </c>
      <c r="CY11" s="143">
        <f>IFERROR(INDEX('[1]Sales per type juli'!$D$10:$BA$51,MATCH($C11,'[1]Sales per type juli'!$B$10:$B$51,0),MATCH("IQOO Z11",'[1]Sales per type juli'!$D$8:$BA$8,0)),0)</f>
        <v>1</v>
      </c>
      <c r="CZ11" s="143">
        <f t="shared" si="32"/>
        <v>2</v>
      </c>
      <c r="DA11" s="143">
        <f>IFERROR(INDEX('[1]SALES PERTYPE'!$AK$10:$AK$52,MATCH($C11,'[1]SALES PERTYPE'!$B$10:$B$52,0)),0)</f>
        <v>20697000</v>
      </c>
      <c r="DB11" s="143" cm="1">
        <f t="array" ref="DB11">IFERROR(INDEX('[1]Sales per type juli'!$D$10:$BA$51,MATCH($C11,'[1]Sales per type juli'!$B$10:$B$51,0),MATCH("IQOO Z11",'[1]Sales per type juli'!$D$8:$BA$8,0)+1),0)</f>
        <v>6699000</v>
      </c>
      <c r="DC11" s="143">
        <f t="shared" si="33"/>
        <v>13998000</v>
      </c>
      <c r="DD11" s="143">
        <v>0</v>
      </c>
      <c r="DE11" s="143">
        <f>IFERROR(INDEX('[1]Sales per type juli'!$D$10:$BA$51,MATCH($C11,'[1]Sales per type juli'!$B$10:$B$51,0),MATCH("WATCH 3",'[1]Sales per type juli'!$D$8:$BA$8,0)),0)</f>
        <v>0</v>
      </c>
      <c r="DF11" s="143">
        <f t="shared" si="34"/>
        <v>0</v>
      </c>
      <c r="DG11" s="143">
        <v>0</v>
      </c>
      <c r="DH11" s="143" cm="1">
        <f t="array" ref="DH11">IFERROR(INDEX('[1]Sales per type juli'!$D$10:$BA$51,MATCH($C11,'[1]Sales per type juli'!$B$10:$B$51,0),MATCH("WATCH 3",'[1]Sales per type juli'!$D$8:$BA$8,0)+1),0)</f>
        <v>0</v>
      </c>
      <c r="DI11" s="143">
        <f t="shared" si="35"/>
        <v>0</v>
      </c>
      <c r="DJ11" s="143">
        <v>0</v>
      </c>
      <c r="DK11" s="143">
        <f>IFERROR(INDEX('[1]Sales per type juli'!$D$10:$BA$51,MATCH($C11,'[1]Sales per type juli'!$B$10:$B$51,0),MATCH("X300 Demo",'[1]Sales per type juli'!$D$8:$BA$8,0)),0)</f>
        <v>3</v>
      </c>
      <c r="DL11" s="143">
        <f t="shared" si="36"/>
        <v>-3</v>
      </c>
      <c r="DM11" s="143">
        <v>0</v>
      </c>
      <c r="DN11" s="143" cm="1">
        <f t="array" ref="DN11">IFERROR(INDEX('[1]Sales per type juli'!$D$10:$BA$51,MATCH($C11,'[1]Sales per type juli'!$B$10:$B$51,0),MATCH("X300 Demo",'[1]Sales per type juli'!$D$8:$BA$8,0)+1),0)</f>
        <v>48997000</v>
      </c>
      <c r="DO11" s="143">
        <f t="shared" si="37"/>
        <v>-48997000</v>
      </c>
      <c r="DP11" s="143">
        <v>0</v>
      </c>
      <c r="DQ11" s="143">
        <f>IFERROR(INDEX('[1]Sales per type juli'!$D$10:$BA$51,MATCH($C11,'[1]Sales per type juli'!$B$10:$B$51,0),MATCH("X300 Pro Demo",'[1]Sales per type juli'!$D$8:$BA$8,0)),0)</f>
        <v>1</v>
      </c>
      <c r="DR11" s="143">
        <f t="shared" si="38"/>
        <v>-1</v>
      </c>
      <c r="DS11" s="143">
        <v>0</v>
      </c>
      <c r="DT11" s="143" cm="1">
        <f t="array" ref="DT11">IFERROR(INDEX('[1]Sales per type juli'!$D$10:$BA$51,MATCH($C11,'[1]Sales per type juli'!$B$10:$B$51,0),MATCH("X300 Pro Demo",'[1]Sales per type juli'!$D$8:$BA$8,0)+1),0)</f>
        <v>18999000</v>
      </c>
      <c r="DU11" s="143">
        <f t="shared" si="39"/>
        <v>-18999000</v>
      </c>
      <c r="DV11" s="143">
        <v>0</v>
      </c>
      <c r="DW11" s="143">
        <f>IFERROR(INDEX('[1]Sales per type juli'!$D$10:$BA$51,MATCH($C11,'[1]Sales per type juli'!$B$10:$B$51,0),MATCH("X Fold5 DEMO",'[1]Sales per type juli'!$D$8:$BA$8,0)),0)</f>
        <v>1</v>
      </c>
      <c r="DX11" s="143">
        <f t="shared" si="40"/>
        <v>-1</v>
      </c>
      <c r="DY11" s="143">
        <v>0</v>
      </c>
      <c r="DZ11" s="143" cm="1">
        <f t="array" ref="DZ11">IFERROR(INDEX('[1]Sales per type juli'!$D$10:$BA$51,MATCH($C11,'[1]Sales per type juli'!$B$10:$B$51,0),MATCH("X Fold5 DEMO",'[1]Sales per type juli'!$D$8:$BA$8,0)+1),0)</f>
        <v>24999000</v>
      </c>
      <c r="EA11" s="143">
        <f t="shared" si="41"/>
        <v>-24999000</v>
      </c>
      <c r="EB11" s="143">
        <v>0</v>
      </c>
      <c r="EC11" s="143">
        <f>IFERROR(INDEX('[1]Sales per type juli'!$D$10:$BA$51,MATCH($C11,'[1]Sales per type juli'!$B$10:$B$51,0),MATCH("X Fold5",'[1]Sales per type juli'!$D$8:$BA$8,0)),0)</f>
        <v>0</v>
      </c>
      <c r="ED11" s="143">
        <f t="shared" si="42"/>
        <v>0</v>
      </c>
      <c r="EE11" s="143">
        <v>0</v>
      </c>
      <c r="EF11" s="143" cm="1">
        <f t="array" ref="EF11">IFERROR(INDEX('[1]Sales per type juli'!$D$10:$BA$51,MATCH($C11,'[1]Sales per type juli'!$B$10:$B$51,0),MATCH("X Fold5",'[1]Sales per type juli'!$D$8:$BA$8,0)+1),0)</f>
        <v>0</v>
      </c>
      <c r="EG11" s="143">
        <f t="shared" si="43"/>
        <v>0</v>
      </c>
      <c r="EH11" s="143">
        <v>0</v>
      </c>
      <c r="EI11" s="143">
        <f>IFERROR(INDEX('[1]Sales per type juli'!$D$10:$BA$51,MATCH($C11,'[1]Sales per type juli'!$B$10:$B$51,0),MATCH("IQOO 15 Demo",'[1]Sales per type juli'!$D$8:$BA$8,0)),0)</f>
        <v>1</v>
      </c>
      <c r="EJ11" s="143">
        <f t="shared" si="44"/>
        <v>-1</v>
      </c>
      <c r="EK11" s="143">
        <v>0</v>
      </c>
      <c r="EL11" s="143" cm="1">
        <f t="array" ref="EL11">IFERROR(INDEX('[1]Sales per type juli'!$D$10:$BA$51,MATCH($C11,'[1]Sales per type juli'!$B$10:$B$51,0),MATCH("IQOO 15 Demo",'[1]Sales per type juli'!$D$8:$BA$8,0)+1),0)</f>
        <v>13999000</v>
      </c>
      <c r="EM11" s="143">
        <f t="shared" si="45"/>
        <v>-13999000</v>
      </c>
      <c r="EN11" s="143">
        <v>0</v>
      </c>
      <c r="EO11" s="143">
        <f>IFERROR(INDEX('[1]Sales per type juli'!$D$10:$BA$51,MATCH($C11,'[1]Sales per type juli'!$B$10:$B$51,0),MATCH("X300 PRO",'[1]Sales per type juli'!$D$8:$BA$8,0)),0)</f>
        <v>0</v>
      </c>
      <c r="EP11" s="143">
        <f t="shared" si="46"/>
        <v>0</v>
      </c>
      <c r="EQ11" s="143">
        <v>0</v>
      </c>
      <c r="ER11" s="143" cm="1">
        <f t="array" ref="ER11">IFERROR(INDEX('[1]Sales per type juli'!$D$10:$BA$51,MATCH($C11,'[1]Sales per type juli'!$B$10:$B$51,0),MATCH("X300 PRO",'[1]Sales per type juli'!$D$8:$BA$8,0)+1),0)</f>
        <v>0</v>
      </c>
      <c r="ES11" s="143">
        <f t="shared" si="47"/>
        <v>0</v>
      </c>
      <c r="ET11" s="143">
        <v>0</v>
      </c>
      <c r="EU11" s="143">
        <f>IFERROR(INDEX('[1]Sales per type juli'!$D$10:$BA$51,MATCH($C11,'[1]Sales per type juli'!$B$10:$B$51,0),MATCH("X300 ",'[1]Sales per type juli'!$D$8:$BA$8,0)),0)</f>
        <v>1</v>
      </c>
      <c r="EV11" s="143">
        <f t="shared" si="48"/>
        <v>-1</v>
      </c>
      <c r="EW11" s="143">
        <v>0</v>
      </c>
      <c r="EX11" s="143" cm="1">
        <f t="array" ref="EX11">IFERROR(INDEX('[1]Sales per type juli'!$D$10:$BA$51,MATCH($C11,'[1]Sales per type juli'!$B$10:$B$51,0),MATCH("X300 ",'[1]Sales per type juli'!$D$8:$BA$8,0)+1),0)</f>
        <v>14999000</v>
      </c>
      <c r="EY11" s="143">
        <f t="shared" si="49"/>
        <v>-14999000</v>
      </c>
      <c r="EZ11" s="143">
        <f t="shared" si="50"/>
        <v>69</v>
      </c>
      <c r="FA11" s="143">
        <f t="shared" si="50"/>
        <v>90</v>
      </c>
      <c r="FB11" s="143">
        <f t="shared" si="51"/>
        <v>-21</v>
      </c>
      <c r="FC11" s="143">
        <f t="shared" si="52"/>
        <v>454831000</v>
      </c>
      <c r="FD11" s="143">
        <f t="shared" si="52"/>
        <v>547210000</v>
      </c>
      <c r="FE11" s="143">
        <f t="shared" si="53"/>
        <v>-92379000</v>
      </c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</row>
    <row r="12" spans="1:208" ht="16" x14ac:dyDescent="0.2">
      <c r="A12" s="144">
        <f>'[1]ACHIEVEMENT STORE'!A12</f>
        <v>8</v>
      </c>
      <c r="B12" s="145" t="str">
        <f>'[1]ACHIEVEMENT STORE'!B12</f>
        <v>601 雅加达西北 JKT BU</v>
      </c>
      <c r="C12" s="144">
        <f>'[1]ACHIEVEMENT STORE'!C12</f>
        <v>6010711</v>
      </c>
      <c r="D12" s="145" t="str">
        <f>'[1]ACHIEVEMENT STORE'!D12</f>
        <v>6010711-LIPPO MALL PURI 1FK02</v>
      </c>
      <c r="E12" s="145" t="str">
        <f>'[1]ACHIEVEMENT STORE'!E12</f>
        <v>HERRU ILYASA</v>
      </c>
      <c r="F12" s="143">
        <f>IFERROR(INDEX('[1]SALES PERTYPE'!$D$10:$D$52,MATCH($C12,'[1]SALES PERTYPE'!$B$10:$B$52,0)),0)</f>
        <v>6</v>
      </c>
      <c r="G12" s="143">
        <f>IFERROR(INDEX('[1]Sales per type juli'!$D$10:$BA$51,MATCH($C12,'[1]Sales per type juli'!$B$10:$B$51,0),MATCH("Y05",'[1]Sales per type juli'!$D$8:$BA$8,0)),0)</f>
        <v>3</v>
      </c>
      <c r="H12" s="143">
        <f t="shared" si="0"/>
        <v>3</v>
      </c>
      <c r="I12" s="143">
        <f>IFERROR(INDEX('[1]SALES PERTYPE'!$E$10:$E$52,MATCH($C12,'[1]SALES PERTYPE'!$B$10:$B$52,0)),0)</f>
        <v>14394000</v>
      </c>
      <c r="J12" s="143" cm="1">
        <f t="array" ref="J12">IFERROR(INDEX('[1]Sales per type juli'!$D$10:$BA$51,MATCH($C12,'[1]Sales per type juli'!$B$10:$B$51,0),MATCH("Y05",'[1]Sales per type juli'!$D$8:$BA$8,0)+1),0)</f>
        <v>6897000</v>
      </c>
      <c r="K12" s="143">
        <f t="shared" si="1"/>
        <v>7497000</v>
      </c>
      <c r="L12" s="143">
        <f>IFERROR(INDEX('[1]SALES PERTYPE'!$F$10:$F$52,MATCH($C12,'[1]SALES PERTYPE'!$B$10:$B$52,0)),0)</f>
        <v>8</v>
      </c>
      <c r="M12" s="143">
        <f>IFERROR(INDEX('[1]Sales per type juli'!$D$10:$BA$51,MATCH($C12,'[1]Sales per type juli'!$B$10:$B$51,0),MATCH("Y11d",'[1]Sales per type juli'!$D$8:$BA$8,0)),0)</f>
        <v>5</v>
      </c>
      <c r="N12" s="143">
        <f t="shared" si="2"/>
        <v>3</v>
      </c>
      <c r="O12" s="143">
        <f>IFERROR(INDEX('[1]SALES PERTYPE'!$G$10:$G$52,MATCH($C12,'[1]SALES PERTYPE'!$B$10:$B$52,0)),0)</f>
        <v>21192000</v>
      </c>
      <c r="P12" s="143" cm="1">
        <f t="array" ref="P12">IFERROR(INDEX('[1]Sales per type juli'!$D$10:$BA$51,MATCH($C12,'[1]Sales per type juli'!$B$10:$B$51,0),MATCH("Y11d",'[1]Sales per type juli'!$D$8:$BA$8,0)+1),0)</f>
        <v>13595000</v>
      </c>
      <c r="Q12" s="143">
        <f t="shared" si="3"/>
        <v>7597000</v>
      </c>
      <c r="R12" s="143">
        <f>IFERROR(INDEX('[1]SALES PERTYPE'!$H$10:$H$52,MATCH($C12,'[1]SALES PERTYPE'!$B$10:$B$52,0)),0)</f>
        <v>0</v>
      </c>
      <c r="S12" s="143">
        <f>IFERROR(INDEX('[1]Sales per type juli'!$D$10:$BA$51,MATCH($C12,'[1]Sales per type juli'!$B$10:$B$51,0),MATCH("Watch GT 2",'[1]Sales per type juli'!$D$8:$BA$8,0)),0)</f>
        <v>0</v>
      </c>
      <c r="T12" s="143">
        <f t="shared" si="4"/>
        <v>0</v>
      </c>
      <c r="U12" s="143">
        <f>IFERROR(INDEX('[1]SALES PERTYPE'!$I$10:$I$52,MATCH($C12,'[1]SALES PERTYPE'!$B$10:$B$52,0)),0)</f>
        <v>0</v>
      </c>
      <c r="V12" s="143" cm="1">
        <f t="array" ref="V12">IFERROR(INDEX('[1]Sales per type juli'!$D$10:$BA$51,MATCH($C12,'[1]Sales per type juli'!$B$10:$B$51,0),MATCH("Watch GT 2",'[1]Sales per type juli'!$D$8:$BA$8,0)+1),0)</f>
        <v>0</v>
      </c>
      <c r="W12" s="143">
        <f t="shared" si="5"/>
        <v>0</v>
      </c>
      <c r="X12" s="143">
        <f>IFERROR(INDEX('[1]SALES PERTYPE'!$J$10:$J$52,MATCH($C12,'[1]SALES PERTYPE'!$B$10:$B$52,0)),0)</f>
        <v>3</v>
      </c>
      <c r="Y12" s="143">
        <f>IFERROR(INDEX('[1]Sales per type juli'!$D$10:$BA$51,MATCH($C12,'[1]Sales per type juli'!$B$10:$B$51,0),MATCH("Y05e",'[1]Sales per type juli'!$D$8:$BA$8,0)),0)</f>
        <v>0</v>
      </c>
      <c r="Z12" s="143">
        <f t="shared" si="6"/>
        <v>3</v>
      </c>
      <c r="AA12" s="143">
        <f>IFERROR(INDEX('[1]SALES PERTYPE'!$K$10:$K$52,MATCH($C12,'[1]SALES PERTYPE'!$B$10:$B$52,0)),0)</f>
        <v>6297000</v>
      </c>
      <c r="AB12" s="143" cm="1">
        <f t="array" ref="AB12">IFERROR(INDEX('[1]Sales per type juli'!$D$10:$BA$51,MATCH($C12,'[1]Sales per type juli'!$B$10:$B$51,0),MATCH("Y05e",'[1]Sales per type juli'!$D$8:$BA$8,0)+1),0)</f>
        <v>0</v>
      </c>
      <c r="AC12" s="143">
        <f t="shared" si="7"/>
        <v>6297000</v>
      </c>
      <c r="AD12" s="143">
        <f>IFERROR(INDEX('[1]SALES PERTYPE'!$L$10:$L$52,MATCH($C12,'[1]SALES PERTYPE'!$B$10:$B$52,0)),0)</f>
        <v>1</v>
      </c>
      <c r="AE12" s="143">
        <f>IFERROR(INDEX('[1]Sales per type juli'!$D$10:$BA$51,MATCH($C12,'[1]Sales per type juli'!$B$10:$B$51,0),MATCH("V70",'[1]Sales per type juli'!$D$8:$BA$8,0)),0)</f>
        <v>1</v>
      </c>
      <c r="AF12" s="143">
        <f t="shared" si="8"/>
        <v>0</v>
      </c>
      <c r="AG12" s="143">
        <f>IFERROR(INDEX('[1]SALES PERTYPE'!$M$10:$M$52,MATCH($C12,'[1]SALES PERTYPE'!$B$10:$B$52,0)),0)</f>
        <v>9999000</v>
      </c>
      <c r="AH12" s="143" cm="1">
        <f t="array" ref="AH12">IFERROR(INDEX('[1]Sales per type juli'!$D$10:$BA$51,MATCH($C12,'[1]Sales per type juli'!$B$10:$B$51,0),MATCH("V70",'[1]Sales per type juli'!$D$8:$BA$8,0)+1),0)</f>
        <v>10999000</v>
      </c>
      <c r="AI12" s="143">
        <f t="shared" si="9"/>
        <v>-1000000</v>
      </c>
      <c r="AJ12" s="143">
        <f>IFERROR(INDEX('[1]SALES PERTYPE'!$N$10:$N$52,MATCH($C12,'[1]SALES PERTYPE'!$B$10:$B$52,0)),0)</f>
        <v>9</v>
      </c>
      <c r="AK12" s="143">
        <f>IFERROR(INDEX('[1]Sales per type juli'!$D$10:$BA$51,MATCH($C12,'[1]Sales per type juli'!$B$10:$B$51,0),MATCH("Y31d Pro",'[1]Sales per type juli'!$D$8:$BA$8,0)),0)</f>
        <v>2</v>
      </c>
      <c r="AL12" s="143">
        <f t="shared" si="10"/>
        <v>7</v>
      </c>
      <c r="AM12" s="143">
        <f>IFERROR(INDEX('[1]SALES PERTYPE'!$O$10:$O$52,MATCH($C12,'[1]SALES PERTYPE'!$B$10:$B$52,0)),0)</f>
        <v>39491000</v>
      </c>
      <c r="AN12" s="143" cm="1">
        <f t="array" ref="AN12">IFERROR(INDEX('[1]Sales per type juli'!$D$10:$BA$51,MATCH($C12,'[1]Sales per type juli'!$B$10:$B$51,0),MATCH("Y31d Pro",'[1]Sales per type juli'!$D$8:$BA$8,0)+1),0)</f>
        <v>7798000</v>
      </c>
      <c r="AO12" s="143">
        <f t="shared" si="11"/>
        <v>31693000</v>
      </c>
      <c r="AP12" s="143">
        <f>IFERROR(INDEX('[1]SALES PERTYPE'!$P$10:$P$52,MATCH($C12,'[1]SALES PERTYPE'!$B$10:$B$52,0)),0)</f>
        <v>0</v>
      </c>
      <c r="AQ12" s="143" cm="1">
        <f t="array" ref="AQ12">IFERROR(INDEX('[1]Sales per type juli'!$D$10:$BA$51,MATCH($C12,'[1]Sales per type juli'!$B$10:$B$51,0),$FG$2),0)</f>
        <v>0</v>
      </c>
      <c r="AR12" s="143">
        <f t="shared" si="12"/>
        <v>0</v>
      </c>
      <c r="AS12" s="143">
        <f>IFERROR(INDEX('[1]SALES PERTYPE'!$Q$10:$Q$52,MATCH($C12,'[1]SALES PERTYPE'!$B$10:$B$52,0)),0)</f>
        <v>0</v>
      </c>
      <c r="AT12" s="143" cm="1">
        <f t="array" ref="AT12">IFERROR(INDEX('[1]Sales per type juli'!$D$10:$BA$51,MATCH($C12,'[1]Sales per type juli'!$B$10:$B$51,0),$FG$2+1),0)</f>
        <v>0</v>
      </c>
      <c r="AU12" s="143">
        <f t="shared" si="13"/>
        <v>0</v>
      </c>
      <c r="AV12" s="143">
        <f>IFERROR(INDEX('[1]SALES PERTYPE'!$R$10:$R$52,MATCH($C12,'[1]SALES PERTYPE'!$B$10:$B$52,0)),0)</f>
        <v>0</v>
      </c>
      <c r="AW12" s="143">
        <f>IFERROR(INDEX('[1]Sales per type juli'!$D$10:$BA$51,MATCH($C12,'[1]Sales per type juli'!$B$10:$B$51,0),MATCH("Y31d ",'[1]Sales per type juli'!$D$8:$BA$8,0)),0)</f>
        <v>1</v>
      </c>
      <c r="AX12" s="143">
        <f t="shared" si="14"/>
        <v>-1</v>
      </c>
      <c r="AY12" s="143">
        <f>IFERROR(INDEX('[1]SALES PERTYPE'!$S$10:$S$52,MATCH($C12,'[1]SALES PERTYPE'!$B$10:$B$52,0)),0)</f>
        <v>0</v>
      </c>
      <c r="AZ12" s="143" cm="1">
        <f t="array" ref="AZ12">IFERROR(INDEX('[1]Sales per type juli'!$D$10:$BA$51,MATCH($C12,'[1]Sales per type juli'!$B$10:$B$51,0),MATCH("Y31d ",'[1]Sales per type juli'!$D$8:$BA$8,0)+1),0)</f>
        <v>3599000</v>
      </c>
      <c r="BA12" s="143">
        <f t="shared" si="15"/>
        <v>-3599000</v>
      </c>
      <c r="BB12" s="143">
        <f>IFERROR(INDEX('[1]SALES PERTYPE'!$T$10:$T$52,MATCH($C12,'[1]SALES PERTYPE'!$B$10:$B$52,0)),0)</f>
        <v>0</v>
      </c>
      <c r="BC12" s="143">
        <f>IFERROR(INDEX('[1]Sales per type juli'!$D$10:$BA$51,MATCH($C12,'[1]Sales per type juli'!$B$10:$B$51,0),MATCH("V70 FE",'[1]Sales per type juli'!$D$8:$BA$8,0)),0)</f>
        <v>2</v>
      </c>
      <c r="BD12" s="143">
        <f t="shared" si="16"/>
        <v>-2</v>
      </c>
      <c r="BE12" s="143">
        <f>IFERROR(INDEX('[1]SALES PERTYPE'!$U$10:$U$52,MATCH($C12,'[1]SALES PERTYPE'!$B$10:$B$52,0)),0)</f>
        <v>0</v>
      </c>
      <c r="BF12" s="143" cm="1">
        <f t="array" ref="BF12">IFERROR(INDEX('[1]Sales per type juli'!$D$10:$BA$51,MATCH($C12,'[1]Sales per type juli'!$B$10:$B$51,0),MATCH("V70 FE",'[1]Sales per type juli'!$D$8:$BA$8,0)+1),0)</f>
        <v>13698000</v>
      </c>
      <c r="BG12" s="143">
        <f t="shared" si="17"/>
        <v>-13698000</v>
      </c>
      <c r="BH12" s="143">
        <f>IFERROR(INDEX('[1]SALES PERTYPE'!$V$10:$V$52,MATCH($C12,'[1]SALES PERTYPE'!$B$10:$B$52,0)),0)</f>
        <v>2</v>
      </c>
      <c r="BI12" s="143">
        <f>IFERROR(INDEX('[1]Sales per type juli'!$D$10:$BA$51,MATCH($C12,'[1]Sales per type juli'!$B$10:$B$51,0),MATCH("Y31d",'[1]Sales per type juli'!$D$8:$BA$8,0)),0)</f>
        <v>0</v>
      </c>
      <c r="BJ12" s="143">
        <f t="shared" si="18"/>
        <v>2</v>
      </c>
      <c r="BK12" s="143">
        <f>IFERROR(INDEX('[1]SALES PERTYPE'!$W$10:$W$52,MATCH($C12,'[1]SALES PERTYPE'!$B$10:$B$52,0)),0)</f>
        <v>7198000</v>
      </c>
      <c r="BL12" s="143" cm="1">
        <f t="array" ref="BL12">IFERROR(INDEX('[1]Sales per type juli'!$D$10:$BA$51,MATCH($C12,'[1]Sales per type juli'!$B$10:$B$51,0),MATCH("Y31d",'[1]Sales per type juli'!$D$8:$BA$8,0)+1),0)</f>
        <v>0</v>
      </c>
      <c r="BM12" s="143">
        <f t="shared" si="19"/>
        <v>7198000</v>
      </c>
      <c r="BN12" s="143">
        <f>IFERROR(INDEX('[1]SALES PERTYPE'!$X$10:$X$52,MATCH($C12,'[1]SALES PERTYPE'!$B$10:$B$52,0)),0)</f>
        <v>3</v>
      </c>
      <c r="BO12" s="143">
        <f>IFERROR(INDEX('[1]Sales per type juli'!$D$10:$BA$51,MATCH($C12,'[1]Sales per type juli'!$B$10:$B$51,0),MATCH("Y500",'[1]Sales per type juli'!$D$8:$BA$8,0)),0)</f>
        <v>1</v>
      </c>
      <c r="BP12" s="143">
        <f t="shared" si="20"/>
        <v>2</v>
      </c>
      <c r="BQ12" s="143">
        <f>IFERROR(INDEX('[1]SALES PERTYPE'!$Y$10:$Y$52,MATCH($C12,'[1]SALES PERTYPE'!$B$10:$B$52,0)),0)</f>
        <v>18097000</v>
      </c>
      <c r="BR12" s="143" cm="1">
        <f t="array" ref="BR12">IFERROR(INDEX('[1]Sales per type juli'!$D$10:$BA$51,MATCH($C12,'[1]Sales per type juli'!$B$10:$B$51,0),MATCH("Y500",'[1]Sales per type juli'!$D$8:$BA$8,0)+1),0)</f>
        <v>5499000</v>
      </c>
      <c r="BS12" s="143">
        <f t="shared" si="21"/>
        <v>12598000</v>
      </c>
      <c r="BT12" s="143">
        <f>IFERROR(INDEX('[1]SALES PERTYPE'!$Z$10:$Z$52,MATCH($C12,'[1]SALES PERTYPE'!$B$10:$B$52,0)),0)</f>
        <v>1</v>
      </c>
      <c r="BU12" s="143">
        <f>IFERROR(INDEX('[1]Sales per type juli'!$D$10:$BA$51,MATCH($C12,'[1]Sales per type juli'!$B$10:$B$51,0),MATCH("IQOO 15R",'[1]Sales per type juli'!$D$8:$BA$8,0)),0)</f>
        <v>0</v>
      </c>
      <c r="BV12" s="143">
        <f t="shared" si="22"/>
        <v>1</v>
      </c>
      <c r="BW12" s="143">
        <f>IFERROR(INDEX('[1]SALES PERTYPE'!$AA$10:$AA$52,MATCH($C12,'[1]SALES PERTYPE'!$B$10:$B$52,0)),0)</f>
        <v>11999000</v>
      </c>
      <c r="BX12" s="143" cm="1">
        <f t="array" ref="BX12">IFERROR(INDEX('[1]Sales per type juli'!$D$10:$BA$51,MATCH($C12,'[1]Sales per type juli'!$B$10:$B$51,0),MATCH("IQOO 15R",'[1]Sales per type juli'!$D$8:$BA$8,0)+1),0)</f>
        <v>0</v>
      </c>
      <c r="BY12" s="143">
        <f t="shared" si="23"/>
        <v>11999000</v>
      </c>
      <c r="BZ12" s="143">
        <f>IFERROR(INDEX('[1]SALES PERTYPE'!$AB$10:$AB$52,MATCH($C12,'[1]SALES PERTYPE'!$B$10:$B$52,0)),0)</f>
        <v>1</v>
      </c>
      <c r="CA12" s="143">
        <f>IFERROR(INDEX('[1]Sales per type juli'!$D$10:$BA$51,MATCH($C12,'[1]Sales per type juli'!$B$10:$B$51,0),MATCH("V60 Lite",'[1]Sales per type juli'!$D$8:$BA$8,0)),0)</f>
        <v>0</v>
      </c>
      <c r="CB12" s="143">
        <f t="shared" si="24"/>
        <v>1</v>
      </c>
      <c r="CC12" s="143">
        <f>IFERROR(INDEX('[1]SALES PERTYPE'!$AC$10:$AC$52,MATCH($C12,'[1]SALES PERTYPE'!$B$10:$B$52,0)),0)</f>
        <v>6499000</v>
      </c>
      <c r="CD12" s="143" cm="1">
        <f t="array" ref="CD12">IFERROR(INDEX('[1]Sales per type juli'!$D$10:$BA$51,MATCH($C12,'[1]Sales per type juli'!$B$10:$B$51,0),MATCH("V60 Lite",'[1]Sales per type juli'!$D$8:$BA$8,0)+1),0)</f>
        <v>0</v>
      </c>
      <c r="CE12" s="143">
        <f t="shared" si="25"/>
        <v>6499000</v>
      </c>
      <c r="CF12" s="143">
        <f>IFERROR(INDEX('[1]SALES PERTYPE'!$AD$10:$AD$52,MATCH($C12,'[1]SALES PERTYPE'!$B$10:$B$52,0)),0)</f>
        <v>3</v>
      </c>
      <c r="CG12" s="143">
        <f>IFERROR(INDEX('[1]Sales per type juli'!$D$10:$BA$51,MATCH($C12,'[1]Sales per type juli'!$B$10:$B$51,0),MATCH("X300 Ultra",'[1]Sales per type juli'!$D$8:$BA$8,0)),0)</f>
        <v>2</v>
      </c>
      <c r="CH12" s="143">
        <f t="shared" si="26"/>
        <v>1</v>
      </c>
      <c r="CI12" s="143">
        <f>IFERROR(INDEX('[1]SALES PERTYPE'!$AE$10:$AE$52,MATCH($C12,'[1]SALES PERTYPE'!$B$10:$B$52,0)),0)</f>
        <v>81997000</v>
      </c>
      <c r="CJ12" s="143" cm="1">
        <f t="array" ref="CJ12">IFERROR(INDEX('[1]Sales per type juli'!$D$10:$BA$51,MATCH($C12,'[1]Sales per type juli'!$B$10:$B$51,0),MATCH("X300 Ultra",'[1]Sales per type juli'!$D$8:$BA$8,0)+1),0)</f>
        <v>51998000</v>
      </c>
      <c r="CK12" s="143">
        <f t="shared" si="27"/>
        <v>29999000</v>
      </c>
      <c r="CL12" s="143">
        <f>IFERROR(INDEX('[1]SALES PERTYPE'!$AF$10:$AF$52,MATCH($C12,'[1]SALES PERTYPE'!$B$10:$B$52,0)),0)</f>
        <v>1</v>
      </c>
      <c r="CM12" s="143">
        <f>IFERROR(INDEX('[1]Sales per type juli'!$D$10:$BA$51,MATCH($C12,'[1]Sales per type juli'!$B$10:$B$51,0),MATCH("IQOO 15",'[1]Sales per type juli'!$D$8:$BA$8,0)),0)</f>
        <v>0</v>
      </c>
      <c r="CN12" s="143">
        <f t="shared" si="28"/>
        <v>1</v>
      </c>
      <c r="CO12" s="143">
        <f>IFERROR(INDEX('[1]SALES PERTYPE'!$AG$10:$AG$52,MATCH($C12,'[1]SALES PERTYPE'!$B$10:$B$52,0)),0)</f>
        <v>15999000</v>
      </c>
      <c r="CP12" s="143" cm="1">
        <f t="array" ref="CP12">IFERROR(INDEX('[1]Sales per type juli'!$D$10:$BA$51,MATCH($C12,'[1]Sales per type juli'!$B$10:$B$51,0),MATCH("IQOO 15",'[1]Sales per type juli'!$D$8:$BA$8,0)+1),0)</f>
        <v>0</v>
      </c>
      <c r="CQ12" s="143">
        <f t="shared" si="29"/>
        <v>15999000</v>
      </c>
      <c r="CR12" s="143">
        <f>IFERROR(INDEX('[1]SALES PERTYPE'!$AH$10:$AH$52,MATCH($C12,'[1]SALES PERTYPE'!$B$10:$B$52,0)),0)</f>
        <v>0</v>
      </c>
      <c r="CS12" s="143">
        <f>IFERROR(INDEX('[1]Sales per type juli'!$D$10:$BA$51,MATCH($C12,'[1]Sales per type juli'!$B$10:$B$51,0),MATCH("IQOO Z11x",'[1]Sales per type juli'!$D$8:$BA$8,0)),0)</f>
        <v>0</v>
      </c>
      <c r="CT12" s="143">
        <f t="shared" si="30"/>
        <v>0</v>
      </c>
      <c r="CU12" s="143">
        <f>IFERROR(INDEX('[1]SALES PERTYPE'!$AI$10:$AI$52,MATCH($C12,'[1]SALES PERTYPE'!$B$10:$B$52,0)),0)</f>
        <v>0</v>
      </c>
      <c r="CV12" s="143" cm="1">
        <f t="array" ref="CV12">IFERROR(INDEX('[1]Sales per type juli'!$D$10:$BA$51,MATCH($C12,'[1]Sales per type juli'!$B$10:$B$51,0),MATCH("IQOO Z11x",'[1]Sales per type juli'!$D$8:$BA$8,0)+1),0)</f>
        <v>0</v>
      </c>
      <c r="CW12" s="143">
        <f t="shared" si="31"/>
        <v>0</v>
      </c>
      <c r="CX12" s="143">
        <f>IFERROR(INDEX('[1]SALES PERTYPE'!$AJ$10:$AJ$52,MATCH($C12,'[1]SALES PERTYPE'!$B$10:$B$52,0)),0)</f>
        <v>3</v>
      </c>
      <c r="CY12" s="143">
        <f>IFERROR(INDEX('[1]Sales per type juli'!$D$10:$BA$51,MATCH($C12,'[1]Sales per type juli'!$B$10:$B$51,0),MATCH("IQOO Z11",'[1]Sales per type juli'!$D$8:$BA$8,0)),0)</f>
        <v>1</v>
      </c>
      <c r="CZ12" s="143">
        <f t="shared" si="32"/>
        <v>2</v>
      </c>
      <c r="DA12" s="143">
        <f>IFERROR(INDEX('[1]SALES PERTYPE'!$AK$10:$AK$52,MATCH($C12,'[1]SALES PERTYPE'!$B$10:$B$52,0)),0)</f>
        <v>23297000</v>
      </c>
      <c r="DB12" s="143" cm="1">
        <f t="array" ref="DB12">IFERROR(INDEX('[1]Sales per type juli'!$D$10:$BA$51,MATCH($C12,'[1]Sales per type juli'!$B$10:$B$51,0),MATCH("IQOO Z11",'[1]Sales per type juli'!$D$8:$BA$8,0)+1),0)</f>
        <v>5699000</v>
      </c>
      <c r="DC12" s="143">
        <f t="shared" si="33"/>
        <v>17598000</v>
      </c>
      <c r="DD12" s="143">
        <v>0</v>
      </c>
      <c r="DE12" s="143">
        <f>IFERROR(INDEX('[1]Sales per type juli'!$D$10:$BA$51,MATCH($C12,'[1]Sales per type juli'!$B$10:$B$51,0),MATCH("WATCH 3",'[1]Sales per type juli'!$D$8:$BA$8,0)),0)</f>
        <v>0</v>
      </c>
      <c r="DF12" s="143">
        <f t="shared" si="34"/>
        <v>0</v>
      </c>
      <c r="DG12" s="143">
        <v>0</v>
      </c>
      <c r="DH12" s="143" cm="1">
        <f t="array" ref="DH12">IFERROR(INDEX('[1]Sales per type juli'!$D$10:$BA$51,MATCH($C12,'[1]Sales per type juli'!$B$10:$B$51,0),MATCH("WATCH 3",'[1]Sales per type juli'!$D$8:$BA$8,0)+1),0)</f>
        <v>0</v>
      </c>
      <c r="DI12" s="143">
        <f t="shared" si="35"/>
        <v>0</v>
      </c>
      <c r="DJ12" s="143">
        <v>0</v>
      </c>
      <c r="DK12" s="143">
        <f>IFERROR(INDEX('[1]Sales per type juli'!$D$10:$BA$51,MATCH($C12,'[1]Sales per type juli'!$B$10:$B$51,0),MATCH("X300 Demo",'[1]Sales per type juli'!$D$8:$BA$8,0)),0)</f>
        <v>1</v>
      </c>
      <c r="DL12" s="143">
        <f t="shared" si="36"/>
        <v>-1</v>
      </c>
      <c r="DM12" s="143">
        <v>0</v>
      </c>
      <c r="DN12" s="143" cm="1">
        <f t="array" ref="DN12">IFERROR(INDEX('[1]Sales per type juli'!$D$10:$BA$51,MATCH($C12,'[1]Sales per type juli'!$B$10:$B$51,0),MATCH("X300 Demo",'[1]Sales per type juli'!$D$8:$BA$8,0)+1),0)</f>
        <v>14999000</v>
      </c>
      <c r="DO12" s="143">
        <f t="shared" si="37"/>
        <v>-14999000</v>
      </c>
      <c r="DP12" s="143">
        <v>0</v>
      </c>
      <c r="DQ12" s="143">
        <f>IFERROR(INDEX('[1]Sales per type juli'!$D$10:$BA$51,MATCH($C12,'[1]Sales per type juli'!$B$10:$B$51,0),MATCH("X300 Pro Demo",'[1]Sales per type juli'!$D$8:$BA$8,0)),0)</f>
        <v>0</v>
      </c>
      <c r="DR12" s="143">
        <f t="shared" si="38"/>
        <v>0</v>
      </c>
      <c r="DS12" s="143">
        <v>0</v>
      </c>
      <c r="DT12" s="143" cm="1">
        <f t="array" ref="DT12">IFERROR(INDEX('[1]Sales per type juli'!$D$10:$BA$51,MATCH($C12,'[1]Sales per type juli'!$B$10:$B$51,0),MATCH("X300 Pro Demo",'[1]Sales per type juli'!$D$8:$BA$8,0)+1),0)</f>
        <v>0</v>
      </c>
      <c r="DU12" s="143">
        <f t="shared" si="39"/>
        <v>0</v>
      </c>
      <c r="DV12" s="143">
        <v>0</v>
      </c>
      <c r="DW12" s="143">
        <f>IFERROR(INDEX('[1]Sales per type juli'!$D$10:$BA$51,MATCH($C12,'[1]Sales per type juli'!$B$10:$B$51,0),MATCH("X Fold5 DEMO",'[1]Sales per type juli'!$D$8:$BA$8,0)),0)</f>
        <v>0</v>
      </c>
      <c r="DX12" s="143">
        <f t="shared" si="40"/>
        <v>0</v>
      </c>
      <c r="DY12" s="143">
        <v>0</v>
      </c>
      <c r="DZ12" s="143" cm="1">
        <f t="array" ref="DZ12">IFERROR(INDEX('[1]Sales per type juli'!$D$10:$BA$51,MATCH($C12,'[1]Sales per type juli'!$B$10:$B$51,0),MATCH("X Fold5 DEMO",'[1]Sales per type juli'!$D$8:$BA$8,0)+1),0)</f>
        <v>0</v>
      </c>
      <c r="EA12" s="143">
        <f t="shared" si="41"/>
        <v>0</v>
      </c>
      <c r="EB12" s="143">
        <v>0</v>
      </c>
      <c r="EC12" s="143">
        <f>IFERROR(INDEX('[1]Sales per type juli'!$D$10:$BA$51,MATCH($C12,'[1]Sales per type juli'!$B$10:$B$51,0),MATCH("X Fold5",'[1]Sales per type juli'!$D$8:$BA$8,0)),0)</f>
        <v>1</v>
      </c>
      <c r="ED12" s="143">
        <f t="shared" si="42"/>
        <v>-1</v>
      </c>
      <c r="EE12" s="143">
        <v>0</v>
      </c>
      <c r="EF12" s="143" cm="1">
        <f t="array" ref="EF12">IFERROR(INDEX('[1]Sales per type juli'!$D$10:$BA$51,MATCH($C12,'[1]Sales per type juli'!$B$10:$B$51,0),MATCH("X Fold5",'[1]Sales per type juli'!$D$8:$BA$8,0)+1),0)</f>
        <v>24999000</v>
      </c>
      <c r="EG12" s="143">
        <f t="shared" si="43"/>
        <v>-24999000</v>
      </c>
      <c r="EH12" s="143">
        <v>0</v>
      </c>
      <c r="EI12" s="143">
        <f>IFERROR(INDEX('[1]Sales per type juli'!$D$10:$BA$51,MATCH($C12,'[1]Sales per type juli'!$B$10:$B$51,0),MATCH("IQOO 15 Demo",'[1]Sales per type juli'!$D$8:$BA$8,0)),0)</f>
        <v>0</v>
      </c>
      <c r="EJ12" s="143">
        <f t="shared" si="44"/>
        <v>0</v>
      </c>
      <c r="EK12" s="143">
        <v>0</v>
      </c>
      <c r="EL12" s="143" cm="1">
        <f t="array" ref="EL12">IFERROR(INDEX('[1]Sales per type juli'!$D$10:$BA$51,MATCH($C12,'[1]Sales per type juli'!$B$10:$B$51,0),MATCH("IQOO 15 Demo",'[1]Sales per type juli'!$D$8:$BA$8,0)+1),0)</f>
        <v>0</v>
      </c>
      <c r="EM12" s="143">
        <f t="shared" si="45"/>
        <v>0</v>
      </c>
      <c r="EN12" s="143">
        <v>0</v>
      </c>
      <c r="EO12" s="143">
        <f>IFERROR(INDEX('[1]Sales per type juli'!$D$10:$BA$51,MATCH($C12,'[1]Sales per type juli'!$B$10:$B$51,0),MATCH("X300 PRO",'[1]Sales per type juli'!$D$8:$BA$8,0)),0)</f>
        <v>0</v>
      </c>
      <c r="EP12" s="143">
        <f t="shared" si="46"/>
        <v>0</v>
      </c>
      <c r="EQ12" s="143">
        <v>0</v>
      </c>
      <c r="ER12" s="143" cm="1">
        <f t="array" ref="ER12">IFERROR(INDEX('[1]Sales per type juli'!$D$10:$BA$51,MATCH($C12,'[1]Sales per type juli'!$B$10:$B$51,0),MATCH("X300 PRO",'[1]Sales per type juli'!$D$8:$BA$8,0)+1),0)</f>
        <v>0</v>
      </c>
      <c r="ES12" s="143">
        <f t="shared" si="47"/>
        <v>0</v>
      </c>
      <c r="ET12" s="143">
        <v>0</v>
      </c>
      <c r="EU12" s="143">
        <f>IFERROR(INDEX('[1]Sales per type juli'!$D$10:$BA$51,MATCH($C12,'[1]Sales per type juli'!$B$10:$B$51,0),MATCH("X300 ",'[1]Sales per type juli'!$D$8:$BA$8,0)),0)</f>
        <v>1</v>
      </c>
      <c r="EV12" s="143">
        <f t="shared" si="48"/>
        <v>-1</v>
      </c>
      <c r="EW12" s="143">
        <v>0</v>
      </c>
      <c r="EX12" s="143" cm="1">
        <f t="array" ref="EX12">IFERROR(INDEX('[1]Sales per type juli'!$D$10:$BA$51,MATCH($C12,'[1]Sales per type juli'!$B$10:$B$51,0),MATCH("X300 ",'[1]Sales per type juli'!$D$8:$BA$8,0)+1),0)</f>
        <v>14999000</v>
      </c>
      <c r="EY12" s="143">
        <f t="shared" si="49"/>
        <v>-14999000</v>
      </c>
      <c r="EZ12" s="143">
        <f t="shared" si="50"/>
        <v>41</v>
      </c>
      <c r="FA12" s="143">
        <f t="shared" si="50"/>
        <v>21</v>
      </c>
      <c r="FB12" s="143">
        <f t="shared" si="51"/>
        <v>20</v>
      </c>
      <c r="FC12" s="143">
        <f t="shared" si="52"/>
        <v>256459000</v>
      </c>
      <c r="FD12" s="143">
        <f t="shared" si="52"/>
        <v>174779000</v>
      </c>
      <c r="FE12" s="143">
        <f t="shared" si="53"/>
        <v>81680000</v>
      </c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</row>
    <row r="13" spans="1:208" ht="16" x14ac:dyDescent="0.2">
      <c r="A13" s="141">
        <f>'[1]ACHIEVEMENT STORE'!A13</f>
        <v>9</v>
      </c>
      <c r="B13" s="142" t="str">
        <f>'[1]ACHIEVEMENT STORE'!B13</f>
        <v>601 雅加达西北 JKT BU</v>
      </c>
      <c r="C13" s="141">
        <f>'[1]ACHIEVEMENT STORE'!C13</f>
        <v>6020706</v>
      </c>
      <c r="D13" s="142" t="str">
        <f>'[1]ACHIEVEMENT STORE'!D13</f>
        <v>6020706-MVS CEMPAKA SHOWROOM 2 (454)</v>
      </c>
      <c r="E13" s="142" t="str">
        <f>'[1]ACHIEVEMENT STORE'!E13</f>
        <v>NOVIA HARYANTI</v>
      </c>
      <c r="F13" s="143">
        <f>IFERROR(INDEX('[1]SALES PERTYPE'!$D$10:$D$52,MATCH($C13,'[1]SALES PERTYPE'!$B$10:$B$52,0)),0)</f>
        <v>21</v>
      </c>
      <c r="G13" s="143">
        <f>IFERROR(INDEX('[1]Sales per type juli'!$D$10:$BA$51,MATCH($C13,'[1]Sales per type juli'!$B$10:$B$51,0),MATCH("Y05",'[1]Sales per type juli'!$D$8:$BA$8,0)),0)</f>
        <v>37</v>
      </c>
      <c r="H13" s="143">
        <f t="shared" si="0"/>
        <v>-16</v>
      </c>
      <c r="I13" s="143">
        <f>IFERROR(INDEX('[1]SALES PERTYPE'!$E$10:$E$52,MATCH($C13,'[1]SALES PERTYPE'!$B$10:$B$52,0)),0)</f>
        <v>50979000</v>
      </c>
      <c r="J13" s="143" cm="1">
        <f t="array" ref="J13">IFERROR(INDEX('[1]Sales per type juli'!$D$10:$BA$51,MATCH($C13,'[1]Sales per type juli'!$B$10:$B$51,0),MATCH("Y05",'[1]Sales per type juli'!$D$8:$BA$8,0)+1),0)</f>
        <v>84063000</v>
      </c>
      <c r="K13" s="143">
        <f t="shared" si="1"/>
        <v>-33084000</v>
      </c>
      <c r="L13" s="143">
        <f>IFERROR(INDEX('[1]SALES PERTYPE'!$F$10:$F$52,MATCH($C13,'[1]SALES PERTYPE'!$B$10:$B$52,0)),0)</f>
        <v>11</v>
      </c>
      <c r="M13" s="143">
        <f>IFERROR(INDEX('[1]Sales per type juli'!$D$10:$BA$51,MATCH($C13,'[1]Sales per type juli'!$B$10:$B$51,0),MATCH("Y11d",'[1]Sales per type juli'!$D$8:$BA$8,0)),0)</f>
        <v>6</v>
      </c>
      <c r="N13" s="143">
        <f t="shared" si="2"/>
        <v>5</v>
      </c>
      <c r="O13" s="143">
        <f>IFERROR(INDEX('[1]SALES PERTYPE'!$G$10:$G$52,MATCH($C13,'[1]SALES PERTYPE'!$B$10:$B$52,0)),0)</f>
        <v>30389000</v>
      </c>
      <c r="P13" s="143" cm="1">
        <f t="array" ref="P13">IFERROR(INDEX('[1]Sales per type juli'!$D$10:$BA$51,MATCH($C13,'[1]Sales per type juli'!$B$10:$B$51,0),MATCH("Y11d",'[1]Sales per type juli'!$D$8:$BA$8,0)+1),0)</f>
        <v>16794000</v>
      </c>
      <c r="Q13" s="143">
        <f t="shared" si="3"/>
        <v>13595000</v>
      </c>
      <c r="R13" s="143">
        <f>IFERROR(INDEX('[1]SALES PERTYPE'!$H$10:$H$52,MATCH($C13,'[1]SALES PERTYPE'!$B$10:$B$52,0)),0)</f>
        <v>0</v>
      </c>
      <c r="S13" s="143">
        <f>IFERROR(INDEX('[1]Sales per type juli'!$D$10:$BA$51,MATCH($C13,'[1]Sales per type juli'!$B$10:$B$51,0),MATCH("Watch GT 2",'[1]Sales per type juli'!$D$8:$BA$8,0)),0)</f>
        <v>0</v>
      </c>
      <c r="T13" s="143">
        <f t="shared" si="4"/>
        <v>0</v>
      </c>
      <c r="U13" s="143">
        <f>IFERROR(INDEX('[1]SALES PERTYPE'!$I$10:$I$52,MATCH($C13,'[1]SALES PERTYPE'!$B$10:$B$52,0)),0)</f>
        <v>0</v>
      </c>
      <c r="V13" s="143" cm="1">
        <f t="array" ref="V13">IFERROR(INDEX('[1]Sales per type juli'!$D$10:$BA$51,MATCH($C13,'[1]Sales per type juli'!$B$10:$B$51,0),MATCH("Watch GT 2",'[1]Sales per type juli'!$D$8:$BA$8,0)+1),0)</f>
        <v>0</v>
      </c>
      <c r="W13" s="143">
        <f t="shared" si="5"/>
        <v>0</v>
      </c>
      <c r="X13" s="143">
        <f>IFERROR(INDEX('[1]SALES PERTYPE'!$J$10:$J$52,MATCH($C13,'[1]SALES PERTYPE'!$B$10:$B$52,0)),0)</f>
        <v>16</v>
      </c>
      <c r="Y13" s="143">
        <f>IFERROR(INDEX('[1]Sales per type juli'!$D$10:$BA$51,MATCH($C13,'[1]Sales per type juli'!$B$10:$B$51,0),MATCH("Y05e",'[1]Sales per type juli'!$D$8:$BA$8,0)),0)</f>
        <v>0</v>
      </c>
      <c r="Z13" s="143">
        <f t="shared" si="6"/>
        <v>16</v>
      </c>
      <c r="AA13" s="143">
        <f>IFERROR(INDEX('[1]SALES PERTYPE'!$K$10:$K$52,MATCH($C13,'[1]SALES PERTYPE'!$B$10:$B$52,0)),0)</f>
        <v>33584000</v>
      </c>
      <c r="AB13" s="143" cm="1">
        <f t="array" ref="AB13">IFERROR(INDEX('[1]Sales per type juli'!$D$10:$BA$51,MATCH($C13,'[1]Sales per type juli'!$B$10:$B$51,0),MATCH("Y05e",'[1]Sales per type juli'!$D$8:$BA$8,0)+1),0)</f>
        <v>0</v>
      </c>
      <c r="AC13" s="143">
        <f t="shared" si="7"/>
        <v>33584000</v>
      </c>
      <c r="AD13" s="143">
        <f>IFERROR(INDEX('[1]SALES PERTYPE'!$L$10:$L$52,MATCH($C13,'[1]SALES PERTYPE'!$B$10:$B$52,0)),0)</f>
        <v>0</v>
      </c>
      <c r="AE13" s="143">
        <f>IFERROR(INDEX('[1]Sales per type juli'!$D$10:$BA$51,MATCH($C13,'[1]Sales per type juli'!$B$10:$B$51,0),MATCH("V70",'[1]Sales per type juli'!$D$8:$BA$8,0)),0)</f>
        <v>5</v>
      </c>
      <c r="AF13" s="143">
        <f t="shared" si="8"/>
        <v>-5</v>
      </c>
      <c r="AG13" s="143">
        <f>IFERROR(INDEX('[1]SALES PERTYPE'!$M$10:$M$52,MATCH($C13,'[1]SALES PERTYPE'!$B$10:$B$52,0)),0)</f>
        <v>0</v>
      </c>
      <c r="AH13" s="143" cm="1">
        <f t="array" ref="AH13">IFERROR(INDEX('[1]Sales per type juli'!$D$10:$BA$51,MATCH($C13,'[1]Sales per type juli'!$B$10:$B$51,0),MATCH("V70",'[1]Sales per type juli'!$D$8:$BA$8,0)+1),0)</f>
        <v>44995000</v>
      </c>
      <c r="AI13" s="143">
        <f t="shared" si="9"/>
        <v>-44995000</v>
      </c>
      <c r="AJ13" s="143">
        <f>IFERROR(INDEX('[1]SALES PERTYPE'!$N$10:$N$52,MATCH($C13,'[1]SALES PERTYPE'!$B$10:$B$52,0)),0)</f>
        <v>11</v>
      </c>
      <c r="AK13" s="143">
        <f>IFERROR(INDEX('[1]Sales per type juli'!$D$10:$BA$51,MATCH($C13,'[1]Sales per type juli'!$B$10:$B$51,0),MATCH("Y31d Pro",'[1]Sales per type juli'!$D$8:$BA$8,0)),0)</f>
        <v>14</v>
      </c>
      <c r="AL13" s="143">
        <f t="shared" si="10"/>
        <v>-3</v>
      </c>
      <c r="AM13" s="143">
        <f>IFERROR(INDEX('[1]SALES PERTYPE'!$O$10:$O$52,MATCH($C13,'[1]SALES PERTYPE'!$B$10:$B$52,0)),0)</f>
        <v>51889000</v>
      </c>
      <c r="AN13" s="143" cm="1">
        <f t="array" ref="AN13">IFERROR(INDEX('[1]Sales per type juli'!$D$10:$BA$51,MATCH($C13,'[1]Sales per type juli'!$B$10:$B$51,0),MATCH("Y31d Pro",'[1]Sales per type juli'!$D$8:$BA$8,0)+1),0)</f>
        <v>60586000</v>
      </c>
      <c r="AO13" s="143">
        <f t="shared" si="11"/>
        <v>-8697000</v>
      </c>
      <c r="AP13" s="143">
        <f>IFERROR(INDEX('[1]SALES PERTYPE'!$P$10:$P$52,MATCH($C13,'[1]SALES PERTYPE'!$B$10:$B$52,0)),0)</f>
        <v>0</v>
      </c>
      <c r="AQ13" s="143" cm="1">
        <f t="array" ref="AQ13">IFERROR(INDEX('[1]Sales per type juli'!$D$10:$BA$51,MATCH($C13,'[1]Sales per type juli'!$B$10:$B$51,0),$FG$2),0)</f>
        <v>0</v>
      </c>
      <c r="AR13" s="143">
        <f t="shared" si="12"/>
        <v>0</v>
      </c>
      <c r="AS13" s="143">
        <f>IFERROR(INDEX('[1]SALES PERTYPE'!$Q$10:$Q$52,MATCH($C13,'[1]SALES PERTYPE'!$B$10:$B$52,0)),0)</f>
        <v>0</v>
      </c>
      <c r="AT13" s="143" cm="1">
        <f t="array" ref="AT13">IFERROR(INDEX('[1]Sales per type juli'!$D$10:$BA$51,MATCH($C13,'[1]Sales per type juli'!$B$10:$B$51,0),$FG$2+1),0)</f>
        <v>0</v>
      </c>
      <c r="AU13" s="143">
        <f t="shared" si="13"/>
        <v>0</v>
      </c>
      <c r="AV13" s="143">
        <f>IFERROR(INDEX('[1]SALES PERTYPE'!$R$10:$R$52,MATCH($C13,'[1]SALES PERTYPE'!$B$10:$B$52,0)),0)</f>
        <v>4</v>
      </c>
      <c r="AW13" s="143">
        <f>IFERROR(INDEX('[1]Sales per type juli'!$D$10:$BA$51,MATCH($C13,'[1]Sales per type juli'!$B$10:$B$51,0),MATCH("Y31d ",'[1]Sales per type juli'!$D$8:$BA$8,0)),0)</f>
        <v>2</v>
      </c>
      <c r="AX13" s="143">
        <f t="shared" si="14"/>
        <v>2</v>
      </c>
      <c r="AY13" s="143">
        <f>IFERROR(INDEX('[1]SALES PERTYPE'!$S$10:$S$52,MATCH($C13,'[1]SALES PERTYPE'!$B$10:$B$52,0)),0)</f>
        <v>14396000</v>
      </c>
      <c r="AZ13" s="143" cm="1">
        <f t="array" ref="AZ13">IFERROR(INDEX('[1]Sales per type juli'!$D$10:$BA$51,MATCH($C13,'[1]Sales per type juli'!$B$10:$B$51,0),MATCH("Y31d ",'[1]Sales per type juli'!$D$8:$BA$8,0)+1),0)</f>
        <v>7198000</v>
      </c>
      <c r="BA13" s="143">
        <f t="shared" si="15"/>
        <v>7198000</v>
      </c>
      <c r="BB13" s="143">
        <f>IFERROR(INDEX('[1]SALES PERTYPE'!$T$10:$T$52,MATCH($C13,'[1]SALES PERTYPE'!$B$10:$B$52,0)),0)</f>
        <v>0</v>
      </c>
      <c r="BC13" s="143">
        <f>IFERROR(INDEX('[1]Sales per type juli'!$D$10:$BA$51,MATCH($C13,'[1]Sales per type juli'!$B$10:$B$51,0),MATCH("V70 FE",'[1]Sales per type juli'!$D$8:$BA$8,0)),0)</f>
        <v>8</v>
      </c>
      <c r="BD13" s="143">
        <f t="shared" si="16"/>
        <v>-8</v>
      </c>
      <c r="BE13" s="143">
        <f>IFERROR(INDEX('[1]SALES PERTYPE'!$U$10:$U$52,MATCH($C13,'[1]SALES PERTYPE'!$B$10:$B$52,0)),0)</f>
        <v>0</v>
      </c>
      <c r="BF13" s="143" cm="1">
        <f t="array" ref="BF13">IFERROR(INDEX('[1]Sales per type juli'!$D$10:$BA$51,MATCH($C13,'[1]Sales per type juli'!$B$10:$B$51,0),MATCH("V70 FE",'[1]Sales per type juli'!$D$8:$BA$8,0)+1),0)</f>
        <v>54092000</v>
      </c>
      <c r="BG13" s="143">
        <f t="shared" si="17"/>
        <v>-54092000</v>
      </c>
      <c r="BH13" s="143">
        <f>IFERROR(INDEX('[1]SALES PERTYPE'!$V$10:$V$52,MATCH($C13,'[1]SALES PERTYPE'!$B$10:$B$52,0)),0)</f>
        <v>2</v>
      </c>
      <c r="BI13" s="143">
        <f>IFERROR(INDEX('[1]Sales per type juli'!$D$10:$BA$51,MATCH($C13,'[1]Sales per type juli'!$B$10:$B$51,0),MATCH("Y31d",'[1]Sales per type juli'!$D$8:$BA$8,0)),0)</f>
        <v>3</v>
      </c>
      <c r="BJ13" s="143">
        <f t="shared" si="18"/>
        <v>-1</v>
      </c>
      <c r="BK13" s="143">
        <f>IFERROR(INDEX('[1]SALES PERTYPE'!$W$10:$W$52,MATCH($C13,'[1]SALES PERTYPE'!$B$10:$B$52,0)),0)</f>
        <v>7198000</v>
      </c>
      <c r="BL13" s="143" cm="1">
        <f t="array" ref="BL13">IFERROR(INDEX('[1]Sales per type juli'!$D$10:$BA$51,MATCH($C13,'[1]Sales per type juli'!$B$10:$B$51,0),MATCH("Y31d",'[1]Sales per type juli'!$D$8:$BA$8,0)+1),0)</f>
        <v>10797000</v>
      </c>
      <c r="BM13" s="143">
        <f t="shared" si="19"/>
        <v>-3599000</v>
      </c>
      <c r="BN13" s="143">
        <f>IFERROR(INDEX('[1]SALES PERTYPE'!$X$10:$X$52,MATCH($C13,'[1]SALES PERTYPE'!$B$10:$B$52,0)),0)</f>
        <v>2</v>
      </c>
      <c r="BO13" s="143">
        <f>IFERROR(INDEX('[1]Sales per type juli'!$D$10:$BA$51,MATCH($C13,'[1]Sales per type juli'!$B$10:$B$51,0),MATCH("Y500",'[1]Sales per type juli'!$D$8:$BA$8,0)),0)</f>
        <v>1</v>
      </c>
      <c r="BP13" s="143">
        <f t="shared" si="20"/>
        <v>1</v>
      </c>
      <c r="BQ13" s="143">
        <f>IFERROR(INDEX('[1]SALES PERTYPE'!$Y$10:$Y$52,MATCH($C13,'[1]SALES PERTYPE'!$B$10:$B$52,0)),0)</f>
        <v>12598000</v>
      </c>
      <c r="BR13" s="143" cm="1">
        <f t="array" ref="BR13">IFERROR(INDEX('[1]Sales per type juli'!$D$10:$BA$51,MATCH($C13,'[1]Sales per type juli'!$B$10:$B$51,0),MATCH("Y500",'[1]Sales per type juli'!$D$8:$BA$8,0)+1),0)</f>
        <v>5499000</v>
      </c>
      <c r="BS13" s="143">
        <f t="shared" si="21"/>
        <v>7099000</v>
      </c>
      <c r="BT13" s="143">
        <f>IFERROR(INDEX('[1]SALES PERTYPE'!$Z$10:$Z$52,MATCH($C13,'[1]SALES PERTYPE'!$B$10:$B$52,0)),0)</f>
        <v>0</v>
      </c>
      <c r="BU13" s="143">
        <f>IFERROR(INDEX('[1]Sales per type juli'!$D$10:$BA$51,MATCH($C13,'[1]Sales per type juli'!$B$10:$B$51,0),MATCH("IQOO 15R",'[1]Sales per type juli'!$D$8:$BA$8,0)),0)</f>
        <v>2</v>
      </c>
      <c r="BV13" s="143">
        <f t="shared" si="22"/>
        <v>-2</v>
      </c>
      <c r="BW13" s="143">
        <f>IFERROR(INDEX('[1]SALES PERTYPE'!$AA$10:$AA$52,MATCH($C13,'[1]SALES PERTYPE'!$B$10:$B$52,0)),0)</f>
        <v>0</v>
      </c>
      <c r="BX13" s="143" cm="1">
        <f t="array" ref="BX13">IFERROR(INDEX('[1]Sales per type juli'!$D$10:$BA$51,MATCH($C13,'[1]Sales per type juli'!$B$10:$B$51,0),MATCH("IQOO 15R",'[1]Sales per type juli'!$D$8:$BA$8,0)+1),0)</f>
        <v>19798000</v>
      </c>
      <c r="BY13" s="143">
        <f t="shared" si="23"/>
        <v>-19798000</v>
      </c>
      <c r="BZ13" s="143">
        <f>IFERROR(INDEX('[1]SALES PERTYPE'!$AB$10:$AB$52,MATCH($C13,'[1]SALES PERTYPE'!$B$10:$B$52,0)),0)</f>
        <v>6</v>
      </c>
      <c r="CA13" s="143">
        <f>IFERROR(INDEX('[1]Sales per type juli'!$D$10:$BA$51,MATCH($C13,'[1]Sales per type juli'!$B$10:$B$51,0),MATCH("V60 Lite",'[1]Sales per type juli'!$D$8:$BA$8,0)),0)</f>
        <v>1</v>
      </c>
      <c r="CB13" s="143">
        <f t="shared" si="24"/>
        <v>5</v>
      </c>
      <c r="CC13" s="143">
        <f>IFERROR(INDEX('[1]SALES PERTYPE'!$AC$10:$AC$52,MATCH($C13,'[1]SALES PERTYPE'!$B$10:$B$52,0)),0)</f>
        <v>34894000</v>
      </c>
      <c r="CD13" s="143" cm="1">
        <f t="array" ref="CD13">IFERROR(INDEX('[1]Sales per type juli'!$D$10:$BA$51,MATCH($C13,'[1]Sales per type juli'!$B$10:$B$51,0),MATCH("V60 Lite",'[1]Sales per type juli'!$D$8:$BA$8,0)+1),0)</f>
        <v>5299000</v>
      </c>
      <c r="CE13" s="143">
        <f t="shared" si="25"/>
        <v>29595000</v>
      </c>
      <c r="CF13" s="143">
        <f>IFERROR(INDEX('[1]SALES PERTYPE'!$AD$10:$AD$52,MATCH($C13,'[1]SALES PERTYPE'!$B$10:$B$52,0)),0)</f>
        <v>0</v>
      </c>
      <c r="CG13" s="143">
        <f>IFERROR(INDEX('[1]Sales per type juli'!$D$10:$BA$51,MATCH($C13,'[1]Sales per type juli'!$B$10:$B$51,0),MATCH("X300 Ultra",'[1]Sales per type juli'!$D$8:$BA$8,0)),0)</f>
        <v>0</v>
      </c>
      <c r="CH13" s="143">
        <f t="shared" si="26"/>
        <v>0</v>
      </c>
      <c r="CI13" s="143">
        <f>IFERROR(INDEX('[1]SALES PERTYPE'!$AE$10:$AE$52,MATCH($C13,'[1]SALES PERTYPE'!$B$10:$B$52,0)),0)</f>
        <v>0</v>
      </c>
      <c r="CJ13" s="143" cm="1">
        <f t="array" ref="CJ13">IFERROR(INDEX('[1]Sales per type juli'!$D$10:$BA$51,MATCH($C13,'[1]Sales per type juli'!$B$10:$B$51,0),MATCH("X300 Ultra",'[1]Sales per type juli'!$D$8:$BA$8,0)+1),0)</f>
        <v>0</v>
      </c>
      <c r="CK13" s="143">
        <f t="shared" si="27"/>
        <v>0</v>
      </c>
      <c r="CL13" s="143">
        <f>IFERROR(INDEX('[1]SALES PERTYPE'!$AF$10:$AF$52,MATCH($C13,'[1]SALES PERTYPE'!$B$10:$B$52,0)),0)</f>
        <v>0</v>
      </c>
      <c r="CM13" s="143">
        <f>IFERROR(INDEX('[1]Sales per type juli'!$D$10:$BA$51,MATCH($C13,'[1]Sales per type juli'!$B$10:$B$51,0),MATCH("IQOO 15",'[1]Sales per type juli'!$D$8:$BA$8,0)),0)</f>
        <v>0</v>
      </c>
      <c r="CN13" s="143">
        <f t="shared" si="28"/>
        <v>0</v>
      </c>
      <c r="CO13" s="143">
        <f>IFERROR(INDEX('[1]SALES PERTYPE'!$AG$10:$AG$52,MATCH($C13,'[1]SALES PERTYPE'!$B$10:$B$52,0)),0)</f>
        <v>0</v>
      </c>
      <c r="CP13" s="143" cm="1">
        <f t="array" ref="CP13">IFERROR(INDEX('[1]Sales per type juli'!$D$10:$BA$51,MATCH($C13,'[1]Sales per type juli'!$B$10:$B$51,0),MATCH("IQOO 15",'[1]Sales per type juli'!$D$8:$BA$8,0)+1),0)</f>
        <v>0</v>
      </c>
      <c r="CQ13" s="143">
        <f t="shared" si="29"/>
        <v>0</v>
      </c>
      <c r="CR13" s="143">
        <f>IFERROR(INDEX('[1]SALES PERTYPE'!$AH$10:$AH$52,MATCH($C13,'[1]SALES PERTYPE'!$B$10:$B$52,0)),0)</f>
        <v>1</v>
      </c>
      <c r="CS13" s="143">
        <f>IFERROR(INDEX('[1]Sales per type juli'!$D$10:$BA$51,MATCH($C13,'[1]Sales per type juli'!$B$10:$B$51,0),MATCH("IQOO Z11x",'[1]Sales per type juli'!$D$8:$BA$8,0)),0)</f>
        <v>1</v>
      </c>
      <c r="CT13" s="143">
        <f t="shared" si="30"/>
        <v>0</v>
      </c>
      <c r="CU13" s="143">
        <f>IFERROR(INDEX('[1]SALES PERTYPE'!$AI$10:$AI$52,MATCH($C13,'[1]SALES PERTYPE'!$B$10:$B$52,0)),0)</f>
        <v>5699000</v>
      </c>
      <c r="CV13" s="143" cm="1">
        <f t="array" ref="CV13">IFERROR(INDEX('[1]Sales per type juli'!$D$10:$BA$51,MATCH($C13,'[1]Sales per type juli'!$B$10:$B$51,0),MATCH("IQOO Z11x",'[1]Sales per type juli'!$D$8:$BA$8,0)+1),0)</f>
        <v>4799000</v>
      </c>
      <c r="CW13" s="143">
        <f t="shared" si="31"/>
        <v>900000</v>
      </c>
      <c r="CX13" s="143">
        <f>IFERROR(INDEX('[1]SALES PERTYPE'!$AJ$10:$AJ$52,MATCH($C13,'[1]SALES PERTYPE'!$B$10:$B$52,0)),0)</f>
        <v>1</v>
      </c>
      <c r="CY13" s="143">
        <f>IFERROR(INDEX('[1]Sales per type juli'!$D$10:$BA$51,MATCH($C13,'[1]Sales per type juli'!$B$10:$B$51,0),MATCH("IQOO Z11",'[1]Sales per type juli'!$D$8:$BA$8,0)),0)</f>
        <v>7</v>
      </c>
      <c r="CZ13" s="143">
        <f t="shared" si="32"/>
        <v>-6</v>
      </c>
      <c r="DA13" s="143">
        <f>IFERROR(INDEX('[1]SALES PERTYPE'!$AK$10:$AK$52,MATCH($C13,'[1]SALES PERTYPE'!$B$10:$B$52,0)),0)</f>
        <v>8399000</v>
      </c>
      <c r="DB13" s="143" cm="1">
        <f t="array" ref="DB13">IFERROR(INDEX('[1]Sales per type juli'!$D$10:$BA$51,MATCH($C13,'[1]Sales per type juli'!$B$10:$B$51,0),MATCH("IQOO Z11",'[1]Sales per type juli'!$D$8:$BA$8,0)+1),0)</f>
        <v>40893000</v>
      </c>
      <c r="DC13" s="143">
        <f t="shared" si="33"/>
        <v>-32494000</v>
      </c>
      <c r="DD13" s="143">
        <v>0</v>
      </c>
      <c r="DE13" s="143">
        <f>IFERROR(INDEX('[1]Sales per type juli'!$D$10:$BA$51,MATCH($C13,'[1]Sales per type juli'!$B$10:$B$51,0),MATCH("WATCH 3",'[1]Sales per type juli'!$D$8:$BA$8,0)),0)</f>
        <v>0</v>
      </c>
      <c r="DF13" s="143">
        <f t="shared" si="34"/>
        <v>0</v>
      </c>
      <c r="DG13" s="143">
        <v>0</v>
      </c>
      <c r="DH13" s="143" cm="1">
        <f t="array" ref="DH13">IFERROR(INDEX('[1]Sales per type juli'!$D$10:$BA$51,MATCH($C13,'[1]Sales per type juli'!$B$10:$B$51,0),MATCH("WATCH 3",'[1]Sales per type juli'!$D$8:$BA$8,0)+1),0)</f>
        <v>0</v>
      </c>
      <c r="DI13" s="143">
        <f t="shared" si="35"/>
        <v>0</v>
      </c>
      <c r="DJ13" s="143">
        <v>0</v>
      </c>
      <c r="DK13" s="143">
        <f>IFERROR(INDEX('[1]Sales per type juli'!$D$10:$BA$51,MATCH($C13,'[1]Sales per type juli'!$B$10:$B$51,0),MATCH("X300 Demo",'[1]Sales per type juli'!$D$8:$BA$8,0)),0)</f>
        <v>2</v>
      </c>
      <c r="DL13" s="143">
        <f t="shared" si="36"/>
        <v>-2</v>
      </c>
      <c r="DM13" s="143">
        <v>0</v>
      </c>
      <c r="DN13" s="143" cm="1">
        <f t="array" ref="DN13">IFERROR(INDEX('[1]Sales per type juli'!$D$10:$BA$51,MATCH($C13,'[1]Sales per type juli'!$B$10:$B$51,0),MATCH("X300 Demo",'[1]Sales per type juli'!$D$8:$BA$8,0)+1),0)</f>
        <v>37998000</v>
      </c>
      <c r="DO13" s="143">
        <f t="shared" si="37"/>
        <v>-37998000</v>
      </c>
      <c r="DP13" s="143">
        <v>0</v>
      </c>
      <c r="DQ13" s="143">
        <f>IFERROR(INDEX('[1]Sales per type juli'!$D$10:$BA$51,MATCH($C13,'[1]Sales per type juli'!$B$10:$B$51,0),MATCH("X300 Pro Demo",'[1]Sales per type juli'!$D$8:$BA$8,0)),0)</f>
        <v>0</v>
      </c>
      <c r="DR13" s="143">
        <f t="shared" si="38"/>
        <v>0</v>
      </c>
      <c r="DS13" s="143">
        <v>0</v>
      </c>
      <c r="DT13" s="143" cm="1">
        <f t="array" ref="DT13">IFERROR(INDEX('[1]Sales per type juli'!$D$10:$BA$51,MATCH($C13,'[1]Sales per type juli'!$B$10:$B$51,0),MATCH("X300 Pro Demo",'[1]Sales per type juli'!$D$8:$BA$8,0)+1),0)</f>
        <v>0</v>
      </c>
      <c r="DU13" s="143">
        <f t="shared" si="39"/>
        <v>0</v>
      </c>
      <c r="DV13" s="143">
        <v>0</v>
      </c>
      <c r="DW13" s="143">
        <f>IFERROR(INDEX('[1]Sales per type juli'!$D$10:$BA$51,MATCH($C13,'[1]Sales per type juli'!$B$10:$B$51,0),MATCH("X Fold5 DEMO",'[1]Sales per type juli'!$D$8:$BA$8,0)),0)</f>
        <v>0</v>
      </c>
      <c r="DX13" s="143">
        <f t="shared" si="40"/>
        <v>0</v>
      </c>
      <c r="DY13" s="143">
        <v>0</v>
      </c>
      <c r="DZ13" s="143" cm="1">
        <f t="array" ref="DZ13">IFERROR(INDEX('[1]Sales per type juli'!$D$10:$BA$51,MATCH($C13,'[1]Sales per type juli'!$B$10:$B$51,0),MATCH("X Fold5 DEMO",'[1]Sales per type juli'!$D$8:$BA$8,0)+1),0)</f>
        <v>0</v>
      </c>
      <c r="EA13" s="143">
        <f t="shared" si="41"/>
        <v>0</v>
      </c>
      <c r="EB13" s="143">
        <v>0</v>
      </c>
      <c r="EC13" s="143">
        <f>IFERROR(INDEX('[1]Sales per type juli'!$D$10:$BA$51,MATCH($C13,'[1]Sales per type juli'!$B$10:$B$51,0),MATCH("X Fold5",'[1]Sales per type juli'!$D$8:$BA$8,0)),0)</f>
        <v>0</v>
      </c>
      <c r="ED13" s="143">
        <f t="shared" si="42"/>
        <v>0</v>
      </c>
      <c r="EE13" s="143">
        <v>0</v>
      </c>
      <c r="EF13" s="143" cm="1">
        <f t="array" ref="EF13">IFERROR(INDEX('[1]Sales per type juli'!$D$10:$BA$51,MATCH($C13,'[1]Sales per type juli'!$B$10:$B$51,0),MATCH("X Fold5",'[1]Sales per type juli'!$D$8:$BA$8,0)+1),0)</f>
        <v>0</v>
      </c>
      <c r="EG13" s="143">
        <f t="shared" si="43"/>
        <v>0</v>
      </c>
      <c r="EH13" s="143">
        <v>0</v>
      </c>
      <c r="EI13" s="143">
        <f>IFERROR(INDEX('[1]Sales per type juli'!$D$10:$BA$51,MATCH($C13,'[1]Sales per type juli'!$B$10:$B$51,0),MATCH("IQOO 15 Demo",'[1]Sales per type juli'!$D$8:$BA$8,0)),0)</f>
        <v>2</v>
      </c>
      <c r="EJ13" s="143">
        <f t="shared" si="44"/>
        <v>-2</v>
      </c>
      <c r="EK13" s="143">
        <v>0</v>
      </c>
      <c r="EL13" s="143" cm="1">
        <f t="array" ref="EL13">IFERROR(INDEX('[1]Sales per type juli'!$D$10:$BA$51,MATCH($C13,'[1]Sales per type juli'!$B$10:$B$51,0),MATCH("IQOO 15 Demo",'[1]Sales per type juli'!$D$8:$BA$8,0)+1),0)</f>
        <v>27998000</v>
      </c>
      <c r="EM13" s="143">
        <f t="shared" si="45"/>
        <v>-27998000</v>
      </c>
      <c r="EN13" s="143">
        <v>0</v>
      </c>
      <c r="EO13" s="143">
        <f>IFERROR(INDEX('[1]Sales per type juli'!$D$10:$BA$51,MATCH($C13,'[1]Sales per type juli'!$B$10:$B$51,0),MATCH("X300 PRO",'[1]Sales per type juli'!$D$8:$BA$8,0)),0)</f>
        <v>0</v>
      </c>
      <c r="EP13" s="143">
        <f t="shared" si="46"/>
        <v>0</v>
      </c>
      <c r="EQ13" s="143">
        <v>0</v>
      </c>
      <c r="ER13" s="143" cm="1">
        <f t="array" ref="ER13">IFERROR(INDEX('[1]Sales per type juli'!$D$10:$BA$51,MATCH($C13,'[1]Sales per type juli'!$B$10:$B$51,0),MATCH("X300 PRO",'[1]Sales per type juli'!$D$8:$BA$8,0)+1),0)</f>
        <v>0</v>
      </c>
      <c r="ES13" s="143">
        <f t="shared" si="47"/>
        <v>0</v>
      </c>
      <c r="ET13" s="143">
        <v>0</v>
      </c>
      <c r="EU13" s="143">
        <f>IFERROR(INDEX('[1]Sales per type juli'!$D$10:$BA$51,MATCH($C13,'[1]Sales per type juli'!$B$10:$B$51,0),MATCH("X300 ",'[1]Sales per type juli'!$D$8:$BA$8,0)),0)</f>
        <v>0</v>
      </c>
      <c r="EV13" s="143">
        <f t="shared" si="48"/>
        <v>0</v>
      </c>
      <c r="EW13" s="143">
        <v>0</v>
      </c>
      <c r="EX13" s="143" cm="1">
        <f t="array" ref="EX13">IFERROR(INDEX('[1]Sales per type juli'!$D$10:$BA$51,MATCH($C13,'[1]Sales per type juli'!$B$10:$B$51,0),MATCH("X300 ",'[1]Sales per type juli'!$D$8:$BA$8,0)+1),0)</f>
        <v>0</v>
      </c>
      <c r="EY13" s="143">
        <f t="shared" si="49"/>
        <v>0</v>
      </c>
      <c r="EZ13" s="143">
        <f t="shared" si="50"/>
        <v>75</v>
      </c>
      <c r="FA13" s="143">
        <f t="shared" si="50"/>
        <v>91</v>
      </c>
      <c r="FB13" s="143">
        <f t="shared" si="51"/>
        <v>-16</v>
      </c>
      <c r="FC13" s="143">
        <f t="shared" si="52"/>
        <v>250025000</v>
      </c>
      <c r="FD13" s="143">
        <f t="shared" si="52"/>
        <v>420809000</v>
      </c>
      <c r="FE13" s="143">
        <f t="shared" si="53"/>
        <v>-170784000</v>
      </c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</row>
    <row r="14" spans="1:208" ht="16" x14ac:dyDescent="0.2">
      <c r="A14" s="144">
        <f>'[1]ACHIEVEMENT STORE'!A14</f>
        <v>10</v>
      </c>
      <c r="B14" s="145" t="str">
        <f>'[1]ACHIEVEMENT STORE'!B14</f>
        <v>601 雅加达西北 JKT BU</v>
      </c>
      <c r="C14" s="144">
        <f>'[1]ACHIEVEMENT STORE'!C14</f>
        <v>6020704</v>
      </c>
      <c r="D14" s="145" t="str">
        <f>'[1]ACHIEVEMENT STORE'!D14</f>
        <v>6020704-MVS CEMPAKA SHOWROOM 14 (8TOKO)</v>
      </c>
      <c r="E14" s="145" t="str">
        <f>'[1]ACHIEVEMENT STORE'!E14</f>
        <v>NOVIA HARYANTI</v>
      </c>
      <c r="F14" s="143">
        <f>IFERROR(INDEX('[1]SALES PERTYPE'!$D$10:$D$52,MATCH($C14,'[1]SALES PERTYPE'!$B$10:$B$52,0)),0)</f>
        <v>7</v>
      </c>
      <c r="G14" s="143">
        <f>IFERROR(INDEX('[1]Sales per type juli'!$D$10:$BA$51,MATCH($C14,'[1]Sales per type juli'!$B$10:$B$51,0),MATCH("Y05",'[1]Sales per type juli'!$D$8:$BA$8,0)),0)</f>
        <v>25</v>
      </c>
      <c r="H14" s="143">
        <f t="shared" si="0"/>
        <v>-18</v>
      </c>
      <c r="I14" s="143">
        <f>IFERROR(INDEX('[1]SALES PERTYPE'!$E$10:$E$52,MATCH($C14,'[1]SALES PERTYPE'!$B$10:$B$52,0)),0)</f>
        <v>17293000</v>
      </c>
      <c r="J14" s="143" cm="1">
        <f t="array" ref="J14">IFERROR(INDEX('[1]Sales per type juli'!$D$10:$BA$51,MATCH($C14,'[1]Sales per type juli'!$B$10:$B$51,0),MATCH("Y05",'[1]Sales per type juli'!$D$8:$BA$8,0)+1),0)</f>
        <v>57675000</v>
      </c>
      <c r="K14" s="143">
        <f t="shared" si="1"/>
        <v>-40382000</v>
      </c>
      <c r="L14" s="143">
        <f>IFERROR(INDEX('[1]SALES PERTYPE'!$F$10:$F$52,MATCH($C14,'[1]SALES PERTYPE'!$B$10:$B$52,0)),0)</f>
        <v>7</v>
      </c>
      <c r="M14" s="143">
        <f>IFERROR(INDEX('[1]Sales per type juli'!$D$10:$BA$51,MATCH($C14,'[1]Sales per type juli'!$B$10:$B$51,0),MATCH("Y11d",'[1]Sales per type juli'!$D$8:$BA$8,0)),0)</f>
        <v>1</v>
      </c>
      <c r="N14" s="143">
        <f t="shared" si="2"/>
        <v>6</v>
      </c>
      <c r="O14" s="143">
        <f>IFERROR(INDEX('[1]SALES PERTYPE'!$G$10:$G$52,MATCH($C14,'[1]SALES PERTYPE'!$B$10:$B$52,0)),0)</f>
        <v>18393000</v>
      </c>
      <c r="P14" s="143" cm="1">
        <f t="array" ref="P14">IFERROR(INDEX('[1]Sales per type juli'!$D$10:$BA$51,MATCH($C14,'[1]Sales per type juli'!$B$10:$B$51,0),MATCH("Y11d",'[1]Sales per type juli'!$D$8:$BA$8,0)+1),0)</f>
        <v>2799000</v>
      </c>
      <c r="Q14" s="143">
        <f t="shared" si="3"/>
        <v>15594000</v>
      </c>
      <c r="R14" s="143">
        <f>IFERROR(INDEX('[1]SALES PERTYPE'!$H$10:$H$52,MATCH($C14,'[1]SALES PERTYPE'!$B$10:$B$52,0)),0)</f>
        <v>0</v>
      </c>
      <c r="S14" s="143">
        <f>IFERROR(INDEX('[1]Sales per type juli'!$D$10:$BA$51,MATCH($C14,'[1]Sales per type juli'!$B$10:$B$51,0),MATCH("Watch GT 2",'[1]Sales per type juli'!$D$8:$BA$8,0)),0)</f>
        <v>0</v>
      </c>
      <c r="T14" s="143">
        <f t="shared" si="4"/>
        <v>0</v>
      </c>
      <c r="U14" s="143">
        <f>IFERROR(INDEX('[1]SALES PERTYPE'!$I$10:$I$52,MATCH($C14,'[1]SALES PERTYPE'!$B$10:$B$52,0)),0)</f>
        <v>0</v>
      </c>
      <c r="V14" s="143" cm="1">
        <f t="array" ref="V14">IFERROR(INDEX('[1]Sales per type juli'!$D$10:$BA$51,MATCH($C14,'[1]Sales per type juli'!$B$10:$B$51,0),MATCH("Watch GT 2",'[1]Sales per type juli'!$D$8:$BA$8,0)+1),0)</f>
        <v>0</v>
      </c>
      <c r="W14" s="143">
        <f t="shared" si="5"/>
        <v>0</v>
      </c>
      <c r="X14" s="143">
        <f>IFERROR(INDEX('[1]SALES PERTYPE'!$J$10:$J$52,MATCH($C14,'[1]SALES PERTYPE'!$B$10:$B$52,0)),0)</f>
        <v>6</v>
      </c>
      <c r="Y14" s="143">
        <f>IFERROR(INDEX('[1]Sales per type juli'!$D$10:$BA$51,MATCH($C14,'[1]Sales per type juli'!$B$10:$B$51,0),MATCH("Y05e",'[1]Sales per type juli'!$D$8:$BA$8,0)),0)</f>
        <v>0</v>
      </c>
      <c r="Z14" s="143">
        <f t="shared" si="6"/>
        <v>6</v>
      </c>
      <c r="AA14" s="143">
        <f>IFERROR(INDEX('[1]SALES PERTYPE'!$K$10:$K$52,MATCH($C14,'[1]SALES PERTYPE'!$B$10:$B$52,0)),0)</f>
        <v>12594000</v>
      </c>
      <c r="AB14" s="143" cm="1">
        <f t="array" ref="AB14">IFERROR(INDEX('[1]Sales per type juli'!$D$10:$BA$51,MATCH($C14,'[1]Sales per type juli'!$B$10:$B$51,0),MATCH("Y05e",'[1]Sales per type juli'!$D$8:$BA$8,0)+1),0)</f>
        <v>0</v>
      </c>
      <c r="AC14" s="143">
        <f t="shared" si="7"/>
        <v>12594000</v>
      </c>
      <c r="AD14" s="143">
        <f>IFERROR(INDEX('[1]SALES PERTYPE'!$L$10:$L$52,MATCH($C14,'[1]SALES PERTYPE'!$B$10:$B$52,0)),0)</f>
        <v>0</v>
      </c>
      <c r="AE14" s="143">
        <f>IFERROR(INDEX('[1]Sales per type juli'!$D$10:$BA$51,MATCH($C14,'[1]Sales per type juli'!$B$10:$B$51,0),MATCH("V70",'[1]Sales per type juli'!$D$8:$BA$8,0)),0)</f>
        <v>1</v>
      </c>
      <c r="AF14" s="143">
        <f t="shared" si="8"/>
        <v>-1</v>
      </c>
      <c r="AG14" s="143">
        <f>IFERROR(INDEX('[1]SALES PERTYPE'!$M$10:$M$52,MATCH($C14,'[1]SALES PERTYPE'!$B$10:$B$52,0)),0)</f>
        <v>0</v>
      </c>
      <c r="AH14" s="143" cm="1">
        <f t="array" ref="AH14">IFERROR(INDEX('[1]Sales per type juli'!$D$10:$BA$51,MATCH($C14,'[1]Sales per type juli'!$B$10:$B$51,0),MATCH("V70",'[1]Sales per type juli'!$D$8:$BA$8,0)+1),0)</f>
        <v>8999000</v>
      </c>
      <c r="AI14" s="143">
        <f t="shared" si="9"/>
        <v>-8999000</v>
      </c>
      <c r="AJ14" s="143">
        <f>IFERROR(INDEX('[1]SALES PERTYPE'!$N$10:$N$52,MATCH($C14,'[1]SALES PERTYPE'!$B$10:$B$52,0)),0)</f>
        <v>9</v>
      </c>
      <c r="AK14" s="143">
        <f>IFERROR(INDEX('[1]Sales per type juli'!$D$10:$BA$51,MATCH($C14,'[1]Sales per type juli'!$B$10:$B$51,0),MATCH("Y31d Pro",'[1]Sales per type juli'!$D$8:$BA$8,0)),0)</f>
        <v>7</v>
      </c>
      <c r="AL14" s="143">
        <f t="shared" si="10"/>
        <v>2</v>
      </c>
      <c r="AM14" s="143">
        <f>IFERROR(INDEX('[1]SALES PERTYPE'!$O$10:$O$52,MATCH($C14,'[1]SALES PERTYPE'!$B$10:$B$52,0)),0)</f>
        <v>39091000</v>
      </c>
      <c r="AN14" s="143" cm="1">
        <f t="array" ref="AN14">IFERROR(INDEX('[1]Sales per type juli'!$D$10:$BA$51,MATCH($C14,'[1]Sales per type juli'!$B$10:$B$51,0),MATCH("Y31d Pro",'[1]Sales per type juli'!$D$8:$BA$8,0)+1),0)</f>
        <v>32693000</v>
      </c>
      <c r="AO14" s="143">
        <f t="shared" si="11"/>
        <v>6398000</v>
      </c>
      <c r="AP14" s="143">
        <f>IFERROR(INDEX('[1]SALES PERTYPE'!$P$10:$P$52,MATCH($C14,'[1]SALES PERTYPE'!$B$10:$B$52,0)),0)</f>
        <v>0</v>
      </c>
      <c r="AQ14" s="143" cm="1">
        <f t="array" ref="AQ14">IFERROR(INDEX('[1]Sales per type juli'!$D$10:$BA$51,MATCH($C14,'[1]Sales per type juli'!$B$10:$B$51,0),$FG$2),0)</f>
        <v>0</v>
      </c>
      <c r="AR14" s="143">
        <f t="shared" si="12"/>
        <v>0</v>
      </c>
      <c r="AS14" s="143">
        <f>IFERROR(INDEX('[1]SALES PERTYPE'!$Q$10:$Q$52,MATCH($C14,'[1]SALES PERTYPE'!$B$10:$B$52,0)),0)</f>
        <v>0</v>
      </c>
      <c r="AT14" s="143" cm="1">
        <f t="array" ref="AT14">IFERROR(INDEX('[1]Sales per type juli'!$D$10:$BA$51,MATCH($C14,'[1]Sales per type juli'!$B$10:$B$51,0),$FG$2+1),0)</f>
        <v>0</v>
      </c>
      <c r="AU14" s="143">
        <f t="shared" si="13"/>
        <v>0</v>
      </c>
      <c r="AV14" s="143">
        <f>IFERROR(INDEX('[1]SALES PERTYPE'!$R$10:$R$52,MATCH($C14,'[1]SALES PERTYPE'!$B$10:$B$52,0)),0)</f>
        <v>1</v>
      </c>
      <c r="AW14" s="143">
        <f>IFERROR(INDEX('[1]Sales per type juli'!$D$10:$BA$51,MATCH($C14,'[1]Sales per type juli'!$B$10:$B$51,0),MATCH("Y31d ",'[1]Sales per type juli'!$D$8:$BA$8,0)),0)</f>
        <v>2</v>
      </c>
      <c r="AX14" s="143">
        <f t="shared" si="14"/>
        <v>-1</v>
      </c>
      <c r="AY14" s="143">
        <f>IFERROR(INDEX('[1]SALES PERTYPE'!$S$10:$S$52,MATCH($C14,'[1]SALES PERTYPE'!$B$10:$B$52,0)),0)</f>
        <v>3599000</v>
      </c>
      <c r="AZ14" s="143" cm="1">
        <f t="array" ref="AZ14">IFERROR(INDEX('[1]Sales per type juli'!$D$10:$BA$51,MATCH($C14,'[1]Sales per type juli'!$B$10:$B$51,0),MATCH("Y31d ",'[1]Sales per type juli'!$D$8:$BA$8,0)+1),0)</f>
        <v>7198000</v>
      </c>
      <c r="BA14" s="143">
        <f t="shared" si="15"/>
        <v>-3599000</v>
      </c>
      <c r="BB14" s="143">
        <f>IFERROR(INDEX('[1]SALES PERTYPE'!$T$10:$T$52,MATCH($C14,'[1]SALES PERTYPE'!$B$10:$B$52,0)),0)</f>
        <v>2</v>
      </c>
      <c r="BC14" s="143">
        <f>IFERROR(INDEX('[1]Sales per type juli'!$D$10:$BA$51,MATCH($C14,'[1]Sales per type juli'!$B$10:$B$51,0),MATCH("V70 FE",'[1]Sales per type juli'!$D$8:$BA$8,0)),0)</f>
        <v>2</v>
      </c>
      <c r="BD14" s="143">
        <f t="shared" si="16"/>
        <v>0</v>
      </c>
      <c r="BE14" s="143">
        <f>IFERROR(INDEX('[1]SALES PERTYPE'!$U$10:$U$52,MATCH($C14,'[1]SALES PERTYPE'!$B$10:$B$52,0)),0)</f>
        <v>14998000</v>
      </c>
      <c r="BF14" s="143" cm="1">
        <f t="array" ref="BF14">IFERROR(INDEX('[1]Sales per type juli'!$D$10:$BA$51,MATCH($C14,'[1]Sales per type juli'!$B$10:$B$51,0),MATCH("V70 FE",'[1]Sales per type juli'!$D$8:$BA$8,0)+1),0)</f>
        <v>13698000</v>
      </c>
      <c r="BG14" s="143">
        <f t="shared" si="17"/>
        <v>1300000</v>
      </c>
      <c r="BH14" s="143">
        <f>IFERROR(INDEX('[1]SALES PERTYPE'!$V$10:$V$52,MATCH($C14,'[1]SALES PERTYPE'!$B$10:$B$52,0)),0)</f>
        <v>1</v>
      </c>
      <c r="BI14" s="143">
        <f>IFERROR(INDEX('[1]Sales per type juli'!$D$10:$BA$51,MATCH($C14,'[1]Sales per type juli'!$B$10:$B$51,0),MATCH("Y31d",'[1]Sales per type juli'!$D$8:$BA$8,0)),0)</f>
        <v>1</v>
      </c>
      <c r="BJ14" s="143">
        <f t="shared" si="18"/>
        <v>0</v>
      </c>
      <c r="BK14" s="143">
        <f>IFERROR(INDEX('[1]SALES PERTYPE'!$W$10:$W$52,MATCH($C14,'[1]SALES PERTYPE'!$B$10:$B$52,0)),0)</f>
        <v>3599000</v>
      </c>
      <c r="BL14" s="143" cm="1">
        <f t="array" ref="BL14">IFERROR(INDEX('[1]Sales per type juli'!$D$10:$BA$51,MATCH($C14,'[1]Sales per type juli'!$B$10:$B$51,0),MATCH("Y31d",'[1]Sales per type juli'!$D$8:$BA$8,0)+1),0)</f>
        <v>3599000</v>
      </c>
      <c r="BM14" s="143">
        <f t="shared" si="19"/>
        <v>0</v>
      </c>
      <c r="BN14" s="143">
        <f>IFERROR(INDEX('[1]SALES PERTYPE'!$X$10:$X$52,MATCH($C14,'[1]SALES PERTYPE'!$B$10:$B$52,0)),0)</f>
        <v>1</v>
      </c>
      <c r="BO14" s="143">
        <f>IFERROR(INDEX('[1]Sales per type juli'!$D$10:$BA$51,MATCH($C14,'[1]Sales per type juli'!$B$10:$B$51,0),MATCH("Y500",'[1]Sales per type juli'!$D$8:$BA$8,0)),0)</f>
        <v>1</v>
      </c>
      <c r="BP14" s="143">
        <f t="shared" si="20"/>
        <v>0</v>
      </c>
      <c r="BQ14" s="143">
        <f>IFERROR(INDEX('[1]SALES PERTYPE'!$Y$10:$Y$52,MATCH($C14,'[1]SALES PERTYPE'!$B$10:$B$52,0)),0)</f>
        <v>5499000</v>
      </c>
      <c r="BR14" s="143" cm="1">
        <f t="array" ref="BR14">IFERROR(INDEX('[1]Sales per type juli'!$D$10:$BA$51,MATCH($C14,'[1]Sales per type juli'!$B$10:$B$51,0),MATCH("Y500",'[1]Sales per type juli'!$D$8:$BA$8,0)+1),0)</f>
        <v>5499000</v>
      </c>
      <c r="BS14" s="143">
        <f t="shared" si="21"/>
        <v>0</v>
      </c>
      <c r="BT14" s="143">
        <f>IFERROR(INDEX('[1]SALES PERTYPE'!$Z$10:$Z$52,MATCH($C14,'[1]SALES PERTYPE'!$B$10:$B$52,0)),0)</f>
        <v>0</v>
      </c>
      <c r="BU14" s="143">
        <f>IFERROR(INDEX('[1]Sales per type juli'!$D$10:$BA$51,MATCH($C14,'[1]Sales per type juli'!$B$10:$B$51,0),MATCH("IQOO 15R",'[1]Sales per type juli'!$D$8:$BA$8,0)),0)</f>
        <v>0</v>
      </c>
      <c r="BV14" s="143">
        <f t="shared" si="22"/>
        <v>0</v>
      </c>
      <c r="BW14" s="143">
        <f>IFERROR(INDEX('[1]SALES PERTYPE'!$AA$10:$AA$52,MATCH($C14,'[1]SALES PERTYPE'!$B$10:$B$52,0)),0)</f>
        <v>0</v>
      </c>
      <c r="BX14" s="143" cm="1">
        <f t="array" ref="BX14">IFERROR(INDEX('[1]Sales per type juli'!$D$10:$BA$51,MATCH($C14,'[1]Sales per type juli'!$B$10:$B$51,0),MATCH("IQOO 15R",'[1]Sales per type juli'!$D$8:$BA$8,0)+1),0)</f>
        <v>0</v>
      </c>
      <c r="BY14" s="143">
        <f t="shared" si="23"/>
        <v>0</v>
      </c>
      <c r="BZ14" s="143">
        <f>IFERROR(INDEX('[1]SALES PERTYPE'!$AB$10:$AB$52,MATCH($C14,'[1]SALES PERTYPE'!$B$10:$B$52,0)),0)</f>
        <v>3</v>
      </c>
      <c r="CA14" s="143">
        <f>IFERROR(INDEX('[1]Sales per type juli'!$D$10:$BA$51,MATCH($C14,'[1]Sales per type juli'!$B$10:$B$51,0),MATCH("V60 Lite",'[1]Sales per type juli'!$D$8:$BA$8,0)),0)</f>
        <v>0</v>
      </c>
      <c r="CB14" s="143">
        <f t="shared" si="24"/>
        <v>3</v>
      </c>
      <c r="CC14" s="143">
        <f>IFERROR(INDEX('[1]SALES PERTYPE'!$AC$10:$AC$52,MATCH($C14,'[1]SALES PERTYPE'!$B$10:$B$52,0)),0)</f>
        <v>17097000</v>
      </c>
      <c r="CD14" s="143" cm="1">
        <f t="array" ref="CD14">IFERROR(INDEX('[1]Sales per type juli'!$D$10:$BA$51,MATCH($C14,'[1]Sales per type juli'!$B$10:$B$51,0),MATCH("V60 Lite",'[1]Sales per type juli'!$D$8:$BA$8,0)+1),0)</f>
        <v>0</v>
      </c>
      <c r="CE14" s="143">
        <f t="shared" si="25"/>
        <v>17097000</v>
      </c>
      <c r="CF14" s="143">
        <f>IFERROR(INDEX('[1]SALES PERTYPE'!$AD$10:$AD$52,MATCH($C14,'[1]SALES PERTYPE'!$B$10:$B$52,0)),0)</f>
        <v>0</v>
      </c>
      <c r="CG14" s="143">
        <f>IFERROR(INDEX('[1]Sales per type juli'!$D$10:$BA$51,MATCH($C14,'[1]Sales per type juli'!$B$10:$B$51,0),MATCH("X300 Ultra",'[1]Sales per type juli'!$D$8:$BA$8,0)),0)</f>
        <v>0</v>
      </c>
      <c r="CH14" s="143">
        <f t="shared" si="26"/>
        <v>0</v>
      </c>
      <c r="CI14" s="143">
        <f>IFERROR(INDEX('[1]SALES PERTYPE'!$AE$10:$AE$52,MATCH($C14,'[1]SALES PERTYPE'!$B$10:$B$52,0)),0)</f>
        <v>0</v>
      </c>
      <c r="CJ14" s="143" cm="1">
        <f t="array" ref="CJ14">IFERROR(INDEX('[1]Sales per type juli'!$D$10:$BA$51,MATCH($C14,'[1]Sales per type juli'!$B$10:$B$51,0),MATCH("X300 Ultra",'[1]Sales per type juli'!$D$8:$BA$8,0)+1),0)</f>
        <v>0</v>
      </c>
      <c r="CK14" s="143">
        <f t="shared" si="27"/>
        <v>0</v>
      </c>
      <c r="CL14" s="143">
        <f>IFERROR(INDEX('[1]SALES PERTYPE'!$AF$10:$AF$52,MATCH($C14,'[1]SALES PERTYPE'!$B$10:$B$52,0)),0)</f>
        <v>0</v>
      </c>
      <c r="CM14" s="143">
        <f>IFERROR(INDEX('[1]Sales per type juli'!$D$10:$BA$51,MATCH($C14,'[1]Sales per type juli'!$B$10:$B$51,0),MATCH("IQOO 15",'[1]Sales per type juli'!$D$8:$BA$8,0)),0)</f>
        <v>0</v>
      </c>
      <c r="CN14" s="143">
        <f t="shared" si="28"/>
        <v>0</v>
      </c>
      <c r="CO14" s="143">
        <f>IFERROR(INDEX('[1]SALES PERTYPE'!$AG$10:$AG$52,MATCH($C14,'[1]SALES PERTYPE'!$B$10:$B$52,0)),0)</f>
        <v>0</v>
      </c>
      <c r="CP14" s="143" cm="1">
        <f t="array" ref="CP14">IFERROR(INDEX('[1]Sales per type juli'!$D$10:$BA$51,MATCH($C14,'[1]Sales per type juli'!$B$10:$B$51,0),MATCH("IQOO 15",'[1]Sales per type juli'!$D$8:$BA$8,0)+1),0)</f>
        <v>0</v>
      </c>
      <c r="CQ14" s="143">
        <f t="shared" si="29"/>
        <v>0</v>
      </c>
      <c r="CR14" s="143">
        <f>IFERROR(INDEX('[1]SALES PERTYPE'!$AH$10:$AH$52,MATCH($C14,'[1]SALES PERTYPE'!$B$10:$B$52,0)),0)</f>
        <v>0</v>
      </c>
      <c r="CS14" s="143">
        <f>IFERROR(INDEX('[1]Sales per type juli'!$D$10:$BA$51,MATCH($C14,'[1]Sales per type juli'!$B$10:$B$51,0),MATCH("IQOO Z11x",'[1]Sales per type juli'!$D$8:$BA$8,0)),0)</f>
        <v>2</v>
      </c>
      <c r="CT14" s="143">
        <f t="shared" si="30"/>
        <v>-2</v>
      </c>
      <c r="CU14" s="143">
        <f>IFERROR(INDEX('[1]SALES PERTYPE'!$AI$10:$AI$52,MATCH($C14,'[1]SALES PERTYPE'!$B$10:$B$52,0)),0)</f>
        <v>0</v>
      </c>
      <c r="CV14" s="143" cm="1">
        <f t="array" ref="CV14">IFERROR(INDEX('[1]Sales per type juli'!$D$10:$BA$51,MATCH($C14,'[1]Sales per type juli'!$B$10:$B$51,0),MATCH("IQOO Z11x",'[1]Sales per type juli'!$D$8:$BA$8,0)+1),0)</f>
        <v>9598000</v>
      </c>
      <c r="CW14" s="143">
        <f t="shared" si="31"/>
        <v>-9598000</v>
      </c>
      <c r="CX14" s="143">
        <f>IFERROR(INDEX('[1]SALES PERTYPE'!$AJ$10:$AJ$52,MATCH($C14,'[1]SALES PERTYPE'!$B$10:$B$52,0)),0)</f>
        <v>1</v>
      </c>
      <c r="CY14" s="143">
        <f>IFERROR(INDEX('[1]Sales per type juli'!$D$10:$BA$51,MATCH($C14,'[1]Sales per type juli'!$B$10:$B$51,0),MATCH("IQOO Z11",'[1]Sales per type juli'!$D$8:$BA$8,0)),0)</f>
        <v>0</v>
      </c>
      <c r="CZ14" s="143">
        <f t="shared" si="32"/>
        <v>1</v>
      </c>
      <c r="DA14" s="143">
        <f>IFERROR(INDEX('[1]SALES PERTYPE'!$AK$10:$AK$52,MATCH($C14,'[1]SALES PERTYPE'!$B$10:$B$52,0)),0)</f>
        <v>6899000</v>
      </c>
      <c r="DB14" s="143" cm="1">
        <f t="array" ref="DB14">IFERROR(INDEX('[1]Sales per type juli'!$D$10:$BA$51,MATCH($C14,'[1]Sales per type juli'!$B$10:$B$51,0),MATCH("IQOO Z11",'[1]Sales per type juli'!$D$8:$BA$8,0)+1),0)</f>
        <v>0</v>
      </c>
      <c r="DC14" s="143">
        <f t="shared" si="33"/>
        <v>6899000</v>
      </c>
      <c r="DD14" s="143">
        <v>0</v>
      </c>
      <c r="DE14" s="143">
        <f>IFERROR(INDEX('[1]Sales per type juli'!$D$10:$BA$51,MATCH($C14,'[1]Sales per type juli'!$B$10:$B$51,0),MATCH("WATCH 3",'[1]Sales per type juli'!$D$8:$BA$8,0)),0)</f>
        <v>0</v>
      </c>
      <c r="DF14" s="143">
        <f t="shared" si="34"/>
        <v>0</v>
      </c>
      <c r="DG14" s="143">
        <v>0</v>
      </c>
      <c r="DH14" s="143" cm="1">
        <f t="array" ref="DH14">IFERROR(INDEX('[1]Sales per type juli'!$D$10:$BA$51,MATCH($C14,'[1]Sales per type juli'!$B$10:$B$51,0),MATCH("WATCH 3",'[1]Sales per type juli'!$D$8:$BA$8,0)+1),0)</f>
        <v>0</v>
      </c>
      <c r="DI14" s="143">
        <f t="shared" si="35"/>
        <v>0</v>
      </c>
      <c r="DJ14" s="143">
        <v>0</v>
      </c>
      <c r="DK14" s="143">
        <f>IFERROR(INDEX('[1]Sales per type juli'!$D$10:$BA$51,MATCH($C14,'[1]Sales per type juli'!$B$10:$B$51,0),MATCH("X300 Demo",'[1]Sales per type juli'!$D$8:$BA$8,0)),0)</f>
        <v>2</v>
      </c>
      <c r="DL14" s="143">
        <f t="shared" si="36"/>
        <v>-2</v>
      </c>
      <c r="DM14" s="143">
        <v>0</v>
      </c>
      <c r="DN14" s="143" cm="1">
        <f t="array" ref="DN14">IFERROR(INDEX('[1]Sales per type juli'!$D$10:$BA$51,MATCH($C14,'[1]Sales per type juli'!$B$10:$B$51,0),MATCH("X300 Demo",'[1]Sales per type juli'!$D$8:$BA$8,0)+1),0)</f>
        <v>29998000</v>
      </c>
      <c r="DO14" s="143">
        <f t="shared" si="37"/>
        <v>-29998000</v>
      </c>
      <c r="DP14" s="143">
        <v>0</v>
      </c>
      <c r="DQ14" s="143">
        <f>IFERROR(INDEX('[1]Sales per type juli'!$D$10:$BA$51,MATCH($C14,'[1]Sales per type juli'!$B$10:$B$51,0),MATCH("X300 Pro Demo",'[1]Sales per type juli'!$D$8:$BA$8,0)),0)</f>
        <v>0</v>
      </c>
      <c r="DR14" s="143">
        <f t="shared" si="38"/>
        <v>0</v>
      </c>
      <c r="DS14" s="143">
        <v>0</v>
      </c>
      <c r="DT14" s="143" cm="1">
        <f t="array" ref="DT14">IFERROR(INDEX('[1]Sales per type juli'!$D$10:$BA$51,MATCH($C14,'[1]Sales per type juli'!$B$10:$B$51,0),MATCH("X300 Pro Demo",'[1]Sales per type juli'!$D$8:$BA$8,0)+1),0)</f>
        <v>0</v>
      </c>
      <c r="DU14" s="143">
        <f t="shared" si="39"/>
        <v>0</v>
      </c>
      <c r="DV14" s="143">
        <v>0</v>
      </c>
      <c r="DW14" s="143">
        <f>IFERROR(INDEX('[1]Sales per type juli'!$D$10:$BA$51,MATCH($C14,'[1]Sales per type juli'!$B$10:$B$51,0),MATCH("X Fold5 DEMO",'[1]Sales per type juli'!$D$8:$BA$8,0)),0)</f>
        <v>0</v>
      </c>
      <c r="DX14" s="143">
        <f t="shared" si="40"/>
        <v>0</v>
      </c>
      <c r="DY14" s="143">
        <v>0</v>
      </c>
      <c r="DZ14" s="143" cm="1">
        <f t="array" ref="DZ14">IFERROR(INDEX('[1]Sales per type juli'!$D$10:$BA$51,MATCH($C14,'[1]Sales per type juli'!$B$10:$B$51,0),MATCH("X Fold5 DEMO",'[1]Sales per type juli'!$D$8:$BA$8,0)+1),0)</f>
        <v>0</v>
      </c>
      <c r="EA14" s="143">
        <f t="shared" si="41"/>
        <v>0</v>
      </c>
      <c r="EB14" s="143">
        <v>0</v>
      </c>
      <c r="EC14" s="143">
        <f>IFERROR(INDEX('[1]Sales per type juli'!$D$10:$BA$51,MATCH($C14,'[1]Sales per type juli'!$B$10:$B$51,0),MATCH("X Fold5",'[1]Sales per type juli'!$D$8:$BA$8,0)),0)</f>
        <v>0</v>
      </c>
      <c r="ED14" s="143">
        <f t="shared" si="42"/>
        <v>0</v>
      </c>
      <c r="EE14" s="143">
        <v>0</v>
      </c>
      <c r="EF14" s="143" cm="1">
        <f t="array" ref="EF14">IFERROR(INDEX('[1]Sales per type juli'!$D$10:$BA$51,MATCH($C14,'[1]Sales per type juli'!$B$10:$B$51,0),MATCH("X Fold5",'[1]Sales per type juli'!$D$8:$BA$8,0)+1),0)</f>
        <v>0</v>
      </c>
      <c r="EG14" s="143">
        <f t="shared" si="43"/>
        <v>0</v>
      </c>
      <c r="EH14" s="143">
        <v>0</v>
      </c>
      <c r="EI14" s="143">
        <f>IFERROR(INDEX('[1]Sales per type juli'!$D$10:$BA$51,MATCH($C14,'[1]Sales per type juli'!$B$10:$B$51,0),MATCH("IQOO 15 Demo",'[1]Sales per type juli'!$D$8:$BA$8,0)),0)</f>
        <v>0</v>
      </c>
      <c r="EJ14" s="143">
        <f t="shared" si="44"/>
        <v>0</v>
      </c>
      <c r="EK14" s="143">
        <v>0</v>
      </c>
      <c r="EL14" s="143" cm="1">
        <f t="array" ref="EL14">IFERROR(INDEX('[1]Sales per type juli'!$D$10:$BA$51,MATCH($C14,'[1]Sales per type juli'!$B$10:$B$51,0),MATCH("IQOO 15 Demo",'[1]Sales per type juli'!$D$8:$BA$8,0)+1),0)</f>
        <v>0</v>
      </c>
      <c r="EM14" s="143">
        <f t="shared" si="45"/>
        <v>0</v>
      </c>
      <c r="EN14" s="143">
        <v>0</v>
      </c>
      <c r="EO14" s="143">
        <f>IFERROR(INDEX('[1]Sales per type juli'!$D$10:$BA$51,MATCH($C14,'[1]Sales per type juli'!$B$10:$B$51,0),MATCH("X300 PRO",'[1]Sales per type juli'!$D$8:$BA$8,0)),0)</f>
        <v>0</v>
      </c>
      <c r="EP14" s="143">
        <f t="shared" si="46"/>
        <v>0</v>
      </c>
      <c r="EQ14" s="143">
        <v>0</v>
      </c>
      <c r="ER14" s="143" cm="1">
        <f t="array" ref="ER14">IFERROR(INDEX('[1]Sales per type juli'!$D$10:$BA$51,MATCH($C14,'[1]Sales per type juli'!$B$10:$B$51,0),MATCH("X300 PRO",'[1]Sales per type juli'!$D$8:$BA$8,0)+1),0)</f>
        <v>0</v>
      </c>
      <c r="ES14" s="143">
        <f t="shared" si="47"/>
        <v>0</v>
      </c>
      <c r="ET14" s="143">
        <v>0</v>
      </c>
      <c r="EU14" s="143">
        <f>IFERROR(INDEX('[1]Sales per type juli'!$D$10:$BA$51,MATCH($C14,'[1]Sales per type juli'!$B$10:$B$51,0),MATCH("X300 ",'[1]Sales per type juli'!$D$8:$BA$8,0)),0)</f>
        <v>0</v>
      </c>
      <c r="EV14" s="143">
        <f t="shared" si="48"/>
        <v>0</v>
      </c>
      <c r="EW14" s="143">
        <v>0</v>
      </c>
      <c r="EX14" s="143" cm="1">
        <f t="array" ref="EX14">IFERROR(INDEX('[1]Sales per type juli'!$D$10:$BA$51,MATCH($C14,'[1]Sales per type juli'!$B$10:$B$51,0),MATCH("X300 ",'[1]Sales per type juli'!$D$8:$BA$8,0)+1),0)</f>
        <v>0</v>
      </c>
      <c r="EY14" s="143">
        <f t="shared" si="49"/>
        <v>0</v>
      </c>
      <c r="EZ14" s="143">
        <f t="shared" si="50"/>
        <v>38</v>
      </c>
      <c r="FA14" s="143">
        <f t="shared" si="50"/>
        <v>44</v>
      </c>
      <c r="FB14" s="143">
        <f t="shared" si="51"/>
        <v>-6</v>
      </c>
      <c r="FC14" s="143">
        <f t="shared" si="52"/>
        <v>139062000</v>
      </c>
      <c r="FD14" s="143">
        <f t="shared" si="52"/>
        <v>171756000</v>
      </c>
      <c r="FE14" s="143">
        <f t="shared" si="53"/>
        <v>-32694000</v>
      </c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</row>
    <row r="15" spans="1:208" ht="16" x14ac:dyDescent="0.2">
      <c r="A15" s="141">
        <f>'[1]ACHIEVEMENT STORE'!A15</f>
        <v>11</v>
      </c>
      <c r="B15" s="142" t="str">
        <f>'[1]ACHIEVEMENT STORE'!B15</f>
        <v>604 雅加达东南 JKT TS</v>
      </c>
      <c r="C15" s="141">
        <f>'[1]ACHIEVEMENT STORE'!C15</f>
        <v>6040701</v>
      </c>
      <c r="D15" s="142" t="str">
        <f>'[1]ACHIEVEMENT STORE'!D15</f>
        <v>A200402-ITC-VIVO STORE 1</v>
      </c>
      <c r="E15" s="142" t="str">
        <f>'[1]ACHIEVEMENT STORE'!E15</f>
        <v>Erlangga Pradita</v>
      </c>
      <c r="F15" s="143">
        <f>IFERROR(INDEX('[1]SALES PERTYPE'!$D$10:$D$52,MATCH($C15,'[1]SALES PERTYPE'!$B$10:$B$52,0)),0)</f>
        <v>9</v>
      </c>
      <c r="G15" s="143">
        <f>IFERROR(INDEX('[1]Sales per type juli'!$D$10:$BA$51,MATCH($C15,'[1]Sales per type juli'!$B$10:$B$51,0),MATCH("Y05",'[1]Sales per type juli'!$D$8:$BA$8,0)),0)</f>
        <v>8</v>
      </c>
      <c r="H15" s="143">
        <f t="shared" si="0"/>
        <v>1</v>
      </c>
      <c r="I15" s="143">
        <f>IFERROR(INDEX('[1]SALES PERTYPE'!$E$10:$E$52,MATCH($C15,'[1]SALES PERTYPE'!$B$10:$B$52,0)),0)</f>
        <v>22491000</v>
      </c>
      <c r="J15" s="143" cm="1">
        <f t="array" ref="J15">IFERROR(INDEX('[1]Sales per type juli'!$D$10:$BA$51,MATCH($C15,'[1]Sales per type juli'!$B$10:$B$51,0),MATCH("Y05",'[1]Sales per type juli'!$D$8:$BA$8,0)+1),0)</f>
        <v>18292000</v>
      </c>
      <c r="K15" s="143">
        <f t="shared" si="1"/>
        <v>4199000</v>
      </c>
      <c r="L15" s="143">
        <f>IFERROR(INDEX('[1]SALES PERTYPE'!$F$10:$F$52,MATCH($C15,'[1]SALES PERTYPE'!$B$10:$B$52,0)),0)</f>
        <v>9</v>
      </c>
      <c r="M15" s="143">
        <f>IFERROR(INDEX('[1]Sales per type juli'!$D$10:$BA$51,MATCH($C15,'[1]Sales per type juli'!$B$10:$B$51,0),MATCH("Y11d",'[1]Sales per type juli'!$D$8:$BA$8,0)),0)</f>
        <v>10</v>
      </c>
      <c r="N15" s="143">
        <f t="shared" si="2"/>
        <v>-1</v>
      </c>
      <c r="O15" s="143">
        <f>IFERROR(INDEX('[1]SALES PERTYPE'!$G$10:$G$52,MATCH($C15,'[1]SALES PERTYPE'!$B$10:$B$52,0)),0)</f>
        <v>23591000</v>
      </c>
      <c r="P15" s="143" cm="1">
        <f t="array" ref="P15">IFERROR(INDEX('[1]Sales per type juli'!$D$10:$BA$51,MATCH($C15,'[1]Sales per type juli'!$B$10:$B$51,0),MATCH("Y11d",'[1]Sales per type juli'!$D$8:$BA$8,0)+1),0)</f>
        <v>25590000</v>
      </c>
      <c r="Q15" s="143">
        <f t="shared" si="3"/>
        <v>-1999000</v>
      </c>
      <c r="R15" s="143">
        <f>IFERROR(INDEX('[1]SALES PERTYPE'!$H$10:$H$52,MATCH($C15,'[1]SALES PERTYPE'!$B$10:$B$52,0)),0)</f>
        <v>0</v>
      </c>
      <c r="S15" s="143">
        <f>IFERROR(INDEX('[1]Sales per type juli'!$D$10:$BA$51,MATCH($C15,'[1]Sales per type juli'!$B$10:$B$51,0),MATCH("Watch GT 2",'[1]Sales per type juli'!$D$8:$BA$8,0)),0)</f>
        <v>0</v>
      </c>
      <c r="T15" s="143">
        <f t="shared" si="4"/>
        <v>0</v>
      </c>
      <c r="U15" s="143">
        <f>IFERROR(INDEX('[1]SALES PERTYPE'!$I$10:$I$52,MATCH($C15,'[1]SALES PERTYPE'!$B$10:$B$52,0)),0)</f>
        <v>0</v>
      </c>
      <c r="V15" s="143" cm="1">
        <f t="array" ref="V15">IFERROR(INDEX('[1]Sales per type juli'!$D$10:$BA$51,MATCH($C15,'[1]Sales per type juli'!$B$10:$B$51,0),MATCH("Watch GT 2",'[1]Sales per type juli'!$D$8:$BA$8,0)+1),0)</f>
        <v>0</v>
      </c>
      <c r="W15" s="143">
        <f t="shared" si="5"/>
        <v>0</v>
      </c>
      <c r="X15" s="143">
        <f>IFERROR(INDEX('[1]SALES PERTYPE'!$J$10:$J$52,MATCH($C15,'[1]SALES PERTYPE'!$B$10:$B$52,0)),0)</f>
        <v>4</v>
      </c>
      <c r="Y15" s="143">
        <f>IFERROR(INDEX('[1]Sales per type juli'!$D$10:$BA$51,MATCH($C15,'[1]Sales per type juli'!$B$10:$B$51,0),MATCH("Y05e",'[1]Sales per type juli'!$D$8:$BA$8,0)),0)</f>
        <v>0</v>
      </c>
      <c r="Z15" s="143">
        <f t="shared" si="6"/>
        <v>4</v>
      </c>
      <c r="AA15" s="143">
        <f>IFERROR(INDEX('[1]SALES PERTYPE'!$K$10:$K$52,MATCH($C15,'[1]SALES PERTYPE'!$B$10:$B$52,0)),0)</f>
        <v>8396000</v>
      </c>
      <c r="AB15" s="143" cm="1">
        <f t="array" ref="AB15">IFERROR(INDEX('[1]Sales per type juli'!$D$10:$BA$51,MATCH($C15,'[1]Sales per type juli'!$B$10:$B$51,0),MATCH("Y05e",'[1]Sales per type juli'!$D$8:$BA$8,0)+1),0)</f>
        <v>0</v>
      </c>
      <c r="AC15" s="143">
        <f t="shared" si="7"/>
        <v>8396000</v>
      </c>
      <c r="AD15" s="143">
        <f>IFERROR(INDEX('[1]SALES PERTYPE'!$L$10:$L$52,MATCH($C15,'[1]SALES PERTYPE'!$B$10:$B$52,0)),0)</f>
        <v>1</v>
      </c>
      <c r="AE15" s="143">
        <f>IFERROR(INDEX('[1]Sales per type juli'!$D$10:$BA$51,MATCH($C15,'[1]Sales per type juli'!$B$10:$B$51,0),MATCH("V70",'[1]Sales per type juli'!$D$8:$BA$8,0)),0)</f>
        <v>3</v>
      </c>
      <c r="AF15" s="143">
        <f t="shared" si="8"/>
        <v>-2</v>
      </c>
      <c r="AG15" s="143">
        <f>IFERROR(INDEX('[1]SALES PERTYPE'!$M$10:$M$52,MATCH($C15,'[1]SALES PERTYPE'!$B$10:$B$52,0)),0)</f>
        <v>9999000</v>
      </c>
      <c r="AH15" s="143" cm="1">
        <f t="array" ref="AH15">IFERROR(INDEX('[1]Sales per type juli'!$D$10:$BA$51,MATCH($C15,'[1]Sales per type juli'!$B$10:$B$51,0),MATCH("V70",'[1]Sales per type juli'!$D$8:$BA$8,0)+1),0)</f>
        <v>26997000</v>
      </c>
      <c r="AI15" s="143">
        <f t="shared" si="9"/>
        <v>-16998000</v>
      </c>
      <c r="AJ15" s="143">
        <f>IFERROR(INDEX('[1]SALES PERTYPE'!$N$10:$N$52,MATCH($C15,'[1]SALES PERTYPE'!$B$10:$B$52,0)),0)</f>
        <v>11</v>
      </c>
      <c r="AK15" s="143">
        <f>IFERROR(INDEX('[1]Sales per type juli'!$D$10:$BA$51,MATCH($C15,'[1]Sales per type juli'!$B$10:$B$51,0),MATCH("Y31d Pro",'[1]Sales per type juli'!$D$8:$BA$8,0)),0)</f>
        <v>6</v>
      </c>
      <c r="AL15" s="143">
        <f t="shared" si="10"/>
        <v>5</v>
      </c>
      <c r="AM15" s="143">
        <f>IFERROR(INDEX('[1]SALES PERTYPE'!$O$10:$O$52,MATCH($C15,'[1]SALES PERTYPE'!$B$10:$B$52,0)),0)</f>
        <v>49289000</v>
      </c>
      <c r="AN15" s="143" cm="1">
        <f t="array" ref="AN15">IFERROR(INDEX('[1]Sales per type juli'!$D$10:$BA$51,MATCH($C15,'[1]Sales per type juli'!$B$10:$B$51,0),MATCH("Y31d Pro",'[1]Sales per type juli'!$D$8:$BA$8,0)+1),0)</f>
        <v>26394000</v>
      </c>
      <c r="AO15" s="143">
        <f t="shared" si="11"/>
        <v>22895000</v>
      </c>
      <c r="AP15" s="143">
        <f>IFERROR(INDEX('[1]SALES PERTYPE'!$P$10:$P$52,MATCH($C15,'[1]SALES PERTYPE'!$B$10:$B$52,0)),0)</f>
        <v>0</v>
      </c>
      <c r="AQ15" s="143" cm="1">
        <f t="array" ref="AQ15">IFERROR(INDEX('[1]Sales per type juli'!$D$10:$BA$51,MATCH($C15,'[1]Sales per type juli'!$B$10:$B$51,0),$FG$2),0)</f>
        <v>0</v>
      </c>
      <c r="AR15" s="143">
        <f t="shared" si="12"/>
        <v>0</v>
      </c>
      <c r="AS15" s="143">
        <f>IFERROR(INDEX('[1]SALES PERTYPE'!$Q$10:$Q$52,MATCH($C15,'[1]SALES PERTYPE'!$B$10:$B$52,0)),0)</f>
        <v>0</v>
      </c>
      <c r="AT15" s="143" cm="1">
        <f t="array" ref="AT15">IFERROR(INDEX('[1]Sales per type juli'!$D$10:$BA$51,MATCH($C15,'[1]Sales per type juli'!$B$10:$B$51,0),$FG$2+1),0)</f>
        <v>0</v>
      </c>
      <c r="AU15" s="143">
        <f t="shared" si="13"/>
        <v>0</v>
      </c>
      <c r="AV15" s="143">
        <f>IFERROR(INDEX('[1]SALES PERTYPE'!$R$10:$R$52,MATCH($C15,'[1]SALES PERTYPE'!$B$10:$B$52,0)),0)</f>
        <v>0</v>
      </c>
      <c r="AW15" s="143">
        <f>IFERROR(INDEX('[1]Sales per type juli'!$D$10:$BA$51,MATCH($C15,'[1]Sales per type juli'!$B$10:$B$51,0),MATCH("Y31d ",'[1]Sales per type juli'!$D$8:$BA$8,0)),0)</f>
        <v>2</v>
      </c>
      <c r="AX15" s="143">
        <f t="shared" si="14"/>
        <v>-2</v>
      </c>
      <c r="AY15" s="143">
        <f>IFERROR(INDEX('[1]SALES PERTYPE'!$S$10:$S$52,MATCH($C15,'[1]SALES PERTYPE'!$B$10:$B$52,0)),0)</f>
        <v>0</v>
      </c>
      <c r="AZ15" s="143" cm="1">
        <f t="array" ref="AZ15">IFERROR(INDEX('[1]Sales per type juli'!$D$10:$BA$51,MATCH($C15,'[1]Sales per type juli'!$B$10:$B$51,0),MATCH("Y31d ",'[1]Sales per type juli'!$D$8:$BA$8,0)+1),0)</f>
        <v>7198000</v>
      </c>
      <c r="BA15" s="143">
        <f t="shared" si="15"/>
        <v>-7198000</v>
      </c>
      <c r="BB15" s="143">
        <f>IFERROR(INDEX('[1]SALES PERTYPE'!$T$10:$T$52,MATCH($C15,'[1]SALES PERTYPE'!$B$10:$B$52,0)),0)</f>
        <v>4</v>
      </c>
      <c r="BC15" s="143">
        <f>IFERROR(INDEX('[1]Sales per type juli'!$D$10:$BA$51,MATCH($C15,'[1]Sales per type juli'!$B$10:$B$51,0),MATCH("V70 FE",'[1]Sales per type juli'!$D$8:$BA$8,0)),0)</f>
        <v>4</v>
      </c>
      <c r="BD15" s="143">
        <f t="shared" si="16"/>
        <v>0</v>
      </c>
      <c r="BE15" s="143">
        <f>IFERROR(INDEX('[1]SALES PERTYPE'!$U$10:$U$52,MATCH($C15,'[1]SALES PERTYPE'!$B$10:$B$52,0)),0)</f>
        <v>29196000</v>
      </c>
      <c r="BF15" s="143" cm="1">
        <f t="array" ref="BF15">IFERROR(INDEX('[1]Sales per type juli'!$D$10:$BA$51,MATCH($C15,'[1]Sales per type juli'!$B$10:$B$51,0),MATCH("V70 FE",'[1]Sales per type juli'!$D$8:$BA$8,0)+1),0)</f>
        <v>25996000</v>
      </c>
      <c r="BG15" s="143">
        <f t="shared" si="17"/>
        <v>3200000</v>
      </c>
      <c r="BH15" s="143">
        <f>IFERROR(INDEX('[1]SALES PERTYPE'!$V$10:$V$52,MATCH($C15,'[1]SALES PERTYPE'!$B$10:$B$52,0)),0)</f>
        <v>1</v>
      </c>
      <c r="BI15" s="143">
        <f>IFERROR(INDEX('[1]Sales per type juli'!$D$10:$BA$51,MATCH($C15,'[1]Sales per type juli'!$B$10:$B$51,0),MATCH("Y31d",'[1]Sales per type juli'!$D$8:$BA$8,0)),0)</f>
        <v>1</v>
      </c>
      <c r="BJ15" s="143">
        <f t="shared" si="18"/>
        <v>0</v>
      </c>
      <c r="BK15" s="143">
        <f>IFERROR(INDEX('[1]SALES PERTYPE'!$W$10:$W$52,MATCH($C15,'[1]SALES PERTYPE'!$B$10:$B$52,0)),0)</f>
        <v>3599000</v>
      </c>
      <c r="BL15" s="143" cm="1">
        <f t="array" ref="BL15">IFERROR(INDEX('[1]Sales per type juli'!$D$10:$BA$51,MATCH($C15,'[1]Sales per type juli'!$B$10:$B$51,0),MATCH("Y31d",'[1]Sales per type juli'!$D$8:$BA$8,0)+1),0)</f>
        <v>3599000</v>
      </c>
      <c r="BM15" s="143">
        <f t="shared" si="19"/>
        <v>0</v>
      </c>
      <c r="BN15" s="143">
        <f>IFERROR(INDEX('[1]SALES PERTYPE'!$X$10:$X$52,MATCH($C15,'[1]SALES PERTYPE'!$B$10:$B$52,0)),0)</f>
        <v>3</v>
      </c>
      <c r="BO15" s="143">
        <f>IFERROR(INDEX('[1]Sales per type juli'!$D$10:$BA$51,MATCH($C15,'[1]Sales per type juli'!$B$10:$B$51,0),MATCH("Y500",'[1]Sales per type juli'!$D$8:$BA$8,0)),0)</f>
        <v>5</v>
      </c>
      <c r="BP15" s="143">
        <f t="shared" si="20"/>
        <v>-2</v>
      </c>
      <c r="BQ15" s="143">
        <f>IFERROR(INDEX('[1]SALES PERTYPE'!$Y$10:$Y$52,MATCH($C15,'[1]SALES PERTYPE'!$B$10:$B$52,0)),0)</f>
        <v>17297000</v>
      </c>
      <c r="BR15" s="143" cm="1">
        <f t="array" ref="BR15">IFERROR(INDEX('[1]Sales per type juli'!$D$10:$BA$51,MATCH($C15,'[1]Sales per type juli'!$B$10:$B$51,0),MATCH("Y500",'[1]Sales per type juli'!$D$8:$BA$8,0)+1),0)</f>
        <v>28295000</v>
      </c>
      <c r="BS15" s="143">
        <f t="shared" si="21"/>
        <v>-10998000</v>
      </c>
      <c r="BT15" s="143">
        <f>IFERROR(INDEX('[1]SALES PERTYPE'!$Z$10:$Z$52,MATCH($C15,'[1]SALES PERTYPE'!$B$10:$B$52,0)),0)</f>
        <v>0</v>
      </c>
      <c r="BU15" s="143">
        <f>IFERROR(INDEX('[1]Sales per type juli'!$D$10:$BA$51,MATCH($C15,'[1]Sales per type juli'!$B$10:$B$51,0),MATCH("IQOO 15R",'[1]Sales per type juli'!$D$8:$BA$8,0)),0)</f>
        <v>2</v>
      </c>
      <c r="BV15" s="143">
        <f t="shared" si="22"/>
        <v>-2</v>
      </c>
      <c r="BW15" s="143">
        <f>IFERROR(INDEX('[1]SALES PERTYPE'!$AA$10:$AA$52,MATCH($C15,'[1]SALES PERTYPE'!$B$10:$B$52,0)),0)</f>
        <v>0</v>
      </c>
      <c r="BX15" s="143" cm="1">
        <f t="array" ref="BX15">IFERROR(INDEX('[1]Sales per type juli'!$D$10:$BA$51,MATCH($C15,'[1]Sales per type juli'!$B$10:$B$51,0),MATCH("IQOO 15R",'[1]Sales per type juli'!$D$8:$BA$8,0)+1),0)</f>
        <v>19798000</v>
      </c>
      <c r="BY15" s="143">
        <f t="shared" si="23"/>
        <v>-19798000</v>
      </c>
      <c r="BZ15" s="143">
        <f>IFERROR(INDEX('[1]SALES PERTYPE'!$AB$10:$AB$52,MATCH($C15,'[1]SALES PERTYPE'!$B$10:$B$52,0)),0)</f>
        <v>0</v>
      </c>
      <c r="CA15" s="143">
        <f>IFERROR(INDEX('[1]Sales per type juli'!$D$10:$BA$51,MATCH($C15,'[1]Sales per type juli'!$B$10:$B$51,0),MATCH("V60 Lite",'[1]Sales per type juli'!$D$8:$BA$8,0)),0)</f>
        <v>1</v>
      </c>
      <c r="CB15" s="143">
        <f t="shared" si="24"/>
        <v>-1</v>
      </c>
      <c r="CC15" s="143">
        <f>IFERROR(INDEX('[1]SALES PERTYPE'!$AC$10:$AC$52,MATCH($C15,'[1]SALES PERTYPE'!$B$10:$B$52,0)),0)</f>
        <v>0</v>
      </c>
      <c r="CD15" s="143" cm="1">
        <f t="array" ref="CD15">IFERROR(INDEX('[1]Sales per type juli'!$D$10:$BA$51,MATCH($C15,'[1]Sales per type juli'!$B$10:$B$51,0),MATCH("V60 Lite",'[1]Sales per type juli'!$D$8:$BA$8,0)+1),0)</f>
        <v>5299000</v>
      </c>
      <c r="CE15" s="143">
        <f t="shared" si="25"/>
        <v>-5299000</v>
      </c>
      <c r="CF15" s="143">
        <f>IFERROR(INDEX('[1]SALES PERTYPE'!$AD$10:$AD$52,MATCH($C15,'[1]SALES PERTYPE'!$B$10:$B$52,0)),0)</f>
        <v>0</v>
      </c>
      <c r="CG15" s="143">
        <f>IFERROR(INDEX('[1]Sales per type juli'!$D$10:$BA$51,MATCH($C15,'[1]Sales per type juli'!$B$10:$B$51,0),MATCH("X300 Ultra",'[1]Sales per type juli'!$D$8:$BA$8,0)),0)</f>
        <v>0</v>
      </c>
      <c r="CH15" s="143">
        <f t="shared" si="26"/>
        <v>0</v>
      </c>
      <c r="CI15" s="143">
        <f>IFERROR(INDEX('[1]SALES PERTYPE'!$AE$10:$AE$52,MATCH($C15,'[1]SALES PERTYPE'!$B$10:$B$52,0)),0)</f>
        <v>0</v>
      </c>
      <c r="CJ15" s="143" cm="1">
        <f t="array" ref="CJ15">IFERROR(INDEX('[1]Sales per type juli'!$D$10:$BA$51,MATCH($C15,'[1]Sales per type juli'!$B$10:$B$51,0),MATCH("X300 Ultra",'[1]Sales per type juli'!$D$8:$BA$8,0)+1),0)</f>
        <v>0</v>
      </c>
      <c r="CK15" s="143">
        <f t="shared" si="27"/>
        <v>0</v>
      </c>
      <c r="CL15" s="143">
        <f>IFERROR(INDEX('[1]SALES PERTYPE'!$AF$10:$AF$52,MATCH($C15,'[1]SALES PERTYPE'!$B$10:$B$52,0)),0)</f>
        <v>0</v>
      </c>
      <c r="CM15" s="143">
        <f>IFERROR(INDEX('[1]Sales per type juli'!$D$10:$BA$51,MATCH($C15,'[1]Sales per type juli'!$B$10:$B$51,0),MATCH("IQOO 15",'[1]Sales per type juli'!$D$8:$BA$8,0)),0)</f>
        <v>1</v>
      </c>
      <c r="CN15" s="143">
        <f t="shared" si="28"/>
        <v>-1</v>
      </c>
      <c r="CO15" s="143">
        <f>IFERROR(INDEX('[1]SALES PERTYPE'!$AG$10:$AG$52,MATCH($C15,'[1]SALES PERTYPE'!$B$10:$B$52,0)),0)</f>
        <v>0</v>
      </c>
      <c r="CP15" s="143" cm="1">
        <f t="array" ref="CP15">IFERROR(INDEX('[1]Sales per type juli'!$D$10:$BA$51,MATCH($C15,'[1]Sales per type juli'!$B$10:$B$51,0),MATCH("IQOO 15",'[1]Sales per type juli'!$D$8:$BA$8,0)+1),0)</f>
        <v>13999000</v>
      </c>
      <c r="CQ15" s="143">
        <f t="shared" si="29"/>
        <v>-13999000</v>
      </c>
      <c r="CR15" s="143">
        <f>IFERROR(INDEX('[1]SALES PERTYPE'!$AH$10:$AH$52,MATCH($C15,'[1]SALES PERTYPE'!$B$10:$B$52,0)),0)</f>
        <v>0</v>
      </c>
      <c r="CS15" s="143">
        <f>IFERROR(INDEX('[1]Sales per type juli'!$D$10:$BA$51,MATCH($C15,'[1]Sales per type juli'!$B$10:$B$51,0),MATCH("IQOO Z11x",'[1]Sales per type juli'!$D$8:$BA$8,0)),0)</f>
        <v>0</v>
      </c>
      <c r="CT15" s="143">
        <f t="shared" si="30"/>
        <v>0</v>
      </c>
      <c r="CU15" s="143">
        <f>IFERROR(INDEX('[1]SALES PERTYPE'!$AI$10:$AI$52,MATCH($C15,'[1]SALES PERTYPE'!$B$10:$B$52,0)),0)</f>
        <v>0</v>
      </c>
      <c r="CV15" s="143" cm="1">
        <f t="array" ref="CV15">IFERROR(INDEX('[1]Sales per type juli'!$D$10:$BA$51,MATCH($C15,'[1]Sales per type juli'!$B$10:$B$51,0),MATCH("IQOO Z11x",'[1]Sales per type juli'!$D$8:$BA$8,0)+1),0)</f>
        <v>0</v>
      </c>
      <c r="CW15" s="143">
        <f t="shared" si="31"/>
        <v>0</v>
      </c>
      <c r="CX15" s="143">
        <f>IFERROR(INDEX('[1]SALES PERTYPE'!$AJ$10:$AJ$52,MATCH($C15,'[1]SALES PERTYPE'!$B$10:$B$52,0)),0)</f>
        <v>2</v>
      </c>
      <c r="CY15" s="143">
        <f>IFERROR(INDEX('[1]Sales per type juli'!$D$10:$BA$51,MATCH($C15,'[1]Sales per type juli'!$B$10:$B$51,0),MATCH("IQOO Z11",'[1]Sales per type juli'!$D$8:$BA$8,0)),0)</f>
        <v>3</v>
      </c>
      <c r="CZ15" s="143">
        <f t="shared" si="32"/>
        <v>-1</v>
      </c>
      <c r="DA15" s="143">
        <f>IFERROR(INDEX('[1]SALES PERTYPE'!$AK$10:$AK$52,MATCH($C15,'[1]SALES PERTYPE'!$B$10:$B$52,0)),0)</f>
        <v>15298000</v>
      </c>
      <c r="DB15" s="143" cm="1">
        <f t="array" ref="DB15">IFERROR(INDEX('[1]Sales per type juli'!$D$10:$BA$51,MATCH($C15,'[1]Sales per type juli'!$B$10:$B$51,0),MATCH("IQOO Z11",'[1]Sales per type juli'!$D$8:$BA$8,0)+1),0)</f>
        <v>17097000</v>
      </c>
      <c r="DC15" s="143">
        <f t="shared" si="33"/>
        <v>-1799000</v>
      </c>
      <c r="DD15" s="143">
        <v>0</v>
      </c>
      <c r="DE15" s="143">
        <f>IFERROR(INDEX('[1]Sales per type juli'!$D$10:$BA$51,MATCH($C15,'[1]Sales per type juli'!$B$10:$B$51,0),MATCH("WATCH 3",'[1]Sales per type juli'!$D$8:$BA$8,0)),0)</f>
        <v>0</v>
      </c>
      <c r="DF15" s="143">
        <f t="shared" si="34"/>
        <v>0</v>
      </c>
      <c r="DG15" s="143">
        <v>0</v>
      </c>
      <c r="DH15" s="143" cm="1">
        <f t="array" ref="DH15">IFERROR(INDEX('[1]Sales per type juli'!$D$10:$BA$51,MATCH($C15,'[1]Sales per type juli'!$B$10:$B$51,0),MATCH("WATCH 3",'[1]Sales per type juli'!$D$8:$BA$8,0)+1),0)</f>
        <v>0</v>
      </c>
      <c r="DI15" s="143">
        <f t="shared" si="35"/>
        <v>0</v>
      </c>
      <c r="DJ15" s="143">
        <v>0</v>
      </c>
      <c r="DK15" s="143">
        <f>IFERROR(INDEX('[1]Sales per type juli'!$D$10:$BA$51,MATCH($C15,'[1]Sales per type juli'!$B$10:$B$51,0),MATCH("X300 Demo",'[1]Sales per type juli'!$D$8:$BA$8,0)),0)</f>
        <v>0</v>
      </c>
      <c r="DL15" s="143">
        <f t="shared" si="36"/>
        <v>0</v>
      </c>
      <c r="DM15" s="143">
        <v>0</v>
      </c>
      <c r="DN15" s="143" cm="1">
        <f t="array" ref="DN15">IFERROR(INDEX('[1]Sales per type juli'!$D$10:$BA$51,MATCH($C15,'[1]Sales per type juli'!$B$10:$B$51,0),MATCH("X300 Demo",'[1]Sales per type juli'!$D$8:$BA$8,0)+1),0)</f>
        <v>0</v>
      </c>
      <c r="DO15" s="143">
        <f t="shared" si="37"/>
        <v>0</v>
      </c>
      <c r="DP15" s="143">
        <v>0</v>
      </c>
      <c r="DQ15" s="143">
        <f>IFERROR(INDEX('[1]Sales per type juli'!$D$10:$BA$51,MATCH($C15,'[1]Sales per type juli'!$B$10:$B$51,0),MATCH("X300 Pro Demo",'[1]Sales per type juli'!$D$8:$BA$8,0)),0)</f>
        <v>0</v>
      </c>
      <c r="DR15" s="143">
        <f t="shared" si="38"/>
        <v>0</v>
      </c>
      <c r="DS15" s="143">
        <v>0</v>
      </c>
      <c r="DT15" s="143" cm="1">
        <f t="array" ref="DT15">IFERROR(INDEX('[1]Sales per type juli'!$D$10:$BA$51,MATCH($C15,'[1]Sales per type juli'!$B$10:$B$51,0),MATCH("X300 Pro Demo",'[1]Sales per type juli'!$D$8:$BA$8,0)+1),0)</f>
        <v>0</v>
      </c>
      <c r="DU15" s="143">
        <f t="shared" si="39"/>
        <v>0</v>
      </c>
      <c r="DV15" s="143">
        <v>0</v>
      </c>
      <c r="DW15" s="143">
        <f>IFERROR(INDEX('[1]Sales per type juli'!$D$10:$BA$51,MATCH($C15,'[1]Sales per type juli'!$B$10:$B$51,0),MATCH("X Fold5 DEMO",'[1]Sales per type juli'!$D$8:$BA$8,0)),0)</f>
        <v>0</v>
      </c>
      <c r="DX15" s="143">
        <f t="shared" si="40"/>
        <v>0</v>
      </c>
      <c r="DY15" s="143">
        <v>0</v>
      </c>
      <c r="DZ15" s="143" cm="1">
        <f t="array" ref="DZ15">IFERROR(INDEX('[1]Sales per type juli'!$D$10:$BA$51,MATCH($C15,'[1]Sales per type juli'!$B$10:$B$51,0),MATCH("X Fold5 DEMO",'[1]Sales per type juli'!$D$8:$BA$8,0)+1),0)</f>
        <v>0</v>
      </c>
      <c r="EA15" s="143">
        <f t="shared" si="41"/>
        <v>0</v>
      </c>
      <c r="EB15" s="143">
        <v>0</v>
      </c>
      <c r="EC15" s="143">
        <f>IFERROR(INDEX('[1]Sales per type juli'!$D$10:$BA$51,MATCH($C15,'[1]Sales per type juli'!$B$10:$B$51,0),MATCH("X Fold5",'[1]Sales per type juli'!$D$8:$BA$8,0)),0)</f>
        <v>0</v>
      </c>
      <c r="ED15" s="143">
        <f t="shared" si="42"/>
        <v>0</v>
      </c>
      <c r="EE15" s="143">
        <v>0</v>
      </c>
      <c r="EF15" s="143" cm="1">
        <f t="array" ref="EF15">IFERROR(INDEX('[1]Sales per type juli'!$D$10:$BA$51,MATCH($C15,'[1]Sales per type juli'!$B$10:$B$51,0),MATCH("X Fold5",'[1]Sales per type juli'!$D$8:$BA$8,0)+1),0)</f>
        <v>0</v>
      </c>
      <c r="EG15" s="143">
        <f t="shared" si="43"/>
        <v>0</v>
      </c>
      <c r="EH15" s="143">
        <v>0</v>
      </c>
      <c r="EI15" s="143">
        <f>IFERROR(INDEX('[1]Sales per type juli'!$D$10:$BA$51,MATCH($C15,'[1]Sales per type juli'!$B$10:$B$51,0),MATCH("IQOO 15 Demo",'[1]Sales per type juli'!$D$8:$BA$8,0)),0)</f>
        <v>0</v>
      </c>
      <c r="EJ15" s="143">
        <f t="shared" si="44"/>
        <v>0</v>
      </c>
      <c r="EK15" s="143">
        <v>0</v>
      </c>
      <c r="EL15" s="143" cm="1">
        <f t="array" ref="EL15">IFERROR(INDEX('[1]Sales per type juli'!$D$10:$BA$51,MATCH($C15,'[1]Sales per type juli'!$B$10:$B$51,0),MATCH("IQOO 15 Demo",'[1]Sales per type juli'!$D$8:$BA$8,0)+1),0)</f>
        <v>0</v>
      </c>
      <c r="EM15" s="143">
        <f t="shared" si="45"/>
        <v>0</v>
      </c>
      <c r="EN15" s="143">
        <v>0</v>
      </c>
      <c r="EO15" s="143">
        <f>IFERROR(INDEX('[1]Sales per type juli'!$D$10:$BA$51,MATCH($C15,'[1]Sales per type juli'!$B$10:$B$51,0),MATCH("X300 PRO",'[1]Sales per type juli'!$D$8:$BA$8,0)),0)</f>
        <v>0</v>
      </c>
      <c r="EP15" s="143">
        <f t="shared" si="46"/>
        <v>0</v>
      </c>
      <c r="EQ15" s="143">
        <v>0</v>
      </c>
      <c r="ER15" s="143" cm="1">
        <f t="array" ref="ER15">IFERROR(INDEX('[1]Sales per type juli'!$D$10:$BA$51,MATCH($C15,'[1]Sales per type juli'!$B$10:$B$51,0),MATCH("X300 PRO",'[1]Sales per type juli'!$D$8:$BA$8,0)+1),0)</f>
        <v>0</v>
      </c>
      <c r="ES15" s="143">
        <f t="shared" si="47"/>
        <v>0</v>
      </c>
      <c r="ET15" s="143">
        <v>0</v>
      </c>
      <c r="EU15" s="143">
        <f>IFERROR(INDEX('[1]Sales per type juli'!$D$10:$BA$51,MATCH($C15,'[1]Sales per type juli'!$B$10:$B$51,0),MATCH("X300 ",'[1]Sales per type juli'!$D$8:$BA$8,0)),0)</f>
        <v>0</v>
      </c>
      <c r="EV15" s="143">
        <f t="shared" si="48"/>
        <v>0</v>
      </c>
      <c r="EW15" s="143">
        <v>0</v>
      </c>
      <c r="EX15" s="143" cm="1">
        <f t="array" ref="EX15">IFERROR(INDEX('[1]Sales per type juli'!$D$10:$BA$51,MATCH($C15,'[1]Sales per type juli'!$B$10:$B$51,0),MATCH("X300 ",'[1]Sales per type juli'!$D$8:$BA$8,0)+1),0)</f>
        <v>0</v>
      </c>
      <c r="EY15" s="143">
        <f t="shared" si="49"/>
        <v>0</v>
      </c>
      <c r="EZ15" s="143">
        <f t="shared" si="50"/>
        <v>44</v>
      </c>
      <c r="FA15" s="143">
        <f t="shared" si="50"/>
        <v>46</v>
      </c>
      <c r="FB15" s="143">
        <f t="shared" si="51"/>
        <v>-2</v>
      </c>
      <c r="FC15" s="143">
        <f t="shared" si="52"/>
        <v>179156000</v>
      </c>
      <c r="FD15" s="143">
        <f t="shared" si="52"/>
        <v>218554000</v>
      </c>
      <c r="FE15" s="143">
        <f t="shared" si="53"/>
        <v>-39398000</v>
      </c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</row>
    <row r="16" spans="1:208" ht="16" x14ac:dyDescent="0.2">
      <c r="A16" s="144">
        <f>'[1]ACHIEVEMENT STORE'!A16</f>
        <v>12</v>
      </c>
      <c r="B16" s="145" t="str">
        <f>'[1]ACHIEVEMENT STORE'!B16</f>
        <v>604 雅加达东南 JKT TS</v>
      </c>
      <c r="C16" s="144">
        <f>'[1]ACHIEVEMENT STORE'!C16</f>
        <v>6080712</v>
      </c>
      <c r="D16" s="145" t="str">
        <f>'[1]ACHIEVEMENT STORE'!D16</f>
        <v>6080712-MVS ITC DEPOK VIVO STORE 2</v>
      </c>
      <c r="E16" s="145" t="str">
        <f>'[1]ACHIEVEMENT STORE'!E16</f>
        <v>Erlangga Pradita</v>
      </c>
      <c r="F16" s="143">
        <f>IFERROR(INDEX('[1]SALES PERTYPE'!$D$10:$D$52,MATCH($C16,'[1]SALES PERTYPE'!$B$10:$B$52,0)),0)</f>
        <v>2</v>
      </c>
      <c r="G16" s="143">
        <f>IFERROR(INDEX('[1]Sales per type juli'!$D$10:$BA$51,MATCH($C16,'[1]Sales per type juli'!$B$10:$B$51,0),MATCH("Y05",'[1]Sales per type juli'!$D$8:$BA$8,0)),0)</f>
        <v>12</v>
      </c>
      <c r="H16" s="143">
        <f t="shared" si="0"/>
        <v>-10</v>
      </c>
      <c r="I16" s="143">
        <f>IFERROR(INDEX('[1]SALES PERTYPE'!$E$10:$E$52,MATCH($C16,'[1]SALES PERTYPE'!$B$10:$B$52,0)),0)</f>
        <v>4898000</v>
      </c>
      <c r="J16" s="143" cm="1">
        <f t="array" ref="J16">IFERROR(INDEX('[1]Sales per type juli'!$D$10:$BA$51,MATCH($C16,'[1]Sales per type juli'!$B$10:$B$51,0),MATCH("Y05",'[1]Sales per type juli'!$D$8:$BA$8,0)+1),0)</f>
        <v>26988000</v>
      </c>
      <c r="K16" s="143">
        <f t="shared" si="1"/>
        <v>-22090000</v>
      </c>
      <c r="L16" s="143">
        <f>IFERROR(INDEX('[1]SALES PERTYPE'!$F$10:$F$52,MATCH($C16,'[1]SALES PERTYPE'!$B$10:$B$52,0)),0)</f>
        <v>10</v>
      </c>
      <c r="M16" s="143">
        <f>IFERROR(INDEX('[1]Sales per type juli'!$D$10:$BA$51,MATCH($C16,'[1]Sales per type juli'!$B$10:$B$51,0),MATCH("Y11d",'[1]Sales per type juli'!$D$8:$BA$8,0)),0)</f>
        <v>8</v>
      </c>
      <c r="N16" s="143">
        <f t="shared" si="2"/>
        <v>2</v>
      </c>
      <c r="O16" s="143">
        <f>IFERROR(INDEX('[1]SALES PERTYPE'!$G$10:$G$52,MATCH($C16,'[1]SALES PERTYPE'!$B$10:$B$52,0)),0)</f>
        <v>27590000</v>
      </c>
      <c r="P16" s="143" cm="1">
        <f t="array" ref="P16">IFERROR(INDEX('[1]Sales per type juli'!$D$10:$BA$51,MATCH($C16,'[1]Sales per type juli'!$B$10:$B$51,0),MATCH("Y11d",'[1]Sales per type juli'!$D$8:$BA$8,0)+1),0)</f>
        <v>21192000</v>
      </c>
      <c r="Q16" s="143">
        <f t="shared" si="3"/>
        <v>6398000</v>
      </c>
      <c r="R16" s="143">
        <f>IFERROR(INDEX('[1]SALES PERTYPE'!$H$10:$H$52,MATCH($C16,'[1]SALES PERTYPE'!$B$10:$B$52,0)),0)</f>
        <v>0</v>
      </c>
      <c r="S16" s="143">
        <f>IFERROR(INDEX('[1]Sales per type juli'!$D$10:$BA$51,MATCH($C16,'[1]Sales per type juli'!$B$10:$B$51,0),MATCH("Watch GT 2",'[1]Sales per type juli'!$D$8:$BA$8,0)),0)</f>
        <v>0</v>
      </c>
      <c r="T16" s="143">
        <f t="shared" si="4"/>
        <v>0</v>
      </c>
      <c r="U16" s="143">
        <f>IFERROR(INDEX('[1]SALES PERTYPE'!$I$10:$I$52,MATCH($C16,'[1]SALES PERTYPE'!$B$10:$B$52,0)),0)</f>
        <v>0</v>
      </c>
      <c r="V16" s="143" cm="1">
        <f t="array" ref="V16">IFERROR(INDEX('[1]Sales per type juli'!$D$10:$BA$51,MATCH($C16,'[1]Sales per type juli'!$B$10:$B$51,0),MATCH("Watch GT 2",'[1]Sales per type juli'!$D$8:$BA$8,0)+1),0)</f>
        <v>0</v>
      </c>
      <c r="W16" s="143">
        <f t="shared" si="5"/>
        <v>0</v>
      </c>
      <c r="X16" s="143">
        <f>IFERROR(INDEX('[1]SALES PERTYPE'!$J$10:$J$52,MATCH($C16,'[1]SALES PERTYPE'!$B$10:$B$52,0)),0)</f>
        <v>3</v>
      </c>
      <c r="Y16" s="143">
        <f>IFERROR(INDEX('[1]Sales per type juli'!$D$10:$BA$51,MATCH($C16,'[1]Sales per type juli'!$B$10:$B$51,0),MATCH("Y05e",'[1]Sales per type juli'!$D$8:$BA$8,0)),0)</f>
        <v>0</v>
      </c>
      <c r="Z16" s="143">
        <f t="shared" si="6"/>
        <v>3</v>
      </c>
      <c r="AA16" s="143">
        <f>IFERROR(INDEX('[1]SALES PERTYPE'!$K$10:$K$52,MATCH($C16,'[1]SALES PERTYPE'!$B$10:$B$52,0)),0)</f>
        <v>6297000</v>
      </c>
      <c r="AB16" s="143" cm="1">
        <f t="array" ref="AB16">IFERROR(INDEX('[1]Sales per type juli'!$D$10:$BA$51,MATCH($C16,'[1]Sales per type juli'!$B$10:$B$51,0),MATCH("Y05e",'[1]Sales per type juli'!$D$8:$BA$8,0)+1),0)</f>
        <v>0</v>
      </c>
      <c r="AC16" s="143">
        <f t="shared" si="7"/>
        <v>6297000</v>
      </c>
      <c r="AD16" s="143">
        <f>IFERROR(INDEX('[1]SALES PERTYPE'!$L$10:$L$52,MATCH($C16,'[1]SALES PERTYPE'!$B$10:$B$52,0)),0)</f>
        <v>2</v>
      </c>
      <c r="AE16" s="143">
        <f>IFERROR(INDEX('[1]Sales per type juli'!$D$10:$BA$51,MATCH($C16,'[1]Sales per type juli'!$B$10:$B$51,0),MATCH("V70",'[1]Sales per type juli'!$D$8:$BA$8,0)),0)</f>
        <v>5</v>
      </c>
      <c r="AF16" s="143">
        <f t="shared" si="8"/>
        <v>-3</v>
      </c>
      <c r="AG16" s="143">
        <f>IFERROR(INDEX('[1]SALES PERTYPE'!$M$10:$M$52,MATCH($C16,'[1]SALES PERTYPE'!$B$10:$B$52,0)),0)</f>
        <v>20998000</v>
      </c>
      <c r="AH16" s="143" cm="1">
        <f t="array" ref="AH16">IFERROR(INDEX('[1]Sales per type juli'!$D$10:$BA$51,MATCH($C16,'[1]Sales per type juli'!$B$10:$B$51,0),MATCH("V70",'[1]Sales per type juli'!$D$8:$BA$8,0)+1),0)</f>
        <v>44995000</v>
      </c>
      <c r="AI16" s="143">
        <f t="shared" si="9"/>
        <v>-23997000</v>
      </c>
      <c r="AJ16" s="143">
        <f>IFERROR(INDEX('[1]SALES PERTYPE'!$N$10:$N$52,MATCH($C16,'[1]SALES PERTYPE'!$B$10:$B$52,0)),0)</f>
        <v>7</v>
      </c>
      <c r="AK16" s="143">
        <f>IFERROR(INDEX('[1]Sales per type juli'!$D$10:$BA$51,MATCH($C16,'[1]Sales per type juli'!$B$10:$B$51,0),MATCH("Y31d Pro",'[1]Sales per type juli'!$D$8:$BA$8,0)),0)</f>
        <v>7</v>
      </c>
      <c r="AL16" s="143">
        <f t="shared" si="10"/>
        <v>0</v>
      </c>
      <c r="AM16" s="143">
        <f>IFERROR(INDEX('[1]SALES PERTYPE'!$O$10:$O$52,MATCH($C16,'[1]SALES PERTYPE'!$B$10:$B$52,0)),0)</f>
        <v>33493000</v>
      </c>
      <c r="AN16" s="143" cm="1">
        <f t="array" ref="AN16">IFERROR(INDEX('[1]Sales per type juli'!$D$10:$BA$51,MATCH($C16,'[1]Sales per type juli'!$B$10:$B$51,0),MATCH("Y31d Pro",'[1]Sales per type juli'!$D$8:$BA$8,0)+1),0)</f>
        <v>31093000</v>
      </c>
      <c r="AO16" s="143">
        <f t="shared" si="11"/>
        <v>2400000</v>
      </c>
      <c r="AP16" s="143">
        <f>IFERROR(INDEX('[1]SALES PERTYPE'!$P$10:$P$52,MATCH($C16,'[1]SALES PERTYPE'!$B$10:$B$52,0)),0)</f>
        <v>0</v>
      </c>
      <c r="AQ16" s="143" cm="1">
        <f t="array" ref="AQ16">IFERROR(INDEX('[1]Sales per type juli'!$D$10:$BA$51,MATCH($C16,'[1]Sales per type juli'!$B$10:$B$51,0),$FG$2),0)</f>
        <v>0</v>
      </c>
      <c r="AR16" s="143">
        <f t="shared" si="12"/>
        <v>0</v>
      </c>
      <c r="AS16" s="143">
        <f>IFERROR(INDEX('[1]SALES PERTYPE'!$Q$10:$Q$52,MATCH($C16,'[1]SALES PERTYPE'!$B$10:$B$52,0)),0)</f>
        <v>0</v>
      </c>
      <c r="AT16" s="143" cm="1">
        <f t="array" ref="AT16">IFERROR(INDEX('[1]Sales per type juli'!$D$10:$BA$51,MATCH($C16,'[1]Sales per type juli'!$B$10:$B$51,0),$FG$2+1),0)</f>
        <v>0</v>
      </c>
      <c r="AU16" s="143">
        <f t="shared" si="13"/>
        <v>0</v>
      </c>
      <c r="AV16" s="143">
        <f>IFERROR(INDEX('[1]SALES PERTYPE'!$R$10:$R$52,MATCH($C16,'[1]SALES PERTYPE'!$B$10:$B$52,0)),0)</f>
        <v>0</v>
      </c>
      <c r="AW16" s="143">
        <f>IFERROR(INDEX('[1]Sales per type juli'!$D$10:$BA$51,MATCH($C16,'[1]Sales per type juli'!$B$10:$B$51,0),MATCH("Y31d ",'[1]Sales per type juli'!$D$8:$BA$8,0)),0)</f>
        <v>1</v>
      </c>
      <c r="AX16" s="143">
        <f t="shared" si="14"/>
        <v>-1</v>
      </c>
      <c r="AY16" s="143">
        <f>IFERROR(INDEX('[1]SALES PERTYPE'!$S$10:$S$52,MATCH($C16,'[1]SALES PERTYPE'!$B$10:$B$52,0)),0)</f>
        <v>0</v>
      </c>
      <c r="AZ16" s="143" cm="1">
        <f t="array" ref="AZ16">IFERROR(INDEX('[1]Sales per type juli'!$D$10:$BA$51,MATCH($C16,'[1]Sales per type juli'!$B$10:$B$51,0),MATCH("Y31d ",'[1]Sales per type juli'!$D$8:$BA$8,0)+1),0)</f>
        <v>3599000</v>
      </c>
      <c r="BA16" s="143">
        <f t="shared" si="15"/>
        <v>-3599000</v>
      </c>
      <c r="BB16" s="143">
        <f>IFERROR(INDEX('[1]SALES PERTYPE'!$T$10:$T$52,MATCH($C16,'[1]SALES PERTYPE'!$B$10:$B$52,0)),0)</f>
        <v>1</v>
      </c>
      <c r="BC16" s="143">
        <f>IFERROR(INDEX('[1]Sales per type juli'!$D$10:$BA$51,MATCH($C16,'[1]Sales per type juli'!$B$10:$B$51,0),MATCH("V70 FE",'[1]Sales per type juli'!$D$8:$BA$8,0)),0)</f>
        <v>6</v>
      </c>
      <c r="BD16" s="143">
        <f t="shared" si="16"/>
        <v>-5</v>
      </c>
      <c r="BE16" s="143">
        <f>IFERROR(INDEX('[1]SALES PERTYPE'!$U$10:$U$52,MATCH($C16,'[1]SALES PERTYPE'!$B$10:$B$52,0)),0)</f>
        <v>7999000</v>
      </c>
      <c r="BF16" s="143" cm="1">
        <f t="array" ref="BF16">IFERROR(INDEX('[1]Sales per type juli'!$D$10:$BA$51,MATCH($C16,'[1]Sales per type juli'!$B$10:$B$51,0),MATCH("V70 FE",'[1]Sales per type juli'!$D$8:$BA$8,0)+1),0)</f>
        <v>38994000</v>
      </c>
      <c r="BG16" s="143">
        <f t="shared" si="17"/>
        <v>-30995000</v>
      </c>
      <c r="BH16" s="143">
        <f>IFERROR(INDEX('[1]SALES PERTYPE'!$V$10:$V$52,MATCH($C16,'[1]SALES PERTYPE'!$B$10:$B$52,0)),0)</f>
        <v>0</v>
      </c>
      <c r="BI16" s="143">
        <f>IFERROR(INDEX('[1]Sales per type juli'!$D$10:$BA$51,MATCH($C16,'[1]Sales per type juli'!$B$10:$B$51,0),MATCH("Y31d",'[1]Sales per type juli'!$D$8:$BA$8,0)),0)</f>
        <v>3</v>
      </c>
      <c r="BJ16" s="143">
        <f t="shared" si="18"/>
        <v>-3</v>
      </c>
      <c r="BK16" s="143">
        <f>IFERROR(INDEX('[1]SALES PERTYPE'!$W$10:$W$52,MATCH($C16,'[1]SALES PERTYPE'!$B$10:$B$52,0)),0)</f>
        <v>0</v>
      </c>
      <c r="BL16" s="143" cm="1">
        <f t="array" ref="BL16">IFERROR(INDEX('[1]Sales per type juli'!$D$10:$BA$51,MATCH($C16,'[1]Sales per type juli'!$B$10:$B$51,0),MATCH("Y31d",'[1]Sales per type juli'!$D$8:$BA$8,0)+1),0)</f>
        <v>10797000</v>
      </c>
      <c r="BM16" s="143">
        <f t="shared" si="19"/>
        <v>-10797000</v>
      </c>
      <c r="BN16" s="143">
        <f>IFERROR(INDEX('[1]SALES PERTYPE'!$X$10:$X$52,MATCH($C16,'[1]SALES PERTYPE'!$B$10:$B$52,0)),0)</f>
        <v>3</v>
      </c>
      <c r="BO16" s="143">
        <f>IFERROR(INDEX('[1]Sales per type juli'!$D$10:$BA$51,MATCH($C16,'[1]Sales per type juli'!$B$10:$B$51,0),MATCH("Y500",'[1]Sales per type juli'!$D$8:$BA$8,0)),0)</f>
        <v>1</v>
      </c>
      <c r="BP16" s="143">
        <f t="shared" si="20"/>
        <v>2</v>
      </c>
      <c r="BQ16" s="143">
        <f>IFERROR(INDEX('[1]SALES PERTYPE'!$Y$10:$Y$52,MATCH($C16,'[1]SALES PERTYPE'!$B$10:$B$52,0)),0)</f>
        <v>18097000</v>
      </c>
      <c r="BR16" s="143" cm="1">
        <f t="array" ref="BR16">IFERROR(INDEX('[1]Sales per type juli'!$D$10:$BA$51,MATCH($C16,'[1]Sales per type juli'!$B$10:$B$51,0),MATCH("Y500",'[1]Sales per type juli'!$D$8:$BA$8,0)+1),0)</f>
        <v>6299000</v>
      </c>
      <c r="BS16" s="143">
        <f t="shared" si="21"/>
        <v>11798000</v>
      </c>
      <c r="BT16" s="143">
        <f>IFERROR(INDEX('[1]SALES PERTYPE'!$Z$10:$Z$52,MATCH($C16,'[1]SALES PERTYPE'!$B$10:$B$52,0)),0)</f>
        <v>0</v>
      </c>
      <c r="BU16" s="143">
        <f>IFERROR(INDEX('[1]Sales per type juli'!$D$10:$BA$51,MATCH($C16,'[1]Sales per type juli'!$B$10:$B$51,0),MATCH("IQOO 15R",'[1]Sales per type juli'!$D$8:$BA$8,0)),0)</f>
        <v>2</v>
      </c>
      <c r="BV16" s="143">
        <f t="shared" si="22"/>
        <v>-2</v>
      </c>
      <c r="BW16" s="143">
        <f>IFERROR(INDEX('[1]SALES PERTYPE'!$AA$10:$AA$52,MATCH($C16,'[1]SALES PERTYPE'!$B$10:$B$52,0)),0)</f>
        <v>0</v>
      </c>
      <c r="BX16" s="143" cm="1">
        <f t="array" ref="BX16">IFERROR(INDEX('[1]Sales per type juli'!$D$10:$BA$51,MATCH($C16,'[1]Sales per type juli'!$B$10:$B$51,0),MATCH("IQOO 15R",'[1]Sales per type juli'!$D$8:$BA$8,0)+1),0)</f>
        <v>21298000</v>
      </c>
      <c r="BY16" s="143">
        <f t="shared" si="23"/>
        <v>-21298000</v>
      </c>
      <c r="BZ16" s="143">
        <f>IFERROR(INDEX('[1]SALES PERTYPE'!$AB$10:$AB$52,MATCH($C16,'[1]SALES PERTYPE'!$B$10:$B$52,0)),0)</f>
        <v>2</v>
      </c>
      <c r="CA16" s="143">
        <f>IFERROR(INDEX('[1]Sales per type juli'!$D$10:$BA$51,MATCH($C16,'[1]Sales per type juli'!$B$10:$B$51,0),MATCH("V60 Lite",'[1]Sales per type juli'!$D$8:$BA$8,0)),0)</f>
        <v>0</v>
      </c>
      <c r="CB16" s="143">
        <f t="shared" si="24"/>
        <v>2</v>
      </c>
      <c r="CC16" s="143">
        <f>IFERROR(INDEX('[1]SALES PERTYPE'!$AC$10:$AC$52,MATCH($C16,'[1]SALES PERTYPE'!$B$10:$B$52,0)),0)</f>
        <v>11998000</v>
      </c>
      <c r="CD16" s="143" cm="1">
        <f t="array" ref="CD16">IFERROR(INDEX('[1]Sales per type juli'!$D$10:$BA$51,MATCH($C16,'[1]Sales per type juli'!$B$10:$B$51,0),MATCH("V60 Lite",'[1]Sales per type juli'!$D$8:$BA$8,0)+1),0)</f>
        <v>0</v>
      </c>
      <c r="CE16" s="143">
        <f t="shared" si="25"/>
        <v>11998000</v>
      </c>
      <c r="CF16" s="143">
        <f>IFERROR(INDEX('[1]SALES PERTYPE'!$AD$10:$AD$52,MATCH($C16,'[1]SALES PERTYPE'!$B$10:$B$52,0)),0)</f>
        <v>0</v>
      </c>
      <c r="CG16" s="143">
        <f>IFERROR(INDEX('[1]Sales per type juli'!$D$10:$BA$51,MATCH($C16,'[1]Sales per type juli'!$B$10:$B$51,0),MATCH("X300 Ultra",'[1]Sales per type juli'!$D$8:$BA$8,0)),0)</f>
        <v>0</v>
      </c>
      <c r="CH16" s="143">
        <f t="shared" si="26"/>
        <v>0</v>
      </c>
      <c r="CI16" s="143">
        <f>IFERROR(INDEX('[1]SALES PERTYPE'!$AE$10:$AE$52,MATCH($C16,'[1]SALES PERTYPE'!$B$10:$B$52,0)),0)</f>
        <v>0</v>
      </c>
      <c r="CJ16" s="143" cm="1">
        <f t="array" ref="CJ16">IFERROR(INDEX('[1]Sales per type juli'!$D$10:$BA$51,MATCH($C16,'[1]Sales per type juli'!$B$10:$B$51,0),MATCH("X300 Ultra",'[1]Sales per type juli'!$D$8:$BA$8,0)+1),0)</f>
        <v>0</v>
      </c>
      <c r="CK16" s="143">
        <f t="shared" si="27"/>
        <v>0</v>
      </c>
      <c r="CL16" s="143">
        <f>IFERROR(INDEX('[1]SALES PERTYPE'!$AF$10:$AF$52,MATCH($C16,'[1]SALES PERTYPE'!$B$10:$B$52,0)),0)</f>
        <v>0</v>
      </c>
      <c r="CM16" s="143">
        <f>IFERROR(INDEX('[1]Sales per type juli'!$D$10:$BA$51,MATCH($C16,'[1]Sales per type juli'!$B$10:$B$51,0),MATCH("IQOO 15",'[1]Sales per type juli'!$D$8:$BA$8,0)),0)</f>
        <v>1</v>
      </c>
      <c r="CN16" s="143">
        <f t="shared" si="28"/>
        <v>-1</v>
      </c>
      <c r="CO16" s="143">
        <f>IFERROR(INDEX('[1]SALES PERTYPE'!$AG$10:$AG$52,MATCH($C16,'[1]SALES PERTYPE'!$B$10:$B$52,0)),0)</f>
        <v>0</v>
      </c>
      <c r="CP16" s="143" cm="1">
        <f t="array" ref="CP16">IFERROR(INDEX('[1]Sales per type juli'!$D$10:$BA$51,MATCH($C16,'[1]Sales per type juli'!$B$10:$B$51,0),MATCH("IQOO 15",'[1]Sales per type juli'!$D$8:$BA$8,0)+1),0)</f>
        <v>15999000</v>
      </c>
      <c r="CQ16" s="143">
        <f t="shared" si="29"/>
        <v>-15999000</v>
      </c>
      <c r="CR16" s="143">
        <f>IFERROR(INDEX('[1]SALES PERTYPE'!$AH$10:$AH$52,MATCH($C16,'[1]SALES PERTYPE'!$B$10:$B$52,0)),0)</f>
        <v>1</v>
      </c>
      <c r="CS16" s="143">
        <f>IFERROR(INDEX('[1]Sales per type juli'!$D$10:$BA$51,MATCH($C16,'[1]Sales per type juli'!$B$10:$B$51,0),MATCH("IQOO Z11x",'[1]Sales per type juli'!$D$8:$BA$8,0)),0)</f>
        <v>2</v>
      </c>
      <c r="CT16" s="143">
        <f t="shared" si="30"/>
        <v>-1</v>
      </c>
      <c r="CU16" s="143">
        <f>IFERROR(INDEX('[1]SALES PERTYPE'!$AI$10:$AI$52,MATCH($C16,'[1]SALES PERTYPE'!$B$10:$B$52,0)),0)</f>
        <v>5699000</v>
      </c>
      <c r="CV16" s="143" cm="1">
        <f t="array" ref="CV16">IFERROR(INDEX('[1]Sales per type juli'!$D$10:$BA$51,MATCH($C16,'[1]Sales per type juli'!$B$10:$B$51,0),MATCH("IQOO Z11x",'[1]Sales per type juli'!$D$8:$BA$8,0)+1),0)</f>
        <v>9598000</v>
      </c>
      <c r="CW16" s="143">
        <f t="shared" si="31"/>
        <v>-3899000</v>
      </c>
      <c r="CX16" s="143">
        <f>IFERROR(INDEX('[1]SALES PERTYPE'!$AJ$10:$AJ$52,MATCH($C16,'[1]SALES PERTYPE'!$B$10:$B$52,0)),0)</f>
        <v>1</v>
      </c>
      <c r="CY16" s="143">
        <f>IFERROR(INDEX('[1]Sales per type juli'!$D$10:$BA$51,MATCH($C16,'[1]Sales per type juli'!$B$10:$B$51,0),MATCH("IQOO Z11",'[1]Sales per type juli'!$D$8:$BA$8,0)),0)</f>
        <v>1</v>
      </c>
      <c r="CZ16" s="143">
        <f t="shared" si="32"/>
        <v>0</v>
      </c>
      <c r="DA16" s="143">
        <f>IFERROR(INDEX('[1]SALES PERTYPE'!$AK$10:$AK$52,MATCH($C16,'[1]SALES PERTYPE'!$B$10:$B$52,0)),0)</f>
        <v>8399000</v>
      </c>
      <c r="DB16" s="143" cm="1">
        <f t="array" ref="DB16">IFERROR(INDEX('[1]Sales per type juli'!$D$10:$BA$51,MATCH($C16,'[1]Sales per type juli'!$B$10:$B$51,0),MATCH("IQOO Z11",'[1]Sales per type juli'!$D$8:$BA$8,0)+1),0)</f>
        <v>5699000</v>
      </c>
      <c r="DC16" s="143">
        <f t="shared" si="33"/>
        <v>2700000</v>
      </c>
      <c r="DD16" s="143">
        <v>0</v>
      </c>
      <c r="DE16" s="143">
        <f>IFERROR(INDEX('[1]Sales per type juli'!$D$10:$BA$51,MATCH($C16,'[1]Sales per type juli'!$B$10:$B$51,0),MATCH("WATCH 3",'[1]Sales per type juli'!$D$8:$BA$8,0)),0)</f>
        <v>0</v>
      </c>
      <c r="DF16" s="143">
        <f t="shared" si="34"/>
        <v>0</v>
      </c>
      <c r="DG16" s="143">
        <v>0</v>
      </c>
      <c r="DH16" s="143" cm="1">
        <f t="array" ref="DH16">IFERROR(INDEX('[1]Sales per type juli'!$D$10:$BA$51,MATCH($C16,'[1]Sales per type juli'!$B$10:$B$51,0),MATCH("WATCH 3",'[1]Sales per type juli'!$D$8:$BA$8,0)+1),0)</f>
        <v>0</v>
      </c>
      <c r="DI16" s="143">
        <f t="shared" si="35"/>
        <v>0</v>
      </c>
      <c r="DJ16" s="143">
        <v>0</v>
      </c>
      <c r="DK16" s="143">
        <f>IFERROR(INDEX('[1]Sales per type juli'!$D$10:$BA$51,MATCH($C16,'[1]Sales per type juli'!$B$10:$B$51,0),MATCH("X300 Demo",'[1]Sales per type juli'!$D$8:$BA$8,0)),0)</f>
        <v>3</v>
      </c>
      <c r="DL16" s="143">
        <f t="shared" si="36"/>
        <v>-3</v>
      </c>
      <c r="DM16" s="143">
        <v>0</v>
      </c>
      <c r="DN16" s="143" cm="1">
        <f t="array" ref="DN16">IFERROR(INDEX('[1]Sales per type juli'!$D$10:$BA$51,MATCH($C16,'[1]Sales per type juli'!$B$10:$B$51,0),MATCH("X300 Demo",'[1]Sales per type juli'!$D$8:$BA$8,0)+1),0)</f>
        <v>48997000</v>
      </c>
      <c r="DO16" s="143">
        <f t="shared" si="37"/>
        <v>-48997000</v>
      </c>
      <c r="DP16" s="143">
        <v>0</v>
      </c>
      <c r="DQ16" s="143">
        <f>IFERROR(INDEX('[1]Sales per type juli'!$D$10:$BA$51,MATCH($C16,'[1]Sales per type juli'!$B$10:$B$51,0),MATCH("X300 Pro Demo",'[1]Sales per type juli'!$D$8:$BA$8,0)),0)</f>
        <v>1</v>
      </c>
      <c r="DR16" s="143">
        <f t="shared" si="38"/>
        <v>-1</v>
      </c>
      <c r="DS16" s="143">
        <v>0</v>
      </c>
      <c r="DT16" s="143" cm="1">
        <f t="array" ref="DT16">IFERROR(INDEX('[1]Sales per type juli'!$D$10:$BA$51,MATCH($C16,'[1]Sales per type juli'!$B$10:$B$51,0),MATCH("X300 Pro Demo",'[1]Sales per type juli'!$D$8:$BA$8,0)+1),0)</f>
        <v>18999000</v>
      </c>
      <c r="DU16" s="143">
        <f t="shared" si="39"/>
        <v>-18999000</v>
      </c>
      <c r="DV16" s="143">
        <v>0</v>
      </c>
      <c r="DW16" s="143">
        <f>IFERROR(INDEX('[1]Sales per type juli'!$D$10:$BA$51,MATCH($C16,'[1]Sales per type juli'!$B$10:$B$51,0),MATCH("X Fold5 DEMO",'[1]Sales per type juli'!$D$8:$BA$8,0)),0)</f>
        <v>0</v>
      </c>
      <c r="DX16" s="143">
        <f t="shared" si="40"/>
        <v>0</v>
      </c>
      <c r="DY16" s="143">
        <v>0</v>
      </c>
      <c r="DZ16" s="143" cm="1">
        <f t="array" ref="DZ16">IFERROR(INDEX('[1]Sales per type juli'!$D$10:$BA$51,MATCH($C16,'[1]Sales per type juli'!$B$10:$B$51,0),MATCH("X Fold5 DEMO",'[1]Sales per type juli'!$D$8:$BA$8,0)+1),0)</f>
        <v>0</v>
      </c>
      <c r="EA16" s="143">
        <f t="shared" si="41"/>
        <v>0</v>
      </c>
      <c r="EB16" s="143">
        <v>0</v>
      </c>
      <c r="EC16" s="143">
        <f>IFERROR(INDEX('[1]Sales per type juli'!$D$10:$BA$51,MATCH($C16,'[1]Sales per type juli'!$B$10:$B$51,0),MATCH("X Fold5",'[1]Sales per type juli'!$D$8:$BA$8,0)),0)</f>
        <v>0</v>
      </c>
      <c r="ED16" s="143">
        <f t="shared" si="42"/>
        <v>0</v>
      </c>
      <c r="EE16" s="143">
        <v>0</v>
      </c>
      <c r="EF16" s="143" cm="1">
        <f t="array" ref="EF16">IFERROR(INDEX('[1]Sales per type juli'!$D$10:$BA$51,MATCH($C16,'[1]Sales per type juli'!$B$10:$B$51,0),MATCH("X Fold5",'[1]Sales per type juli'!$D$8:$BA$8,0)+1),0)</f>
        <v>0</v>
      </c>
      <c r="EG16" s="143">
        <f t="shared" si="43"/>
        <v>0</v>
      </c>
      <c r="EH16" s="143">
        <v>0</v>
      </c>
      <c r="EI16" s="143">
        <f>IFERROR(INDEX('[1]Sales per type juli'!$D$10:$BA$51,MATCH($C16,'[1]Sales per type juli'!$B$10:$B$51,0),MATCH("IQOO 15 Demo",'[1]Sales per type juli'!$D$8:$BA$8,0)),0)</f>
        <v>2</v>
      </c>
      <c r="EJ16" s="143">
        <f t="shared" si="44"/>
        <v>-2</v>
      </c>
      <c r="EK16" s="143">
        <v>0</v>
      </c>
      <c r="EL16" s="143" cm="1">
        <f t="array" ref="EL16">IFERROR(INDEX('[1]Sales per type juli'!$D$10:$BA$51,MATCH($C16,'[1]Sales per type juli'!$B$10:$B$51,0),MATCH("IQOO 15 Demo",'[1]Sales per type juli'!$D$8:$BA$8,0)+1),0)</f>
        <v>27998000</v>
      </c>
      <c r="EM16" s="143">
        <f t="shared" si="45"/>
        <v>-27998000</v>
      </c>
      <c r="EN16" s="143">
        <v>0</v>
      </c>
      <c r="EO16" s="143">
        <f>IFERROR(INDEX('[1]Sales per type juli'!$D$10:$BA$51,MATCH($C16,'[1]Sales per type juli'!$B$10:$B$51,0),MATCH("X300 PRO",'[1]Sales per type juli'!$D$8:$BA$8,0)),0)</f>
        <v>0</v>
      </c>
      <c r="EP16" s="143">
        <f t="shared" si="46"/>
        <v>0</v>
      </c>
      <c r="EQ16" s="143">
        <v>0</v>
      </c>
      <c r="ER16" s="143" cm="1">
        <f t="array" ref="ER16">IFERROR(INDEX('[1]Sales per type juli'!$D$10:$BA$51,MATCH($C16,'[1]Sales per type juli'!$B$10:$B$51,0),MATCH("X300 PRO",'[1]Sales per type juli'!$D$8:$BA$8,0)+1),0)</f>
        <v>0</v>
      </c>
      <c r="ES16" s="143">
        <f t="shared" si="47"/>
        <v>0</v>
      </c>
      <c r="ET16" s="143">
        <v>0</v>
      </c>
      <c r="EU16" s="143">
        <f>IFERROR(INDEX('[1]Sales per type juli'!$D$10:$BA$51,MATCH($C16,'[1]Sales per type juli'!$B$10:$B$51,0),MATCH("X300 ",'[1]Sales per type juli'!$D$8:$BA$8,0)),0)</f>
        <v>0</v>
      </c>
      <c r="EV16" s="143">
        <f t="shared" si="48"/>
        <v>0</v>
      </c>
      <c r="EW16" s="143">
        <v>0</v>
      </c>
      <c r="EX16" s="143" cm="1">
        <f t="array" ref="EX16">IFERROR(INDEX('[1]Sales per type juli'!$D$10:$BA$51,MATCH($C16,'[1]Sales per type juli'!$B$10:$B$51,0),MATCH("X300 ",'[1]Sales per type juli'!$D$8:$BA$8,0)+1),0)</f>
        <v>0</v>
      </c>
      <c r="EY16" s="143">
        <f t="shared" si="49"/>
        <v>0</v>
      </c>
      <c r="EZ16" s="143">
        <f t="shared" si="50"/>
        <v>32</v>
      </c>
      <c r="FA16" s="143">
        <f t="shared" si="50"/>
        <v>55</v>
      </c>
      <c r="FB16" s="143">
        <f t="shared" si="51"/>
        <v>-23</v>
      </c>
      <c r="FC16" s="143">
        <f t="shared" si="52"/>
        <v>145468000</v>
      </c>
      <c r="FD16" s="143">
        <f t="shared" si="52"/>
        <v>332545000</v>
      </c>
      <c r="FE16" s="143">
        <f t="shared" si="53"/>
        <v>-187077000</v>
      </c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</row>
    <row r="17" spans="1:208" ht="16" x14ac:dyDescent="0.2">
      <c r="A17" s="141">
        <f>'[1]ACHIEVEMENT STORE'!A17</f>
        <v>13</v>
      </c>
      <c r="B17" s="142" t="str">
        <f>'[1]ACHIEVEMENT STORE'!B17</f>
        <v>604 雅加达东南 JKT TS</v>
      </c>
      <c r="C17" s="141">
        <f>'[1]ACHIEVEMENT STORE'!C17</f>
        <v>6040702</v>
      </c>
      <c r="D17" s="142" t="str">
        <f>'[1]ACHIEVEMENT STORE'!D17</f>
        <v>6040702-TRAN STUDIO MALL 2F059</v>
      </c>
      <c r="E17" s="142" t="str">
        <f>'[1]ACHIEVEMENT STORE'!E17</f>
        <v>Erlangga Pradita</v>
      </c>
      <c r="F17" s="143">
        <f>IFERROR(INDEX('[1]SALES PERTYPE'!$D$10:$D$52,MATCH($C17,'[1]SALES PERTYPE'!$B$10:$B$52,0)),0)</f>
        <v>5</v>
      </c>
      <c r="G17" s="143">
        <f>IFERROR(INDEX('[1]Sales per type juli'!$D$10:$BA$51,MATCH($C17,'[1]Sales per type juli'!$B$10:$B$51,0),MATCH("Y05",'[1]Sales per type juli'!$D$8:$BA$8,0)),0)</f>
        <v>2</v>
      </c>
      <c r="H17" s="143">
        <f t="shared" si="0"/>
        <v>3</v>
      </c>
      <c r="I17" s="143">
        <f>IFERROR(INDEX('[1]SALES PERTYPE'!$E$10:$E$52,MATCH($C17,'[1]SALES PERTYPE'!$B$10:$B$52,0)),0)</f>
        <v>12695000</v>
      </c>
      <c r="J17" s="143" cm="1">
        <f t="array" ref="J17">IFERROR(INDEX('[1]Sales per type juli'!$D$10:$BA$51,MATCH($C17,'[1]Sales per type juli'!$B$10:$B$51,0),MATCH("Y05",'[1]Sales per type juli'!$D$8:$BA$8,0)+1),0)</f>
        <v>4498000</v>
      </c>
      <c r="K17" s="143">
        <f t="shared" si="1"/>
        <v>8197000</v>
      </c>
      <c r="L17" s="143">
        <f>IFERROR(INDEX('[1]SALES PERTYPE'!$F$10:$F$52,MATCH($C17,'[1]SALES PERTYPE'!$B$10:$B$52,0)),0)</f>
        <v>6</v>
      </c>
      <c r="M17" s="143">
        <f>IFERROR(INDEX('[1]Sales per type juli'!$D$10:$BA$51,MATCH($C17,'[1]Sales per type juli'!$B$10:$B$51,0),MATCH("Y11d",'[1]Sales per type juli'!$D$8:$BA$8,0)),0)</f>
        <v>4</v>
      </c>
      <c r="N17" s="143">
        <f t="shared" si="2"/>
        <v>2</v>
      </c>
      <c r="O17" s="143">
        <f>IFERROR(INDEX('[1]SALES PERTYPE'!$G$10:$G$52,MATCH($C17,'[1]SALES PERTYPE'!$B$10:$B$52,0)),0)</f>
        <v>15594000</v>
      </c>
      <c r="P17" s="143" cm="1">
        <f t="array" ref="P17">IFERROR(INDEX('[1]Sales per type juli'!$D$10:$BA$51,MATCH($C17,'[1]Sales per type juli'!$B$10:$B$51,0),MATCH("Y11d",'[1]Sales per type juli'!$D$8:$BA$8,0)+1),0)</f>
        <v>9996000</v>
      </c>
      <c r="Q17" s="143">
        <f t="shared" si="3"/>
        <v>5598000</v>
      </c>
      <c r="R17" s="143">
        <f>IFERROR(INDEX('[1]SALES PERTYPE'!$H$10:$H$52,MATCH($C17,'[1]SALES PERTYPE'!$B$10:$B$52,0)),0)</f>
        <v>0</v>
      </c>
      <c r="S17" s="143">
        <f>IFERROR(INDEX('[1]Sales per type juli'!$D$10:$BA$51,MATCH($C17,'[1]Sales per type juli'!$B$10:$B$51,0),MATCH("Watch GT 2",'[1]Sales per type juli'!$D$8:$BA$8,0)),0)</f>
        <v>0</v>
      </c>
      <c r="T17" s="143">
        <f t="shared" si="4"/>
        <v>0</v>
      </c>
      <c r="U17" s="143">
        <f>IFERROR(INDEX('[1]SALES PERTYPE'!$I$10:$I$52,MATCH($C17,'[1]SALES PERTYPE'!$B$10:$B$52,0)),0)</f>
        <v>0</v>
      </c>
      <c r="V17" s="143" cm="1">
        <f t="array" ref="V17">IFERROR(INDEX('[1]Sales per type juli'!$D$10:$BA$51,MATCH($C17,'[1]Sales per type juli'!$B$10:$B$51,0),MATCH("Watch GT 2",'[1]Sales per type juli'!$D$8:$BA$8,0)+1),0)</f>
        <v>0</v>
      </c>
      <c r="W17" s="143">
        <f t="shared" si="5"/>
        <v>0</v>
      </c>
      <c r="X17" s="143">
        <f>IFERROR(INDEX('[1]SALES PERTYPE'!$J$10:$J$52,MATCH($C17,'[1]SALES PERTYPE'!$B$10:$B$52,0)),0)</f>
        <v>7</v>
      </c>
      <c r="Y17" s="143">
        <f>IFERROR(INDEX('[1]Sales per type juli'!$D$10:$BA$51,MATCH($C17,'[1]Sales per type juli'!$B$10:$B$51,0),MATCH("Y05e",'[1]Sales per type juli'!$D$8:$BA$8,0)),0)</f>
        <v>0</v>
      </c>
      <c r="Z17" s="143">
        <f t="shared" si="6"/>
        <v>7</v>
      </c>
      <c r="AA17" s="143">
        <f>IFERROR(INDEX('[1]SALES PERTYPE'!$K$10:$K$52,MATCH($C17,'[1]SALES PERTYPE'!$B$10:$B$52,0)),0)</f>
        <v>14693000</v>
      </c>
      <c r="AB17" s="143" cm="1">
        <f t="array" ref="AB17">IFERROR(INDEX('[1]Sales per type juli'!$D$10:$BA$51,MATCH($C17,'[1]Sales per type juli'!$B$10:$B$51,0),MATCH("Y05e",'[1]Sales per type juli'!$D$8:$BA$8,0)+1),0)</f>
        <v>0</v>
      </c>
      <c r="AC17" s="143">
        <f t="shared" si="7"/>
        <v>14693000</v>
      </c>
      <c r="AD17" s="143">
        <f>IFERROR(INDEX('[1]SALES PERTYPE'!$L$10:$L$52,MATCH($C17,'[1]SALES PERTYPE'!$B$10:$B$52,0)),0)</f>
        <v>1</v>
      </c>
      <c r="AE17" s="143">
        <f>IFERROR(INDEX('[1]Sales per type juli'!$D$10:$BA$51,MATCH($C17,'[1]Sales per type juli'!$B$10:$B$51,0),MATCH("V70",'[1]Sales per type juli'!$D$8:$BA$8,0)),0)</f>
        <v>3</v>
      </c>
      <c r="AF17" s="143">
        <f t="shared" si="8"/>
        <v>-2</v>
      </c>
      <c r="AG17" s="143">
        <f>IFERROR(INDEX('[1]SALES PERTYPE'!$M$10:$M$52,MATCH($C17,'[1]SALES PERTYPE'!$B$10:$B$52,0)),0)</f>
        <v>10999000</v>
      </c>
      <c r="AH17" s="143" cm="1">
        <f t="array" ref="AH17">IFERROR(INDEX('[1]Sales per type juli'!$D$10:$BA$51,MATCH($C17,'[1]Sales per type juli'!$B$10:$B$51,0),MATCH("V70",'[1]Sales per type juli'!$D$8:$BA$8,0)+1),0)</f>
        <v>28997000</v>
      </c>
      <c r="AI17" s="143">
        <f t="shared" si="9"/>
        <v>-17998000</v>
      </c>
      <c r="AJ17" s="143">
        <f>IFERROR(INDEX('[1]SALES PERTYPE'!$N$10:$N$52,MATCH($C17,'[1]SALES PERTYPE'!$B$10:$B$52,0)),0)</f>
        <v>1</v>
      </c>
      <c r="AK17" s="143">
        <f>IFERROR(INDEX('[1]Sales per type juli'!$D$10:$BA$51,MATCH($C17,'[1]Sales per type juli'!$B$10:$B$51,0),MATCH("Y31d Pro",'[1]Sales per type juli'!$D$8:$BA$8,0)),0)</f>
        <v>1</v>
      </c>
      <c r="AL17" s="143">
        <f t="shared" si="10"/>
        <v>0</v>
      </c>
      <c r="AM17" s="143">
        <f>IFERROR(INDEX('[1]SALES PERTYPE'!$O$10:$O$52,MATCH($C17,'[1]SALES PERTYPE'!$B$10:$B$52,0)),0)</f>
        <v>4299000</v>
      </c>
      <c r="AN17" s="143" cm="1">
        <f t="array" ref="AN17">IFERROR(INDEX('[1]Sales per type juli'!$D$10:$BA$51,MATCH($C17,'[1]Sales per type juli'!$B$10:$B$51,0),MATCH("Y31d Pro",'[1]Sales per type juli'!$D$8:$BA$8,0)+1),0)</f>
        <v>5499000</v>
      </c>
      <c r="AO17" s="143">
        <f t="shared" si="11"/>
        <v>-1200000</v>
      </c>
      <c r="AP17" s="143">
        <f>IFERROR(INDEX('[1]SALES PERTYPE'!$P$10:$P$52,MATCH($C17,'[1]SALES PERTYPE'!$B$10:$B$52,0)),0)</f>
        <v>1</v>
      </c>
      <c r="AQ17" s="143" cm="1">
        <f t="array" ref="AQ17">IFERROR(INDEX('[1]Sales per type juli'!$D$10:$BA$51,MATCH($C17,'[1]Sales per type juli'!$B$10:$B$51,0),$FG$2),0)</f>
        <v>0</v>
      </c>
      <c r="AR17" s="143">
        <f t="shared" si="12"/>
        <v>1</v>
      </c>
      <c r="AS17" s="143">
        <f>IFERROR(INDEX('[1]SALES PERTYPE'!$Q$10:$Q$52,MATCH($C17,'[1]SALES PERTYPE'!$B$10:$B$52,0)),0)</f>
        <v>3599000</v>
      </c>
      <c r="AT17" s="143" cm="1">
        <f t="array" ref="AT17">IFERROR(INDEX('[1]Sales per type juli'!$D$10:$BA$51,MATCH($C17,'[1]Sales per type juli'!$B$10:$B$51,0),$FG$2+1),0)</f>
        <v>0</v>
      </c>
      <c r="AU17" s="143">
        <f t="shared" si="13"/>
        <v>3599000</v>
      </c>
      <c r="AV17" s="143">
        <f>IFERROR(INDEX('[1]SALES PERTYPE'!$R$10:$R$52,MATCH($C17,'[1]SALES PERTYPE'!$B$10:$B$52,0)),0)</f>
        <v>0</v>
      </c>
      <c r="AW17" s="143">
        <f>IFERROR(INDEX('[1]Sales per type juli'!$D$10:$BA$51,MATCH($C17,'[1]Sales per type juli'!$B$10:$B$51,0),MATCH("Y31d ",'[1]Sales per type juli'!$D$8:$BA$8,0)),0)</f>
        <v>0</v>
      </c>
      <c r="AX17" s="143">
        <f t="shared" si="14"/>
        <v>0</v>
      </c>
      <c r="AY17" s="143">
        <f>IFERROR(INDEX('[1]SALES PERTYPE'!$S$10:$S$52,MATCH($C17,'[1]SALES PERTYPE'!$B$10:$B$52,0)),0)</f>
        <v>0</v>
      </c>
      <c r="AZ17" s="143" cm="1">
        <f t="array" ref="AZ17">IFERROR(INDEX('[1]Sales per type juli'!$D$10:$BA$51,MATCH($C17,'[1]Sales per type juli'!$B$10:$B$51,0),MATCH("Y31d ",'[1]Sales per type juli'!$D$8:$BA$8,0)+1),0)</f>
        <v>0</v>
      </c>
      <c r="BA17" s="143">
        <f t="shared" si="15"/>
        <v>0</v>
      </c>
      <c r="BB17" s="143">
        <f>IFERROR(INDEX('[1]SALES PERTYPE'!$T$10:$T$52,MATCH($C17,'[1]SALES PERTYPE'!$B$10:$B$52,0)),0)</f>
        <v>1</v>
      </c>
      <c r="BC17" s="143">
        <f>IFERROR(INDEX('[1]Sales per type juli'!$D$10:$BA$51,MATCH($C17,'[1]Sales per type juli'!$B$10:$B$51,0),MATCH("V70 FE",'[1]Sales per type juli'!$D$8:$BA$8,0)),0)</f>
        <v>1</v>
      </c>
      <c r="BD17" s="143">
        <f t="shared" si="16"/>
        <v>0</v>
      </c>
      <c r="BE17" s="143">
        <f>IFERROR(INDEX('[1]SALES PERTYPE'!$U$10:$U$52,MATCH($C17,'[1]SALES PERTYPE'!$B$10:$B$52,0)),0)</f>
        <v>6499000</v>
      </c>
      <c r="BF17" s="143" cm="1">
        <f t="array" ref="BF17">IFERROR(INDEX('[1]Sales per type juli'!$D$10:$BA$51,MATCH($C17,'[1]Sales per type juli'!$B$10:$B$51,0),MATCH("V70 FE",'[1]Sales per type juli'!$D$8:$BA$8,0)+1),0)</f>
        <v>6499000</v>
      </c>
      <c r="BG17" s="143">
        <f t="shared" si="17"/>
        <v>0</v>
      </c>
      <c r="BH17" s="143">
        <f>IFERROR(INDEX('[1]SALES PERTYPE'!$V$10:$V$52,MATCH($C17,'[1]SALES PERTYPE'!$B$10:$B$52,0)),0)</f>
        <v>2</v>
      </c>
      <c r="BI17" s="143">
        <f>IFERROR(INDEX('[1]Sales per type juli'!$D$10:$BA$51,MATCH($C17,'[1]Sales per type juli'!$B$10:$B$51,0),MATCH("Y31d",'[1]Sales per type juli'!$D$8:$BA$8,0)),0)</f>
        <v>0</v>
      </c>
      <c r="BJ17" s="143">
        <f t="shared" si="18"/>
        <v>2</v>
      </c>
      <c r="BK17" s="143">
        <f>IFERROR(INDEX('[1]SALES PERTYPE'!$W$10:$W$52,MATCH($C17,'[1]SALES PERTYPE'!$B$10:$B$52,0)),0)</f>
        <v>7198000</v>
      </c>
      <c r="BL17" s="143" cm="1">
        <f t="array" ref="BL17">IFERROR(INDEX('[1]Sales per type juli'!$D$10:$BA$51,MATCH($C17,'[1]Sales per type juli'!$B$10:$B$51,0),MATCH("Y31d",'[1]Sales per type juli'!$D$8:$BA$8,0)+1),0)</f>
        <v>0</v>
      </c>
      <c r="BM17" s="143">
        <f t="shared" si="19"/>
        <v>7198000</v>
      </c>
      <c r="BN17" s="143">
        <f>IFERROR(INDEX('[1]SALES PERTYPE'!$X$10:$X$52,MATCH($C17,'[1]SALES PERTYPE'!$B$10:$B$52,0)),0)</f>
        <v>2</v>
      </c>
      <c r="BO17" s="143">
        <f>IFERROR(INDEX('[1]Sales per type juli'!$D$10:$BA$51,MATCH($C17,'[1]Sales per type juli'!$B$10:$B$51,0),MATCH("Y500",'[1]Sales per type juli'!$D$8:$BA$8,0)),0)</f>
        <v>0</v>
      </c>
      <c r="BP17" s="143">
        <f t="shared" si="20"/>
        <v>2</v>
      </c>
      <c r="BQ17" s="143">
        <f>IFERROR(INDEX('[1]SALES PERTYPE'!$Y$10:$Y$52,MATCH($C17,'[1]SALES PERTYPE'!$B$10:$B$52,0)),0)</f>
        <v>11798000</v>
      </c>
      <c r="BR17" s="143" cm="1">
        <f t="array" ref="BR17">IFERROR(INDEX('[1]Sales per type juli'!$D$10:$BA$51,MATCH($C17,'[1]Sales per type juli'!$B$10:$B$51,0),MATCH("Y500",'[1]Sales per type juli'!$D$8:$BA$8,0)+1),0)</f>
        <v>0</v>
      </c>
      <c r="BS17" s="143">
        <f t="shared" si="21"/>
        <v>11798000</v>
      </c>
      <c r="BT17" s="143">
        <f>IFERROR(INDEX('[1]SALES PERTYPE'!$Z$10:$Z$52,MATCH($C17,'[1]SALES PERTYPE'!$B$10:$B$52,0)),0)</f>
        <v>0</v>
      </c>
      <c r="BU17" s="143">
        <f>IFERROR(INDEX('[1]Sales per type juli'!$D$10:$BA$51,MATCH($C17,'[1]Sales per type juli'!$B$10:$B$51,0),MATCH("IQOO 15R",'[1]Sales per type juli'!$D$8:$BA$8,0)),0)</f>
        <v>2</v>
      </c>
      <c r="BV17" s="143">
        <f t="shared" si="22"/>
        <v>-2</v>
      </c>
      <c r="BW17" s="143">
        <f>IFERROR(INDEX('[1]SALES PERTYPE'!$AA$10:$AA$52,MATCH($C17,'[1]SALES PERTYPE'!$B$10:$B$52,0)),0)</f>
        <v>0</v>
      </c>
      <c r="BX17" s="143" cm="1">
        <f t="array" ref="BX17">IFERROR(INDEX('[1]Sales per type juli'!$D$10:$BA$51,MATCH($C17,'[1]Sales per type juli'!$B$10:$B$51,0),MATCH("IQOO 15R",'[1]Sales per type juli'!$D$8:$BA$8,0)+1),0)</f>
        <v>19798000</v>
      </c>
      <c r="BY17" s="143">
        <f t="shared" si="23"/>
        <v>-19798000</v>
      </c>
      <c r="BZ17" s="143">
        <f>IFERROR(INDEX('[1]SALES PERTYPE'!$AB$10:$AB$52,MATCH($C17,'[1]SALES PERTYPE'!$B$10:$B$52,0)),0)</f>
        <v>0</v>
      </c>
      <c r="CA17" s="143">
        <f>IFERROR(INDEX('[1]Sales per type juli'!$D$10:$BA$51,MATCH($C17,'[1]Sales per type juli'!$B$10:$B$51,0),MATCH("V60 Lite",'[1]Sales per type juli'!$D$8:$BA$8,0)),0)</f>
        <v>1</v>
      </c>
      <c r="CB17" s="143">
        <f t="shared" si="24"/>
        <v>-1</v>
      </c>
      <c r="CC17" s="143">
        <f>IFERROR(INDEX('[1]SALES PERTYPE'!$AC$10:$AC$52,MATCH($C17,'[1]SALES PERTYPE'!$B$10:$B$52,0)),0)</f>
        <v>0</v>
      </c>
      <c r="CD17" s="143" cm="1">
        <f t="array" ref="CD17">IFERROR(INDEX('[1]Sales per type juli'!$D$10:$BA$51,MATCH($C17,'[1]Sales per type juli'!$B$10:$B$51,0),MATCH("V60 Lite",'[1]Sales per type juli'!$D$8:$BA$8,0)+1),0)</f>
        <v>5299000</v>
      </c>
      <c r="CE17" s="143">
        <f t="shared" si="25"/>
        <v>-5299000</v>
      </c>
      <c r="CF17" s="143">
        <f>IFERROR(INDEX('[1]SALES PERTYPE'!$AD$10:$AD$52,MATCH($C17,'[1]SALES PERTYPE'!$B$10:$B$52,0)),0)</f>
        <v>1</v>
      </c>
      <c r="CG17" s="143">
        <f>IFERROR(INDEX('[1]Sales per type juli'!$D$10:$BA$51,MATCH($C17,'[1]Sales per type juli'!$B$10:$B$51,0),MATCH("X300 Ultra",'[1]Sales per type juli'!$D$8:$BA$8,0)),0)</f>
        <v>1</v>
      </c>
      <c r="CH17" s="143">
        <f t="shared" si="26"/>
        <v>0</v>
      </c>
      <c r="CI17" s="143">
        <f>IFERROR(INDEX('[1]SALES PERTYPE'!$AE$10:$AE$52,MATCH($C17,'[1]SALES PERTYPE'!$B$10:$B$52,0)),0)</f>
        <v>29999000</v>
      </c>
      <c r="CJ17" s="143" cm="1">
        <f t="array" ref="CJ17">IFERROR(INDEX('[1]Sales per type juli'!$D$10:$BA$51,MATCH($C17,'[1]Sales per type juli'!$B$10:$B$51,0),MATCH("X300 Ultra",'[1]Sales per type juli'!$D$8:$BA$8,0)+1),0)</f>
        <v>25999000</v>
      </c>
      <c r="CK17" s="143">
        <f t="shared" si="27"/>
        <v>4000000</v>
      </c>
      <c r="CL17" s="143">
        <f>IFERROR(INDEX('[1]SALES PERTYPE'!$AF$10:$AF$52,MATCH($C17,'[1]SALES PERTYPE'!$B$10:$B$52,0)),0)</f>
        <v>0</v>
      </c>
      <c r="CM17" s="143">
        <f>IFERROR(INDEX('[1]Sales per type juli'!$D$10:$BA$51,MATCH($C17,'[1]Sales per type juli'!$B$10:$B$51,0),MATCH("IQOO 15",'[1]Sales per type juli'!$D$8:$BA$8,0)),0)</f>
        <v>0</v>
      </c>
      <c r="CN17" s="143">
        <f t="shared" si="28"/>
        <v>0</v>
      </c>
      <c r="CO17" s="143">
        <f>IFERROR(INDEX('[1]SALES PERTYPE'!$AG$10:$AG$52,MATCH($C17,'[1]SALES PERTYPE'!$B$10:$B$52,0)),0)</f>
        <v>0</v>
      </c>
      <c r="CP17" s="143" cm="1">
        <f t="array" ref="CP17">IFERROR(INDEX('[1]Sales per type juli'!$D$10:$BA$51,MATCH($C17,'[1]Sales per type juli'!$B$10:$B$51,0),MATCH("IQOO 15",'[1]Sales per type juli'!$D$8:$BA$8,0)+1),0)</f>
        <v>0</v>
      </c>
      <c r="CQ17" s="143">
        <f t="shared" si="29"/>
        <v>0</v>
      </c>
      <c r="CR17" s="143">
        <f>IFERROR(INDEX('[1]SALES PERTYPE'!$AH$10:$AH$52,MATCH($C17,'[1]SALES PERTYPE'!$B$10:$B$52,0)),0)</f>
        <v>0</v>
      </c>
      <c r="CS17" s="143">
        <f>IFERROR(INDEX('[1]Sales per type juli'!$D$10:$BA$51,MATCH($C17,'[1]Sales per type juli'!$B$10:$B$51,0),MATCH("IQOO Z11x",'[1]Sales per type juli'!$D$8:$BA$8,0)),0)</f>
        <v>0</v>
      </c>
      <c r="CT17" s="143">
        <f t="shared" si="30"/>
        <v>0</v>
      </c>
      <c r="CU17" s="143">
        <f>IFERROR(INDEX('[1]SALES PERTYPE'!$AI$10:$AI$52,MATCH($C17,'[1]SALES PERTYPE'!$B$10:$B$52,0)),0)</f>
        <v>0</v>
      </c>
      <c r="CV17" s="143" cm="1">
        <f t="array" ref="CV17">IFERROR(INDEX('[1]Sales per type juli'!$D$10:$BA$51,MATCH($C17,'[1]Sales per type juli'!$B$10:$B$51,0),MATCH("IQOO Z11x",'[1]Sales per type juli'!$D$8:$BA$8,0)+1),0)</f>
        <v>0</v>
      </c>
      <c r="CW17" s="143">
        <f t="shared" si="31"/>
        <v>0</v>
      </c>
      <c r="CX17" s="143">
        <f>IFERROR(INDEX('[1]SALES PERTYPE'!$AJ$10:$AJ$52,MATCH($C17,'[1]SALES PERTYPE'!$B$10:$B$52,0)),0)</f>
        <v>4</v>
      </c>
      <c r="CY17" s="143">
        <f>IFERROR(INDEX('[1]Sales per type juli'!$D$10:$BA$51,MATCH($C17,'[1]Sales per type juli'!$B$10:$B$51,0),MATCH("IQOO Z11",'[1]Sales per type juli'!$D$8:$BA$8,0)),0)</f>
        <v>4</v>
      </c>
      <c r="CZ17" s="143">
        <f t="shared" si="32"/>
        <v>0</v>
      </c>
      <c r="DA17" s="143">
        <f>IFERROR(INDEX('[1]SALES PERTYPE'!$AK$10:$AK$52,MATCH($C17,'[1]SALES PERTYPE'!$B$10:$B$52,0)),0)</f>
        <v>29096000</v>
      </c>
      <c r="DB17" s="143" cm="1">
        <f t="array" ref="DB17">IFERROR(INDEX('[1]Sales per type juli'!$D$10:$BA$51,MATCH($C17,'[1]Sales per type juli'!$B$10:$B$51,0),MATCH("IQOO Z11",'[1]Sales per type juli'!$D$8:$BA$8,0)+1),0)</f>
        <v>23796000</v>
      </c>
      <c r="DC17" s="143">
        <f t="shared" si="33"/>
        <v>5300000</v>
      </c>
      <c r="DD17" s="143">
        <v>0</v>
      </c>
      <c r="DE17" s="143">
        <f>IFERROR(INDEX('[1]Sales per type juli'!$D$10:$BA$51,MATCH($C17,'[1]Sales per type juli'!$B$10:$B$51,0),MATCH("WATCH 3",'[1]Sales per type juli'!$D$8:$BA$8,0)),0)</f>
        <v>0</v>
      </c>
      <c r="DF17" s="143">
        <f t="shared" si="34"/>
        <v>0</v>
      </c>
      <c r="DG17" s="143">
        <v>0</v>
      </c>
      <c r="DH17" s="143" cm="1">
        <f t="array" ref="DH17">IFERROR(INDEX('[1]Sales per type juli'!$D$10:$BA$51,MATCH($C17,'[1]Sales per type juli'!$B$10:$B$51,0),MATCH("WATCH 3",'[1]Sales per type juli'!$D$8:$BA$8,0)+1),0)</f>
        <v>0</v>
      </c>
      <c r="DI17" s="143">
        <f t="shared" si="35"/>
        <v>0</v>
      </c>
      <c r="DJ17" s="143">
        <v>0</v>
      </c>
      <c r="DK17" s="143">
        <f>IFERROR(INDEX('[1]Sales per type juli'!$D$10:$BA$51,MATCH($C17,'[1]Sales per type juli'!$B$10:$B$51,0),MATCH("X300 Demo",'[1]Sales per type juli'!$D$8:$BA$8,0)),0)</f>
        <v>2</v>
      </c>
      <c r="DL17" s="143">
        <f t="shared" si="36"/>
        <v>-2</v>
      </c>
      <c r="DM17" s="143">
        <v>0</v>
      </c>
      <c r="DN17" s="143" cm="1">
        <f t="array" ref="DN17">IFERROR(INDEX('[1]Sales per type juli'!$D$10:$BA$51,MATCH($C17,'[1]Sales per type juli'!$B$10:$B$51,0),MATCH("X300 Demo",'[1]Sales per type juli'!$D$8:$BA$8,0)+1),0)</f>
        <v>33998000</v>
      </c>
      <c r="DO17" s="143">
        <f t="shared" si="37"/>
        <v>-33998000</v>
      </c>
      <c r="DP17" s="143">
        <v>0</v>
      </c>
      <c r="DQ17" s="143">
        <f>IFERROR(INDEX('[1]Sales per type juli'!$D$10:$BA$51,MATCH($C17,'[1]Sales per type juli'!$B$10:$B$51,0),MATCH("X300 Pro Demo",'[1]Sales per type juli'!$D$8:$BA$8,0)),0)</f>
        <v>0</v>
      </c>
      <c r="DR17" s="143">
        <f t="shared" si="38"/>
        <v>0</v>
      </c>
      <c r="DS17" s="143">
        <v>0</v>
      </c>
      <c r="DT17" s="143" cm="1">
        <f t="array" ref="DT17">IFERROR(INDEX('[1]Sales per type juli'!$D$10:$BA$51,MATCH($C17,'[1]Sales per type juli'!$B$10:$B$51,0),MATCH("X300 Pro Demo",'[1]Sales per type juli'!$D$8:$BA$8,0)+1),0)</f>
        <v>0</v>
      </c>
      <c r="DU17" s="143">
        <f t="shared" si="39"/>
        <v>0</v>
      </c>
      <c r="DV17" s="143">
        <v>0</v>
      </c>
      <c r="DW17" s="143">
        <f>IFERROR(INDEX('[1]Sales per type juli'!$D$10:$BA$51,MATCH($C17,'[1]Sales per type juli'!$B$10:$B$51,0),MATCH("X Fold5 DEMO",'[1]Sales per type juli'!$D$8:$BA$8,0)),0)</f>
        <v>0</v>
      </c>
      <c r="DX17" s="143">
        <f t="shared" si="40"/>
        <v>0</v>
      </c>
      <c r="DY17" s="143">
        <v>0</v>
      </c>
      <c r="DZ17" s="143" cm="1">
        <f t="array" ref="DZ17">IFERROR(INDEX('[1]Sales per type juli'!$D$10:$BA$51,MATCH($C17,'[1]Sales per type juli'!$B$10:$B$51,0),MATCH("X Fold5 DEMO",'[1]Sales per type juli'!$D$8:$BA$8,0)+1),0)</f>
        <v>0</v>
      </c>
      <c r="EA17" s="143">
        <f t="shared" si="41"/>
        <v>0</v>
      </c>
      <c r="EB17" s="143">
        <v>0</v>
      </c>
      <c r="EC17" s="143">
        <f>IFERROR(INDEX('[1]Sales per type juli'!$D$10:$BA$51,MATCH($C17,'[1]Sales per type juli'!$B$10:$B$51,0),MATCH("X Fold5",'[1]Sales per type juli'!$D$8:$BA$8,0)),0)</f>
        <v>0</v>
      </c>
      <c r="ED17" s="143">
        <f t="shared" si="42"/>
        <v>0</v>
      </c>
      <c r="EE17" s="143">
        <v>0</v>
      </c>
      <c r="EF17" s="143" cm="1">
        <f t="array" ref="EF17">IFERROR(INDEX('[1]Sales per type juli'!$D$10:$BA$51,MATCH($C17,'[1]Sales per type juli'!$B$10:$B$51,0),MATCH("X Fold5",'[1]Sales per type juli'!$D$8:$BA$8,0)+1),0)</f>
        <v>0</v>
      </c>
      <c r="EG17" s="143">
        <f t="shared" si="43"/>
        <v>0</v>
      </c>
      <c r="EH17" s="143">
        <v>0</v>
      </c>
      <c r="EI17" s="143">
        <f>IFERROR(INDEX('[1]Sales per type juli'!$D$10:$BA$51,MATCH($C17,'[1]Sales per type juli'!$B$10:$B$51,0),MATCH("IQOO 15 Demo",'[1]Sales per type juli'!$D$8:$BA$8,0)),0)</f>
        <v>1</v>
      </c>
      <c r="EJ17" s="143">
        <f t="shared" si="44"/>
        <v>-1</v>
      </c>
      <c r="EK17" s="143">
        <v>0</v>
      </c>
      <c r="EL17" s="143" cm="1">
        <f t="array" ref="EL17">IFERROR(INDEX('[1]Sales per type juli'!$D$10:$BA$51,MATCH($C17,'[1]Sales per type juli'!$B$10:$B$51,0),MATCH("IQOO 15 Demo",'[1]Sales per type juli'!$D$8:$BA$8,0)+1),0)</f>
        <v>13999000</v>
      </c>
      <c r="EM17" s="143">
        <f t="shared" si="45"/>
        <v>-13999000</v>
      </c>
      <c r="EN17" s="143">
        <v>0</v>
      </c>
      <c r="EO17" s="143">
        <f>IFERROR(INDEX('[1]Sales per type juli'!$D$10:$BA$51,MATCH($C17,'[1]Sales per type juli'!$B$10:$B$51,0),MATCH("X300 PRO",'[1]Sales per type juli'!$D$8:$BA$8,0)),0)</f>
        <v>0</v>
      </c>
      <c r="EP17" s="143">
        <f t="shared" si="46"/>
        <v>0</v>
      </c>
      <c r="EQ17" s="143">
        <v>0</v>
      </c>
      <c r="ER17" s="143" cm="1">
        <f t="array" ref="ER17">IFERROR(INDEX('[1]Sales per type juli'!$D$10:$BA$51,MATCH($C17,'[1]Sales per type juli'!$B$10:$B$51,0),MATCH("X300 PRO",'[1]Sales per type juli'!$D$8:$BA$8,0)+1),0)</f>
        <v>0</v>
      </c>
      <c r="ES17" s="143">
        <f t="shared" si="47"/>
        <v>0</v>
      </c>
      <c r="ET17" s="143">
        <v>0</v>
      </c>
      <c r="EU17" s="143">
        <f>IFERROR(INDEX('[1]Sales per type juli'!$D$10:$BA$51,MATCH($C17,'[1]Sales per type juli'!$B$10:$B$51,0),MATCH("X300 ",'[1]Sales per type juli'!$D$8:$BA$8,0)),0)</f>
        <v>0</v>
      </c>
      <c r="EV17" s="143">
        <f t="shared" si="48"/>
        <v>0</v>
      </c>
      <c r="EW17" s="143">
        <v>0</v>
      </c>
      <c r="EX17" s="143" cm="1">
        <f t="array" ref="EX17">IFERROR(INDEX('[1]Sales per type juli'!$D$10:$BA$51,MATCH($C17,'[1]Sales per type juli'!$B$10:$B$51,0),MATCH("X300 ",'[1]Sales per type juli'!$D$8:$BA$8,0)+1),0)</f>
        <v>0</v>
      </c>
      <c r="EY17" s="143">
        <f t="shared" si="49"/>
        <v>0</v>
      </c>
      <c r="EZ17" s="143">
        <f t="shared" si="50"/>
        <v>31</v>
      </c>
      <c r="FA17" s="143">
        <f t="shared" si="50"/>
        <v>22</v>
      </c>
      <c r="FB17" s="143">
        <f t="shared" si="51"/>
        <v>9</v>
      </c>
      <c r="FC17" s="143">
        <f t="shared" si="52"/>
        <v>146469000</v>
      </c>
      <c r="FD17" s="143">
        <f t="shared" si="52"/>
        <v>178378000</v>
      </c>
      <c r="FE17" s="143">
        <f t="shared" si="53"/>
        <v>-31909000</v>
      </c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</row>
    <row r="18" spans="1:208" ht="16" x14ac:dyDescent="0.2">
      <c r="A18" s="144">
        <f>'[1]ACHIEVEMENT STORE'!A18</f>
        <v>14</v>
      </c>
      <c r="B18" s="145" t="str">
        <f>'[1]ACHIEVEMENT STORE'!B18</f>
        <v>604 雅加达东南 JKT TS</v>
      </c>
      <c r="C18" s="144">
        <f>'[1]ACHIEVEMENT STORE'!C18</f>
        <v>6040703</v>
      </c>
      <c r="D18" s="145" t="str">
        <f>'[1]ACHIEVEMENT STORE'!D18</f>
        <v>6040703-SAWANGAN 1F1-0320</v>
      </c>
      <c r="E18" s="145" t="str">
        <f>'[1]ACHIEVEMENT STORE'!E18</f>
        <v>Erlangga Pradita</v>
      </c>
      <c r="F18" s="143">
        <f>IFERROR(INDEX('[1]SALES PERTYPE'!$D$10:$D$52,MATCH($C18,'[1]SALES PERTYPE'!$B$10:$B$52,0)),0)</f>
        <v>5</v>
      </c>
      <c r="G18" s="143">
        <f>IFERROR(INDEX('[1]Sales per type juli'!$D$10:$BA$51,MATCH($C18,'[1]Sales per type juli'!$B$10:$B$51,0),MATCH("Y05",'[1]Sales per type juli'!$D$8:$BA$8,0)),0)</f>
        <v>6</v>
      </c>
      <c r="H18" s="143">
        <f t="shared" si="0"/>
        <v>-1</v>
      </c>
      <c r="I18" s="143">
        <f>IFERROR(INDEX('[1]SALES PERTYPE'!$E$10:$E$52,MATCH($C18,'[1]SALES PERTYPE'!$B$10:$B$52,0)),0)</f>
        <v>12695000</v>
      </c>
      <c r="J18" s="143" cm="1">
        <f t="array" ref="J18">IFERROR(INDEX('[1]Sales per type juli'!$D$10:$BA$51,MATCH($C18,'[1]Sales per type juli'!$B$10:$B$51,0),MATCH("Y05",'[1]Sales per type juli'!$D$8:$BA$8,0)+1),0)</f>
        <v>14394000</v>
      </c>
      <c r="K18" s="143">
        <f t="shared" si="1"/>
        <v>-1699000</v>
      </c>
      <c r="L18" s="143">
        <f>IFERROR(INDEX('[1]SALES PERTYPE'!$F$10:$F$52,MATCH($C18,'[1]SALES PERTYPE'!$B$10:$B$52,0)),0)</f>
        <v>3</v>
      </c>
      <c r="M18" s="143">
        <f>IFERROR(INDEX('[1]Sales per type juli'!$D$10:$BA$51,MATCH($C18,'[1]Sales per type juli'!$B$10:$B$51,0),MATCH("Y11d",'[1]Sales per type juli'!$D$8:$BA$8,0)),0)</f>
        <v>6</v>
      </c>
      <c r="N18" s="143">
        <f t="shared" si="2"/>
        <v>-3</v>
      </c>
      <c r="O18" s="143">
        <f>IFERROR(INDEX('[1]SALES PERTYPE'!$G$10:$G$52,MATCH($C18,'[1]SALES PERTYPE'!$B$10:$B$52,0)),0)</f>
        <v>7997000</v>
      </c>
      <c r="P18" s="143" cm="1">
        <f t="array" ref="P18">IFERROR(INDEX('[1]Sales per type juli'!$D$10:$BA$51,MATCH($C18,'[1]Sales per type juli'!$B$10:$B$51,0),MATCH("Y11d",'[1]Sales per type juli'!$D$8:$BA$8,0)+1),0)</f>
        <v>16394000</v>
      </c>
      <c r="Q18" s="143">
        <f t="shared" si="3"/>
        <v>-8397000</v>
      </c>
      <c r="R18" s="143">
        <f>IFERROR(INDEX('[1]SALES PERTYPE'!$H$10:$H$52,MATCH($C18,'[1]SALES PERTYPE'!$B$10:$B$52,0)),0)</f>
        <v>1</v>
      </c>
      <c r="S18" s="143">
        <f>IFERROR(INDEX('[1]Sales per type juli'!$D$10:$BA$51,MATCH($C18,'[1]Sales per type juli'!$B$10:$B$51,0),MATCH("Watch GT 2",'[1]Sales per type juli'!$D$8:$BA$8,0)),0)</f>
        <v>0</v>
      </c>
      <c r="T18" s="143">
        <f t="shared" si="4"/>
        <v>1</v>
      </c>
      <c r="U18" s="143">
        <f>IFERROR(INDEX('[1]SALES PERTYPE'!$I$10:$I$52,MATCH($C18,'[1]SALES PERTYPE'!$B$10:$B$52,0)),0)</f>
        <v>1799000</v>
      </c>
      <c r="V18" s="143" cm="1">
        <f t="array" ref="V18">IFERROR(INDEX('[1]Sales per type juli'!$D$10:$BA$51,MATCH($C18,'[1]Sales per type juli'!$B$10:$B$51,0),MATCH("Watch GT 2",'[1]Sales per type juli'!$D$8:$BA$8,0)+1),0)</f>
        <v>0</v>
      </c>
      <c r="W18" s="143">
        <f t="shared" si="5"/>
        <v>1799000</v>
      </c>
      <c r="X18" s="143">
        <f>IFERROR(INDEX('[1]SALES PERTYPE'!$J$10:$J$52,MATCH($C18,'[1]SALES PERTYPE'!$B$10:$B$52,0)),0)</f>
        <v>2</v>
      </c>
      <c r="Y18" s="143">
        <f>IFERROR(INDEX('[1]Sales per type juli'!$D$10:$BA$51,MATCH($C18,'[1]Sales per type juli'!$B$10:$B$51,0),MATCH("Y05e",'[1]Sales per type juli'!$D$8:$BA$8,0)),0)</f>
        <v>0</v>
      </c>
      <c r="Z18" s="143">
        <f t="shared" si="6"/>
        <v>2</v>
      </c>
      <c r="AA18" s="143">
        <f>IFERROR(INDEX('[1]SALES PERTYPE'!$K$10:$K$52,MATCH($C18,'[1]SALES PERTYPE'!$B$10:$B$52,0)),0)</f>
        <v>4198000</v>
      </c>
      <c r="AB18" s="143" cm="1">
        <f t="array" ref="AB18">IFERROR(INDEX('[1]Sales per type juli'!$D$10:$BA$51,MATCH($C18,'[1]Sales per type juli'!$B$10:$B$51,0),MATCH("Y05e",'[1]Sales per type juli'!$D$8:$BA$8,0)+1),0)</f>
        <v>0</v>
      </c>
      <c r="AC18" s="143">
        <f t="shared" si="7"/>
        <v>4198000</v>
      </c>
      <c r="AD18" s="143">
        <f>IFERROR(INDEX('[1]SALES PERTYPE'!$L$10:$L$52,MATCH($C18,'[1]SALES PERTYPE'!$B$10:$B$52,0)),0)</f>
        <v>3</v>
      </c>
      <c r="AE18" s="143">
        <f>IFERROR(INDEX('[1]Sales per type juli'!$D$10:$BA$51,MATCH($C18,'[1]Sales per type juli'!$B$10:$B$51,0),MATCH("V70",'[1]Sales per type juli'!$D$8:$BA$8,0)),0)</f>
        <v>8</v>
      </c>
      <c r="AF18" s="143">
        <f t="shared" si="8"/>
        <v>-5</v>
      </c>
      <c r="AG18" s="143">
        <f>IFERROR(INDEX('[1]SALES PERTYPE'!$M$10:$M$52,MATCH($C18,'[1]SALES PERTYPE'!$B$10:$B$52,0)),0)</f>
        <v>29997000</v>
      </c>
      <c r="AH18" s="143" cm="1">
        <f t="array" ref="AH18">IFERROR(INDEX('[1]Sales per type juli'!$D$10:$BA$51,MATCH($C18,'[1]Sales per type juli'!$B$10:$B$51,0),MATCH("V70",'[1]Sales per type juli'!$D$8:$BA$8,0)+1),0)</f>
        <v>75992000</v>
      </c>
      <c r="AI18" s="143">
        <f t="shared" si="9"/>
        <v>-45995000</v>
      </c>
      <c r="AJ18" s="143">
        <f>IFERROR(INDEX('[1]SALES PERTYPE'!$N$10:$N$52,MATCH($C18,'[1]SALES PERTYPE'!$B$10:$B$52,0)),0)</f>
        <v>2</v>
      </c>
      <c r="AK18" s="143">
        <f>IFERROR(INDEX('[1]Sales per type juli'!$D$10:$BA$51,MATCH($C18,'[1]Sales per type juli'!$B$10:$B$51,0),MATCH("Y31d Pro",'[1]Sales per type juli'!$D$8:$BA$8,0)),0)</f>
        <v>5</v>
      </c>
      <c r="AL18" s="143">
        <f t="shared" si="10"/>
        <v>-3</v>
      </c>
      <c r="AM18" s="143">
        <f>IFERROR(INDEX('[1]SALES PERTYPE'!$O$10:$O$52,MATCH($C18,'[1]SALES PERTYPE'!$B$10:$B$52,0)),0)</f>
        <v>8198000</v>
      </c>
      <c r="AN18" s="143" cm="1">
        <f t="array" ref="AN18">IFERROR(INDEX('[1]Sales per type juli'!$D$10:$BA$51,MATCH($C18,'[1]Sales per type juli'!$B$10:$B$51,0),MATCH("Y31d Pro",'[1]Sales per type juli'!$D$8:$BA$8,0)+1),0)</f>
        <v>20495000</v>
      </c>
      <c r="AO18" s="143">
        <f t="shared" si="11"/>
        <v>-12297000</v>
      </c>
      <c r="AP18" s="143">
        <f>IFERROR(INDEX('[1]SALES PERTYPE'!$P$10:$P$52,MATCH($C18,'[1]SALES PERTYPE'!$B$10:$B$52,0)),0)</f>
        <v>0</v>
      </c>
      <c r="AQ18" s="143" cm="1">
        <f t="array" ref="AQ18">IFERROR(INDEX('[1]Sales per type juli'!$D$10:$BA$51,MATCH($C18,'[1]Sales per type juli'!$B$10:$B$51,0),$FG$2),0)</f>
        <v>0</v>
      </c>
      <c r="AR18" s="143">
        <f t="shared" si="12"/>
        <v>0</v>
      </c>
      <c r="AS18" s="143">
        <f>IFERROR(INDEX('[1]SALES PERTYPE'!$Q$10:$Q$52,MATCH($C18,'[1]SALES PERTYPE'!$B$10:$B$52,0)),0)</f>
        <v>0</v>
      </c>
      <c r="AT18" s="143" cm="1">
        <f t="array" ref="AT18">IFERROR(INDEX('[1]Sales per type juli'!$D$10:$BA$51,MATCH($C18,'[1]Sales per type juli'!$B$10:$B$51,0),$FG$2+1),0)</f>
        <v>0</v>
      </c>
      <c r="AU18" s="143">
        <f t="shared" si="13"/>
        <v>0</v>
      </c>
      <c r="AV18" s="143">
        <f>IFERROR(INDEX('[1]SALES PERTYPE'!$R$10:$R$52,MATCH($C18,'[1]SALES PERTYPE'!$B$10:$B$52,0)),0)</f>
        <v>0</v>
      </c>
      <c r="AW18" s="143">
        <f>IFERROR(INDEX('[1]Sales per type juli'!$D$10:$BA$51,MATCH($C18,'[1]Sales per type juli'!$B$10:$B$51,0),MATCH("Y31d ",'[1]Sales per type juli'!$D$8:$BA$8,0)),0)</f>
        <v>1</v>
      </c>
      <c r="AX18" s="143">
        <f t="shared" si="14"/>
        <v>-1</v>
      </c>
      <c r="AY18" s="143">
        <f>IFERROR(INDEX('[1]SALES PERTYPE'!$S$10:$S$52,MATCH($C18,'[1]SALES PERTYPE'!$B$10:$B$52,0)),0)</f>
        <v>0</v>
      </c>
      <c r="AZ18" s="143" cm="1">
        <f t="array" ref="AZ18">IFERROR(INDEX('[1]Sales per type juli'!$D$10:$BA$51,MATCH($C18,'[1]Sales per type juli'!$B$10:$B$51,0),MATCH("Y31d ",'[1]Sales per type juli'!$D$8:$BA$8,0)+1),0)</f>
        <v>3599000</v>
      </c>
      <c r="BA18" s="143">
        <f t="shared" si="15"/>
        <v>-3599000</v>
      </c>
      <c r="BB18" s="143">
        <f>IFERROR(INDEX('[1]SALES PERTYPE'!$T$10:$T$52,MATCH($C18,'[1]SALES PERTYPE'!$B$10:$B$52,0)),0)</f>
        <v>2</v>
      </c>
      <c r="BC18" s="143">
        <f>IFERROR(INDEX('[1]Sales per type juli'!$D$10:$BA$51,MATCH($C18,'[1]Sales per type juli'!$B$10:$B$51,0),MATCH("V70 FE",'[1]Sales per type juli'!$D$8:$BA$8,0)),0)</f>
        <v>3</v>
      </c>
      <c r="BD18" s="143">
        <f t="shared" si="16"/>
        <v>-1</v>
      </c>
      <c r="BE18" s="143">
        <f>IFERROR(INDEX('[1]SALES PERTYPE'!$U$10:$U$52,MATCH($C18,'[1]SALES PERTYPE'!$B$10:$B$52,0)),0)</f>
        <v>14998000</v>
      </c>
      <c r="BF18" s="143" cm="1">
        <f t="array" ref="BF18">IFERROR(INDEX('[1]Sales per type juli'!$D$10:$BA$51,MATCH($C18,'[1]Sales per type juli'!$B$10:$B$51,0),MATCH("V70 FE",'[1]Sales per type juli'!$D$8:$BA$8,0)+1),0)</f>
        <v>20197000</v>
      </c>
      <c r="BG18" s="143">
        <f t="shared" si="17"/>
        <v>-5199000</v>
      </c>
      <c r="BH18" s="143">
        <f>IFERROR(INDEX('[1]SALES PERTYPE'!$V$10:$V$52,MATCH($C18,'[1]SALES PERTYPE'!$B$10:$B$52,0)),0)</f>
        <v>0</v>
      </c>
      <c r="BI18" s="143">
        <f>IFERROR(INDEX('[1]Sales per type juli'!$D$10:$BA$51,MATCH($C18,'[1]Sales per type juli'!$B$10:$B$51,0),MATCH("Y31d",'[1]Sales per type juli'!$D$8:$BA$8,0)),0)</f>
        <v>3</v>
      </c>
      <c r="BJ18" s="143">
        <f t="shared" si="18"/>
        <v>-3</v>
      </c>
      <c r="BK18" s="143">
        <f>IFERROR(INDEX('[1]SALES PERTYPE'!$W$10:$W$52,MATCH($C18,'[1]SALES PERTYPE'!$B$10:$B$52,0)),0)</f>
        <v>0</v>
      </c>
      <c r="BL18" s="143" cm="1">
        <f t="array" ref="BL18">IFERROR(INDEX('[1]Sales per type juli'!$D$10:$BA$51,MATCH($C18,'[1]Sales per type juli'!$B$10:$B$51,0),MATCH("Y31d",'[1]Sales per type juli'!$D$8:$BA$8,0)+1),0)</f>
        <v>10797000</v>
      </c>
      <c r="BM18" s="143">
        <f t="shared" si="19"/>
        <v>-10797000</v>
      </c>
      <c r="BN18" s="143">
        <f>IFERROR(INDEX('[1]SALES PERTYPE'!$X$10:$X$52,MATCH($C18,'[1]SALES PERTYPE'!$B$10:$B$52,0)),0)</f>
        <v>1</v>
      </c>
      <c r="BO18" s="143">
        <f>IFERROR(INDEX('[1]Sales per type juli'!$D$10:$BA$51,MATCH($C18,'[1]Sales per type juli'!$B$10:$B$51,0),MATCH("Y500",'[1]Sales per type juli'!$D$8:$BA$8,0)),0)</f>
        <v>1</v>
      </c>
      <c r="BP18" s="143">
        <f t="shared" si="20"/>
        <v>0</v>
      </c>
      <c r="BQ18" s="143">
        <f>IFERROR(INDEX('[1]SALES PERTYPE'!$Y$10:$Y$52,MATCH($C18,'[1]SALES PERTYPE'!$B$10:$B$52,0)),0)</f>
        <v>6299000</v>
      </c>
      <c r="BR18" s="143" cm="1">
        <f t="array" ref="BR18">IFERROR(INDEX('[1]Sales per type juli'!$D$10:$BA$51,MATCH($C18,'[1]Sales per type juli'!$B$10:$B$51,0),MATCH("Y500",'[1]Sales per type juli'!$D$8:$BA$8,0)+1),0)</f>
        <v>5499000</v>
      </c>
      <c r="BS18" s="143">
        <f t="shared" si="21"/>
        <v>800000</v>
      </c>
      <c r="BT18" s="143">
        <f>IFERROR(INDEX('[1]SALES PERTYPE'!$Z$10:$Z$52,MATCH($C18,'[1]SALES PERTYPE'!$B$10:$B$52,0)),0)</f>
        <v>0</v>
      </c>
      <c r="BU18" s="143">
        <f>IFERROR(INDEX('[1]Sales per type juli'!$D$10:$BA$51,MATCH($C18,'[1]Sales per type juli'!$B$10:$B$51,0),MATCH("IQOO 15R",'[1]Sales per type juli'!$D$8:$BA$8,0)),0)</f>
        <v>2</v>
      </c>
      <c r="BV18" s="143">
        <f t="shared" si="22"/>
        <v>-2</v>
      </c>
      <c r="BW18" s="143">
        <f>IFERROR(INDEX('[1]SALES PERTYPE'!$AA$10:$AA$52,MATCH($C18,'[1]SALES PERTYPE'!$B$10:$B$52,0)),0)</f>
        <v>0</v>
      </c>
      <c r="BX18" s="143" cm="1">
        <f t="array" ref="BX18">IFERROR(INDEX('[1]Sales per type juli'!$D$10:$BA$51,MATCH($C18,'[1]Sales per type juli'!$B$10:$B$51,0),MATCH("IQOO 15R",'[1]Sales per type juli'!$D$8:$BA$8,0)+1),0)</f>
        <v>19798000</v>
      </c>
      <c r="BY18" s="143">
        <f t="shared" si="23"/>
        <v>-19798000</v>
      </c>
      <c r="BZ18" s="143">
        <f>IFERROR(INDEX('[1]SALES PERTYPE'!$AB$10:$AB$52,MATCH($C18,'[1]SALES PERTYPE'!$B$10:$B$52,0)),0)</f>
        <v>1</v>
      </c>
      <c r="CA18" s="143">
        <f>IFERROR(INDEX('[1]Sales per type juli'!$D$10:$BA$51,MATCH($C18,'[1]Sales per type juli'!$B$10:$B$51,0),MATCH("V60 Lite",'[1]Sales per type juli'!$D$8:$BA$8,0)),0)</f>
        <v>1</v>
      </c>
      <c r="CB18" s="143">
        <f t="shared" si="24"/>
        <v>0</v>
      </c>
      <c r="CC18" s="143">
        <f>IFERROR(INDEX('[1]SALES PERTYPE'!$AC$10:$AC$52,MATCH($C18,'[1]SALES PERTYPE'!$B$10:$B$52,0)),0)</f>
        <v>6499000</v>
      </c>
      <c r="CD18" s="143" cm="1">
        <f t="array" ref="CD18">IFERROR(INDEX('[1]Sales per type juli'!$D$10:$BA$51,MATCH($C18,'[1]Sales per type juli'!$B$10:$B$51,0),MATCH("V60 Lite",'[1]Sales per type juli'!$D$8:$BA$8,0)+1),0)</f>
        <v>5999000</v>
      </c>
      <c r="CE18" s="143">
        <f t="shared" si="25"/>
        <v>500000</v>
      </c>
      <c r="CF18" s="143">
        <f>IFERROR(INDEX('[1]SALES PERTYPE'!$AD$10:$AD$52,MATCH($C18,'[1]SALES PERTYPE'!$B$10:$B$52,0)),0)</f>
        <v>1</v>
      </c>
      <c r="CG18" s="143">
        <f>IFERROR(INDEX('[1]Sales per type juli'!$D$10:$BA$51,MATCH($C18,'[1]Sales per type juli'!$B$10:$B$51,0),MATCH("X300 Ultra",'[1]Sales per type juli'!$D$8:$BA$8,0)),0)</f>
        <v>0</v>
      </c>
      <c r="CH18" s="143">
        <f t="shared" si="26"/>
        <v>1</v>
      </c>
      <c r="CI18" s="143">
        <f>IFERROR(INDEX('[1]SALES PERTYPE'!$AE$10:$AE$52,MATCH($C18,'[1]SALES PERTYPE'!$B$10:$B$52,0)),0)</f>
        <v>25999000</v>
      </c>
      <c r="CJ18" s="143" cm="1">
        <f t="array" ref="CJ18">IFERROR(INDEX('[1]Sales per type juli'!$D$10:$BA$51,MATCH($C18,'[1]Sales per type juli'!$B$10:$B$51,0),MATCH("X300 Ultra",'[1]Sales per type juli'!$D$8:$BA$8,0)+1),0)</f>
        <v>0</v>
      </c>
      <c r="CK18" s="143">
        <f t="shared" si="27"/>
        <v>25999000</v>
      </c>
      <c r="CL18" s="143">
        <f>IFERROR(INDEX('[1]SALES PERTYPE'!$AF$10:$AF$52,MATCH($C18,'[1]SALES PERTYPE'!$B$10:$B$52,0)),0)</f>
        <v>0</v>
      </c>
      <c r="CM18" s="143">
        <f>IFERROR(INDEX('[1]Sales per type juli'!$D$10:$BA$51,MATCH($C18,'[1]Sales per type juli'!$B$10:$B$51,0),MATCH("IQOO 15",'[1]Sales per type juli'!$D$8:$BA$8,0)),0)</f>
        <v>0</v>
      </c>
      <c r="CN18" s="143">
        <f t="shared" si="28"/>
        <v>0</v>
      </c>
      <c r="CO18" s="143">
        <f>IFERROR(INDEX('[1]SALES PERTYPE'!$AG$10:$AG$52,MATCH($C18,'[1]SALES PERTYPE'!$B$10:$B$52,0)),0)</f>
        <v>0</v>
      </c>
      <c r="CP18" s="143" cm="1">
        <f t="array" ref="CP18">IFERROR(INDEX('[1]Sales per type juli'!$D$10:$BA$51,MATCH($C18,'[1]Sales per type juli'!$B$10:$B$51,0),MATCH("IQOO 15",'[1]Sales per type juli'!$D$8:$BA$8,0)+1),0)</f>
        <v>0</v>
      </c>
      <c r="CQ18" s="143">
        <f t="shared" si="29"/>
        <v>0</v>
      </c>
      <c r="CR18" s="143">
        <f>IFERROR(INDEX('[1]SALES PERTYPE'!$AH$10:$AH$52,MATCH($C18,'[1]SALES PERTYPE'!$B$10:$B$52,0)),0)</f>
        <v>2</v>
      </c>
      <c r="CS18" s="143">
        <f>IFERROR(INDEX('[1]Sales per type juli'!$D$10:$BA$51,MATCH($C18,'[1]Sales per type juli'!$B$10:$B$51,0),MATCH("IQOO Z11x",'[1]Sales per type juli'!$D$8:$BA$8,0)),0)</f>
        <v>0</v>
      </c>
      <c r="CT18" s="143">
        <f t="shared" si="30"/>
        <v>2</v>
      </c>
      <c r="CU18" s="143">
        <f>IFERROR(INDEX('[1]SALES PERTYPE'!$AI$10:$AI$52,MATCH($C18,'[1]SALES PERTYPE'!$B$10:$B$52,0)),0)</f>
        <v>11298000</v>
      </c>
      <c r="CV18" s="143" cm="1">
        <f t="array" ref="CV18">IFERROR(INDEX('[1]Sales per type juli'!$D$10:$BA$51,MATCH($C18,'[1]Sales per type juli'!$B$10:$B$51,0),MATCH("IQOO Z11x",'[1]Sales per type juli'!$D$8:$BA$8,0)+1),0)</f>
        <v>0</v>
      </c>
      <c r="CW18" s="143">
        <f t="shared" si="31"/>
        <v>11298000</v>
      </c>
      <c r="CX18" s="143">
        <f>IFERROR(INDEX('[1]SALES PERTYPE'!$AJ$10:$AJ$52,MATCH($C18,'[1]SALES PERTYPE'!$B$10:$B$52,0)),0)</f>
        <v>0</v>
      </c>
      <c r="CY18" s="143">
        <f>IFERROR(INDEX('[1]Sales per type juli'!$D$10:$BA$51,MATCH($C18,'[1]Sales per type juli'!$B$10:$B$51,0),MATCH("IQOO Z11",'[1]Sales per type juli'!$D$8:$BA$8,0)),0)</f>
        <v>3</v>
      </c>
      <c r="CZ18" s="143">
        <f t="shared" si="32"/>
        <v>-3</v>
      </c>
      <c r="DA18" s="143">
        <f>IFERROR(INDEX('[1]SALES PERTYPE'!$AK$10:$AK$52,MATCH($C18,'[1]SALES PERTYPE'!$B$10:$B$52,0)),0)</f>
        <v>0</v>
      </c>
      <c r="DB18" s="143" cm="1">
        <f t="array" ref="DB18">IFERROR(INDEX('[1]Sales per type juli'!$D$10:$BA$51,MATCH($C18,'[1]Sales per type juli'!$B$10:$B$51,0),MATCH("IQOO Z11",'[1]Sales per type juli'!$D$8:$BA$8,0)+1),0)</f>
        <v>17097000</v>
      </c>
      <c r="DC18" s="143">
        <f t="shared" si="33"/>
        <v>-17097000</v>
      </c>
      <c r="DD18" s="143">
        <v>0</v>
      </c>
      <c r="DE18" s="143">
        <f>IFERROR(INDEX('[1]Sales per type juli'!$D$10:$BA$51,MATCH($C18,'[1]Sales per type juli'!$B$10:$B$51,0),MATCH("WATCH 3",'[1]Sales per type juli'!$D$8:$BA$8,0)),0)</f>
        <v>0</v>
      </c>
      <c r="DF18" s="143">
        <f t="shared" si="34"/>
        <v>0</v>
      </c>
      <c r="DG18" s="143">
        <v>0</v>
      </c>
      <c r="DH18" s="143" cm="1">
        <f t="array" ref="DH18">IFERROR(INDEX('[1]Sales per type juli'!$D$10:$BA$51,MATCH($C18,'[1]Sales per type juli'!$B$10:$B$51,0),MATCH("WATCH 3",'[1]Sales per type juli'!$D$8:$BA$8,0)+1),0)</f>
        <v>0</v>
      </c>
      <c r="DI18" s="143">
        <f t="shared" si="35"/>
        <v>0</v>
      </c>
      <c r="DJ18" s="143">
        <v>0</v>
      </c>
      <c r="DK18" s="143">
        <f>IFERROR(INDEX('[1]Sales per type juli'!$D$10:$BA$51,MATCH($C18,'[1]Sales per type juli'!$B$10:$B$51,0),MATCH("X300 Demo",'[1]Sales per type juli'!$D$8:$BA$8,0)),0)</f>
        <v>2</v>
      </c>
      <c r="DL18" s="143">
        <f t="shared" si="36"/>
        <v>-2</v>
      </c>
      <c r="DM18" s="143">
        <v>0</v>
      </c>
      <c r="DN18" s="143" cm="1">
        <f t="array" ref="DN18">IFERROR(INDEX('[1]Sales per type juli'!$D$10:$BA$51,MATCH($C18,'[1]Sales per type juli'!$B$10:$B$51,0),MATCH("X300 Demo",'[1]Sales per type juli'!$D$8:$BA$8,0)+1),0)</f>
        <v>33998000</v>
      </c>
      <c r="DO18" s="143">
        <f t="shared" si="37"/>
        <v>-33998000</v>
      </c>
      <c r="DP18" s="143">
        <v>0</v>
      </c>
      <c r="DQ18" s="143">
        <f>IFERROR(INDEX('[1]Sales per type juli'!$D$10:$BA$51,MATCH($C18,'[1]Sales per type juli'!$B$10:$B$51,0),MATCH("X300 Pro Demo",'[1]Sales per type juli'!$D$8:$BA$8,0)),0)</f>
        <v>0</v>
      </c>
      <c r="DR18" s="143">
        <f t="shared" si="38"/>
        <v>0</v>
      </c>
      <c r="DS18" s="143">
        <v>0</v>
      </c>
      <c r="DT18" s="143" cm="1">
        <f t="array" ref="DT18">IFERROR(INDEX('[1]Sales per type juli'!$D$10:$BA$51,MATCH($C18,'[1]Sales per type juli'!$B$10:$B$51,0),MATCH("X300 Pro Demo",'[1]Sales per type juli'!$D$8:$BA$8,0)+1),0)</f>
        <v>0</v>
      </c>
      <c r="DU18" s="143">
        <f t="shared" si="39"/>
        <v>0</v>
      </c>
      <c r="DV18" s="143">
        <v>0</v>
      </c>
      <c r="DW18" s="143">
        <f>IFERROR(INDEX('[1]Sales per type juli'!$D$10:$BA$51,MATCH($C18,'[1]Sales per type juli'!$B$10:$B$51,0),MATCH("X Fold5 DEMO",'[1]Sales per type juli'!$D$8:$BA$8,0)),0)</f>
        <v>0</v>
      </c>
      <c r="DX18" s="143">
        <f t="shared" si="40"/>
        <v>0</v>
      </c>
      <c r="DY18" s="143">
        <v>0</v>
      </c>
      <c r="DZ18" s="143" cm="1">
        <f t="array" ref="DZ18">IFERROR(INDEX('[1]Sales per type juli'!$D$10:$BA$51,MATCH($C18,'[1]Sales per type juli'!$B$10:$B$51,0),MATCH("X Fold5 DEMO",'[1]Sales per type juli'!$D$8:$BA$8,0)+1),0)</f>
        <v>0</v>
      </c>
      <c r="EA18" s="143">
        <f t="shared" si="41"/>
        <v>0</v>
      </c>
      <c r="EB18" s="143">
        <v>0</v>
      </c>
      <c r="EC18" s="143">
        <f>IFERROR(INDEX('[1]Sales per type juli'!$D$10:$BA$51,MATCH($C18,'[1]Sales per type juli'!$B$10:$B$51,0),MATCH("X Fold5",'[1]Sales per type juli'!$D$8:$BA$8,0)),0)</f>
        <v>0</v>
      </c>
      <c r="ED18" s="143">
        <f t="shared" si="42"/>
        <v>0</v>
      </c>
      <c r="EE18" s="143">
        <v>0</v>
      </c>
      <c r="EF18" s="143" cm="1">
        <f t="array" ref="EF18">IFERROR(INDEX('[1]Sales per type juli'!$D$10:$BA$51,MATCH($C18,'[1]Sales per type juli'!$B$10:$B$51,0),MATCH("X Fold5",'[1]Sales per type juli'!$D$8:$BA$8,0)+1),0)</f>
        <v>0</v>
      </c>
      <c r="EG18" s="143">
        <f t="shared" si="43"/>
        <v>0</v>
      </c>
      <c r="EH18" s="143">
        <v>0</v>
      </c>
      <c r="EI18" s="143">
        <f>IFERROR(INDEX('[1]Sales per type juli'!$D$10:$BA$51,MATCH($C18,'[1]Sales per type juli'!$B$10:$B$51,0),MATCH("IQOO 15 Demo",'[1]Sales per type juli'!$D$8:$BA$8,0)),0)</f>
        <v>1</v>
      </c>
      <c r="EJ18" s="143">
        <f t="shared" si="44"/>
        <v>-1</v>
      </c>
      <c r="EK18" s="143">
        <v>0</v>
      </c>
      <c r="EL18" s="143" cm="1">
        <f t="array" ref="EL18">IFERROR(INDEX('[1]Sales per type juli'!$D$10:$BA$51,MATCH($C18,'[1]Sales per type juli'!$B$10:$B$51,0),MATCH("IQOO 15 Demo",'[1]Sales per type juli'!$D$8:$BA$8,0)+1),0)</f>
        <v>13999000</v>
      </c>
      <c r="EM18" s="143">
        <f t="shared" si="45"/>
        <v>-13999000</v>
      </c>
      <c r="EN18" s="143">
        <v>0</v>
      </c>
      <c r="EO18" s="143">
        <f>IFERROR(INDEX('[1]Sales per type juli'!$D$10:$BA$51,MATCH($C18,'[1]Sales per type juli'!$B$10:$B$51,0),MATCH("X300 PRO",'[1]Sales per type juli'!$D$8:$BA$8,0)),0)</f>
        <v>0</v>
      </c>
      <c r="EP18" s="143">
        <f t="shared" si="46"/>
        <v>0</v>
      </c>
      <c r="EQ18" s="143">
        <v>0</v>
      </c>
      <c r="ER18" s="143" cm="1">
        <f t="array" ref="ER18">IFERROR(INDEX('[1]Sales per type juli'!$D$10:$BA$51,MATCH($C18,'[1]Sales per type juli'!$B$10:$B$51,0),MATCH("X300 PRO",'[1]Sales per type juli'!$D$8:$BA$8,0)+1),0)</f>
        <v>0</v>
      </c>
      <c r="ES18" s="143">
        <f t="shared" si="47"/>
        <v>0</v>
      </c>
      <c r="ET18" s="143">
        <v>0</v>
      </c>
      <c r="EU18" s="143">
        <f>IFERROR(INDEX('[1]Sales per type juli'!$D$10:$BA$51,MATCH($C18,'[1]Sales per type juli'!$B$10:$B$51,0),MATCH("X300 ",'[1]Sales per type juli'!$D$8:$BA$8,0)),0)</f>
        <v>0</v>
      </c>
      <c r="EV18" s="143">
        <f t="shared" si="48"/>
        <v>0</v>
      </c>
      <c r="EW18" s="143">
        <v>0</v>
      </c>
      <c r="EX18" s="143" cm="1">
        <f t="array" ref="EX18">IFERROR(INDEX('[1]Sales per type juli'!$D$10:$BA$51,MATCH($C18,'[1]Sales per type juli'!$B$10:$B$51,0),MATCH("X300 ",'[1]Sales per type juli'!$D$8:$BA$8,0)+1),0)</f>
        <v>0</v>
      </c>
      <c r="EY18" s="143">
        <f t="shared" si="49"/>
        <v>0</v>
      </c>
      <c r="EZ18" s="143">
        <f t="shared" si="50"/>
        <v>23</v>
      </c>
      <c r="FA18" s="143">
        <f t="shared" si="50"/>
        <v>42</v>
      </c>
      <c r="FB18" s="143">
        <f t="shared" si="51"/>
        <v>-19</v>
      </c>
      <c r="FC18" s="143">
        <f t="shared" si="52"/>
        <v>129977000</v>
      </c>
      <c r="FD18" s="143">
        <f t="shared" si="52"/>
        <v>258258000</v>
      </c>
      <c r="FE18" s="143">
        <f t="shared" si="53"/>
        <v>-128281000</v>
      </c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</row>
    <row r="19" spans="1:208" ht="16" x14ac:dyDescent="0.2">
      <c r="A19" s="141">
        <f>'[1]ACHIEVEMENT STORE'!A19</f>
        <v>15</v>
      </c>
      <c r="B19" s="142" t="str">
        <f>'[1]ACHIEVEMENT STORE'!B19</f>
        <v>605 勿加泗 BEKASI</v>
      </c>
      <c r="C19" s="141">
        <f>'[1]ACHIEVEMENT STORE'!C19</f>
        <v>6050701</v>
      </c>
      <c r="D19" s="142" t="str">
        <f>'[1]ACHIEVEMENT STORE'!D19</f>
        <v>6050701-MVS X6 DS0824</v>
      </c>
      <c r="E19" s="142" t="str">
        <f>'[1]ACHIEVEMENT STORE'!E19</f>
        <v>M RIZKI</v>
      </c>
      <c r="F19" s="143">
        <f>IFERROR(INDEX('[1]SALES PERTYPE'!$D$10:$D$52,MATCH($C19,'[1]SALES PERTYPE'!$B$10:$B$52,0)),0)</f>
        <v>2</v>
      </c>
      <c r="G19" s="143">
        <f>IFERROR(INDEX('[1]Sales per type juli'!$D$10:$BA$51,MATCH($C19,'[1]Sales per type juli'!$B$10:$B$51,0),MATCH("Y05",'[1]Sales per type juli'!$D$8:$BA$8,0)),0)</f>
        <v>8</v>
      </c>
      <c r="H19" s="143">
        <f t="shared" si="0"/>
        <v>-6</v>
      </c>
      <c r="I19" s="143">
        <f>IFERROR(INDEX('[1]SALES PERTYPE'!$E$10:$E$52,MATCH($C19,'[1]SALES PERTYPE'!$B$10:$B$52,0)),0)</f>
        <v>4898000</v>
      </c>
      <c r="J19" s="143" cm="1">
        <f t="array" ref="J19">IFERROR(INDEX('[1]Sales per type juli'!$D$10:$BA$51,MATCH($C19,'[1]Sales per type juli'!$B$10:$B$51,0),MATCH("Y05",'[1]Sales per type juli'!$D$8:$BA$8,0)+1),0)</f>
        <v>17892000</v>
      </c>
      <c r="K19" s="143">
        <f t="shared" si="1"/>
        <v>-12994000</v>
      </c>
      <c r="L19" s="143">
        <f>IFERROR(INDEX('[1]SALES PERTYPE'!$F$10:$F$52,MATCH($C19,'[1]SALES PERTYPE'!$B$10:$B$52,0)),0)</f>
        <v>7</v>
      </c>
      <c r="M19" s="143">
        <f>IFERROR(INDEX('[1]Sales per type juli'!$D$10:$BA$51,MATCH($C19,'[1]Sales per type juli'!$B$10:$B$51,0),MATCH("Y11d",'[1]Sales per type juli'!$D$8:$BA$8,0)),0)</f>
        <v>3</v>
      </c>
      <c r="N19" s="143">
        <f t="shared" si="2"/>
        <v>4</v>
      </c>
      <c r="O19" s="143">
        <f>IFERROR(INDEX('[1]SALES PERTYPE'!$G$10:$G$52,MATCH($C19,'[1]SALES PERTYPE'!$B$10:$B$52,0)),0)</f>
        <v>19593000</v>
      </c>
      <c r="P19" s="143" cm="1">
        <f t="array" ref="P19">IFERROR(INDEX('[1]Sales per type juli'!$D$10:$BA$51,MATCH($C19,'[1]Sales per type juli'!$B$10:$B$51,0),MATCH("Y11d",'[1]Sales per type juli'!$D$8:$BA$8,0)+1),0)</f>
        <v>7997000</v>
      </c>
      <c r="Q19" s="143">
        <f t="shared" si="3"/>
        <v>11596000</v>
      </c>
      <c r="R19" s="143">
        <f>IFERROR(INDEX('[1]SALES PERTYPE'!$H$10:$H$52,MATCH($C19,'[1]SALES PERTYPE'!$B$10:$B$52,0)),0)</f>
        <v>0</v>
      </c>
      <c r="S19" s="143">
        <f>IFERROR(INDEX('[1]Sales per type juli'!$D$10:$BA$51,MATCH($C19,'[1]Sales per type juli'!$B$10:$B$51,0),MATCH("Watch GT 2",'[1]Sales per type juli'!$D$8:$BA$8,0)),0)</f>
        <v>0</v>
      </c>
      <c r="T19" s="143">
        <f t="shared" si="4"/>
        <v>0</v>
      </c>
      <c r="U19" s="143">
        <f>IFERROR(INDEX('[1]SALES PERTYPE'!$I$10:$I$52,MATCH($C19,'[1]SALES PERTYPE'!$B$10:$B$52,0)),0)</f>
        <v>0</v>
      </c>
      <c r="V19" s="143" cm="1">
        <f t="array" ref="V19">IFERROR(INDEX('[1]Sales per type juli'!$D$10:$BA$51,MATCH($C19,'[1]Sales per type juli'!$B$10:$B$51,0),MATCH("Watch GT 2",'[1]Sales per type juli'!$D$8:$BA$8,0)+1),0)</f>
        <v>0</v>
      </c>
      <c r="W19" s="143">
        <f t="shared" si="5"/>
        <v>0</v>
      </c>
      <c r="X19" s="143">
        <f>IFERROR(INDEX('[1]SALES PERTYPE'!$J$10:$J$52,MATCH($C19,'[1]SALES PERTYPE'!$B$10:$B$52,0)),0)</f>
        <v>1</v>
      </c>
      <c r="Y19" s="143">
        <f>IFERROR(INDEX('[1]Sales per type juli'!$D$10:$BA$51,MATCH($C19,'[1]Sales per type juli'!$B$10:$B$51,0),MATCH("Y05e",'[1]Sales per type juli'!$D$8:$BA$8,0)),0)</f>
        <v>0</v>
      </c>
      <c r="Z19" s="143">
        <f t="shared" si="6"/>
        <v>1</v>
      </c>
      <c r="AA19" s="143">
        <f>IFERROR(INDEX('[1]SALES PERTYPE'!$K$10:$K$52,MATCH($C19,'[1]SALES PERTYPE'!$B$10:$B$52,0)),0)</f>
        <v>2099000</v>
      </c>
      <c r="AB19" s="143" cm="1">
        <f t="array" ref="AB19">IFERROR(INDEX('[1]Sales per type juli'!$D$10:$BA$51,MATCH($C19,'[1]Sales per type juli'!$B$10:$B$51,0),MATCH("Y05e",'[1]Sales per type juli'!$D$8:$BA$8,0)+1),0)</f>
        <v>0</v>
      </c>
      <c r="AC19" s="143">
        <f t="shared" si="7"/>
        <v>2099000</v>
      </c>
      <c r="AD19" s="143">
        <f>IFERROR(INDEX('[1]SALES PERTYPE'!$L$10:$L$52,MATCH($C19,'[1]SALES PERTYPE'!$B$10:$B$52,0)),0)</f>
        <v>4</v>
      </c>
      <c r="AE19" s="143">
        <f>IFERROR(INDEX('[1]Sales per type juli'!$D$10:$BA$51,MATCH($C19,'[1]Sales per type juli'!$B$10:$B$51,0),MATCH("V70",'[1]Sales per type juli'!$D$8:$BA$8,0)),0)</f>
        <v>6</v>
      </c>
      <c r="AF19" s="143">
        <f t="shared" si="8"/>
        <v>-2</v>
      </c>
      <c r="AG19" s="143">
        <f>IFERROR(INDEX('[1]SALES PERTYPE'!$M$10:$M$52,MATCH($C19,'[1]SALES PERTYPE'!$B$10:$B$52,0)),0)</f>
        <v>39996000</v>
      </c>
      <c r="AH19" s="143" cm="1">
        <f t="array" ref="AH19">IFERROR(INDEX('[1]Sales per type juli'!$D$10:$BA$51,MATCH($C19,'[1]Sales per type juli'!$B$10:$B$51,0),MATCH("V70",'[1]Sales per type juli'!$D$8:$BA$8,0)+1),0)</f>
        <v>55994000</v>
      </c>
      <c r="AI19" s="143">
        <f t="shared" si="9"/>
        <v>-15998000</v>
      </c>
      <c r="AJ19" s="143">
        <f>IFERROR(INDEX('[1]SALES PERTYPE'!$N$10:$N$52,MATCH($C19,'[1]SALES PERTYPE'!$B$10:$B$52,0)),0)</f>
        <v>5</v>
      </c>
      <c r="AK19" s="143">
        <f>IFERROR(INDEX('[1]Sales per type juli'!$D$10:$BA$51,MATCH($C19,'[1]Sales per type juli'!$B$10:$B$51,0),MATCH("Y31d Pro",'[1]Sales per type juli'!$D$8:$BA$8,0)),0)</f>
        <v>4</v>
      </c>
      <c r="AL19" s="143">
        <f t="shared" si="10"/>
        <v>1</v>
      </c>
      <c r="AM19" s="143">
        <f>IFERROR(INDEX('[1]SALES PERTYPE'!$O$10:$O$52,MATCH($C19,'[1]SALES PERTYPE'!$B$10:$B$52,0)),0)</f>
        <v>22895000</v>
      </c>
      <c r="AN19" s="143" cm="1">
        <f t="array" ref="AN19">IFERROR(INDEX('[1]Sales per type juli'!$D$10:$BA$51,MATCH($C19,'[1]Sales per type juli'!$B$10:$B$51,0),MATCH("Y31d Pro",'[1]Sales per type juli'!$D$8:$BA$8,0)+1),0)</f>
        <v>15996000</v>
      </c>
      <c r="AO19" s="143">
        <f t="shared" si="11"/>
        <v>6899000</v>
      </c>
      <c r="AP19" s="143">
        <f>IFERROR(INDEX('[1]SALES PERTYPE'!$P$10:$P$52,MATCH($C19,'[1]SALES PERTYPE'!$B$10:$B$52,0)),0)</f>
        <v>0</v>
      </c>
      <c r="AQ19" s="143" cm="1">
        <f t="array" ref="AQ19">IFERROR(INDEX('[1]Sales per type juli'!$D$10:$BA$51,MATCH($C19,'[1]Sales per type juli'!$B$10:$B$51,0),$FG$2),0)</f>
        <v>0</v>
      </c>
      <c r="AR19" s="143">
        <f t="shared" si="12"/>
        <v>0</v>
      </c>
      <c r="AS19" s="143">
        <f>IFERROR(INDEX('[1]SALES PERTYPE'!$Q$10:$Q$52,MATCH($C19,'[1]SALES PERTYPE'!$B$10:$B$52,0)),0)</f>
        <v>0</v>
      </c>
      <c r="AT19" s="143" cm="1">
        <f t="array" ref="AT19">IFERROR(INDEX('[1]Sales per type juli'!$D$10:$BA$51,MATCH($C19,'[1]Sales per type juli'!$B$10:$B$51,0),$FG$2+1),0)</f>
        <v>0</v>
      </c>
      <c r="AU19" s="143">
        <f t="shared" si="13"/>
        <v>0</v>
      </c>
      <c r="AV19" s="143">
        <f>IFERROR(INDEX('[1]SALES PERTYPE'!$R$10:$R$52,MATCH($C19,'[1]SALES PERTYPE'!$B$10:$B$52,0)),0)</f>
        <v>0</v>
      </c>
      <c r="AW19" s="143">
        <f>IFERROR(INDEX('[1]Sales per type juli'!$D$10:$BA$51,MATCH($C19,'[1]Sales per type juli'!$B$10:$B$51,0),MATCH("Y31d ",'[1]Sales per type juli'!$D$8:$BA$8,0)),0)</f>
        <v>2</v>
      </c>
      <c r="AX19" s="143">
        <f t="shared" si="14"/>
        <v>-2</v>
      </c>
      <c r="AY19" s="143">
        <f>IFERROR(INDEX('[1]SALES PERTYPE'!$S$10:$S$52,MATCH($C19,'[1]SALES PERTYPE'!$B$10:$B$52,0)),0)</f>
        <v>0</v>
      </c>
      <c r="AZ19" s="143" cm="1">
        <f t="array" ref="AZ19">IFERROR(INDEX('[1]Sales per type juli'!$D$10:$BA$51,MATCH($C19,'[1]Sales per type juli'!$B$10:$B$51,0),MATCH("Y31d ",'[1]Sales per type juli'!$D$8:$BA$8,0)+1),0)</f>
        <v>7198000</v>
      </c>
      <c r="BA19" s="143">
        <f t="shared" si="15"/>
        <v>-7198000</v>
      </c>
      <c r="BB19" s="143">
        <f>IFERROR(INDEX('[1]SALES PERTYPE'!$T$10:$T$52,MATCH($C19,'[1]SALES PERTYPE'!$B$10:$B$52,0)),0)</f>
        <v>3</v>
      </c>
      <c r="BC19" s="143">
        <f>IFERROR(INDEX('[1]Sales per type juli'!$D$10:$BA$51,MATCH($C19,'[1]Sales per type juli'!$B$10:$B$51,0),MATCH("V70 FE",'[1]Sales per type juli'!$D$8:$BA$8,0)),0)</f>
        <v>1</v>
      </c>
      <c r="BD19" s="143">
        <f t="shared" si="16"/>
        <v>2</v>
      </c>
      <c r="BE19" s="143">
        <f>IFERROR(INDEX('[1]SALES PERTYPE'!$U$10:$U$52,MATCH($C19,'[1]SALES PERTYPE'!$B$10:$B$52,0)),0)</f>
        <v>21497000</v>
      </c>
      <c r="BF19" s="143" cm="1">
        <f t="array" ref="BF19">IFERROR(INDEX('[1]Sales per type juli'!$D$10:$BA$51,MATCH($C19,'[1]Sales per type juli'!$B$10:$B$51,0),MATCH("V70 FE",'[1]Sales per type juli'!$D$8:$BA$8,0)+1),0)</f>
        <v>6499000</v>
      </c>
      <c r="BG19" s="143">
        <f t="shared" si="17"/>
        <v>14998000</v>
      </c>
      <c r="BH19" s="143">
        <f>IFERROR(INDEX('[1]SALES PERTYPE'!$V$10:$V$52,MATCH($C19,'[1]SALES PERTYPE'!$B$10:$B$52,0)),0)</f>
        <v>1</v>
      </c>
      <c r="BI19" s="143">
        <f>IFERROR(INDEX('[1]Sales per type juli'!$D$10:$BA$51,MATCH($C19,'[1]Sales per type juli'!$B$10:$B$51,0),MATCH("Y31d",'[1]Sales per type juli'!$D$8:$BA$8,0)),0)</f>
        <v>1</v>
      </c>
      <c r="BJ19" s="143">
        <f t="shared" si="18"/>
        <v>0</v>
      </c>
      <c r="BK19" s="143">
        <f>IFERROR(INDEX('[1]SALES PERTYPE'!$W$10:$W$52,MATCH($C19,'[1]SALES PERTYPE'!$B$10:$B$52,0)),0)</f>
        <v>3599000</v>
      </c>
      <c r="BL19" s="143" cm="1">
        <f t="array" ref="BL19">IFERROR(INDEX('[1]Sales per type juli'!$D$10:$BA$51,MATCH($C19,'[1]Sales per type juli'!$B$10:$B$51,0),MATCH("Y31d",'[1]Sales per type juli'!$D$8:$BA$8,0)+1),0)</f>
        <v>3599000</v>
      </c>
      <c r="BM19" s="143">
        <f t="shared" si="19"/>
        <v>0</v>
      </c>
      <c r="BN19" s="143">
        <f>IFERROR(INDEX('[1]SALES PERTYPE'!$X$10:$X$52,MATCH($C19,'[1]SALES PERTYPE'!$B$10:$B$52,0)),0)</f>
        <v>0</v>
      </c>
      <c r="BO19" s="143">
        <f>IFERROR(INDEX('[1]Sales per type juli'!$D$10:$BA$51,MATCH($C19,'[1]Sales per type juli'!$B$10:$B$51,0),MATCH("Y500",'[1]Sales per type juli'!$D$8:$BA$8,0)),0)</f>
        <v>5</v>
      </c>
      <c r="BP19" s="143">
        <f t="shared" si="20"/>
        <v>-5</v>
      </c>
      <c r="BQ19" s="143">
        <f>IFERROR(INDEX('[1]SALES PERTYPE'!$Y$10:$Y$52,MATCH($C19,'[1]SALES PERTYPE'!$B$10:$B$52,0)),0)</f>
        <v>0</v>
      </c>
      <c r="BR19" s="143" cm="1">
        <f t="array" ref="BR19">IFERROR(INDEX('[1]Sales per type juli'!$D$10:$BA$51,MATCH($C19,'[1]Sales per type juli'!$B$10:$B$51,0),MATCH("Y500",'[1]Sales per type juli'!$D$8:$BA$8,0)+1),0)</f>
        <v>28295000</v>
      </c>
      <c r="BS19" s="143">
        <f t="shared" si="21"/>
        <v>-28295000</v>
      </c>
      <c r="BT19" s="143">
        <f>IFERROR(INDEX('[1]SALES PERTYPE'!$Z$10:$Z$52,MATCH($C19,'[1]SALES PERTYPE'!$B$10:$B$52,0)),0)</f>
        <v>2</v>
      </c>
      <c r="BU19" s="143">
        <f>IFERROR(INDEX('[1]Sales per type juli'!$D$10:$BA$51,MATCH($C19,'[1]Sales per type juli'!$B$10:$B$51,0),MATCH("IQOO 15R",'[1]Sales per type juli'!$D$8:$BA$8,0)),0)</f>
        <v>1</v>
      </c>
      <c r="BV19" s="143">
        <f t="shared" si="22"/>
        <v>1</v>
      </c>
      <c r="BW19" s="143">
        <f>IFERROR(INDEX('[1]SALES PERTYPE'!$AA$10:$AA$52,MATCH($C19,'[1]SALES PERTYPE'!$B$10:$B$52,0)),0)</f>
        <v>23998000</v>
      </c>
      <c r="BX19" s="143" cm="1">
        <f t="array" ref="BX19">IFERROR(INDEX('[1]Sales per type juli'!$D$10:$BA$51,MATCH($C19,'[1]Sales per type juli'!$B$10:$B$51,0),MATCH("IQOO 15R",'[1]Sales per type juli'!$D$8:$BA$8,0)+1),0)</f>
        <v>9899000</v>
      </c>
      <c r="BY19" s="143">
        <f t="shared" si="23"/>
        <v>14099000</v>
      </c>
      <c r="BZ19" s="143">
        <f>IFERROR(INDEX('[1]SALES PERTYPE'!$AB$10:$AB$52,MATCH($C19,'[1]SALES PERTYPE'!$B$10:$B$52,0)),0)</f>
        <v>1</v>
      </c>
      <c r="CA19" s="143">
        <f>IFERROR(INDEX('[1]Sales per type juli'!$D$10:$BA$51,MATCH($C19,'[1]Sales per type juli'!$B$10:$B$51,0),MATCH("V60 Lite",'[1]Sales per type juli'!$D$8:$BA$8,0)),0)</f>
        <v>0</v>
      </c>
      <c r="CB19" s="143">
        <f t="shared" si="24"/>
        <v>1</v>
      </c>
      <c r="CC19" s="143">
        <f>IFERROR(INDEX('[1]SALES PERTYPE'!$AC$10:$AC$52,MATCH($C19,'[1]SALES PERTYPE'!$B$10:$B$52,0)),0)</f>
        <v>5299000</v>
      </c>
      <c r="CD19" s="143" cm="1">
        <f t="array" ref="CD19">IFERROR(INDEX('[1]Sales per type juli'!$D$10:$BA$51,MATCH($C19,'[1]Sales per type juli'!$B$10:$B$51,0),MATCH("V60 Lite",'[1]Sales per type juli'!$D$8:$BA$8,0)+1),0)</f>
        <v>0</v>
      </c>
      <c r="CE19" s="143">
        <f t="shared" si="25"/>
        <v>5299000</v>
      </c>
      <c r="CF19" s="143">
        <f>IFERROR(INDEX('[1]SALES PERTYPE'!$AD$10:$AD$52,MATCH($C19,'[1]SALES PERTYPE'!$B$10:$B$52,0)),0)</f>
        <v>0</v>
      </c>
      <c r="CG19" s="143">
        <f>IFERROR(INDEX('[1]Sales per type juli'!$D$10:$BA$51,MATCH($C19,'[1]Sales per type juli'!$B$10:$B$51,0),MATCH("X300 Ultra",'[1]Sales per type juli'!$D$8:$BA$8,0)),0)</f>
        <v>1</v>
      </c>
      <c r="CH19" s="143">
        <f t="shared" si="26"/>
        <v>-1</v>
      </c>
      <c r="CI19" s="143">
        <f>IFERROR(INDEX('[1]SALES PERTYPE'!$AE$10:$AE$52,MATCH($C19,'[1]SALES PERTYPE'!$B$10:$B$52,0)),0)</f>
        <v>0</v>
      </c>
      <c r="CJ19" s="143" cm="1">
        <f t="array" ref="CJ19">IFERROR(INDEX('[1]Sales per type juli'!$D$10:$BA$51,MATCH($C19,'[1]Sales per type juli'!$B$10:$B$51,0),MATCH("X300 Ultra",'[1]Sales per type juli'!$D$8:$BA$8,0)+1),0)</f>
        <v>25999000</v>
      </c>
      <c r="CK19" s="143">
        <f t="shared" si="27"/>
        <v>-25999000</v>
      </c>
      <c r="CL19" s="143">
        <f>IFERROR(INDEX('[1]SALES PERTYPE'!$AF$10:$AF$52,MATCH($C19,'[1]SALES PERTYPE'!$B$10:$B$52,0)),0)</f>
        <v>0</v>
      </c>
      <c r="CM19" s="143">
        <f>IFERROR(INDEX('[1]Sales per type juli'!$D$10:$BA$51,MATCH($C19,'[1]Sales per type juli'!$B$10:$B$51,0),MATCH("IQOO 15",'[1]Sales per type juli'!$D$8:$BA$8,0)),0)</f>
        <v>0</v>
      </c>
      <c r="CN19" s="143">
        <f t="shared" si="28"/>
        <v>0</v>
      </c>
      <c r="CO19" s="143">
        <f>IFERROR(INDEX('[1]SALES PERTYPE'!$AG$10:$AG$52,MATCH($C19,'[1]SALES PERTYPE'!$B$10:$B$52,0)),0)</f>
        <v>0</v>
      </c>
      <c r="CP19" s="143" cm="1">
        <f t="array" ref="CP19">IFERROR(INDEX('[1]Sales per type juli'!$D$10:$BA$51,MATCH($C19,'[1]Sales per type juli'!$B$10:$B$51,0),MATCH("IQOO 15",'[1]Sales per type juli'!$D$8:$BA$8,0)+1),0)</f>
        <v>0</v>
      </c>
      <c r="CQ19" s="143">
        <f t="shared" si="29"/>
        <v>0</v>
      </c>
      <c r="CR19" s="143">
        <f>IFERROR(INDEX('[1]SALES PERTYPE'!$AH$10:$AH$52,MATCH($C19,'[1]SALES PERTYPE'!$B$10:$B$52,0)),0)</f>
        <v>2</v>
      </c>
      <c r="CS19" s="143">
        <f>IFERROR(INDEX('[1]Sales per type juli'!$D$10:$BA$51,MATCH($C19,'[1]Sales per type juli'!$B$10:$B$51,0),MATCH("IQOO Z11x",'[1]Sales per type juli'!$D$8:$BA$8,0)),0)</f>
        <v>3</v>
      </c>
      <c r="CT19" s="143">
        <f t="shared" si="30"/>
        <v>-1</v>
      </c>
      <c r="CU19" s="143">
        <f>IFERROR(INDEX('[1]SALES PERTYPE'!$AI$10:$AI$52,MATCH($C19,'[1]SALES PERTYPE'!$B$10:$B$52,0)),0)</f>
        <v>11398000</v>
      </c>
      <c r="CV19" s="143" cm="1">
        <f t="array" ref="CV19">IFERROR(INDEX('[1]Sales per type juli'!$D$10:$BA$51,MATCH($C19,'[1]Sales per type juli'!$B$10:$B$51,0),MATCH("IQOO Z11x",'[1]Sales per type juli'!$D$8:$BA$8,0)+1),0)</f>
        <v>14397000</v>
      </c>
      <c r="CW19" s="143">
        <f t="shared" si="31"/>
        <v>-2999000</v>
      </c>
      <c r="CX19" s="143">
        <f>IFERROR(INDEX('[1]SALES PERTYPE'!$AJ$10:$AJ$52,MATCH($C19,'[1]SALES PERTYPE'!$B$10:$B$52,0)),0)</f>
        <v>4</v>
      </c>
      <c r="CY19" s="143">
        <f>IFERROR(INDEX('[1]Sales per type juli'!$D$10:$BA$51,MATCH($C19,'[1]Sales per type juli'!$B$10:$B$51,0),MATCH("IQOO Z11",'[1]Sales per type juli'!$D$8:$BA$8,0)),0)</f>
        <v>4</v>
      </c>
      <c r="CZ19" s="143">
        <f t="shared" si="32"/>
        <v>0</v>
      </c>
      <c r="DA19" s="143">
        <f>IFERROR(INDEX('[1]SALES PERTYPE'!$AK$10:$AK$52,MATCH($C19,'[1]SALES PERTYPE'!$B$10:$B$52,0)),0)</f>
        <v>27596000</v>
      </c>
      <c r="DB19" s="143" cm="1">
        <f t="array" ref="DB19">IFERROR(INDEX('[1]Sales per type juli'!$D$10:$BA$51,MATCH($C19,'[1]Sales per type juli'!$B$10:$B$51,0),MATCH("IQOO Z11",'[1]Sales per type juli'!$D$8:$BA$8,0)+1),0)</f>
        <v>22796000</v>
      </c>
      <c r="DC19" s="143">
        <f t="shared" si="33"/>
        <v>4800000</v>
      </c>
      <c r="DD19" s="143">
        <v>0</v>
      </c>
      <c r="DE19" s="143">
        <f>IFERROR(INDEX('[1]Sales per type juli'!$D$10:$BA$51,MATCH($C19,'[1]Sales per type juli'!$B$10:$B$51,0),MATCH("WATCH 3",'[1]Sales per type juli'!$D$8:$BA$8,0)),0)</f>
        <v>0</v>
      </c>
      <c r="DF19" s="143">
        <f t="shared" si="34"/>
        <v>0</v>
      </c>
      <c r="DG19" s="143">
        <v>0</v>
      </c>
      <c r="DH19" s="143" cm="1">
        <f t="array" ref="DH19">IFERROR(INDEX('[1]Sales per type juli'!$D$10:$BA$51,MATCH($C19,'[1]Sales per type juli'!$B$10:$B$51,0),MATCH("WATCH 3",'[1]Sales per type juli'!$D$8:$BA$8,0)+1),0)</f>
        <v>0</v>
      </c>
      <c r="DI19" s="143">
        <f t="shared" si="35"/>
        <v>0</v>
      </c>
      <c r="DJ19" s="143">
        <v>0</v>
      </c>
      <c r="DK19" s="143">
        <f>IFERROR(INDEX('[1]Sales per type juli'!$D$10:$BA$51,MATCH($C19,'[1]Sales per type juli'!$B$10:$B$51,0),MATCH("X300 Demo",'[1]Sales per type juli'!$D$8:$BA$8,0)),0)</f>
        <v>2</v>
      </c>
      <c r="DL19" s="143">
        <f t="shared" si="36"/>
        <v>-2</v>
      </c>
      <c r="DM19" s="143">
        <v>0</v>
      </c>
      <c r="DN19" s="143" cm="1">
        <f t="array" ref="DN19">IFERROR(INDEX('[1]Sales per type juli'!$D$10:$BA$51,MATCH($C19,'[1]Sales per type juli'!$B$10:$B$51,0),MATCH("X300 Demo",'[1]Sales per type juli'!$D$8:$BA$8,0)+1),0)</f>
        <v>33998000</v>
      </c>
      <c r="DO19" s="143">
        <f t="shared" si="37"/>
        <v>-33998000</v>
      </c>
      <c r="DP19" s="143">
        <v>0</v>
      </c>
      <c r="DQ19" s="143">
        <f>IFERROR(INDEX('[1]Sales per type juli'!$D$10:$BA$51,MATCH($C19,'[1]Sales per type juli'!$B$10:$B$51,0),MATCH("X300 Pro Demo",'[1]Sales per type juli'!$D$8:$BA$8,0)),0)</f>
        <v>0</v>
      </c>
      <c r="DR19" s="143">
        <f t="shared" si="38"/>
        <v>0</v>
      </c>
      <c r="DS19" s="143">
        <v>0</v>
      </c>
      <c r="DT19" s="143" cm="1">
        <f t="array" ref="DT19">IFERROR(INDEX('[1]Sales per type juli'!$D$10:$BA$51,MATCH($C19,'[1]Sales per type juli'!$B$10:$B$51,0),MATCH("X300 Pro Demo",'[1]Sales per type juli'!$D$8:$BA$8,0)+1),0)</f>
        <v>0</v>
      </c>
      <c r="DU19" s="143">
        <f t="shared" si="39"/>
        <v>0</v>
      </c>
      <c r="DV19" s="143">
        <v>0</v>
      </c>
      <c r="DW19" s="143">
        <f>IFERROR(INDEX('[1]Sales per type juli'!$D$10:$BA$51,MATCH($C19,'[1]Sales per type juli'!$B$10:$B$51,0),MATCH("X Fold5 DEMO",'[1]Sales per type juli'!$D$8:$BA$8,0)),0)</f>
        <v>0</v>
      </c>
      <c r="DX19" s="143">
        <f t="shared" si="40"/>
        <v>0</v>
      </c>
      <c r="DY19" s="143">
        <v>0</v>
      </c>
      <c r="DZ19" s="143" cm="1">
        <f t="array" ref="DZ19">IFERROR(INDEX('[1]Sales per type juli'!$D$10:$BA$51,MATCH($C19,'[1]Sales per type juli'!$B$10:$B$51,0),MATCH("X Fold5 DEMO",'[1]Sales per type juli'!$D$8:$BA$8,0)+1),0)</f>
        <v>0</v>
      </c>
      <c r="EA19" s="143">
        <f t="shared" si="41"/>
        <v>0</v>
      </c>
      <c r="EB19" s="143">
        <v>0</v>
      </c>
      <c r="EC19" s="143">
        <f>IFERROR(INDEX('[1]Sales per type juli'!$D$10:$BA$51,MATCH($C19,'[1]Sales per type juli'!$B$10:$B$51,0),MATCH("X Fold5",'[1]Sales per type juli'!$D$8:$BA$8,0)),0)</f>
        <v>0</v>
      </c>
      <c r="ED19" s="143">
        <f t="shared" si="42"/>
        <v>0</v>
      </c>
      <c r="EE19" s="143">
        <v>0</v>
      </c>
      <c r="EF19" s="143" cm="1">
        <f t="array" ref="EF19">IFERROR(INDEX('[1]Sales per type juli'!$D$10:$BA$51,MATCH($C19,'[1]Sales per type juli'!$B$10:$B$51,0),MATCH("X Fold5",'[1]Sales per type juli'!$D$8:$BA$8,0)+1),0)</f>
        <v>0</v>
      </c>
      <c r="EG19" s="143">
        <f t="shared" si="43"/>
        <v>0</v>
      </c>
      <c r="EH19" s="143">
        <v>0</v>
      </c>
      <c r="EI19" s="143">
        <f>IFERROR(INDEX('[1]Sales per type juli'!$D$10:$BA$51,MATCH($C19,'[1]Sales per type juli'!$B$10:$B$51,0),MATCH("IQOO 15 Demo",'[1]Sales per type juli'!$D$8:$BA$8,0)),0)</f>
        <v>1</v>
      </c>
      <c r="EJ19" s="143">
        <f t="shared" si="44"/>
        <v>-1</v>
      </c>
      <c r="EK19" s="143">
        <v>0</v>
      </c>
      <c r="EL19" s="143" cm="1">
        <f t="array" ref="EL19">IFERROR(INDEX('[1]Sales per type juli'!$D$10:$BA$51,MATCH($C19,'[1]Sales per type juli'!$B$10:$B$51,0),MATCH("IQOO 15 Demo",'[1]Sales per type juli'!$D$8:$BA$8,0)+1),0)</f>
        <v>13999000</v>
      </c>
      <c r="EM19" s="143">
        <f t="shared" si="45"/>
        <v>-13999000</v>
      </c>
      <c r="EN19" s="143">
        <v>0</v>
      </c>
      <c r="EO19" s="143">
        <f>IFERROR(INDEX('[1]Sales per type juli'!$D$10:$BA$51,MATCH($C19,'[1]Sales per type juli'!$B$10:$B$51,0),MATCH("X300 PRO",'[1]Sales per type juli'!$D$8:$BA$8,0)),0)</f>
        <v>0</v>
      </c>
      <c r="EP19" s="143">
        <f t="shared" si="46"/>
        <v>0</v>
      </c>
      <c r="EQ19" s="143">
        <v>0</v>
      </c>
      <c r="ER19" s="143" cm="1">
        <f t="array" ref="ER19">IFERROR(INDEX('[1]Sales per type juli'!$D$10:$BA$51,MATCH($C19,'[1]Sales per type juli'!$B$10:$B$51,0),MATCH("X300 PRO",'[1]Sales per type juli'!$D$8:$BA$8,0)+1),0)</f>
        <v>0</v>
      </c>
      <c r="ES19" s="143">
        <f t="shared" si="47"/>
        <v>0</v>
      </c>
      <c r="ET19" s="143">
        <v>0</v>
      </c>
      <c r="EU19" s="143">
        <f>IFERROR(INDEX('[1]Sales per type juli'!$D$10:$BA$51,MATCH($C19,'[1]Sales per type juli'!$B$10:$B$51,0),MATCH("X300 ",'[1]Sales per type juli'!$D$8:$BA$8,0)),0)</f>
        <v>0</v>
      </c>
      <c r="EV19" s="143">
        <f t="shared" si="48"/>
        <v>0</v>
      </c>
      <c r="EW19" s="143">
        <v>0</v>
      </c>
      <c r="EX19" s="143" cm="1">
        <f t="array" ref="EX19">IFERROR(INDEX('[1]Sales per type juli'!$D$10:$BA$51,MATCH($C19,'[1]Sales per type juli'!$B$10:$B$51,0),MATCH("X300 ",'[1]Sales per type juli'!$D$8:$BA$8,0)+1),0)</f>
        <v>0</v>
      </c>
      <c r="EY19" s="143">
        <f t="shared" si="49"/>
        <v>0</v>
      </c>
      <c r="EZ19" s="143">
        <f t="shared" si="50"/>
        <v>32</v>
      </c>
      <c r="FA19" s="143">
        <f t="shared" si="50"/>
        <v>42</v>
      </c>
      <c r="FB19" s="143">
        <f t="shared" si="51"/>
        <v>-10</v>
      </c>
      <c r="FC19" s="143">
        <f t="shared" si="52"/>
        <v>182868000</v>
      </c>
      <c r="FD19" s="143">
        <f t="shared" si="52"/>
        <v>264558000</v>
      </c>
      <c r="FE19" s="143">
        <f t="shared" si="53"/>
        <v>-81690000</v>
      </c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</row>
    <row r="20" spans="1:208" ht="16" x14ac:dyDescent="0.2">
      <c r="A20" s="144">
        <f>'[1]ACHIEVEMENT STORE'!A20</f>
        <v>16</v>
      </c>
      <c r="B20" s="145" t="str">
        <f>'[1]ACHIEVEMENT STORE'!B20</f>
        <v>605 勿加泗 BEKASI</v>
      </c>
      <c r="C20" s="144">
        <f>'[1]ACHIEVEMENT STORE'!C20</f>
        <v>6220701</v>
      </c>
      <c r="D20" s="145" t="str">
        <f>'[1]ACHIEVEMENT STORE'!D20</f>
        <v>6220701-MVS MBH-VIP VIVO STORE-DD284</v>
      </c>
      <c r="E20" s="145" t="str">
        <f>'[1]ACHIEVEMENT STORE'!E20</f>
        <v>M RIZKI</v>
      </c>
      <c r="F20" s="143">
        <f>IFERROR(INDEX('[1]SALES PERTYPE'!$D$10:$D$52,MATCH($C20,'[1]SALES PERTYPE'!$B$10:$B$52,0)),0)</f>
        <v>16</v>
      </c>
      <c r="G20" s="143">
        <f>IFERROR(INDEX('[1]Sales per type juli'!$D$10:$BA$51,MATCH($C20,'[1]Sales per type juli'!$B$10:$B$51,0),MATCH("Y05",'[1]Sales per type juli'!$D$8:$BA$8,0)),0)</f>
        <v>15</v>
      </c>
      <c r="H20" s="143">
        <f t="shared" si="0"/>
        <v>1</v>
      </c>
      <c r="I20" s="143">
        <f>IFERROR(INDEX('[1]SALES PERTYPE'!$E$10:$E$52,MATCH($C20,'[1]SALES PERTYPE'!$B$10:$B$52,0)),0)</f>
        <v>37984000</v>
      </c>
      <c r="J20" s="143" cm="1">
        <f t="array" ref="J20">IFERROR(INDEX('[1]Sales per type juli'!$D$10:$BA$51,MATCH($C20,'[1]Sales per type juli'!$B$10:$B$51,0),MATCH("Y05",'[1]Sales per type juli'!$D$8:$BA$8,0)+1),0)</f>
        <v>33585000</v>
      </c>
      <c r="K20" s="143">
        <f t="shared" si="1"/>
        <v>4399000</v>
      </c>
      <c r="L20" s="143">
        <f>IFERROR(INDEX('[1]SALES PERTYPE'!$F$10:$F$52,MATCH($C20,'[1]SALES PERTYPE'!$B$10:$B$52,0)),0)</f>
        <v>12</v>
      </c>
      <c r="M20" s="143">
        <f>IFERROR(INDEX('[1]Sales per type juli'!$D$10:$BA$51,MATCH($C20,'[1]Sales per type juli'!$B$10:$B$51,0),MATCH("Y11d",'[1]Sales per type juli'!$D$8:$BA$8,0)),0)</f>
        <v>5</v>
      </c>
      <c r="N20" s="143">
        <f t="shared" si="2"/>
        <v>7</v>
      </c>
      <c r="O20" s="143">
        <f>IFERROR(INDEX('[1]SALES PERTYPE'!$G$10:$G$52,MATCH($C20,'[1]SALES PERTYPE'!$B$10:$B$52,0)),0)</f>
        <v>33188000</v>
      </c>
      <c r="P20" s="143" cm="1">
        <f t="array" ref="P20">IFERROR(INDEX('[1]Sales per type juli'!$D$10:$BA$51,MATCH($C20,'[1]Sales per type juli'!$B$10:$B$51,0),MATCH("Y11d",'[1]Sales per type juli'!$D$8:$BA$8,0)+1),0)</f>
        <v>13195000</v>
      </c>
      <c r="Q20" s="143">
        <f t="shared" si="3"/>
        <v>19993000</v>
      </c>
      <c r="R20" s="143">
        <f>IFERROR(INDEX('[1]SALES PERTYPE'!$H$10:$H$52,MATCH($C20,'[1]SALES PERTYPE'!$B$10:$B$52,0)),0)</f>
        <v>0</v>
      </c>
      <c r="S20" s="143">
        <f>IFERROR(INDEX('[1]Sales per type juli'!$D$10:$BA$51,MATCH($C20,'[1]Sales per type juli'!$B$10:$B$51,0),MATCH("Watch GT 2",'[1]Sales per type juli'!$D$8:$BA$8,0)),0)</f>
        <v>0</v>
      </c>
      <c r="T20" s="143">
        <f t="shared" si="4"/>
        <v>0</v>
      </c>
      <c r="U20" s="143">
        <f>IFERROR(INDEX('[1]SALES PERTYPE'!$I$10:$I$52,MATCH($C20,'[1]SALES PERTYPE'!$B$10:$B$52,0)),0)</f>
        <v>0</v>
      </c>
      <c r="V20" s="143" cm="1">
        <f t="array" ref="V20">IFERROR(INDEX('[1]Sales per type juli'!$D$10:$BA$51,MATCH($C20,'[1]Sales per type juli'!$B$10:$B$51,0),MATCH("Watch GT 2",'[1]Sales per type juli'!$D$8:$BA$8,0)+1),0)</f>
        <v>0</v>
      </c>
      <c r="W20" s="143">
        <f t="shared" si="5"/>
        <v>0</v>
      </c>
      <c r="X20" s="143">
        <f>IFERROR(INDEX('[1]SALES PERTYPE'!$J$10:$J$52,MATCH($C20,'[1]SALES PERTYPE'!$B$10:$B$52,0)),0)</f>
        <v>1</v>
      </c>
      <c r="Y20" s="143">
        <f>IFERROR(INDEX('[1]Sales per type juli'!$D$10:$BA$51,MATCH($C20,'[1]Sales per type juli'!$B$10:$B$51,0),MATCH("Y05e",'[1]Sales per type juli'!$D$8:$BA$8,0)),0)</f>
        <v>0</v>
      </c>
      <c r="Z20" s="143">
        <f t="shared" si="6"/>
        <v>1</v>
      </c>
      <c r="AA20" s="143">
        <f>IFERROR(INDEX('[1]SALES PERTYPE'!$K$10:$K$52,MATCH($C20,'[1]SALES PERTYPE'!$B$10:$B$52,0)),0)</f>
        <v>2099000</v>
      </c>
      <c r="AB20" s="143" cm="1">
        <f t="array" ref="AB20">IFERROR(INDEX('[1]Sales per type juli'!$D$10:$BA$51,MATCH($C20,'[1]Sales per type juli'!$B$10:$B$51,0),MATCH("Y05e",'[1]Sales per type juli'!$D$8:$BA$8,0)+1),0)</f>
        <v>0</v>
      </c>
      <c r="AC20" s="143">
        <f t="shared" si="7"/>
        <v>2099000</v>
      </c>
      <c r="AD20" s="143">
        <f>IFERROR(INDEX('[1]SALES PERTYPE'!$L$10:$L$52,MATCH($C20,'[1]SALES PERTYPE'!$B$10:$B$52,0)),0)</f>
        <v>2</v>
      </c>
      <c r="AE20" s="143">
        <f>IFERROR(INDEX('[1]Sales per type juli'!$D$10:$BA$51,MATCH($C20,'[1]Sales per type juli'!$B$10:$B$51,0),MATCH("V70",'[1]Sales per type juli'!$D$8:$BA$8,0)),0)</f>
        <v>3</v>
      </c>
      <c r="AF20" s="143">
        <f t="shared" si="8"/>
        <v>-1</v>
      </c>
      <c r="AG20" s="143">
        <f>IFERROR(INDEX('[1]SALES PERTYPE'!$M$10:$M$52,MATCH($C20,'[1]SALES PERTYPE'!$B$10:$B$52,0)),0)</f>
        <v>19998000</v>
      </c>
      <c r="AH20" s="143" cm="1">
        <f t="array" ref="AH20">IFERROR(INDEX('[1]Sales per type juli'!$D$10:$BA$51,MATCH($C20,'[1]Sales per type juli'!$B$10:$B$51,0),MATCH("V70",'[1]Sales per type juli'!$D$8:$BA$8,0)+1),0)</f>
        <v>30997000</v>
      </c>
      <c r="AI20" s="143">
        <f t="shared" si="9"/>
        <v>-10999000</v>
      </c>
      <c r="AJ20" s="143">
        <f>IFERROR(INDEX('[1]SALES PERTYPE'!$N$10:$N$52,MATCH($C20,'[1]SALES PERTYPE'!$B$10:$B$52,0)),0)</f>
        <v>6</v>
      </c>
      <c r="AK20" s="143">
        <f>IFERROR(INDEX('[1]Sales per type juli'!$D$10:$BA$51,MATCH($C20,'[1]Sales per type juli'!$B$10:$B$51,0),MATCH("Y31d Pro",'[1]Sales per type juli'!$D$8:$BA$8,0)),0)</f>
        <v>5</v>
      </c>
      <c r="AL20" s="143">
        <f t="shared" si="10"/>
        <v>1</v>
      </c>
      <c r="AM20" s="143">
        <f>IFERROR(INDEX('[1]SALES PERTYPE'!$O$10:$O$52,MATCH($C20,'[1]SALES PERTYPE'!$B$10:$B$52,0)),0)</f>
        <v>25394000</v>
      </c>
      <c r="AN20" s="143" cm="1">
        <f t="array" ref="AN20">IFERROR(INDEX('[1]Sales per type juli'!$D$10:$BA$51,MATCH($C20,'[1]Sales per type juli'!$B$10:$B$51,0),MATCH("Y31d Pro",'[1]Sales per type juli'!$D$8:$BA$8,0)+1),0)</f>
        <v>21495000</v>
      </c>
      <c r="AO20" s="143">
        <f t="shared" si="11"/>
        <v>3899000</v>
      </c>
      <c r="AP20" s="143">
        <f>IFERROR(INDEX('[1]SALES PERTYPE'!$P$10:$P$52,MATCH($C20,'[1]SALES PERTYPE'!$B$10:$B$52,0)),0)</f>
        <v>1</v>
      </c>
      <c r="AQ20" s="143" cm="1">
        <f t="array" ref="AQ20">IFERROR(INDEX('[1]Sales per type juli'!$D$10:$BA$51,MATCH($C20,'[1]Sales per type juli'!$B$10:$B$51,0),$FG$2),0)</f>
        <v>0</v>
      </c>
      <c r="AR20" s="143">
        <f t="shared" si="12"/>
        <v>1</v>
      </c>
      <c r="AS20" s="143">
        <f>IFERROR(INDEX('[1]SALES PERTYPE'!$Q$10:$Q$52,MATCH($C20,'[1]SALES PERTYPE'!$B$10:$B$52,0)),0)</f>
        <v>3599000</v>
      </c>
      <c r="AT20" s="143" cm="1">
        <f t="array" ref="AT20">IFERROR(INDEX('[1]Sales per type juli'!$D$10:$BA$51,MATCH($C20,'[1]Sales per type juli'!$B$10:$B$51,0),$FG$2+1),0)</f>
        <v>0</v>
      </c>
      <c r="AU20" s="143">
        <f t="shared" si="13"/>
        <v>3599000</v>
      </c>
      <c r="AV20" s="143">
        <f>IFERROR(INDEX('[1]SALES PERTYPE'!$R$10:$R$52,MATCH($C20,'[1]SALES PERTYPE'!$B$10:$B$52,0)),0)</f>
        <v>0</v>
      </c>
      <c r="AW20" s="143">
        <f>IFERROR(INDEX('[1]Sales per type juli'!$D$10:$BA$51,MATCH($C20,'[1]Sales per type juli'!$B$10:$B$51,0),MATCH("Y31d ",'[1]Sales per type juli'!$D$8:$BA$8,0)),0)</f>
        <v>0</v>
      </c>
      <c r="AX20" s="143">
        <f t="shared" si="14"/>
        <v>0</v>
      </c>
      <c r="AY20" s="143">
        <f>IFERROR(INDEX('[1]SALES PERTYPE'!$S$10:$S$52,MATCH($C20,'[1]SALES PERTYPE'!$B$10:$B$52,0)),0)</f>
        <v>0</v>
      </c>
      <c r="AZ20" s="143" cm="1">
        <f t="array" ref="AZ20">IFERROR(INDEX('[1]Sales per type juli'!$D$10:$BA$51,MATCH($C20,'[1]Sales per type juli'!$B$10:$B$51,0),MATCH("Y31d ",'[1]Sales per type juli'!$D$8:$BA$8,0)+1),0)</f>
        <v>0</v>
      </c>
      <c r="BA20" s="143">
        <f t="shared" si="15"/>
        <v>0</v>
      </c>
      <c r="BB20" s="143">
        <f>IFERROR(INDEX('[1]SALES PERTYPE'!$T$10:$T$52,MATCH($C20,'[1]SALES PERTYPE'!$B$10:$B$52,0)),0)</f>
        <v>0</v>
      </c>
      <c r="BC20" s="143">
        <f>IFERROR(INDEX('[1]Sales per type juli'!$D$10:$BA$51,MATCH($C20,'[1]Sales per type juli'!$B$10:$B$51,0),MATCH("V70 FE",'[1]Sales per type juli'!$D$8:$BA$8,0)),0)</f>
        <v>6</v>
      </c>
      <c r="BD20" s="143">
        <f t="shared" si="16"/>
        <v>-6</v>
      </c>
      <c r="BE20" s="143">
        <f>IFERROR(INDEX('[1]SALES PERTYPE'!$U$10:$U$52,MATCH($C20,'[1]SALES PERTYPE'!$B$10:$B$52,0)),0)</f>
        <v>0</v>
      </c>
      <c r="BF20" s="143" cm="1">
        <f t="array" ref="BF20">IFERROR(INDEX('[1]Sales per type juli'!$D$10:$BA$51,MATCH($C20,'[1]Sales per type juli'!$B$10:$B$51,0),MATCH("V70 FE",'[1]Sales per type juli'!$D$8:$BA$8,0)+1),0)</f>
        <v>41094000</v>
      </c>
      <c r="BG20" s="143">
        <f t="shared" si="17"/>
        <v>-41094000</v>
      </c>
      <c r="BH20" s="143">
        <f>IFERROR(INDEX('[1]SALES PERTYPE'!$V$10:$V$52,MATCH($C20,'[1]SALES PERTYPE'!$B$10:$B$52,0)),0)</f>
        <v>1</v>
      </c>
      <c r="BI20" s="143">
        <f>IFERROR(INDEX('[1]Sales per type juli'!$D$10:$BA$51,MATCH($C20,'[1]Sales per type juli'!$B$10:$B$51,0),MATCH("Y31d",'[1]Sales per type juli'!$D$8:$BA$8,0)),0)</f>
        <v>1</v>
      </c>
      <c r="BJ20" s="143">
        <f t="shared" si="18"/>
        <v>0</v>
      </c>
      <c r="BK20" s="143">
        <f>IFERROR(INDEX('[1]SALES PERTYPE'!$W$10:$W$52,MATCH($C20,'[1]SALES PERTYPE'!$B$10:$B$52,0)),0)</f>
        <v>3599000</v>
      </c>
      <c r="BL20" s="143" cm="1">
        <f t="array" ref="BL20">IFERROR(INDEX('[1]Sales per type juli'!$D$10:$BA$51,MATCH($C20,'[1]Sales per type juli'!$B$10:$B$51,0),MATCH("Y31d",'[1]Sales per type juli'!$D$8:$BA$8,0)+1),0)</f>
        <v>3599000</v>
      </c>
      <c r="BM20" s="143">
        <f t="shared" si="19"/>
        <v>0</v>
      </c>
      <c r="BN20" s="143">
        <f>IFERROR(INDEX('[1]SALES PERTYPE'!$X$10:$X$52,MATCH($C20,'[1]SALES PERTYPE'!$B$10:$B$52,0)),0)</f>
        <v>1</v>
      </c>
      <c r="BO20" s="143">
        <f>IFERROR(INDEX('[1]Sales per type juli'!$D$10:$BA$51,MATCH($C20,'[1]Sales per type juli'!$B$10:$B$51,0),MATCH("Y500",'[1]Sales per type juli'!$D$8:$BA$8,0)),0)</f>
        <v>2</v>
      </c>
      <c r="BP20" s="143">
        <f t="shared" si="20"/>
        <v>-1</v>
      </c>
      <c r="BQ20" s="143">
        <f>IFERROR(INDEX('[1]SALES PERTYPE'!$Y$10:$Y$52,MATCH($C20,'[1]SALES PERTYPE'!$B$10:$B$52,0)),0)</f>
        <v>6299000</v>
      </c>
      <c r="BR20" s="143" cm="1">
        <f t="array" ref="BR20">IFERROR(INDEX('[1]Sales per type juli'!$D$10:$BA$51,MATCH($C20,'[1]Sales per type juli'!$B$10:$B$51,0),MATCH("Y500",'[1]Sales per type juli'!$D$8:$BA$8,0)+1),0)</f>
        <v>12598000</v>
      </c>
      <c r="BS20" s="143">
        <f t="shared" si="21"/>
        <v>-6299000</v>
      </c>
      <c r="BT20" s="143">
        <f>IFERROR(INDEX('[1]SALES PERTYPE'!$Z$10:$Z$52,MATCH($C20,'[1]SALES PERTYPE'!$B$10:$B$52,0)),0)</f>
        <v>0</v>
      </c>
      <c r="BU20" s="143">
        <f>IFERROR(INDEX('[1]Sales per type juli'!$D$10:$BA$51,MATCH($C20,'[1]Sales per type juli'!$B$10:$B$51,0),MATCH("IQOO 15R",'[1]Sales per type juli'!$D$8:$BA$8,0)),0)</f>
        <v>2</v>
      </c>
      <c r="BV20" s="143">
        <f t="shared" si="22"/>
        <v>-2</v>
      </c>
      <c r="BW20" s="143">
        <f>IFERROR(INDEX('[1]SALES PERTYPE'!$AA$10:$AA$52,MATCH($C20,'[1]SALES PERTYPE'!$B$10:$B$52,0)),0)</f>
        <v>0</v>
      </c>
      <c r="BX20" s="143" cm="1">
        <f t="array" ref="BX20">IFERROR(INDEX('[1]Sales per type juli'!$D$10:$BA$51,MATCH($C20,'[1]Sales per type juli'!$B$10:$B$51,0),MATCH("IQOO 15R",'[1]Sales per type juli'!$D$8:$BA$8,0)+1),0)</f>
        <v>19798000</v>
      </c>
      <c r="BY20" s="143">
        <f t="shared" si="23"/>
        <v>-19798000</v>
      </c>
      <c r="BZ20" s="143">
        <f>IFERROR(INDEX('[1]SALES PERTYPE'!$AB$10:$AB$52,MATCH($C20,'[1]SALES PERTYPE'!$B$10:$B$52,0)),0)</f>
        <v>2</v>
      </c>
      <c r="CA20" s="143">
        <f>IFERROR(INDEX('[1]Sales per type juli'!$D$10:$BA$51,MATCH($C20,'[1]Sales per type juli'!$B$10:$B$51,0),MATCH("V60 Lite",'[1]Sales per type juli'!$D$8:$BA$8,0)),0)</f>
        <v>2</v>
      </c>
      <c r="CB20" s="143">
        <f t="shared" si="24"/>
        <v>0</v>
      </c>
      <c r="CC20" s="143">
        <f>IFERROR(INDEX('[1]SALES PERTYPE'!$AC$10:$AC$52,MATCH($C20,'[1]SALES PERTYPE'!$B$10:$B$52,0)),0)</f>
        <v>11898000</v>
      </c>
      <c r="CD20" s="143" cm="1">
        <f t="array" ref="CD20">IFERROR(INDEX('[1]Sales per type juli'!$D$10:$BA$51,MATCH($C20,'[1]Sales per type juli'!$B$10:$B$51,0),MATCH("V60 Lite",'[1]Sales per type juli'!$D$8:$BA$8,0)+1),0)</f>
        <v>10598000</v>
      </c>
      <c r="CE20" s="143">
        <f t="shared" si="25"/>
        <v>1300000</v>
      </c>
      <c r="CF20" s="143">
        <f>IFERROR(INDEX('[1]SALES PERTYPE'!$AD$10:$AD$52,MATCH($C20,'[1]SALES PERTYPE'!$B$10:$B$52,0)),0)</f>
        <v>0</v>
      </c>
      <c r="CG20" s="143">
        <f>IFERROR(INDEX('[1]Sales per type juli'!$D$10:$BA$51,MATCH($C20,'[1]Sales per type juli'!$B$10:$B$51,0),MATCH("X300 Ultra",'[1]Sales per type juli'!$D$8:$BA$8,0)),0)</f>
        <v>1</v>
      </c>
      <c r="CH20" s="143">
        <f t="shared" si="26"/>
        <v>-1</v>
      </c>
      <c r="CI20" s="143">
        <f>IFERROR(INDEX('[1]SALES PERTYPE'!$AE$10:$AE$52,MATCH($C20,'[1]SALES PERTYPE'!$B$10:$B$52,0)),0)</f>
        <v>0</v>
      </c>
      <c r="CJ20" s="143" cm="1">
        <f t="array" ref="CJ20">IFERROR(INDEX('[1]Sales per type juli'!$D$10:$BA$51,MATCH($C20,'[1]Sales per type juli'!$B$10:$B$51,0),MATCH("X300 Ultra",'[1]Sales per type juli'!$D$8:$BA$8,0)+1),0)</f>
        <v>29999000</v>
      </c>
      <c r="CK20" s="143">
        <f t="shared" si="27"/>
        <v>-29999000</v>
      </c>
      <c r="CL20" s="143">
        <f>IFERROR(INDEX('[1]SALES PERTYPE'!$AF$10:$AF$52,MATCH($C20,'[1]SALES PERTYPE'!$B$10:$B$52,0)),0)</f>
        <v>0</v>
      </c>
      <c r="CM20" s="143">
        <f>IFERROR(INDEX('[1]Sales per type juli'!$D$10:$BA$51,MATCH($C20,'[1]Sales per type juli'!$B$10:$B$51,0),MATCH("IQOO 15",'[1]Sales per type juli'!$D$8:$BA$8,0)),0)</f>
        <v>0</v>
      </c>
      <c r="CN20" s="143">
        <f t="shared" si="28"/>
        <v>0</v>
      </c>
      <c r="CO20" s="143">
        <f>IFERROR(INDEX('[1]SALES PERTYPE'!$AG$10:$AG$52,MATCH($C20,'[1]SALES PERTYPE'!$B$10:$B$52,0)),0)</f>
        <v>0</v>
      </c>
      <c r="CP20" s="143" cm="1">
        <f t="array" ref="CP20">IFERROR(INDEX('[1]Sales per type juli'!$D$10:$BA$51,MATCH($C20,'[1]Sales per type juli'!$B$10:$B$51,0),MATCH("IQOO 15",'[1]Sales per type juli'!$D$8:$BA$8,0)+1),0)</f>
        <v>0</v>
      </c>
      <c r="CQ20" s="143">
        <f t="shared" si="29"/>
        <v>0</v>
      </c>
      <c r="CR20" s="143">
        <f>IFERROR(INDEX('[1]SALES PERTYPE'!$AH$10:$AH$52,MATCH($C20,'[1]SALES PERTYPE'!$B$10:$B$52,0)),0)</f>
        <v>2</v>
      </c>
      <c r="CS20" s="143">
        <f>IFERROR(INDEX('[1]Sales per type juli'!$D$10:$BA$51,MATCH($C20,'[1]Sales per type juli'!$B$10:$B$51,0),MATCH("IQOO Z11x",'[1]Sales per type juli'!$D$8:$BA$8,0)),0)</f>
        <v>3</v>
      </c>
      <c r="CT20" s="143">
        <f t="shared" si="30"/>
        <v>-1</v>
      </c>
      <c r="CU20" s="143">
        <f>IFERROR(INDEX('[1]SALES PERTYPE'!$AI$10:$AI$52,MATCH($C20,'[1]SALES PERTYPE'!$B$10:$B$52,0)),0)</f>
        <v>11398000</v>
      </c>
      <c r="CV20" s="143" cm="1">
        <f t="array" ref="CV20">IFERROR(INDEX('[1]Sales per type juli'!$D$10:$BA$51,MATCH($C20,'[1]Sales per type juli'!$B$10:$B$51,0),MATCH("IQOO Z11x",'[1]Sales per type juli'!$D$8:$BA$8,0)+1),0)</f>
        <v>15197000</v>
      </c>
      <c r="CW20" s="143">
        <f t="shared" si="31"/>
        <v>-3799000</v>
      </c>
      <c r="CX20" s="143">
        <f>IFERROR(INDEX('[1]SALES PERTYPE'!$AJ$10:$AJ$52,MATCH($C20,'[1]SALES PERTYPE'!$B$10:$B$52,0)),0)</f>
        <v>1</v>
      </c>
      <c r="CY20" s="143">
        <f>IFERROR(INDEX('[1]Sales per type juli'!$D$10:$BA$51,MATCH($C20,'[1]Sales per type juli'!$B$10:$B$51,0),MATCH("IQOO Z11",'[1]Sales per type juli'!$D$8:$BA$8,0)),0)</f>
        <v>2</v>
      </c>
      <c r="CZ20" s="143">
        <f t="shared" si="32"/>
        <v>-1</v>
      </c>
      <c r="DA20" s="143">
        <f>IFERROR(INDEX('[1]SALES PERTYPE'!$AK$10:$AK$52,MATCH($C20,'[1]SALES PERTYPE'!$B$10:$B$52,0)),0)</f>
        <v>8399000</v>
      </c>
      <c r="DB20" s="143" cm="1">
        <f t="array" ref="DB20">IFERROR(INDEX('[1]Sales per type juli'!$D$10:$BA$51,MATCH($C20,'[1]Sales per type juli'!$B$10:$B$51,0),MATCH("IQOO Z11",'[1]Sales per type juli'!$D$8:$BA$8,0)+1),0)</f>
        <v>11398000</v>
      </c>
      <c r="DC20" s="143">
        <f t="shared" si="33"/>
        <v>-2999000</v>
      </c>
      <c r="DD20" s="143">
        <v>0</v>
      </c>
      <c r="DE20" s="143">
        <f>IFERROR(INDEX('[1]Sales per type juli'!$D$10:$BA$51,MATCH($C20,'[1]Sales per type juli'!$B$10:$B$51,0),MATCH("WATCH 3",'[1]Sales per type juli'!$D$8:$BA$8,0)),0)</f>
        <v>0</v>
      </c>
      <c r="DF20" s="143">
        <f t="shared" si="34"/>
        <v>0</v>
      </c>
      <c r="DG20" s="143">
        <v>0</v>
      </c>
      <c r="DH20" s="143" cm="1">
        <f t="array" ref="DH20">IFERROR(INDEX('[1]Sales per type juli'!$D$10:$BA$51,MATCH($C20,'[1]Sales per type juli'!$B$10:$B$51,0),MATCH("WATCH 3",'[1]Sales per type juli'!$D$8:$BA$8,0)+1),0)</f>
        <v>0</v>
      </c>
      <c r="DI20" s="143">
        <f t="shared" si="35"/>
        <v>0</v>
      </c>
      <c r="DJ20" s="143">
        <v>0</v>
      </c>
      <c r="DK20" s="143">
        <f>IFERROR(INDEX('[1]Sales per type juli'!$D$10:$BA$51,MATCH($C20,'[1]Sales per type juli'!$B$10:$B$51,0),MATCH("X300 Demo",'[1]Sales per type juli'!$D$8:$BA$8,0)),0)</f>
        <v>3</v>
      </c>
      <c r="DL20" s="143">
        <f t="shared" si="36"/>
        <v>-3</v>
      </c>
      <c r="DM20" s="143">
        <v>0</v>
      </c>
      <c r="DN20" s="143" cm="1">
        <f t="array" ref="DN20">IFERROR(INDEX('[1]Sales per type juli'!$D$10:$BA$51,MATCH($C20,'[1]Sales per type juli'!$B$10:$B$51,0),MATCH("X300 Demo",'[1]Sales per type juli'!$D$8:$BA$8,0)+1),0)</f>
        <v>48997000</v>
      </c>
      <c r="DO20" s="143">
        <f t="shared" si="37"/>
        <v>-48997000</v>
      </c>
      <c r="DP20" s="143">
        <v>0</v>
      </c>
      <c r="DQ20" s="143">
        <f>IFERROR(INDEX('[1]Sales per type juli'!$D$10:$BA$51,MATCH($C20,'[1]Sales per type juli'!$B$10:$B$51,0),MATCH("X300 Pro Demo",'[1]Sales per type juli'!$D$8:$BA$8,0)),0)</f>
        <v>0</v>
      </c>
      <c r="DR20" s="143">
        <f t="shared" si="38"/>
        <v>0</v>
      </c>
      <c r="DS20" s="143">
        <v>0</v>
      </c>
      <c r="DT20" s="143" cm="1">
        <f t="array" ref="DT20">IFERROR(INDEX('[1]Sales per type juli'!$D$10:$BA$51,MATCH($C20,'[1]Sales per type juli'!$B$10:$B$51,0),MATCH("X300 Pro Demo",'[1]Sales per type juli'!$D$8:$BA$8,0)+1),0)</f>
        <v>0</v>
      </c>
      <c r="DU20" s="143">
        <f t="shared" si="39"/>
        <v>0</v>
      </c>
      <c r="DV20" s="143">
        <v>0</v>
      </c>
      <c r="DW20" s="143">
        <f>IFERROR(INDEX('[1]Sales per type juli'!$D$10:$BA$51,MATCH($C20,'[1]Sales per type juli'!$B$10:$B$51,0),MATCH("X Fold5 DEMO",'[1]Sales per type juli'!$D$8:$BA$8,0)),0)</f>
        <v>0</v>
      </c>
      <c r="DX20" s="143">
        <f t="shared" si="40"/>
        <v>0</v>
      </c>
      <c r="DY20" s="143">
        <v>0</v>
      </c>
      <c r="DZ20" s="143" cm="1">
        <f t="array" ref="DZ20">IFERROR(INDEX('[1]Sales per type juli'!$D$10:$BA$51,MATCH($C20,'[1]Sales per type juli'!$B$10:$B$51,0),MATCH("X Fold5 DEMO",'[1]Sales per type juli'!$D$8:$BA$8,0)+1),0)</f>
        <v>0</v>
      </c>
      <c r="EA20" s="143">
        <f t="shared" si="41"/>
        <v>0</v>
      </c>
      <c r="EB20" s="143">
        <v>0</v>
      </c>
      <c r="EC20" s="143">
        <f>IFERROR(INDEX('[1]Sales per type juli'!$D$10:$BA$51,MATCH($C20,'[1]Sales per type juli'!$B$10:$B$51,0),MATCH("X Fold5",'[1]Sales per type juli'!$D$8:$BA$8,0)),0)</f>
        <v>0</v>
      </c>
      <c r="ED20" s="143">
        <f t="shared" si="42"/>
        <v>0</v>
      </c>
      <c r="EE20" s="143">
        <v>0</v>
      </c>
      <c r="EF20" s="143" cm="1">
        <f t="array" ref="EF20">IFERROR(INDEX('[1]Sales per type juli'!$D$10:$BA$51,MATCH($C20,'[1]Sales per type juli'!$B$10:$B$51,0),MATCH("X Fold5",'[1]Sales per type juli'!$D$8:$BA$8,0)+1),0)</f>
        <v>0</v>
      </c>
      <c r="EG20" s="143">
        <f t="shared" si="43"/>
        <v>0</v>
      </c>
      <c r="EH20" s="143">
        <v>0</v>
      </c>
      <c r="EI20" s="143">
        <f>IFERROR(INDEX('[1]Sales per type juli'!$D$10:$BA$51,MATCH($C20,'[1]Sales per type juli'!$B$10:$B$51,0),MATCH("IQOO 15 Demo",'[1]Sales per type juli'!$D$8:$BA$8,0)),0)</f>
        <v>1</v>
      </c>
      <c r="EJ20" s="143">
        <f t="shared" si="44"/>
        <v>-1</v>
      </c>
      <c r="EK20" s="143">
        <v>0</v>
      </c>
      <c r="EL20" s="143" cm="1">
        <f t="array" ref="EL20">IFERROR(INDEX('[1]Sales per type juli'!$D$10:$BA$51,MATCH($C20,'[1]Sales per type juli'!$B$10:$B$51,0),MATCH("IQOO 15 Demo",'[1]Sales per type juli'!$D$8:$BA$8,0)+1),0)</f>
        <v>13999000</v>
      </c>
      <c r="EM20" s="143">
        <f t="shared" si="45"/>
        <v>-13999000</v>
      </c>
      <c r="EN20" s="143">
        <v>0</v>
      </c>
      <c r="EO20" s="143">
        <f>IFERROR(INDEX('[1]Sales per type juli'!$D$10:$BA$51,MATCH($C20,'[1]Sales per type juli'!$B$10:$B$51,0),MATCH("X300 PRO",'[1]Sales per type juli'!$D$8:$BA$8,0)),0)</f>
        <v>0</v>
      </c>
      <c r="EP20" s="143">
        <f t="shared" si="46"/>
        <v>0</v>
      </c>
      <c r="EQ20" s="143">
        <v>0</v>
      </c>
      <c r="ER20" s="143" cm="1">
        <f t="array" ref="ER20">IFERROR(INDEX('[1]Sales per type juli'!$D$10:$BA$51,MATCH($C20,'[1]Sales per type juli'!$B$10:$B$51,0),MATCH("X300 PRO",'[1]Sales per type juli'!$D$8:$BA$8,0)+1),0)</f>
        <v>0</v>
      </c>
      <c r="ES20" s="143">
        <f t="shared" si="47"/>
        <v>0</v>
      </c>
      <c r="ET20" s="143">
        <v>0</v>
      </c>
      <c r="EU20" s="143">
        <f>IFERROR(INDEX('[1]Sales per type juli'!$D$10:$BA$51,MATCH($C20,'[1]Sales per type juli'!$B$10:$B$51,0),MATCH("X300 ",'[1]Sales per type juli'!$D$8:$BA$8,0)),0)</f>
        <v>0</v>
      </c>
      <c r="EV20" s="143">
        <f t="shared" si="48"/>
        <v>0</v>
      </c>
      <c r="EW20" s="143">
        <v>0</v>
      </c>
      <c r="EX20" s="143" cm="1">
        <f t="array" ref="EX20">IFERROR(INDEX('[1]Sales per type juli'!$D$10:$BA$51,MATCH($C20,'[1]Sales per type juli'!$B$10:$B$51,0),MATCH("X300 ",'[1]Sales per type juli'!$D$8:$BA$8,0)+1),0)</f>
        <v>0</v>
      </c>
      <c r="EY20" s="143">
        <f t="shared" si="49"/>
        <v>0</v>
      </c>
      <c r="EZ20" s="143">
        <f t="shared" si="50"/>
        <v>45</v>
      </c>
      <c r="FA20" s="143">
        <f t="shared" si="50"/>
        <v>51</v>
      </c>
      <c r="FB20" s="143">
        <f t="shared" si="51"/>
        <v>-6</v>
      </c>
      <c r="FC20" s="143">
        <f t="shared" si="52"/>
        <v>163855000</v>
      </c>
      <c r="FD20" s="143">
        <f t="shared" si="52"/>
        <v>306549000</v>
      </c>
      <c r="FE20" s="143">
        <f t="shared" si="53"/>
        <v>-142694000</v>
      </c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</row>
    <row r="21" spans="1:208" ht="16" x14ac:dyDescent="0.2">
      <c r="A21" s="141">
        <f>'[1]ACHIEVEMENT STORE'!A21</f>
        <v>17</v>
      </c>
      <c r="B21" s="142" t="str">
        <f>'[1]ACHIEVEMENT STORE'!B21</f>
        <v>605 勿加泗 BEKASI</v>
      </c>
      <c r="C21" s="141">
        <f>'[1]ACHIEVEMENT STORE'!C21</f>
        <v>6050705</v>
      </c>
      <c r="D21" s="142" t="str">
        <f>'[1]ACHIEVEMENT STORE'!D21</f>
        <v>6050705-MBH 2F009</v>
      </c>
      <c r="E21" s="142" t="str">
        <f>'[1]ACHIEVEMENT STORE'!E21</f>
        <v>M RIZKI</v>
      </c>
      <c r="F21" s="143">
        <f>IFERROR(INDEX('[1]SALES PERTYPE'!$D$10:$D$52,MATCH($C21,'[1]SALES PERTYPE'!$B$10:$B$52,0)),0)</f>
        <v>0</v>
      </c>
      <c r="G21" s="143">
        <f>IFERROR(INDEX('[1]Sales per type juli'!$D$10:$BA$51,MATCH($C21,'[1]Sales per type juli'!$B$10:$B$51,0),MATCH("Y05",'[1]Sales per type juli'!$D$8:$BA$8,0)),0)</f>
        <v>10</v>
      </c>
      <c r="H21" s="143">
        <f t="shared" si="0"/>
        <v>-10</v>
      </c>
      <c r="I21" s="143">
        <f>IFERROR(INDEX('[1]SALES PERTYPE'!$E$10:$E$52,MATCH($C21,'[1]SALES PERTYPE'!$B$10:$B$52,0)),0)</f>
        <v>0</v>
      </c>
      <c r="J21" s="143" cm="1">
        <f t="array" ref="J21">IFERROR(INDEX('[1]Sales per type juli'!$D$10:$BA$51,MATCH($C21,'[1]Sales per type juli'!$B$10:$B$51,0),MATCH("Y05",'[1]Sales per type juli'!$D$8:$BA$8,0)+1),0)</f>
        <v>22490000</v>
      </c>
      <c r="K21" s="143">
        <f t="shared" si="1"/>
        <v>-22490000</v>
      </c>
      <c r="L21" s="143">
        <f>IFERROR(INDEX('[1]SALES PERTYPE'!$F$10:$F$52,MATCH($C21,'[1]SALES PERTYPE'!$B$10:$B$52,0)),0)</f>
        <v>4</v>
      </c>
      <c r="M21" s="143">
        <f>IFERROR(INDEX('[1]Sales per type juli'!$D$10:$BA$51,MATCH($C21,'[1]Sales per type juli'!$B$10:$B$51,0),MATCH("Y11d",'[1]Sales per type juli'!$D$8:$BA$8,0)),0)</f>
        <v>7</v>
      </c>
      <c r="N21" s="143">
        <f t="shared" si="2"/>
        <v>-3</v>
      </c>
      <c r="O21" s="143">
        <f>IFERROR(INDEX('[1]SALES PERTYPE'!$G$10:$G$52,MATCH($C21,'[1]SALES PERTYPE'!$B$10:$B$52,0)),0)</f>
        <v>10396000</v>
      </c>
      <c r="P21" s="143" cm="1">
        <f t="array" ref="P21">IFERROR(INDEX('[1]Sales per type juli'!$D$10:$BA$51,MATCH($C21,'[1]Sales per type juli'!$B$10:$B$51,0),MATCH("Y11d",'[1]Sales per type juli'!$D$8:$BA$8,0)+1),0)</f>
        <v>19193000</v>
      </c>
      <c r="Q21" s="143">
        <f t="shared" si="3"/>
        <v>-8797000</v>
      </c>
      <c r="R21" s="143">
        <f>IFERROR(INDEX('[1]SALES PERTYPE'!$H$10:$H$52,MATCH($C21,'[1]SALES PERTYPE'!$B$10:$B$52,0)),0)</f>
        <v>0</v>
      </c>
      <c r="S21" s="143">
        <f>IFERROR(INDEX('[1]Sales per type juli'!$D$10:$BA$51,MATCH($C21,'[1]Sales per type juli'!$B$10:$B$51,0),MATCH("Watch GT 2",'[1]Sales per type juli'!$D$8:$BA$8,0)),0)</f>
        <v>1</v>
      </c>
      <c r="T21" s="143">
        <f t="shared" si="4"/>
        <v>-1</v>
      </c>
      <c r="U21" s="143">
        <f>IFERROR(INDEX('[1]SALES PERTYPE'!$I$10:$I$52,MATCH($C21,'[1]SALES PERTYPE'!$B$10:$B$52,0)),0)</f>
        <v>0</v>
      </c>
      <c r="V21" s="143" cm="1">
        <f t="array" ref="V21">IFERROR(INDEX('[1]Sales per type juli'!$D$10:$BA$51,MATCH($C21,'[1]Sales per type juli'!$B$10:$B$51,0),MATCH("Watch GT 2",'[1]Sales per type juli'!$D$8:$BA$8,0)+1),0)</f>
        <v>1799000</v>
      </c>
      <c r="W21" s="143">
        <f t="shared" si="5"/>
        <v>-1799000</v>
      </c>
      <c r="X21" s="143">
        <f>IFERROR(INDEX('[1]SALES PERTYPE'!$J$10:$J$52,MATCH($C21,'[1]SALES PERTYPE'!$B$10:$B$52,0)),0)</f>
        <v>2</v>
      </c>
      <c r="Y21" s="143">
        <f>IFERROR(INDEX('[1]Sales per type juli'!$D$10:$BA$51,MATCH($C21,'[1]Sales per type juli'!$B$10:$B$51,0),MATCH("Y05e",'[1]Sales per type juli'!$D$8:$BA$8,0)),0)</f>
        <v>0</v>
      </c>
      <c r="Z21" s="143">
        <f t="shared" si="6"/>
        <v>2</v>
      </c>
      <c r="AA21" s="143">
        <f>IFERROR(INDEX('[1]SALES PERTYPE'!$K$10:$K$52,MATCH($C21,'[1]SALES PERTYPE'!$B$10:$B$52,0)),0)</f>
        <v>4198000</v>
      </c>
      <c r="AB21" s="143" cm="1">
        <f t="array" ref="AB21">IFERROR(INDEX('[1]Sales per type juli'!$D$10:$BA$51,MATCH($C21,'[1]Sales per type juli'!$B$10:$B$51,0),MATCH("Y05e",'[1]Sales per type juli'!$D$8:$BA$8,0)+1),0)</f>
        <v>0</v>
      </c>
      <c r="AC21" s="143">
        <f t="shared" si="7"/>
        <v>4198000</v>
      </c>
      <c r="AD21" s="143">
        <f>IFERROR(INDEX('[1]SALES PERTYPE'!$L$10:$L$52,MATCH($C21,'[1]SALES PERTYPE'!$B$10:$B$52,0)),0)</f>
        <v>1</v>
      </c>
      <c r="AE21" s="143">
        <f>IFERROR(INDEX('[1]Sales per type juli'!$D$10:$BA$51,MATCH($C21,'[1]Sales per type juli'!$B$10:$B$51,0),MATCH("V70",'[1]Sales per type juli'!$D$8:$BA$8,0)),0)</f>
        <v>5</v>
      </c>
      <c r="AF21" s="143">
        <f t="shared" si="8"/>
        <v>-4</v>
      </c>
      <c r="AG21" s="143">
        <f>IFERROR(INDEX('[1]SALES PERTYPE'!$M$10:$M$52,MATCH($C21,'[1]SALES PERTYPE'!$B$10:$B$52,0)),0)</f>
        <v>9999000</v>
      </c>
      <c r="AH21" s="143" cm="1">
        <f t="array" ref="AH21">IFERROR(INDEX('[1]Sales per type juli'!$D$10:$BA$51,MATCH($C21,'[1]Sales per type juli'!$B$10:$B$51,0),MATCH("V70",'[1]Sales per type juli'!$D$8:$BA$8,0)+1),0)</f>
        <v>46995000</v>
      </c>
      <c r="AI21" s="143">
        <f t="shared" si="9"/>
        <v>-36996000</v>
      </c>
      <c r="AJ21" s="143">
        <f>IFERROR(INDEX('[1]SALES PERTYPE'!$N$10:$N$52,MATCH($C21,'[1]SALES PERTYPE'!$B$10:$B$52,0)),0)</f>
        <v>7</v>
      </c>
      <c r="AK21" s="143">
        <f>IFERROR(INDEX('[1]Sales per type juli'!$D$10:$BA$51,MATCH($C21,'[1]Sales per type juli'!$B$10:$B$51,0),MATCH("Y31d Pro",'[1]Sales per type juli'!$D$8:$BA$8,0)),0)</f>
        <v>4</v>
      </c>
      <c r="AL21" s="143">
        <f t="shared" si="10"/>
        <v>3</v>
      </c>
      <c r="AM21" s="143">
        <f>IFERROR(INDEX('[1]SALES PERTYPE'!$O$10:$O$52,MATCH($C21,'[1]SALES PERTYPE'!$B$10:$B$52,0)),0)</f>
        <v>31293000</v>
      </c>
      <c r="AN21" s="143" cm="1">
        <f t="array" ref="AN21">IFERROR(INDEX('[1]Sales per type juli'!$D$10:$BA$51,MATCH($C21,'[1]Sales per type juli'!$B$10:$B$51,0),MATCH("Y31d Pro",'[1]Sales per type juli'!$D$8:$BA$8,0)+1),0)</f>
        <v>15996000</v>
      </c>
      <c r="AO21" s="143">
        <f t="shared" si="11"/>
        <v>15297000</v>
      </c>
      <c r="AP21" s="143">
        <f>IFERROR(INDEX('[1]SALES PERTYPE'!$P$10:$P$52,MATCH($C21,'[1]SALES PERTYPE'!$B$10:$B$52,0)),0)</f>
        <v>1</v>
      </c>
      <c r="AQ21" s="143" cm="1">
        <f t="array" ref="AQ21">IFERROR(INDEX('[1]Sales per type juli'!$D$10:$BA$51,MATCH($C21,'[1]Sales per type juli'!$B$10:$B$51,0),$FG$2),0)</f>
        <v>0</v>
      </c>
      <c r="AR21" s="143">
        <f t="shared" si="12"/>
        <v>1</v>
      </c>
      <c r="AS21" s="143">
        <f>IFERROR(INDEX('[1]SALES PERTYPE'!$Q$10:$Q$52,MATCH($C21,'[1]SALES PERTYPE'!$B$10:$B$52,0)),0)</f>
        <v>3599000</v>
      </c>
      <c r="AT21" s="143" cm="1">
        <f t="array" ref="AT21">IFERROR(INDEX('[1]Sales per type juli'!$D$10:$BA$51,MATCH($C21,'[1]Sales per type juli'!$B$10:$B$51,0),$FG$2+1),0)</f>
        <v>0</v>
      </c>
      <c r="AU21" s="143">
        <f t="shared" si="13"/>
        <v>3599000</v>
      </c>
      <c r="AV21" s="143">
        <f>IFERROR(INDEX('[1]SALES PERTYPE'!$R$10:$R$52,MATCH($C21,'[1]SALES PERTYPE'!$B$10:$B$52,0)),0)</f>
        <v>1</v>
      </c>
      <c r="AW21" s="143">
        <f>IFERROR(INDEX('[1]Sales per type juli'!$D$10:$BA$51,MATCH($C21,'[1]Sales per type juli'!$B$10:$B$51,0),MATCH("Y31d ",'[1]Sales per type juli'!$D$8:$BA$8,0)),0)</f>
        <v>0</v>
      </c>
      <c r="AX21" s="143">
        <f t="shared" si="14"/>
        <v>1</v>
      </c>
      <c r="AY21" s="143">
        <f>IFERROR(INDEX('[1]SALES PERTYPE'!$S$10:$S$52,MATCH($C21,'[1]SALES PERTYPE'!$B$10:$B$52,0)),0)</f>
        <v>3599000</v>
      </c>
      <c r="AZ21" s="143" cm="1">
        <f t="array" ref="AZ21">IFERROR(INDEX('[1]Sales per type juli'!$D$10:$BA$51,MATCH($C21,'[1]Sales per type juli'!$B$10:$B$51,0),MATCH("Y31d ",'[1]Sales per type juli'!$D$8:$BA$8,0)+1),0)</f>
        <v>0</v>
      </c>
      <c r="BA21" s="143">
        <f t="shared" si="15"/>
        <v>3599000</v>
      </c>
      <c r="BB21" s="143">
        <f>IFERROR(INDEX('[1]SALES PERTYPE'!$T$10:$T$52,MATCH($C21,'[1]SALES PERTYPE'!$B$10:$B$52,0)),0)</f>
        <v>0</v>
      </c>
      <c r="BC21" s="143">
        <f>IFERROR(INDEX('[1]Sales per type juli'!$D$10:$BA$51,MATCH($C21,'[1]Sales per type juli'!$B$10:$B$51,0),MATCH("V70 FE",'[1]Sales per type juli'!$D$8:$BA$8,0)),0)</f>
        <v>1</v>
      </c>
      <c r="BD21" s="143">
        <f t="shared" si="16"/>
        <v>-1</v>
      </c>
      <c r="BE21" s="143">
        <f>IFERROR(INDEX('[1]SALES PERTYPE'!$U$10:$U$52,MATCH($C21,'[1]SALES PERTYPE'!$B$10:$B$52,0)),0)</f>
        <v>0</v>
      </c>
      <c r="BF21" s="143" cm="1">
        <f t="array" ref="BF21">IFERROR(INDEX('[1]Sales per type juli'!$D$10:$BA$51,MATCH($C21,'[1]Sales per type juli'!$B$10:$B$51,0),MATCH("V70 FE",'[1]Sales per type juli'!$D$8:$BA$8,0)+1),0)</f>
        <v>6499000</v>
      </c>
      <c r="BG21" s="143">
        <f t="shared" si="17"/>
        <v>-6499000</v>
      </c>
      <c r="BH21" s="143">
        <f>IFERROR(INDEX('[1]SALES PERTYPE'!$V$10:$V$52,MATCH($C21,'[1]SALES PERTYPE'!$B$10:$B$52,0)),0)</f>
        <v>0</v>
      </c>
      <c r="BI21" s="143">
        <f>IFERROR(INDEX('[1]Sales per type juli'!$D$10:$BA$51,MATCH($C21,'[1]Sales per type juli'!$B$10:$B$51,0),MATCH("Y31d",'[1]Sales per type juli'!$D$8:$BA$8,0)),0)</f>
        <v>0</v>
      </c>
      <c r="BJ21" s="143">
        <f t="shared" si="18"/>
        <v>0</v>
      </c>
      <c r="BK21" s="143">
        <f>IFERROR(INDEX('[1]SALES PERTYPE'!$W$10:$W$52,MATCH($C21,'[1]SALES PERTYPE'!$B$10:$B$52,0)),0)</f>
        <v>0</v>
      </c>
      <c r="BL21" s="143" cm="1">
        <f t="array" ref="BL21">IFERROR(INDEX('[1]Sales per type juli'!$D$10:$BA$51,MATCH($C21,'[1]Sales per type juli'!$B$10:$B$51,0),MATCH("Y31d",'[1]Sales per type juli'!$D$8:$BA$8,0)+1),0)</f>
        <v>0</v>
      </c>
      <c r="BM21" s="143">
        <f t="shared" si="19"/>
        <v>0</v>
      </c>
      <c r="BN21" s="143">
        <f>IFERROR(INDEX('[1]SALES PERTYPE'!$X$10:$X$52,MATCH($C21,'[1]SALES PERTYPE'!$B$10:$B$52,0)),0)</f>
        <v>1</v>
      </c>
      <c r="BO21" s="143">
        <f>IFERROR(INDEX('[1]Sales per type juli'!$D$10:$BA$51,MATCH($C21,'[1]Sales per type juli'!$B$10:$B$51,0),MATCH("Y500",'[1]Sales per type juli'!$D$8:$BA$8,0)),0)</f>
        <v>0</v>
      </c>
      <c r="BP21" s="143">
        <f t="shared" si="20"/>
        <v>1</v>
      </c>
      <c r="BQ21" s="143">
        <f>IFERROR(INDEX('[1]SALES PERTYPE'!$Y$10:$Y$52,MATCH($C21,'[1]SALES PERTYPE'!$B$10:$B$52,0)),0)</f>
        <v>6299000</v>
      </c>
      <c r="BR21" s="143" cm="1">
        <f t="array" ref="BR21">IFERROR(INDEX('[1]Sales per type juli'!$D$10:$BA$51,MATCH($C21,'[1]Sales per type juli'!$B$10:$B$51,0),MATCH("Y500",'[1]Sales per type juli'!$D$8:$BA$8,0)+1),0)</f>
        <v>0</v>
      </c>
      <c r="BS21" s="143">
        <f t="shared" si="21"/>
        <v>6299000</v>
      </c>
      <c r="BT21" s="143">
        <f>IFERROR(INDEX('[1]SALES PERTYPE'!$Z$10:$Z$52,MATCH($C21,'[1]SALES PERTYPE'!$B$10:$B$52,0)),0)</f>
        <v>2</v>
      </c>
      <c r="BU21" s="143">
        <f>IFERROR(INDEX('[1]Sales per type juli'!$D$10:$BA$51,MATCH($C21,'[1]Sales per type juli'!$B$10:$B$51,0),MATCH("IQOO 15R",'[1]Sales per type juli'!$D$8:$BA$8,0)),0)</f>
        <v>0</v>
      </c>
      <c r="BV21" s="143">
        <f t="shared" si="22"/>
        <v>2</v>
      </c>
      <c r="BW21" s="143">
        <f>IFERROR(INDEX('[1]SALES PERTYPE'!$AA$10:$AA$52,MATCH($C21,'[1]SALES PERTYPE'!$B$10:$B$52,0)),0)</f>
        <v>23998000</v>
      </c>
      <c r="BX21" s="143" cm="1">
        <f t="array" ref="BX21">IFERROR(INDEX('[1]Sales per type juli'!$D$10:$BA$51,MATCH($C21,'[1]Sales per type juli'!$B$10:$B$51,0),MATCH("IQOO 15R",'[1]Sales per type juli'!$D$8:$BA$8,0)+1),0)</f>
        <v>0</v>
      </c>
      <c r="BY21" s="143">
        <f t="shared" si="23"/>
        <v>23998000</v>
      </c>
      <c r="BZ21" s="143">
        <f>IFERROR(INDEX('[1]SALES PERTYPE'!$AB$10:$AB$52,MATCH($C21,'[1]SALES PERTYPE'!$B$10:$B$52,0)),0)</f>
        <v>0</v>
      </c>
      <c r="CA21" s="143">
        <f>IFERROR(INDEX('[1]Sales per type juli'!$D$10:$BA$51,MATCH($C21,'[1]Sales per type juli'!$B$10:$B$51,0),MATCH("V60 Lite",'[1]Sales per type juli'!$D$8:$BA$8,0)),0)</f>
        <v>2</v>
      </c>
      <c r="CB21" s="143">
        <f t="shared" si="24"/>
        <v>-2</v>
      </c>
      <c r="CC21" s="143">
        <f>IFERROR(INDEX('[1]SALES PERTYPE'!$AC$10:$AC$52,MATCH($C21,'[1]SALES PERTYPE'!$B$10:$B$52,0)),0)</f>
        <v>0</v>
      </c>
      <c r="CD21" s="143" cm="1">
        <f t="array" ref="CD21">IFERROR(INDEX('[1]Sales per type juli'!$D$10:$BA$51,MATCH($C21,'[1]Sales per type juli'!$B$10:$B$51,0),MATCH("V60 Lite",'[1]Sales per type juli'!$D$8:$BA$8,0)+1),0)</f>
        <v>11298000</v>
      </c>
      <c r="CE21" s="143">
        <f t="shared" si="25"/>
        <v>-11298000</v>
      </c>
      <c r="CF21" s="143">
        <f>IFERROR(INDEX('[1]SALES PERTYPE'!$AD$10:$AD$52,MATCH($C21,'[1]SALES PERTYPE'!$B$10:$B$52,0)),0)</f>
        <v>0</v>
      </c>
      <c r="CG21" s="143">
        <f>IFERROR(INDEX('[1]Sales per type juli'!$D$10:$BA$51,MATCH($C21,'[1]Sales per type juli'!$B$10:$B$51,0),MATCH("X300 Ultra",'[1]Sales per type juli'!$D$8:$BA$8,0)),0)</f>
        <v>0</v>
      </c>
      <c r="CH21" s="143">
        <f t="shared" si="26"/>
        <v>0</v>
      </c>
      <c r="CI21" s="143">
        <f>IFERROR(INDEX('[1]SALES PERTYPE'!$AE$10:$AE$52,MATCH($C21,'[1]SALES PERTYPE'!$B$10:$B$52,0)),0)</f>
        <v>0</v>
      </c>
      <c r="CJ21" s="143" cm="1">
        <f t="array" ref="CJ21">IFERROR(INDEX('[1]Sales per type juli'!$D$10:$BA$51,MATCH($C21,'[1]Sales per type juli'!$B$10:$B$51,0),MATCH("X300 Ultra",'[1]Sales per type juli'!$D$8:$BA$8,0)+1),0)</f>
        <v>0</v>
      </c>
      <c r="CK21" s="143">
        <f t="shared" si="27"/>
        <v>0</v>
      </c>
      <c r="CL21" s="143">
        <f>IFERROR(INDEX('[1]SALES PERTYPE'!$AF$10:$AF$52,MATCH($C21,'[1]SALES PERTYPE'!$B$10:$B$52,0)),0)</f>
        <v>0</v>
      </c>
      <c r="CM21" s="143">
        <f>IFERROR(INDEX('[1]Sales per type juli'!$D$10:$BA$51,MATCH($C21,'[1]Sales per type juli'!$B$10:$B$51,0),MATCH("IQOO 15",'[1]Sales per type juli'!$D$8:$BA$8,0)),0)</f>
        <v>0</v>
      </c>
      <c r="CN21" s="143">
        <f t="shared" si="28"/>
        <v>0</v>
      </c>
      <c r="CO21" s="143">
        <f>IFERROR(INDEX('[1]SALES PERTYPE'!$AG$10:$AG$52,MATCH($C21,'[1]SALES PERTYPE'!$B$10:$B$52,0)),0)</f>
        <v>0</v>
      </c>
      <c r="CP21" s="143" cm="1">
        <f t="array" ref="CP21">IFERROR(INDEX('[1]Sales per type juli'!$D$10:$BA$51,MATCH($C21,'[1]Sales per type juli'!$B$10:$B$51,0),MATCH("IQOO 15",'[1]Sales per type juli'!$D$8:$BA$8,0)+1),0)</f>
        <v>0</v>
      </c>
      <c r="CQ21" s="143">
        <f t="shared" si="29"/>
        <v>0</v>
      </c>
      <c r="CR21" s="143">
        <f>IFERROR(INDEX('[1]SALES PERTYPE'!$AH$10:$AH$52,MATCH($C21,'[1]SALES PERTYPE'!$B$10:$B$52,0)),0)</f>
        <v>0</v>
      </c>
      <c r="CS21" s="143">
        <f>IFERROR(INDEX('[1]Sales per type juli'!$D$10:$BA$51,MATCH($C21,'[1]Sales per type juli'!$B$10:$B$51,0),MATCH("IQOO Z11x",'[1]Sales per type juli'!$D$8:$BA$8,0)),0)</f>
        <v>1</v>
      </c>
      <c r="CT21" s="143">
        <f t="shared" si="30"/>
        <v>-1</v>
      </c>
      <c r="CU21" s="143">
        <f>IFERROR(INDEX('[1]SALES PERTYPE'!$AI$10:$AI$52,MATCH($C21,'[1]SALES PERTYPE'!$B$10:$B$52,0)),0)</f>
        <v>0</v>
      </c>
      <c r="CV21" s="143" cm="1">
        <f t="array" ref="CV21">IFERROR(INDEX('[1]Sales per type juli'!$D$10:$BA$51,MATCH($C21,'[1]Sales per type juli'!$B$10:$B$51,0),MATCH("IQOO Z11x",'[1]Sales per type juli'!$D$8:$BA$8,0)+1),0)</f>
        <v>4799000</v>
      </c>
      <c r="CW21" s="143">
        <f t="shared" si="31"/>
        <v>-4799000</v>
      </c>
      <c r="CX21" s="143">
        <f>IFERROR(INDEX('[1]SALES PERTYPE'!$AJ$10:$AJ$52,MATCH($C21,'[1]SALES PERTYPE'!$B$10:$B$52,0)),0)</f>
        <v>1</v>
      </c>
      <c r="CY21" s="143">
        <f>IFERROR(INDEX('[1]Sales per type juli'!$D$10:$BA$51,MATCH($C21,'[1]Sales per type juli'!$B$10:$B$51,0),MATCH("IQOO Z11",'[1]Sales per type juli'!$D$8:$BA$8,0)),0)</f>
        <v>1</v>
      </c>
      <c r="CZ21" s="143">
        <f t="shared" si="32"/>
        <v>0</v>
      </c>
      <c r="DA21" s="143">
        <f>IFERROR(INDEX('[1]SALES PERTYPE'!$AK$10:$AK$52,MATCH($C21,'[1]SALES PERTYPE'!$B$10:$B$52,0)),0)</f>
        <v>7999000</v>
      </c>
      <c r="DB21" s="143" cm="1">
        <f t="array" ref="DB21">IFERROR(INDEX('[1]Sales per type juli'!$D$10:$BA$51,MATCH($C21,'[1]Sales per type juli'!$B$10:$B$51,0),MATCH("IQOO Z11",'[1]Sales per type juli'!$D$8:$BA$8,0)+1),0)</f>
        <v>5699000</v>
      </c>
      <c r="DC21" s="143">
        <f t="shared" si="33"/>
        <v>2300000</v>
      </c>
      <c r="DD21" s="143">
        <v>0</v>
      </c>
      <c r="DE21" s="143">
        <f>IFERROR(INDEX('[1]Sales per type juli'!$D$10:$BA$51,MATCH($C21,'[1]Sales per type juli'!$B$10:$B$51,0),MATCH("WATCH 3",'[1]Sales per type juli'!$D$8:$BA$8,0)),0)</f>
        <v>0</v>
      </c>
      <c r="DF21" s="143">
        <f t="shared" si="34"/>
        <v>0</v>
      </c>
      <c r="DG21" s="143">
        <v>0</v>
      </c>
      <c r="DH21" s="143" cm="1">
        <f t="array" ref="DH21">IFERROR(INDEX('[1]Sales per type juli'!$D$10:$BA$51,MATCH($C21,'[1]Sales per type juli'!$B$10:$B$51,0),MATCH("WATCH 3",'[1]Sales per type juli'!$D$8:$BA$8,0)+1),0)</f>
        <v>0</v>
      </c>
      <c r="DI21" s="143">
        <f t="shared" si="35"/>
        <v>0</v>
      </c>
      <c r="DJ21" s="143">
        <v>0</v>
      </c>
      <c r="DK21" s="143">
        <f>IFERROR(INDEX('[1]Sales per type juli'!$D$10:$BA$51,MATCH($C21,'[1]Sales per type juli'!$B$10:$B$51,0),MATCH("X300 Demo",'[1]Sales per type juli'!$D$8:$BA$8,0)),0)</f>
        <v>0</v>
      </c>
      <c r="DL21" s="143">
        <f t="shared" si="36"/>
        <v>0</v>
      </c>
      <c r="DM21" s="143">
        <v>0</v>
      </c>
      <c r="DN21" s="143" cm="1">
        <f t="array" ref="DN21">IFERROR(INDEX('[1]Sales per type juli'!$D$10:$BA$51,MATCH($C21,'[1]Sales per type juli'!$B$10:$B$51,0),MATCH("X300 Demo",'[1]Sales per type juli'!$D$8:$BA$8,0)+1),0)</f>
        <v>0</v>
      </c>
      <c r="DO21" s="143">
        <f t="shared" si="37"/>
        <v>0</v>
      </c>
      <c r="DP21" s="143">
        <v>0</v>
      </c>
      <c r="DQ21" s="143">
        <f>IFERROR(INDEX('[1]Sales per type juli'!$D$10:$BA$51,MATCH($C21,'[1]Sales per type juli'!$B$10:$B$51,0),MATCH("X300 Pro Demo",'[1]Sales per type juli'!$D$8:$BA$8,0)),0)</f>
        <v>0</v>
      </c>
      <c r="DR21" s="143">
        <f t="shared" si="38"/>
        <v>0</v>
      </c>
      <c r="DS21" s="143">
        <v>0</v>
      </c>
      <c r="DT21" s="143" cm="1">
        <f t="array" ref="DT21">IFERROR(INDEX('[1]Sales per type juli'!$D$10:$BA$51,MATCH($C21,'[1]Sales per type juli'!$B$10:$B$51,0),MATCH("X300 Pro Demo",'[1]Sales per type juli'!$D$8:$BA$8,0)+1),0)</f>
        <v>0</v>
      </c>
      <c r="DU21" s="143">
        <f t="shared" si="39"/>
        <v>0</v>
      </c>
      <c r="DV21" s="143">
        <v>0</v>
      </c>
      <c r="DW21" s="143">
        <f>IFERROR(INDEX('[1]Sales per type juli'!$D$10:$BA$51,MATCH($C21,'[1]Sales per type juli'!$B$10:$B$51,0),MATCH("X Fold5 DEMO",'[1]Sales per type juli'!$D$8:$BA$8,0)),0)</f>
        <v>0</v>
      </c>
      <c r="DX21" s="143">
        <f t="shared" si="40"/>
        <v>0</v>
      </c>
      <c r="DY21" s="143">
        <v>0</v>
      </c>
      <c r="DZ21" s="143" cm="1">
        <f t="array" ref="DZ21">IFERROR(INDEX('[1]Sales per type juli'!$D$10:$BA$51,MATCH($C21,'[1]Sales per type juli'!$B$10:$B$51,0),MATCH("X Fold5 DEMO",'[1]Sales per type juli'!$D$8:$BA$8,0)+1),0)</f>
        <v>0</v>
      </c>
      <c r="EA21" s="143">
        <f t="shared" si="41"/>
        <v>0</v>
      </c>
      <c r="EB21" s="143">
        <v>0</v>
      </c>
      <c r="EC21" s="143">
        <f>IFERROR(INDEX('[1]Sales per type juli'!$D$10:$BA$51,MATCH($C21,'[1]Sales per type juli'!$B$10:$B$51,0),MATCH("X Fold5",'[1]Sales per type juli'!$D$8:$BA$8,0)),0)</f>
        <v>0</v>
      </c>
      <c r="ED21" s="143">
        <f t="shared" si="42"/>
        <v>0</v>
      </c>
      <c r="EE21" s="143">
        <v>0</v>
      </c>
      <c r="EF21" s="143" cm="1">
        <f t="array" ref="EF21">IFERROR(INDEX('[1]Sales per type juli'!$D$10:$BA$51,MATCH($C21,'[1]Sales per type juli'!$B$10:$B$51,0),MATCH("X Fold5",'[1]Sales per type juli'!$D$8:$BA$8,0)+1),0)</f>
        <v>0</v>
      </c>
      <c r="EG21" s="143">
        <f t="shared" si="43"/>
        <v>0</v>
      </c>
      <c r="EH21" s="143">
        <v>0</v>
      </c>
      <c r="EI21" s="143">
        <f>IFERROR(INDEX('[1]Sales per type juli'!$D$10:$BA$51,MATCH($C21,'[1]Sales per type juli'!$B$10:$B$51,0),MATCH("IQOO 15 Demo",'[1]Sales per type juli'!$D$8:$BA$8,0)),0)</f>
        <v>0</v>
      </c>
      <c r="EJ21" s="143">
        <f t="shared" si="44"/>
        <v>0</v>
      </c>
      <c r="EK21" s="143">
        <v>0</v>
      </c>
      <c r="EL21" s="143" cm="1">
        <f t="array" ref="EL21">IFERROR(INDEX('[1]Sales per type juli'!$D$10:$BA$51,MATCH($C21,'[1]Sales per type juli'!$B$10:$B$51,0),MATCH("IQOO 15 Demo",'[1]Sales per type juli'!$D$8:$BA$8,0)+1),0)</f>
        <v>0</v>
      </c>
      <c r="EM21" s="143">
        <f t="shared" si="45"/>
        <v>0</v>
      </c>
      <c r="EN21" s="143">
        <v>0</v>
      </c>
      <c r="EO21" s="143">
        <f>IFERROR(INDEX('[1]Sales per type juli'!$D$10:$BA$51,MATCH($C21,'[1]Sales per type juli'!$B$10:$B$51,0),MATCH("X300 PRO",'[1]Sales per type juli'!$D$8:$BA$8,0)),0)</f>
        <v>0</v>
      </c>
      <c r="EP21" s="143">
        <f t="shared" si="46"/>
        <v>0</v>
      </c>
      <c r="EQ21" s="143">
        <v>0</v>
      </c>
      <c r="ER21" s="143" cm="1">
        <f t="array" ref="ER21">IFERROR(INDEX('[1]Sales per type juli'!$D$10:$BA$51,MATCH($C21,'[1]Sales per type juli'!$B$10:$B$51,0),MATCH("X300 PRO",'[1]Sales per type juli'!$D$8:$BA$8,0)+1),0)</f>
        <v>0</v>
      </c>
      <c r="ES21" s="143">
        <f t="shared" si="47"/>
        <v>0</v>
      </c>
      <c r="ET21" s="143">
        <v>0</v>
      </c>
      <c r="EU21" s="143">
        <f>IFERROR(INDEX('[1]Sales per type juli'!$D$10:$BA$51,MATCH($C21,'[1]Sales per type juli'!$B$10:$B$51,0),MATCH("X300 ",'[1]Sales per type juli'!$D$8:$BA$8,0)),0)</f>
        <v>0</v>
      </c>
      <c r="EV21" s="143">
        <f t="shared" si="48"/>
        <v>0</v>
      </c>
      <c r="EW21" s="143">
        <v>0</v>
      </c>
      <c r="EX21" s="143" cm="1">
        <f t="array" ref="EX21">IFERROR(INDEX('[1]Sales per type juli'!$D$10:$BA$51,MATCH($C21,'[1]Sales per type juli'!$B$10:$B$51,0),MATCH("X300 ",'[1]Sales per type juli'!$D$8:$BA$8,0)+1),0)</f>
        <v>0</v>
      </c>
      <c r="EY21" s="143">
        <f t="shared" si="49"/>
        <v>0</v>
      </c>
      <c r="EZ21" s="143">
        <f t="shared" si="50"/>
        <v>20</v>
      </c>
      <c r="FA21" s="143">
        <f t="shared" si="50"/>
        <v>32</v>
      </c>
      <c r="FB21" s="143">
        <f t="shared" si="51"/>
        <v>-12</v>
      </c>
      <c r="FC21" s="143">
        <f t="shared" si="52"/>
        <v>101380000</v>
      </c>
      <c r="FD21" s="143">
        <f t="shared" si="52"/>
        <v>134768000</v>
      </c>
      <c r="FE21" s="143">
        <f t="shared" si="53"/>
        <v>-33388000</v>
      </c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</row>
    <row r="22" spans="1:208" ht="16" x14ac:dyDescent="0.2">
      <c r="A22" s="144">
        <f>'[1]ACHIEVEMENT STORE'!A22</f>
        <v>18</v>
      </c>
      <c r="B22" s="145" t="str">
        <f>'[1]ACHIEVEMENT STORE'!B22</f>
        <v>605 勿加泗 BEKASI</v>
      </c>
      <c r="C22" s="144">
        <f>'[1]ACHIEVEMENT STORE'!C22</f>
        <v>6050706</v>
      </c>
      <c r="D22" s="145" t="str">
        <f>'[1]ACHIEVEMENT STORE'!D22</f>
        <v>6050706-AEON MALL DELTAMAS 1F081</v>
      </c>
      <c r="E22" s="145" t="str">
        <f>'[1]ACHIEVEMENT STORE'!E22</f>
        <v>M RIZKI</v>
      </c>
      <c r="F22" s="143">
        <f>IFERROR(INDEX('[1]SALES PERTYPE'!$D$10:$D$52,MATCH($C22,'[1]SALES PERTYPE'!$B$10:$B$52,0)),0)</f>
        <v>6</v>
      </c>
      <c r="G22" s="143">
        <f>IFERROR(INDEX('[1]Sales per type juli'!$D$10:$BA$51,MATCH($C22,'[1]Sales per type juli'!$B$10:$B$51,0),MATCH("Y05",'[1]Sales per type juli'!$D$8:$BA$8,0)),0)</f>
        <v>0</v>
      </c>
      <c r="H22" s="143">
        <f t="shared" si="0"/>
        <v>6</v>
      </c>
      <c r="I22" s="143">
        <f>IFERROR(INDEX('[1]SALES PERTYPE'!$E$10:$E$52,MATCH($C22,'[1]SALES PERTYPE'!$B$10:$B$52,0)),0)</f>
        <v>15294000</v>
      </c>
      <c r="J22" s="143" cm="1">
        <f t="array" ref="J22">IFERROR(INDEX('[1]Sales per type juli'!$D$10:$BA$51,MATCH($C22,'[1]Sales per type juli'!$B$10:$B$51,0),MATCH("Y05",'[1]Sales per type juli'!$D$8:$BA$8,0)+1),0)</f>
        <v>0</v>
      </c>
      <c r="K22" s="143">
        <f t="shared" si="1"/>
        <v>15294000</v>
      </c>
      <c r="L22" s="143">
        <f>IFERROR(INDEX('[1]SALES PERTYPE'!$F$10:$F$52,MATCH($C22,'[1]SALES PERTYPE'!$B$10:$B$52,0)),0)</f>
        <v>11</v>
      </c>
      <c r="M22" s="143">
        <f>IFERROR(INDEX('[1]Sales per type juli'!$D$10:$BA$51,MATCH($C22,'[1]Sales per type juli'!$B$10:$B$51,0),MATCH("Y11d",'[1]Sales per type juli'!$D$8:$BA$8,0)),0)</f>
        <v>0</v>
      </c>
      <c r="N22" s="143">
        <f t="shared" si="2"/>
        <v>11</v>
      </c>
      <c r="O22" s="143">
        <f>IFERROR(INDEX('[1]SALES PERTYPE'!$G$10:$G$52,MATCH($C22,'[1]SALES PERTYPE'!$B$10:$B$52,0)),0)</f>
        <v>29589000</v>
      </c>
      <c r="P22" s="143" cm="1">
        <f t="array" ref="P22">IFERROR(INDEX('[1]Sales per type juli'!$D$10:$BA$51,MATCH($C22,'[1]Sales per type juli'!$B$10:$B$51,0),MATCH("Y11d",'[1]Sales per type juli'!$D$8:$BA$8,0)+1),0)</f>
        <v>0</v>
      </c>
      <c r="Q22" s="143">
        <f t="shared" si="3"/>
        <v>29589000</v>
      </c>
      <c r="R22" s="143">
        <f>IFERROR(INDEX('[1]SALES PERTYPE'!$H$10:$H$52,MATCH($C22,'[1]SALES PERTYPE'!$B$10:$B$52,0)),0)</f>
        <v>0</v>
      </c>
      <c r="S22" s="143">
        <f>IFERROR(INDEX('[1]Sales per type juli'!$D$10:$BA$51,MATCH($C22,'[1]Sales per type juli'!$B$10:$B$51,0),MATCH("Watch GT 2",'[1]Sales per type juli'!$D$8:$BA$8,0)),0)</f>
        <v>0</v>
      </c>
      <c r="T22" s="143">
        <f t="shared" si="4"/>
        <v>0</v>
      </c>
      <c r="U22" s="143">
        <f>IFERROR(INDEX('[1]SALES PERTYPE'!$I$10:$I$52,MATCH($C22,'[1]SALES PERTYPE'!$B$10:$B$52,0)),0)</f>
        <v>0</v>
      </c>
      <c r="V22" s="143" cm="1">
        <f t="array" ref="V22">IFERROR(INDEX('[1]Sales per type juli'!$D$10:$BA$51,MATCH($C22,'[1]Sales per type juli'!$B$10:$B$51,0),MATCH("Watch GT 2",'[1]Sales per type juli'!$D$8:$BA$8,0)+1),0)</f>
        <v>0</v>
      </c>
      <c r="W22" s="143">
        <f t="shared" si="5"/>
        <v>0</v>
      </c>
      <c r="X22" s="143">
        <f>IFERROR(INDEX('[1]SALES PERTYPE'!$J$10:$J$52,MATCH($C22,'[1]SALES PERTYPE'!$B$10:$B$52,0)),0)</f>
        <v>3</v>
      </c>
      <c r="Y22" s="143">
        <f>IFERROR(INDEX('[1]Sales per type juli'!$D$10:$BA$51,MATCH($C22,'[1]Sales per type juli'!$B$10:$B$51,0),MATCH("Y05e",'[1]Sales per type juli'!$D$8:$BA$8,0)),0)</f>
        <v>0</v>
      </c>
      <c r="Z22" s="143">
        <f t="shared" si="6"/>
        <v>3</v>
      </c>
      <c r="AA22" s="143">
        <f>IFERROR(INDEX('[1]SALES PERTYPE'!$K$10:$K$52,MATCH($C22,'[1]SALES PERTYPE'!$B$10:$B$52,0)),0)</f>
        <v>6297000</v>
      </c>
      <c r="AB22" s="143" cm="1">
        <f t="array" ref="AB22">IFERROR(INDEX('[1]Sales per type juli'!$D$10:$BA$51,MATCH($C22,'[1]Sales per type juli'!$B$10:$B$51,0),MATCH("Y05e",'[1]Sales per type juli'!$D$8:$BA$8,0)+1),0)</f>
        <v>0</v>
      </c>
      <c r="AC22" s="143">
        <f t="shared" si="7"/>
        <v>6297000</v>
      </c>
      <c r="AD22" s="143">
        <f>IFERROR(INDEX('[1]SALES PERTYPE'!$L$10:$L$52,MATCH($C22,'[1]SALES PERTYPE'!$B$10:$B$52,0)),0)</f>
        <v>0</v>
      </c>
      <c r="AE22" s="143">
        <f>IFERROR(INDEX('[1]Sales per type juli'!$D$10:$BA$51,MATCH($C22,'[1]Sales per type juli'!$B$10:$B$51,0),MATCH("V70",'[1]Sales per type juli'!$D$8:$BA$8,0)),0)</f>
        <v>0</v>
      </c>
      <c r="AF22" s="143">
        <f t="shared" si="8"/>
        <v>0</v>
      </c>
      <c r="AG22" s="143">
        <f>IFERROR(INDEX('[1]SALES PERTYPE'!$M$10:$M$52,MATCH($C22,'[1]SALES PERTYPE'!$B$10:$B$52,0)),0)</f>
        <v>0</v>
      </c>
      <c r="AH22" s="143" cm="1">
        <f t="array" ref="AH22">IFERROR(INDEX('[1]Sales per type juli'!$D$10:$BA$51,MATCH($C22,'[1]Sales per type juli'!$B$10:$B$51,0),MATCH("V70",'[1]Sales per type juli'!$D$8:$BA$8,0)+1),0)</f>
        <v>0</v>
      </c>
      <c r="AI22" s="143">
        <f t="shared" si="9"/>
        <v>0</v>
      </c>
      <c r="AJ22" s="143">
        <f>IFERROR(INDEX('[1]SALES PERTYPE'!$N$10:$N$52,MATCH($C22,'[1]SALES PERTYPE'!$B$10:$B$52,0)),0)</f>
        <v>5</v>
      </c>
      <c r="AK22" s="143">
        <f>IFERROR(INDEX('[1]Sales per type juli'!$D$10:$BA$51,MATCH($C22,'[1]Sales per type juli'!$B$10:$B$51,0),MATCH("Y31d Pro",'[1]Sales per type juli'!$D$8:$BA$8,0)),0)</f>
        <v>0</v>
      </c>
      <c r="AL22" s="143">
        <f t="shared" si="10"/>
        <v>5</v>
      </c>
      <c r="AM22" s="143">
        <f>IFERROR(INDEX('[1]SALES PERTYPE'!$O$10:$O$52,MATCH($C22,'[1]SALES PERTYPE'!$B$10:$B$52,0)),0)</f>
        <v>21695000</v>
      </c>
      <c r="AN22" s="143" cm="1">
        <f t="array" ref="AN22">IFERROR(INDEX('[1]Sales per type juli'!$D$10:$BA$51,MATCH($C22,'[1]Sales per type juli'!$B$10:$B$51,0),MATCH("Y31d Pro",'[1]Sales per type juli'!$D$8:$BA$8,0)+1),0)</f>
        <v>0</v>
      </c>
      <c r="AO22" s="143">
        <f t="shared" si="11"/>
        <v>21695000</v>
      </c>
      <c r="AP22" s="143">
        <f>IFERROR(INDEX('[1]SALES PERTYPE'!$P$10:$P$52,MATCH($C22,'[1]SALES PERTYPE'!$B$10:$B$52,0)),0)</f>
        <v>0</v>
      </c>
      <c r="AQ22" s="143" cm="1">
        <f t="array" ref="AQ22">IFERROR(INDEX('[1]Sales per type juli'!$D$10:$BA$51,MATCH($C22,'[1]Sales per type juli'!$B$10:$B$51,0),$FG$2),0)</f>
        <v>0</v>
      </c>
      <c r="AR22" s="143">
        <f t="shared" si="12"/>
        <v>0</v>
      </c>
      <c r="AS22" s="143">
        <f>IFERROR(INDEX('[1]SALES PERTYPE'!$Q$10:$Q$52,MATCH($C22,'[1]SALES PERTYPE'!$B$10:$B$52,0)),0)</f>
        <v>0</v>
      </c>
      <c r="AT22" s="143" cm="1">
        <f t="array" ref="AT22">IFERROR(INDEX('[1]Sales per type juli'!$D$10:$BA$51,MATCH($C22,'[1]Sales per type juli'!$B$10:$B$51,0),$FG$2+1),0)</f>
        <v>0</v>
      </c>
      <c r="AU22" s="143">
        <f t="shared" si="13"/>
        <v>0</v>
      </c>
      <c r="AV22" s="143">
        <f>IFERROR(INDEX('[1]SALES PERTYPE'!$R$10:$R$52,MATCH($C22,'[1]SALES PERTYPE'!$B$10:$B$52,0)),0)</f>
        <v>1</v>
      </c>
      <c r="AW22" s="143">
        <f>IFERROR(INDEX('[1]Sales per type juli'!$D$10:$BA$51,MATCH($C22,'[1]Sales per type juli'!$B$10:$B$51,0),MATCH("Y31d ",'[1]Sales per type juli'!$D$8:$BA$8,0)),0)</f>
        <v>0</v>
      </c>
      <c r="AX22" s="143">
        <f t="shared" si="14"/>
        <v>1</v>
      </c>
      <c r="AY22" s="143">
        <f>IFERROR(INDEX('[1]SALES PERTYPE'!$S$10:$S$52,MATCH($C22,'[1]SALES PERTYPE'!$B$10:$B$52,0)),0)</f>
        <v>3599000</v>
      </c>
      <c r="AZ22" s="143" cm="1">
        <f t="array" ref="AZ22">IFERROR(INDEX('[1]Sales per type juli'!$D$10:$BA$51,MATCH($C22,'[1]Sales per type juli'!$B$10:$B$51,0),MATCH("Y31d ",'[1]Sales per type juli'!$D$8:$BA$8,0)+1),0)</f>
        <v>0</v>
      </c>
      <c r="BA22" s="143">
        <f t="shared" si="15"/>
        <v>3599000</v>
      </c>
      <c r="BB22" s="143">
        <f>IFERROR(INDEX('[1]SALES PERTYPE'!$T$10:$T$52,MATCH($C22,'[1]SALES PERTYPE'!$B$10:$B$52,0)),0)</f>
        <v>2</v>
      </c>
      <c r="BC22" s="143">
        <f>IFERROR(INDEX('[1]Sales per type juli'!$D$10:$BA$51,MATCH($C22,'[1]Sales per type juli'!$B$10:$B$51,0),MATCH("V70 FE",'[1]Sales per type juli'!$D$8:$BA$8,0)),0)</f>
        <v>0</v>
      </c>
      <c r="BD22" s="143">
        <f t="shared" si="16"/>
        <v>2</v>
      </c>
      <c r="BE22" s="143">
        <f>IFERROR(INDEX('[1]SALES PERTYPE'!$U$10:$U$52,MATCH($C22,'[1]SALES PERTYPE'!$B$10:$B$52,0)),0)</f>
        <v>13998000</v>
      </c>
      <c r="BF22" s="143" cm="1">
        <f t="array" ref="BF22">IFERROR(INDEX('[1]Sales per type juli'!$D$10:$BA$51,MATCH($C22,'[1]Sales per type juli'!$B$10:$B$51,0),MATCH("V70 FE",'[1]Sales per type juli'!$D$8:$BA$8,0)+1),0)</f>
        <v>0</v>
      </c>
      <c r="BG22" s="143">
        <f t="shared" si="17"/>
        <v>13998000</v>
      </c>
      <c r="BH22" s="143">
        <f>IFERROR(INDEX('[1]SALES PERTYPE'!$V$10:$V$52,MATCH($C22,'[1]SALES PERTYPE'!$B$10:$B$52,0)),0)</f>
        <v>0</v>
      </c>
      <c r="BI22" s="143">
        <f>IFERROR(INDEX('[1]Sales per type juli'!$D$10:$BA$51,MATCH($C22,'[1]Sales per type juli'!$B$10:$B$51,0),MATCH("Y31d",'[1]Sales per type juli'!$D$8:$BA$8,0)),0)</f>
        <v>0</v>
      </c>
      <c r="BJ22" s="143">
        <f t="shared" si="18"/>
        <v>0</v>
      </c>
      <c r="BK22" s="143">
        <f>IFERROR(INDEX('[1]SALES PERTYPE'!$W$10:$W$52,MATCH($C22,'[1]SALES PERTYPE'!$B$10:$B$52,0)),0)</f>
        <v>0</v>
      </c>
      <c r="BL22" s="143" cm="1">
        <f t="array" ref="BL22">IFERROR(INDEX('[1]Sales per type juli'!$D$10:$BA$51,MATCH($C22,'[1]Sales per type juli'!$B$10:$B$51,0),MATCH("Y31d",'[1]Sales per type juli'!$D$8:$BA$8,0)+1),0)</f>
        <v>0</v>
      </c>
      <c r="BM22" s="143">
        <f t="shared" si="19"/>
        <v>0</v>
      </c>
      <c r="BN22" s="143">
        <f>IFERROR(INDEX('[1]SALES PERTYPE'!$X$10:$X$52,MATCH($C22,'[1]SALES PERTYPE'!$B$10:$B$52,0)),0)</f>
        <v>3</v>
      </c>
      <c r="BO22" s="143">
        <f>IFERROR(INDEX('[1]Sales per type juli'!$D$10:$BA$51,MATCH($C22,'[1]Sales per type juli'!$B$10:$B$51,0),MATCH("Y500",'[1]Sales per type juli'!$D$8:$BA$8,0)),0)</f>
        <v>0</v>
      </c>
      <c r="BP22" s="143">
        <f t="shared" si="20"/>
        <v>3</v>
      </c>
      <c r="BQ22" s="143">
        <f>IFERROR(INDEX('[1]SALES PERTYPE'!$Y$10:$Y$52,MATCH($C22,'[1]SALES PERTYPE'!$B$10:$B$52,0)),0)</f>
        <v>17297000</v>
      </c>
      <c r="BR22" s="143" cm="1">
        <f t="array" ref="BR22">IFERROR(INDEX('[1]Sales per type juli'!$D$10:$BA$51,MATCH($C22,'[1]Sales per type juli'!$B$10:$B$51,0),MATCH("Y500",'[1]Sales per type juli'!$D$8:$BA$8,0)+1),0)</f>
        <v>0</v>
      </c>
      <c r="BS22" s="143">
        <f t="shared" si="21"/>
        <v>17297000</v>
      </c>
      <c r="BT22" s="143">
        <f>IFERROR(INDEX('[1]SALES PERTYPE'!$Z$10:$Z$52,MATCH($C22,'[1]SALES PERTYPE'!$B$10:$B$52,0)),0)</f>
        <v>0</v>
      </c>
      <c r="BU22" s="143">
        <f>IFERROR(INDEX('[1]Sales per type juli'!$D$10:$BA$51,MATCH($C22,'[1]Sales per type juli'!$B$10:$B$51,0),MATCH("IQOO 15R",'[1]Sales per type juli'!$D$8:$BA$8,0)),0)</f>
        <v>0</v>
      </c>
      <c r="BV22" s="143">
        <f t="shared" si="22"/>
        <v>0</v>
      </c>
      <c r="BW22" s="143">
        <f>IFERROR(INDEX('[1]SALES PERTYPE'!$AA$10:$AA$52,MATCH($C22,'[1]SALES PERTYPE'!$B$10:$B$52,0)),0)</f>
        <v>0</v>
      </c>
      <c r="BX22" s="143" cm="1">
        <f t="array" ref="BX22">IFERROR(INDEX('[1]Sales per type juli'!$D$10:$BA$51,MATCH($C22,'[1]Sales per type juli'!$B$10:$B$51,0),MATCH("IQOO 15R",'[1]Sales per type juli'!$D$8:$BA$8,0)+1),0)</f>
        <v>0</v>
      </c>
      <c r="BY22" s="143">
        <f t="shared" si="23"/>
        <v>0</v>
      </c>
      <c r="BZ22" s="143">
        <f>IFERROR(INDEX('[1]SALES PERTYPE'!$AB$10:$AB$52,MATCH($C22,'[1]SALES PERTYPE'!$B$10:$B$52,0)),0)</f>
        <v>0</v>
      </c>
      <c r="CA22" s="143">
        <f>IFERROR(INDEX('[1]Sales per type juli'!$D$10:$BA$51,MATCH($C22,'[1]Sales per type juli'!$B$10:$B$51,0),MATCH("V60 Lite",'[1]Sales per type juli'!$D$8:$BA$8,0)),0)</f>
        <v>0</v>
      </c>
      <c r="CB22" s="143">
        <f t="shared" si="24"/>
        <v>0</v>
      </c>
      <c r="CC22" s="143">
        <f>IFERROR(INDEX('[1]SALES PERTYPE'!$AC$10:$AC$52,MATCH($C22,'[1]SALES PERTYPE'!$B$10:$B$52,0)),0)</f>
        <v>0</v>
      </c>
      <c r="CD22" s="143" cm="1">
        <f t="array" ref="CD22">IFERROR(INDEX('[1]Sales per type juli'!$D$10:$BA$51,MATCH($C22,'[1]Sales per type juli'!$B$10:$B$51,0),MATCH("V60 Lite",'[1]Sales per type juli'!$D$8:$BA$8,0)+1),0)</f>
        <v>0</v>
      </c>
      <c r="CE22" s="143">
        <f t="shared" si="25"/>
        <v>0</v>
      </c>
      <c r="CF22" s="143">
        <f>IFERROR(INDEX('[1]SALES PERTYPE'!$AD$10:$AD$52,MATCH($C22,'[1]SALES PERTYPE'!$B$10:$B$52,0)),0)</f>
        <v>0</v>
      </c>
      <c r="CG22" s="143">
        <f>IFERROR(INDEX('[1]Sales per type juli'!$D$10:$BA$51,MATCH($C22,'[1]Sales per type juli'!$B$10:$B$51,0),MATCH("X300 Ultra",'[1]Sales per type juli'!$D$8:$BA$8,0)),0)</f>
        <v>0</v>
      </c>
      <c r="CH22" s="143">
        <f t="shared" si="26"/>
        <v>0</v>
      </c>
      <c r="CI22" s="143">
        <f>IFERROR(INDEX('[1]SALES PERTYPE'!$AE$10:$AE$52,MATCH($C22,'[1]SALES PERTYPE'!$B$10:$B$52,0)),0)</f>
        <v>0</v>
      </c>
      <c r="CJ22" s="143" cm="1">
        <f t="array" ref="CJ22">IFERROR(INDEX('[1]Sales per type juli'!$D$10:$BA$51,MATCH($C22,'[1]Sales per type juli'!$B$10:$B$51,0),MATCH("X300 Ultra",'[1]Sales per type juli'!$D$8:$BA$8,0)+1),0)</f>
        <v>0</v>
      </c>
      <c r="CK22" s="143">
        <f t="shared" si="27"/>
        <v>0</v>
      </c>
      <c r="CL22" s="143">
        <f>IFERROR(INDEX('[1]SALES PERTYPE'!$AF$10:$AF$52,MATCH($C22,'[1]SALES PERTYPE'!$B$10:$B$52,0)),0)</f>
        <v>0</v>
      </c>
      <c r="CM22" s="143">
        <f>IFERROR(INDEX('[1]Sales per type juli'!$D$10:$BA$51,MATCH($C22,'[1]Sales per type juli'!$B$10:$B$51,0),MATCH("IQOO 15",'[1]Sales per type juli'!$D$8:$BA$8,0)),0)</f>
        <v>0</v>
      </c>
      <c r="CN22" s="143">
        <f t="shared" si="28"/>
        <v>0</v>
      </c>
      <c r="CO22" s="143">
        <f>IFERROR(INDEX('[1]SALES PERTYPE'!$AG$10:$AG$52,MATCH($C22,'[1]SALES PERTYPE'!$B$10:$B$52,0)),0)</f>
        <v>0</v>
      </c>
      <c r="CP22" s="143" cm="1">
        <f t="array" ref="CP22">IFERROR(INDEX('[1]Sales per type juli'!$D$10:$BA$51,MATCH($C22,'[1]Sales per type juli'!$B$10:$B$51,0),MATCH("IQOO 15",'[1]Sales per type juli'!$D$8:$BA$8,0)+1),0)</f>
        <v>0</v>
      </c>
      <c r="CQ22" s="143">
        <f t="shared" si="29"/>
        <v>0</v>
      </c>
      <c r="CR22" s="143">
        <f>IFERROR(INDEX('[1]SALES PERTYPE'!$AH$10:$AH$52,MATCH($C22,'[1]SALES PERTYPE'!$B$10:$B$52,0)),0)</f>
        <v>0</v>
      </c>
      <c r="CS22" s="143">
        <f>IFERROR(INDEX('[1]Sales per type juli'!$D$10:$BA$51,MATCH($C22,'[1]Sales per type juli'!$B$10:$B$51,0),MATCH("IQOO Z11x",'[1]Sales per type juli'!$D$8:$BA$8,0)),0)</f>
        <v>0</v>
      </c>
      <c r="CT22" s="143">
        <f t="shared" si="30"/>
        <v>0</v>
      </c>
      <c r="CU22" s="143">
        <f>IFERROR(INDEX('[1]SALES PERTYPE'!$AI$10:$AI$52,MATCH($C22,'[1]SALES PERTYPE'!$B$10:$B$52,0)),0)</f>
        <v>0</v>
      </c>
      <c r="CV22" s="143" cm="1">
        <f t="array" ref="CV22">IFERROR(INDEX('[1]Sales per type juli'!$D$10:$BA$51,MATCH($C22,'[1]Sales per type juli'!$B$10:$B$51,0),MATCH("IQOO Z11x",'[1]Sales per type juli'!$D$8:$BA$8,0)+1),0)</f>
        <v>0</v>
      </c>
      <c r="CW22" s="143">
        <f t="shared" si="31"/>
        <v>0</v>
      </c>
      <c r="CX22" s="143">
        <f>IFERROR(INDEX('[1]SALES PERTYPE'!$AJ$10:$AJ$52,MATCH($C22,'[1]SALES PERTYPE'!$B$10:$B$52,0)),0)</f>
        <v>1</v>
      </c>
      <c r="CY22" s="143">
        <f>IFERROR(INDEX('[1]Sales per type juli'!$D$10:$BA$51,MATCH($C22,'[1]Sales per type juli'!$B$10:$B$51,0),MATCH("IQOO Z11",'[1]Sales per type juli'!$D$8:$BA$8,0)),0)</f>
        <v>0</v>
      </c>
      <c r="CZ22" s="143">
        <f t="shared" si="32"/>
        <v>1</v>
      </c>
      <c r="DA22" s="143">
        <f>IFERROR(INDEX('[1]SALES PERTYPE'!$AK$10:$AK$52,MATCH($C22,'[1]SALES PERTYPE'!$B$10:$B$52,0)),0)</f>
        <v>6899000</v>
      </c>
      <c r="DB22" s="143" cm="1">
        <f t="array" ref="DB22">IFERROR(INDEX('[1]Sales per type juli'!$D$10:$BA$51,MATCH($C22,'[1]Sales per type juli'!$B$10:$B$51,0),MATCH("IQOO Z11",'[1]Sales per type juli'!$D$8:$BA$8,0)+1),0)</f>
        <v>0</v>
      </c>
      <c r="DC22" s="143">
        <f t="shared" si="33"/>
        <v>6899000</v>
      </c>
      <c r="DD22" s="143">
        <v>0</v>
      </c>
      <c r="DE22" s="143">
        <f>IFERROR(INDEX('[1]Sales per type juli'!$D$10:$BA$51,MATCH($C22,'[1]Sales per type juli'!$B$10:$B$51,0),MATCH("WATCH 3",'[1]Sales per type juli'!$D$8:$BA$8,0)),0)</f>
        <v>0</v>
      </c>
      <c r="DF22" s="143">
        <f t="shared" si="34"/>
        <v>0</v>
      </c>
      <c r="DG22" s="143">
        <v>0</v>
      </c>
      <c r="DH22" s="143" cm="1">
        <f t="array" ref="DH22">IFERROR(INDEX('[1]Sales per type juli'!$D$10:$BA$51,MATCH($C22,'[1]Sales per type juli'!$B$10:$B$51,0),MATCH("WATCH 3",'[1]Sales per type juli'!$D$8:$BA$8,0)+1),0)</f>
        <v>0</v>
      </c>
      <c r="DI22" s="143">
        <f t="shared" si="35"/>
        <v>0</v>
      </c>
      <c r="DJ22" s="143">
        <v>0</v>
      </c>
      <c r="DK22" s="143">
        <f>IFERROR(INDEX('[1]Sales per type juli'!$D$10:$BA$51,MATCH($C22,'[1]Sales per type juli'!$B$10:$B$51,0),MATCH("X300 Demo",'[1]Sales per type juli'!$D$8:$BA$8,0)),0)</f>
        <v>0</v>
      </c>
      <c r="DL22" s="143">
        <f t="shared" si="36"/>
        <v>0</v>
      </c>
      <c r="DM22" s="143">
        <v>0</v>
      </c>
      <c r="DN22" s="143" cm="1">
        <f t="array" ref="DN22">IFERROR(INDEX('[1]Sales per type juli'!$D$10:$BA$51,MATCH($C22,'[1]Sales per type juli'!$B$10:$B$51,0),MATCH("X300 Demo",'[1]Sales per type juli'!$D$8:$BA$8,0)+1),0)</f>
        <v>0</v>
      </c>
      <c r="DO22" s="143">
        <f t="shared" si="37"/>
        <v>0</v>
      </c>
      <c r="DP22" s="143">
        <v>0</v>
      </c>
      <c r="DQ22" s="143">
        <f>IFERROR(INDEX('[1]Sales per type juli'!$D$10:$BA$51,MATCH($C22,'[1]Sales per type juli'!$B$10:$B$51,0),MATCH("X300 Pro Demo",'[1]Sales per type juli'!$D$8:$BA$8,0)),0)</f>
        <v>0</v>
      </c>
      <c r="DR22" s="143">
        <f t="shared" si="38"/>
        <v>0</v>
      </c>
      <c r="DS22" s="143">
        <v>0</v>
      </c>
      <c r="DT22" s="143" cm="1">
        <f t="array" ref="DT22">IFERROR(INDEX('[1]Sales per type juli'!$D$10:$BA$51,MATCH($C22,'[1]Sales per type juli'!$B$10:$B$51,0),MATCH("X300 Pro Demo",'[1]Sales per type juli'!$D$8:$BA$8,0)+1),0)</f>
        <v>0</v>
      </c>
      <c r="DU22" s="143">
        <f t="shared" si="39"/>
        <v>0</v>
      </c>
      <c r="DV22" s="143">
        <v>0</v>
      </c>
      <c r="DW22" s="143">
        <f>IFERROR(INDEX('[1]Sales per type juli'!$D$10:$BA$51,MATCH($C22,'[1]Sales per type juli'!$B$10:$B$51,0),MATCH("X Fold5 DEMO",'[1]Sales per type juli'!$D$8:$BA$8,0)),0)</f>
        <v>0</v>
      </c>
      <c r="DX22" s="143">
        <f t="shared" si="40"/>
        <v>0</v>
      </c>
      <c r="DY22" s="143">
        <v>0</v>
      </c>
      <c r="DZ22" s="143" cm="1">
        <f t="array" ref="DZ22">IFERROR(INDEX('[1]Sales per type juli'!$D$10:$BA$51,MATCH($C22,'[1]Sales per type juli'!$B$10:$B$51,0),MATCH("X Fold5 DEMO",'[1]Sales per type juli'!$D$8:$BA$8,0)+1),0)</f>
        <v>0</v>
      </c>
      <c r="EA22" s="143">
        <f t="shared" si="41"/>
        <v>0</v>
      </c>
      <c r="EB22" s="143">
        <v>0</v>
      </c>
      <c r="EC22" s="143">
        <f>IFERROR(INDEX('[1]Sales per type juli'!$D$10:$BA$51,MATCH($C22,'[1]Sales per type juli'!$B$10:$B$51,0),MATCH("X Fold5",'[1]Sales per type juli'!$D$8:$BA$8,0)),0)</f>
        <v>0</v>
      </c>
      <c r="ED22" s="143">
        <f t="shared" si="42"/>
        <v>0</v>
      </c>
      <c r="EE22" s="143">
        <v>0</v>
      </c>
      <c r="EF22" s="143" cm="1">
        <f t="array" ref="EF22">IFERROR(INDEX('[1]Sales per type juli'!$D$10:$BA$51,MATCH($C22,'[1]Sales per type juli'!$B$10:$B$51,0),MATCH("X Fold5",'[1]Sales per type juli'!$D$8:$BA$8,0)+1),0)</f>
        <v>0</v>
      </c>
      <c r="EG22" s="143">
        <f t="shared" si="43"/>
        <v>0</v>
      </c>
      <c r="EH22" s="143">
        <v>0</v>
      </c>
      <c r="EI22" s="143">
        <f>IFERROR(INDEX('[1]Sales per type juli'!$D$10:$BA$51,MATCH($C22,'[1]Sales per type juli'!$B$10:$B$51,0),MATCH("IQOO 15 Demo",'[1]Sales per type juli'!$D$8:$BA$8,0)),0)</f>
        <v>0</v>
      </c>
      <c r="EJ22" s="143">
        <f t="shared" si="44"/>
        <v>0</v>
      </c>
      <c r="EK22" s="143">
        <v>0</v>
      </c>
      <c r="EL22" s="143" cm="1">
        <f t="array" ref="EL22">IFERROR(INDEX('[1]Sales per type juli'!$D$10:$BA$51,MATCH($C22,'[1]Sales per type juli'!$B$10:$B$51,0),MATCH("IQOO 15 Demo",'[1]Sales per type juli'!$D$8:$BA$8,0)+1),0)</f>
        <v>0</v>
      </c>
      <c r="EM22" s="143">
        <f t="shared" si="45"/>
        <v>0</v>
      </c>
      <c r="EN22" s="143">
        <v>0</v>
      </c>
      <c r="EO22" s="143">
        <f>IFERROR(INDEX('[1]Sales per type juli'!$D$10:$BA$51,MATCH($C22,'[1]Sales per type juli'!$B$10:$B$51,0),MATCH("X300 PRO",'[1]Sales per type juli'!$D$8:$BA$8,0)),0)</f>
        <v>0</v>
      </c>
      <c r="EP22" s="143">
        <f t="shared" si="46"/>
        <v>0</v>
      </c>
      <c r="EQ22" s="143">
        <v>0</v>
      </c>
      <c r="ER22" s="143" cm="1">
        <f t="array" ref="ER22">IFERROR(INDEX('[1]Sales per type juli'!$D$10:$BA$51,MATCH($C22,'[1]Sales per type juli'!$B$10:$B$51,0),MATCH("X300 PRO",'[1]Sales per type juli'!$D$8:$BA$8,0)+1),0)</f>
        <v>0</v>
      </c>
      <c r="ES22" s="143">
        <f t="shared" si="47"/>
        <v>0</v>
      </c>
      <c r="ET22" s="143">
        <v>0</v>
      </c>
      <c r="EU22" s="143">
        <f>IFERROR(INDEX('[1]Sales per type juli'!$D$10:$BA$51,MATCH($C22,'[1]Sales per type juli'!$B$10:$B$51,0),MATCH("X300 ",'[1]Sales per type juli'!$D$8:$BA$8,0)),0)</f>
        <v>0</v>
      </c>
      <c r="EV22" s="143">
        <f t="shared" si="48"/>
        <v>0</v>
      </c>
      <c r="EW22" s="143">
        <v>0</v>
      </c>
      <c r="EX22" s="143" cm="1">
        <f t="array" ref="EX22">IFERROR(INDEX('[1]Sales per type juli'!$D$10:$BA$51,MATCH($C22,'[1]Sales per type juli'!$B$10:$B$51,0),MATCH("X300 ",'[1]Sales per type juli'!$D$8:$BA$8,0)+1),0)</f>
        <v>0</v>
      </c>
      <c r="EY22" s="143">
        <f t="shared" si="49"/>
        <v>0</v>
      </c>
      <c r="EZ22" s="143">
        <f t="shared" si="50"/>
        <v>32</v>
      </c>
      <c r="FA22" s="143">
        <f t="shared" si="50"/>
        <v>0</v>
      </c>
      <c r="FB22" s="143">
        <f t="shared" si="51"/>
        <v>32</v>
      </c>
      <c r="FC22" s="143">
        <f t="shared" si="52"/>
        <v>114668000</v>
      </c>
      <c r="FD22" s="143">
        <f t="shared" si="52"/>
        <v>0</v>
      </c>
      <c r="FE22" s="143">
        <f t="shared" si="53"/>
        <v>114668000</v>
      </c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</row>
    <row r="23" spans="1:208" ht="16" x14ac:dyDescent="0.2">
      <c r="A23" s="141">
        <f>'[1]ACHIEVEMENT STORE'!A23</f>
        <v>19</v>
      </c>
      <c r="B23" s="142" t="str">
        <f>'[1]ACHIEVEMENT STORE'!B23</f>
        <v>618 茂物 BOGOR</v>
      </c>
      <c r="C23" s="141">
        <f>'[1]ACHIEVEMENT STORE'!C23</f>
        <v>6180706</v>
      </c>
      <c r="D23" s="142" t="str">
        <f>'[1]ACHIEVEMENT STORE'!D23</f>
        <v>6180706-MVS MALL CCM</v>
      </c>
      <c r="E23" s="142" t="str">
        <f>'[1]ACHIEVEMENT STORE'!E23</f>
        <v>DANDI SURYA</v>
      </c>
      <c r="F23" s="143">
        <f>IFERROR(INDEX('[1]SALES PERTYPE'!$D$10:$D$52,MATCH($C23,'[1]SALES PERTYPE'!$B$10:$B$52,0)),0)</f>
        <v>10</v>
      </c>
      <c r="G23" s="143">
        <f>IFERROR(INDEX('[1]Sales per type juli'!$D$10:$BA$51,MATCH($C23,'[1]Sales per type juli'!$B$10:$B$51,0),MATCH("Y05",'[1]Sales per type juli'!$D$8:$BA$8,0)),0)</f>
        <v>19</v>
      </c>
      <c r="H23" s="143">
        <f t="shared" si="0"/>
        <v>-9</v>
      </c>
      <c r="I23" s="143">
        <f>IFERROR(INDEX('[1]SALES PERTYPE'!$E$10:$E$52,MATCH($C23,'[1]SALES PERTYPE'!$B$10:$B$52,0)),0)</f>
        <v>24490000</v>
      </c>
      <c r="J23" s="143" cm="1">
        <f t="array" ref="J23">IFERROR(INDEX('[1]Sales per type juli'!$D$10:$BA$51,MATCH($C23,'[1]Sales per type juli'!$B$10:$B$51,0),MATCH("Y05",'[1]Sales per type juli'!$D$8:$BA$8,0)+1),0)</f>
        <v>43681000</v>
      </c>
      <c r="K23" s="143">
        <f t="shared" si="1"/>
        <v>-19191000</v>
      </c>
      <c r="L23" s="143">
        <f>IFERROR(INDEX('[1]SALES PERTYPE'!$F$10:$F$52,MATCH($C23,'[1]SALES PERTYPE'!$B$10:$B$52,0)),0)</f>
        <v>17</v>
      </c>
      <c r="M23" s="143">
        <f>IFERROR(INDEX('[1]Sales per type juli'!$D$10:$BA$51,MATCH($C23,'[1]Sales per type juli'!$B$10:$B$51,0),MATCH("Y11d",'[1]Sales per type juli'!$D$8:$BA$8,0)),0)</f>
        <v>11</v>
      </c>
      <c r="N23" s="143">
        <f t="shared" si="2"/>
        <v>6</v>
      </c>
      <c r="O23" s="143">
        <f>IFERROR(INDEX('[1]SALES PERTYPE'!$G$10:$G$52,MATCH($C23,'[1]SALES PERTYPE'!$B$10:$B$52,0)),0)</f>
        <v>44783000</v>
      </c>
      <c r="P23" s="143" cm="1">
        <f t="array" ref="P23">IFERROR(INDEX('[1]Sales per type juli'!$D$10:$BA$51,MATCH($C23,'[1]Sales per type juli'!$B$10:$B$51,0),MATCH("Y11d",'[1]Sales per type juli'!$D$8:$BA$8,0)+1),0)</f>
        <v>29589000</v>
      </c>
      <c r="Q23" s="143">
        <f t="shared" si="3"/>
        <v>15194000</v>
      </c>
      <c r="R23" s="143">
        <f>IFERROR(INDEX('[1]SALES PERTYPE'!$H$10:$H$52,MATCH($C23,'[1]SALES PERTYPE'!$B$10:$B$52,0)),0)</f>
        <v>0</v>
      </c>
      <c r="S23" s="143">
        <f>IFERROR(INDEX('[1]Sales per type juli'!$D$10:$BA$51,MATCH($C23,'[1]Sales per type juli'!$B$10:$B$51,0),MATCH("Watch GT 2",'[1]Sales per type juli'!$D$8:$BA$8,0)),0)</f>
        <v>0</v>
      </c>
      <c r="T23" s="143">
        <f t="shared" si="4"/>
        <v>0</v>
      </c>
      <c r="U23" s="143">
        <f>IFERROR(INDEX('[1]SALES PERTYPE'!$I$10:$I$52,MATCH($C23,'[1]SALES PERTYPE'!$B$10:$B$52,0)),0)</f>
        <v>0</v>
      </c>
      <c r="V23" s="143" cm="1">
        <f t="array" ref="V23">IFERROR(INDEX('[1]Sales per type juli'!$D$10:$BA$51,MATCH($C23,'[1]Sales per type juli'!$B$10:$B$51,0),MATCH("Watch GT 2",'[1]Sales per type juli'!$D$8:$BA$8,0)+1),0)</f>
        <v>0</v>
      </c>
      <c r="W23" s="143">
        <f t="shared" si="5"/>
        <v>0</v>
      </c>
      <c r="X23" s="143">
        <f>IFERROR(INDEX('[1]SALES PERTYPE'!$J$10:$J$52,MATCH($C23,'[1]SALES PERTYPE'!$B$10:$B$52,0)),0)</f>
        <v>17</v>
      </c>
      <c r="Y23" s="143">
        <f>IFERROR(INDEX('[1]Sales per type juli'!$D$10:$BA$51,MATCH($C23,'[1]Sales per type juli'!$B$10:$B$51,0),MATCH("Y05e",'[1]Sales per type juli'!$D$8:$BA$8,0)),0)</f>
        <v>0</v>
      </c>
      <c r="Z23" s="143">
        <f t="shared" si="6"/>
        <v>17</v>
      </c>
      <c r="AA23" s="143">
        <f>IFERROR(INDEX('[1]SALES PERTYPE'!$K$10:$K$52,MATCH($C23,'[1]SALES PERTYPE'!$B$10:$B$52,0)),0)</f>
        <v>35683000</v>
      </c>
      <c r="AB23" s="143" cm="1">
        <f t="array" ref="AB23">IFERROR(INDEX('[1]Sales per type juli'!$D$10:$BA$51,MATCH($C23,'[1]Sales per type juli'!$B$10:$B$51,0),MATCH("Y05e",'[1]Sales per type juli'!$D$8:$BA$8,0)+1),0)</f>
        <v>0</v>
      </c>
      <c r="AC23" s="143">
        <f t="shared" si="7"/>
        <v>35683000</v>
      </c>
      <c r="AD23" s="143">
        <f>IFERROR(INDEX('[1]SALES PERTYPE'!$L$10:$L$52,MATCH($C23,'[1]SALES PERTYPE'!$B$10:$B$52,0)),0)</f>
        <v>2</v>
      </c>
      <c r="AE23" s="143">
        <f>IFERROR(INDEX('[1]Sales per type juli'!$D$10:$BA$51,MATCH($C23,'[1]Sales per type juli'!$B$10:$B$51,0),MATCH("V70",'[1]Sales per type juli'!$D$8:$BA$8,0)),0)</f>
        <v>8</v>
      </c>
      <c r="AF23" s="143">
        <f t="shared" si="8"/>
        <v>-6</v>
      </c>
      <c r="AG23" s="143">
        <f>IFERROR(INDEX('[1]SALES PERTYPE'!$M$10:$M$52,MATCH($C23,'[1]SALES PERTYPE'!$B$10:$B$52,0)),0)</f>
        <v>19998000</v>
      </c>
      <c r="AH23" s="143" cm="1">
        <f t="array" ref="AH23">IFERROR(INDEX('[1]Sales per type juli'!$D$10:$BA$51,MATCH($C23,'[1]Sales per type juli'!$B$10:$B$51,0),MATCH("V70",'[1]Sales per type juli'!$D$8:$BA$8,0)+1),0)</f>
        <v>71992000</v>
      </c>
      <c r="AI23" s="143">
        <f t="shared" si="9"/>
        <v>-51994000</v>
      </c>
      <c r="AJ23" s="143">
        <f>IFERROR(INDEX('[1]SALES PERTYPE'!$N$10:$N$52,MATCH($C23,'[1]SALES PERTYPE'!$B$10:$B$52,0)),0)</f>
        <v>11</v>
      </c>
      <c r="AK23" s="143">
        <f>IFERROR(INDEX('[1]Sales per type juli'!$D$10:$BA$51,MATCH($C23,'[1]Sales per type juli'!$B$10:$B$51,0),MATCH("Y31d Pro",'[1]Sales per type juli'!$D$8:$BA$8,0)),0)</f>
        <v>7</v>
      </c>
      <c r="AL23" s="143">
        <f t="shared" si="10"/>
        <v>4</v>
      </c>
      <c r="AM23" s="143">
        <f>IFERROR(INDEX('[1]SALES PERTYPE'!$O$10:$O$52,MATCH($C23,'[1]SALES PERTYPE'!$B$10:$B$52,0)),0)</f>
        <v>50289000</v>
      </c>
      <c r="AN23" s="143" cm="1">
        <f t="array" ref="AN23">IFERROR(INDEX('[1]Sales per type juli'!$D$10:$BA$51,MATCH($C23,'[1]Sales per type juli'!$B$10:$B$51,0),MATCH("Y31d Pro",'[1]Sales per type juli'!$D$8:$BA$8,0)+1),0)</f>
        <v>30493000</v>
      </c>
      <c r="AO23" s="143">
        <f t="shared" si="11"/>
        <v>19796000</v>
      </c>
      <c r="AP23" s="143">
        <f>IFERROR(INDEX('[1]SALES PERTYPE'!$P$10:$P$52,MATCH($C23,'[1]SALES PERTYPE'!$B$10:$B$52,0)),0)</f>
        <v>0</v>
      </c>
      <c r="AQ23" s="143" cm="1">
        <f t="array" ref="AQ23">IFERROR(INDEX('[1]Sales per type juli'!$D$10:$BA$51,MATCH($C23,'[1]Sales per type juli'!$B$10:$B$51,0),$FG$2),0)</f>
        <v>0</v>
      </c>
      <c r="AR23" s="143">
        <f t="shared" si="12"/>
        <v>0</v>
      </c>
      <c r="AS23" s="143">
        <f>IFERROR(INDEX('[1]SALES PERTYPE'!$Q$10:$Q$52,MATCH($C23,'[1]SALES PERTYPE'!$B$10:$B$52,0)),0)</f>
        <v>0</v>
      </c>
      <c r="AT23" s="143" cm="1">
        <f t="array" ref="AT23">IFERROR(INDEX('[1]Sales per type juli'!$D$10:$BA$51,MATCH($C23,'[1]Sales per type juli'!$B$10:$B$51,0),$FG$2+1),0)</f>
        <v>0</v>
      </c>
      <c r="AU23" s="143">
        <f t="shared" si="13"/>
        <v>0</v>
      </c>
      <c r="AV23" s="143">
        <f>IFERROR(INDEX('[1]SALES PERTYPE'!$R$10:$R$52,MATCH($C23,'[1]SALES PERTYPE'!$B$10:$B$52,0)),0)</f>
        <v>2</v>
      </c>
      <c r="AW23" s="143">
        <f>IFERROR(INDEX('[1]Sales per type juli'!$D$10:$BA$51,MATCH($C23,'[1]Sales per type juli'!$B$10:$B$51,0),MATCH("Y31d ",'[1]Sales per type juli'!$D$8:$BA$8,0)),0)</f>
        <v>2</v>
      </c>
      <c r="AX23" s="143">
        <f t="shared" si="14"/>
        <v>0</v>
      </c>
      <c r="AY23" s="143">
        <f>IFERROR(INDEX('[1]SALES PERTYPE'!$S$10:$S$52,MATCH($C23,'[1]SALES PERTYPE'!$B$10:$B$52,0)),0)</f>
        <v>7198000</v>
      </c>
      <c r="AZ23" s="143" cm="1">
        <f t="array" ref="AZ23">IFERROR(INDEX('[1]Sales per type juli'!$D$10:$BA$51,MATCH($C23,'[1]Sales per type juli'!$B$10:$B$51,0),MATCH("Y31d ",'[1]Sales per type juli'!$D$8:$BA$8,0)+1),0)</f>
        <v>7198000</v>
      </c>
      <c r="BA23" s="143">
        <f t="shared" si="15"/>
        <v>0</v>
      </c>
      <c r="BB23" s="143">
        <f>IFERROR(INDEX('[1]SALES PERTYPE'!$T$10:$T$52,MATCH($C23,'[1]SALES PERTYPE'!$B$10:$B$52,0)),0)</f>
        <v>5</v>
      </c>
      <c r="BC23" s="143">
        <f>IFERROR(INDEX('[1]Sales per type juli'!$D$10:$BA$51,MATCH($C23,'[1]Sales per type juli'!$B$10:$B$51,0),MATCH("V70 FE",'[1]Sales per type juli'!$D$8:$BA$8,0)),0)</f>
        <v>11</v>
      </c>
      <c r="BD23" s="143">
        <f t="shared" si="16"/>
        <v>-6</v>
      </c>
      <c r="BE23" s="143">
        <f>IFERROR(INDEX('[1]SALES PERTYPE'!$U$10:$U$52,MATCH($C23,'[1]SALES PERTYPE'!$B$10:$B$52,0)),0)</f>
        <v>39995000</v>
      </c>
      <c r="BF23" s="143" cm="1">
        <f t="array" ref="BF23">IFERROR(INDEX('[1]Sales per type juli'!$D$10:$BA$51,MATCH($C23,'[1]Sales per type juli'!$B$10:$B$51,0),MATCH("V70 FE",'[1]Sales per type juli'!$D$8:$BA$8,0)+1),0)</f>
        <v>73589000</v>
      </c>
      <c r="BG23" s="143">
        <f t="shared" si="17"/>
        <v>-33594000</v>
      </c>
      <c r="BH23" s="143">
        <f>IFERROR(INDEX('[1]SALES PERTYPE'!$V$10:$V$52,MATCH($C23,'[1]SALES PERTYPE'!$B$10:$B$52,0)),0)</f>
        <v>3</v>
      </c>
      <c r="BI23" s="143">
        <f>IFERROR(INDEX('[1]Sales per type juli'!$D$10:$BA$51,MATCH($C23,'[1]Sales per type juli'!$B$10:$B$51,0),MATCH("Y31d",'[1]Sales per type juli'!$D$8:$BA$8,0)),0)</f>
        <v>6</v>
      </c>
      <c r="BJ23" s="143">
        <f t="shared" si="18"/>
        <v>-3</v>
      </c>
      <c r="BK23" s="143">
        <f>IFERROR(INDEX('[1]SALES PERTYPE'!$W$10:$W$52,MATCH($C23,'[1]SALES PERTYPE'!$B$10:$B$52,0)),0)</f>
        <v>10797000</v>
      </c>
      <c r="BL23" s="143" cm="1">
        <f t="array" ref="BL23">IFERROR(INDEX('[1]Sales per type juli'!$D$10:$BA$51,MATCH($C23,'[1]Sales per type juli'!$B$10:$B$51,0),MATCH("Y31d",'[1]Sales per type juli'!$D$8:$BA$8,0)+1),0)</f>
        <v>21594000</v>
      </c>
      <c r="BM23" s="143">
        <f t="shared" si="19"/>
        <v>-10797000</v>
      </c>
      <c r="BN23" s="143">
        <f>IFERROR(INDEX('[1]SALES PERTYPE'!$X$10:$X$52,MATCH($C23,'[1]SALES PERTYPE'!$B$10:$B$52,0)),0)</f>
        <v>2</v>
      </c>
      <c r="BO23" s="143">
        <f>IFERROR(INDEX('[1]Sales per type juli'!$D$10:$BA$51,MATCH($C23,'[1]Sales per type juli'!$B$10:$B$51,0),MATCH("Y500",'[1]Sales per type juli'!$D$8:$BA$8,0)),0)</f>
        <v>3</v>
      </c>
      <c r="BP23" s="143">
        <f t="shared" si="20"/>
        <v>-1</v>
      </c>
      <c r="BQ23" s="143">
        <f>IFERROR(INDEX('[1]SALES PERTYPE'!$Y$10:$Y$52,MATCH($C23,'[1]SALES PERTYPE'!$B$10:$B$52,0)),0)</f>
        <v>11798000</v>
      </c>
      <c r="BR23" s="143" cm="1">
        <f t="array" ref="BR23">IFERROR(INDEX('[1]Sales per type juli'!$D$10:$BA$51,MATCH($C23,'[1]Sales per type juli'!$B$10:$B$51,0),MATCH("Y500",'[1]Sales per type juli'!$D$8:$BA$8,0)+1),0)</f>
        <v>16497000</v>
      </c>
      <c r="BS23" s="143">
        <f t="shared" si="21"/>
        <v>-4699000</v>
      </c>
      <c r="BT23" s="143">
        <f>IFERROR(INDEX('[1]SALES PERTYPE'!$Z$10:$Z$52,MATCH($C23,'[1]SALES PERTYPE'!$B$10:$B$52,0)),0)</f>
        <v>0</v>
      </c>
      <c r="BU23" s="143">
        <f>IFERROR(INDEX('[1]Sales per type juli'!$D$10:$BA$51,MATCH($C23,'[1]Sales per type juli'!$B$10:$B$51,0),MATCH("IQOO 15R",'[1]Sales per type juli'!$D$8:$BA$8,0)),0)</f>
        <v>5</v>
      </c>
      <c r="BV23" s="143">
        <f t="shared" si="22"/>
        <v>-5</v>
      </c>
      <c r="BW23" s="143">
        <f>IFERROR(INDEX('[1]SALES PERTYPE'!$AA$10:$AA$52,MATCH($C23,'[1]SALES PERTYPE'!$B$10:$B$52,0)),0)</f>
        <v>0</v>
      </c>
      <c r="BX23" s="143" cm="1">
        <f t="array" ref="BX23">IFERROR(INDEX('[1]Sales per type juli'!$D$10:$BA$51,MATCH($C23,'[1]Sales per type juli'!$B$10:$B$51,0),MATCH("IQOO 15R",'[1]Sales per type juli'!$D$8:$BA$8,0)+1),0)</f>
        <v>50995000</v>
      </c>
      <c r="BY23" s="143">
        <f t="shared" si="23"/>
        <v>-50995000</v>
      </c>
      <c r="BZ23" s="143">
        <f>IFERROR(INDEX('[1]SALES PERTYPE'!$AB$10:$AB$52,MATCH($C23,'[1]SALES PERTYPE'!$B$10:$B$52,0)),0)</f>
        <v>8</v>
      </c>
      <c r="CA23" s="143">
        <f>IFERROR(INDEX('[1]Sales per type juli'!$D$10:$BA$51,MATCH($C23,'[1]Sales per type juli'!$B$10:$B$51,0),MATCH("V60 Lite",'[1]Sales per type juli'!$D$8:$BA$8,0)),0)</f>
        <v>5</v>
      </c>
      <c r="CB23" s="143">
        <f t="shared" si="24"/>
        <v>3</v>
      </c>
      <c r="CC23" s="143">
        <f>IFERROR(INDEX('[1]SALES PERTYPE'!$AC$10:$AC$52,MATCH($C23,'[1]SALES PERTYPE'!$B$10:$B$52,0)),0)</f>
        <v>45992000</v>
      </c>
      <c r="CD23" s="143" cm="1">
        <f t="array" ref="CD23">IFERROR(INDEX('[1]Sales per type juli'!$D$10:$BA$51,MATCH($C23,'[1]Sales per type juli'!$B$10:$B$51,0),MATCH("V60 Lite",'[1]Sales per type juli'!$D$8:$BA$8,0)+1),0)</f>
        <v>26495000</v>
      </c>
      <c r="CE23" s="143">
        <f t="shared" si="25"/>
        <v>19497000</v>
      </c>
      <c r="CF23" s="143">
        <f>IFERROR(INDEX('[1]SALES PERTYPE'!$AD$10:$AD$52,MATCH($C23,'[1]SALES PERTYPE'!$B$10:$B$52,0)),0)</f>
        <v>0</v>
      </c>
      <c r="CG23" s="143">
        <f>IFERROR(INDEX('[1]Sales per type juli'!$D$10:$BA$51,MATCH($C23,'[1]Sales per type juli'!$B$10:$B$51,0),MATCH("X300 Ultra",'[1]Sales per type juli'!$D$8:$BA$8,0)),0)</f>
        <v>0</v>
      </c>
      <c r="CH23" s="143">
        <f t="shared" si="26"/>
        <v>0</v>
      </c>
      <c r="CI23" s="143">
        <f>IFERROR(INDEX('[1]SALES PERTYPE'!$AE$10:$AE$52,MATCH($C23,'[1]SALES PERTYPE'!$B$10:$B$52,0)),0)</f>
        <v>0</v>
      </c>
      <c r="CJ23" s="143" cm="1">
        <f t="array" ref="CJ23">IFERROR(INDEX('[1]Sales per type juli'!$D$10:$BA$51,MATCH($C23,'[1]Sales per type juli'!$B$10:$B$51,0),MATCH("X300 Ultra",'[1]Sales per type juli'!$D$8:$BA$8,0)+1),0)</f>
        <v>0</v>
      </c>
      <c r="CK23" s="143">
        <f t="shared" si="27"/>
        <v>0</v>
      </c>
      <c r="CL23" s="143">
        <f>IFERROR(INDEX('[1]SALES PERTYPE'!$AF$10:$AF$52,MATCH($C23,'[1]SALES PERTYPE'!$B$10:$B$52,0)),0)</f>
        <v>0</v>
      </c>
      <c r="CM23" s="143">
        <f>IFERROR(INDEX('[1]Sales per type juli'!$D$10:$BA$51,MATCH($C23,'[1]Sales per type juli'!$B$10:$B$51,0),MATCH("IQOO 15",'[1]Sales per type juli'!$D$8:$BA$8,0)),0)</f>
        <v>0</v>
      </c>
      <c r="CN23" s="143">
        <f t="shared" si="28"/>
        <v>0</v>
      </c>
      <c r="CO23" s="143">
        <f>IFERROR(INDEX('[1]SALES PERTYPE'!$AG$10:$AG$52,MATCH($C23,'[1]SALES PERTYPE'!$B$10:$B$52,0)),0)</f>
        <v>0</v>
      </c>
      <c r="CP23" s="143" cm="1">
        <f t="array" ref="CP23">IFERROR(INDEX('[1]Sales per type juli'!$D$10:$BA$51,MATCH($C23,'[1]Sales per type juli'!$B$10:$B$51,0),MATCH("IQOO 15",'[1]Sales per type juli'!$D$8:$BA$8,0)+1),0)</f>
        <v>0</v>
      </c>
      <c r="CQ23" s="143">
        <f t="shared" si="29"/>
        <v>0</v>
      </c>
      <c r="CR23" s="143">
        <f>IFERROR(INDEX('[1]SALES PERTYPE'!$AH$10:$AH$52,MATCH($C23,'[1]SALES PERTYPE'!$B$10:$B$52,0)),0)</f>
        <v>3</v>
      </c>
      <c r="CS23" s="143">
        <f>IFERROR(INDEX('[1]Sales per type juli'!$D$10:$BA$51,MATCH($C23,'[1]Sales per type juli'!$B$10:$B$51,0),MATCH("IQOO Z11x",'[1]Sales per type juli'!$D$8:$BA$8,0)),0)</f>
        <v>6</v>
      </c>
      <c r="CT23" s="143">
        <f t="shared" si="30"/>
        <v>-3</v>
      </c>
      <c r="CU23" s="143">
        <f>IFERROR(INDEX('[1]SALES PERTYPE'!$AI$10:$AI$52,MATCH($C23,'[1]SALES PERTYPE'!$B$10:$B$52,0)),0)</f>
        <v>17097000</v>
      </c>
      <c r="CV23" s="143" cm="1">
        <f t="array" ref="CV23">IFERROR(INDEX('[1]Sales per type juli'!$D$10:$BA$51,MATCH($C23,'[1]Sales per type juli'!$B$10:$B$51,0),MATCH("IQOO Z11x",'[1]Sales per type juli'!$D$8:$BA$8,0)+1),0)</f>
        <v>28794000</v>
      </c>
      <c r="CW23" s="143">
        <f t="shared" si="31"/>
        <v>-11697000</v>
      </c>
      <c r="CX23" s="143">
        <f>IFERROR(INDEX('[1]SALES PERTYPE'!$AJ$10:$AJ$52,MATCH($C23,'[1]SALES PERTYPE'!$B$10:$B$52,0)),0)</f>
        <v>2</v>
      </c>
      <c r="CY23" s="143">
        <f>IFERROR(INDEX('[1]Sales per type juli'!$D$10:$BA$51,MATCH($C23,'[1]Sales per type juli'!$B$10:$B$51,0),MATCH("IQOO Z11",'[1]Sales per type juli'!$D$8:$BA$8,0)),0)</f>
        <v>9</v>
      </c>
      <c r="CZ23" s="143">
        <f t="shared" si="32"/>
        <v>-7</v>
      </c>
      <c r="DA23" s="143">
        <f>IFERROR(INDEX('[1]SALES PERTYPE'!$AK$10:$AK$52,MATCH($C23,'[1]SALES PERTYPE'!$B$10:$B$52,0)),0)</f>
        <v>13798000</v>
      </c>
      <c r="DB23" s="143" cm="1">
        <f t="array" ref="DB23">IFERROR(INDEX('[1]Sales per type juli'!$D$10:$BA$51,MATCH($C23,'[1]Sales per type juli'!$B$10:$B$51,0),MATCH("IQOO Z11",'[1]Sales per type juli'!$D$8:$BA$8,0)+1),0)</f>
        <v>52291000</v>
      </c>
      <c r="DC23" s="143">
        <f t="shared" si="33"/>
        <v>-38493000</v>
      </c>
      <c r="DD23" s="143">
        <v>0</v>
      </c>
      <c r="DE23" s="143">
        <f>IFERROR(INDEX('[1]Sales per type juli'!$D$10:$BA$51,MATCH($C23,'[1]Sales per type juli'!$B$10:$B$51,0),MATCH("WATCH 3",'[1]Sales per type juli'!$D$8:$BA$8,0)),0)</f>
        <v>0</v>
      </c>
      <c r="DF23" s="143">
        <f t="shared" si="34"/>
        <v>0</v>
      </c>
      <c r="DG23" s="143">
        <v>0</v>
      </c>
      <c r="DH23" s="143" cm="1">
        <f t="array" ref="DH23">IFERROR(INDEX('[1]Sales per type juli'!$D$10:$BA$51,MATCH($C23,'[1]Sales per type juli'!$B$10:$B$51,0),MATCH("WATCH 3",'[1]Sales per type juli'!$D$8:$BA$8,0)+1),0)</f>
        <v>0</v>
      </c>
      <c r="DI23" s="143">
        <f t="shared" si="35"/>
        <v>0</v>
      </c>
      <c r="DJ23" s="143">
        <v>0</v>
      </c>
      <c r="DK23" s="143">
        <f>IFERROR(INDEX('[1]Sales per type juli'!$D$10:$BA$51,MATCH($C23,'[1]Sales per type juli'!$B$10:$B$51,0),MATCH("X300 Demo",'[1]Sales per type juli'!$D$8:$BA$8,0)),0)</f>
        <v>3</v>
      </c>
      <c r="DL23" s="143">
        <f t="shared" si="36"/>
        <v>-3</v>
      </c>
      <c r="DM23" s="143">
        <v>0</v>
      </c>
      <c r="DN23" s="143" cm="1">
        <f t="array" ref="DN23">IFERROR(INDEX('[1]Sales per type juli'!$D$10:$BA$51,MATCH($C23,'[1]Sales per type juli'!$B$10:$B$51,0),MATCH("X300 Demo",'[1]Sales per type juli'!$D$8:$BA$8,0)+1),0)</f>
        <v>48997000</v>
      </c>
      <c r="DO23" s="143">
        <f t="shared" si="37"/>
        <v>-48997000</v>
      </c>
      <c r="DP23" s="143">
        <v>0</v>
      </c>
      <c r="DQ23" s="143">
        <f>IFERROR(INDEX('[1]Sales per type juli'!$D$10:$BA$51,MATCH($C23,'[1]Sales per type juli'!$B$10:$B$51,0),MATCH("X300 Pro Demo",'[1]Sales per type juli'!$D$8:$BA$8,0)),0)</f>
        <v>1</v>
      </c>
      <c r="DR23" s="143">
        <f t="shared" si="38"/>
        <v>-1</v>
      </c>
      <c r="DS23" s="143">
        <v>0</v>
      </c>
      <c r="DT23" s="143" cm="1">
        <f t="array" ref="DT23">IFERROR(INDEX('[1]Sales per type juli'!$D$10:$BA$51,MATCH($C23,'[1]Sales per type juli'!$B$10:$B$51,0),MATCH("X300 Pro Demo",'[1]Sales per type juli'!$D$8:$BA$8,0)+1),0)</f>
        <v>18999000</v>
      </c>
      <c r="DU23" s="143">
        <f t="shared" si="39"/>
        <v>-18999000</v>
      </c>
      <c r="DV23" s="143">
        <v>0</v>
      </c>
      <c r="DW23" s="143">
        <f>IFERROR(INDEX('[1]Sales per type juli'!$D$10:$BA$51,MATCH($C23,'[1]Sales per type juli'!$B$10:$B$51,0),MATCH("X Fold5 DEMO",'[1]Sales per type juli'!$D$8:$BA$8,0)),0)</f>
        <v>0</v>
      </c>
      <c r="DX23" s="143">
        <f t="shared" si="40"/>
        <v>0</v>
      </c>
      <c r="DY23" s="143">
        <v>0</v>
      </c>
      <c r="DZ23" s="143" cm="1">
        <f t="array" ref="DZ23">IFERROR(INDEX('[1]Sales per type juli'!$D$10:$BA$51,MATCH($C23,'[1]Sales per type juli'!$B$10:$B$51,0),MATCH("X Fold5 DEMO",'[1]Sales per type juli'!$D$8:$BA$8,0)+1),0)</f>
        <v>0</v>
      </c>
      <c r="EA23" s="143">
        <f t="shared" si="41"/>
        <v>0</v>
      </c>
      <c r="EB23" s="143">
        <v>0</v>
      </c>
      <c r="EC23" s="143">
        <f>IFERROR(INDEX('[1]Sales per type juli'!$D$10:$BA$51,MATCH($C23,'[1]Sales per type juli'!$B$10:$B$51,0),MATCH("X Fold5",'[1]Sales per type juli'!$D$8:$BA$8,0)),0)</f>
        <v>0</v>
      </c>
      <c r="ED23" s="143">
        <f t="shared" si="42"/>
        <v>0</v>
      </c>
      <c r="EE23" s="143">
        <v>0</v>
      </c>
      <c r="EF23" s="143" cm="1">
        <f t="array" ref="EF23">IFERROR(INDEX('[1]Sales per type juli'!$D$10:$BA$51,MATCH($C23,'[1]Sales per type juli'!$B$10:$B$51,0),MATCH("X Fold5",'[1]Sales per type juli'!$D$8:$BA$8,0)+1),0)</f>
        <v>0</v>
      </c>
      <c r="EG23" s="143">
        <f t="shared" si="43"/>
        <v>0</v>
      </c>
      <c r="EH23" s="143">
        <v>0</v>
      </c>
      <c r="EI23" s="143">
        <f>IFERROR(INDEX('[1]Sales per type juli'!$D$10:$BA$51,MATCH($C23,'[1]Sales per type juli'!$B$10:$B$51,0),MATCH("IQOO 15 Demo",'[1]Sales per type juli'!$D$8:$BA$8,0)),0)</f>
        <v>1</v>
      </c>
      <c r="EJ23" s="143">
        <f t="shared" si="44"/>
        <v>-1</v>
      </c>
      <c r="EK23" s="143">
        <v>0</v>
      </c>
      <c r="EL23" s="143" cm="1">
        <f t="array" ref="EL23">IFERROR(INDEX('[1]Sales per type juli'!$D$10:$BA$51,MATCH($C23,'[1]Sales per type juli'!$B$10:$B$51,0),MATCH("IQOO 15 Demo",'[1]Sales per type juli'!$D$8:$BA$8,0)+1),0)</f>
        <v>13999000</v>
      </c>
      <c r="EM23" s="143">
        <f t="shared" si="45"/>
        <v>-13999000</v>
      </c>
      <c r="EN23" s="143">
        <v>0</v>
      </c>
      <c r="EO23" s="143">
        <f>IFERROR(INDEX('[1]Sales per type juli'!$D$10:$BA$51,MATCH($C23,'[1]Sales per type juli'!$B$10:$B$51,0),MATCH("X300 PRO",'[1]Sales per type juli'!$D$8:$BA$8,0)),0)</f>
        <v>0</v>
      </c>
      <c r="EP23" s="143">
        <f t="shared" si="46"/>
        <v>0</v>
      </c>
      <c r="EQ23" s="143">
        <v>0</v>
      </c>
      <c r="ER23" s="143" cm="1">
        <f t="array" ref="ER23">IFERROR(INDEX('[1]Sales per type juli'!$D$10:$BA$51,MATCH($C23,'[1]Sales per type juli'!$B$10:$B$51,0),MATCH("X300 PRO",'[1]Sales per type juli'!$D$8:$BA$8,0)+1),0)</f>
        <v>0</v>
      </c>
      <c r="ES23" s="143">
        <f t="shared" si="47"/>
        <v>0</v>
      </c>
      <c r="ET23" s="143">
        <v>0</v>
      </c>
      <c r="EU23" s="143">
        <f>IFERROR(INDEX('[1]Sales per type juli'!$D$10:$BA$51,MATCH($C23,'[1]Sales per type juli'!$B$10:$B$51,0),MATCH("X300 ",'[1]Sales per type juli'!$D$8:$BA$8,0)),0)</f>
        <v>0</v>
      </c>
      <c r="EV23" s="143">
        <f t="shared" si="48"/>
        <v>0</v>
      </c>
      <c r="EW23" s="143">
        <v>0</v>
      </c>
      <c r="EX23" s="143" cm="1">
        <f t="array" ref="EX23">IFERROR(INDEX('[1]Sales per type juli'!$D$10:$BA$51,MATCH($C23,'[1]Sales per type juli'!$B$10:$B$51,0),MATCH("X300 ",'[1]Sales per type juli'!$D$8:$BA$8,0)+1),0)</f>
        <v>0</v>
      </c>
      <c r="EY23" s="143">
        <f t="shared" si="49"/>
        <v>0</v>
      </c>
      <c r="EZ23" s="143">
        <f t="shared" si="50"/>
        <v>82</v>
      </c>
      <c r="FA23" s="143">
        <f t="shared" si="50"/>
        <v>97</v>
      </c>
      <c r="FB23" s="143">
        <f t="shared" si="51"/>
        <v>-15</v>
      </c>
      <c r="FC23" s="143">
        <f t="shared" si="52"/>
        <v>321918000</v>
      </c>
      <c r="FD23" s="143">
        <f t="shared" si="52"/>
        <v>535203000</v>
      </c>
      <c r="FE23" s="143">
        <f t="shared" si="53"/>
        <v>-213285000</v>
      </c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</row>
    <row r="24" spans="1:208" ht="16" x14ac:dyDescent="0.2">
      <c r="A24" s="144">
        <f>'[1]ACHIEVEMENT STORE'!A24</f>
        <v>20</v>
      </c>
      <c r="B24" s="145" t="str">
        <f>'[1]ACHIEVEMENT STORE'!B24</f>
        <v>618 茂物 BOGOR</v>
      </c>
      <c r="C24" s="144">
        <f>'[1]ACHIEVEMENT STORE'!C24</f>
        <v>6180707</v>
      </c>
      <c r="D24" s="145" t="str">
        <f>'[1]ACHIEVEMENT STORE'!D24</f>
        <v>6180707-SC BTM</v>
      </c>
      <c r="E24" s="145" t="str">
        <f>'[1]ACHIEVEMENT STORE'!E24</f>
        <v>DANDI SURYA</v>
      </c>
      <c r="F24" s="143">
        <f>IFERROR(INDEX('[1]SALES PERTYPE'!$D$10:$D$52,MATCH($C24,'[1]SALES PERTYPE'!$B$10:$B$52,0)),0)</f>
        <v>3</v>
      </c>
      <c r="G24" s="143">
        <f>IFERROR(INDEX('[1]Sales per type juli'!$D$10:$BA$51,MATCH($C24,'[1]Sales per type juli'!$B$10:$B$51,0),MATCH("Y05",'[1]Sales per type juli'!$D$8:$BA$8,0)),0)</f>
        <v>5</v>
      </c>
      <c r="H24" s="143">
        <f t="shared" si="0"/>
        <v>-2</v>
      </c>
      <c r="I24" s="143">
        <f>IFERROR(INDEX('[1]SALES PERTYPE'!$E$10:$E$52,MATCH($C24,'[1]SALES PERTYPE'!$B$10:$B$52,0)),0)</f>
        <v>7497000</v>
      </c>
      <c r="J24" s="143" cm="1">
        <f t="array" ref="J24">IFERROR(INDEX('[1]Sales per type juli'!$D$10:$BA$51,MATCH($C24,'[1]Sales per type juli'!$B$10:$B$51,0),MATCH("Y05",'[1]Sales per type juli'!$D$8:$BA$8,0)+1),0)</f>
        <v>11695000</v>
      </c>
      <c r="K24" s="143">
        <f t="shared" si="1"/>
        <v>-4198000</v>
      </c>
      <c r="L24" s="143">
        <f>IFERROR(INDEX('[1]SALES PERTYPE'!$F$10:$F$52,MATCH($C24,'[1]SALES PERTYPE'!$B$10:$B$52,0)),0)</f>
        <v>5</v>
      </c>
      <c r="M24" s="143">
        <f>IFERROR(INDEX('[1]Sales per type juli'!$D$10:$BA$51,MATCH($C24,'[1]Sales per type juli'!$B$10:$B$51,0),MATCH("Y11d",'[1]Sales per type juli'!$D$8:$BA$8,0)),0)</f>
        <v>5</v>
      </c>
      <c r="N24" s="143">
        <f t="shared" si="2"/>
        <v>0</v>
      </c>
      <c r="O24" s="143">
        <f>IFERROR(INDEX('[1]SALES PERTYPE'!$G$10:$G$52,MATCH($C24,'[1]SALES PERTYPE'!$B$10:$B$52,0)),0)</f>
        <v>13195000</v>
      </c>
      <c r="P24" s="143" cm="1">
        <f t="array" ref="P24">IFERROR(INDEX('[1]Sales per type juli'!$D$10:$BA$51,MATCH($C24,'[1]Sales per type juli'!$B$10:$B$51,0),MATCH("Y11d",'[1]Sales per type juli'!$D$8:$BA$8,0)+1),0)</f>
        <v>13995000</v>
      </c>
      <c r="Q24" s="143">
        <f t="shared" si="3"/>
        <v>-800000</v>
      </c>
      <c r="R24" s="143">
        <f>IFERROR(INDEX('[1]SALES PERTYPE'!$H$10:$H$52,MATCH($C24,'[1]SALES PERTYPE'!$B$10:$B$52,0)),0)</f>
        <v>0</v>
      </c>
      <c r="S24" s="143">
        <f>IFERROR(INDEX('[1]Sales per type juli'!$D$10:$BA$51,MATCH($C24,'[1]Sales per type juli'!$B$10:$B$51,0),MATCH("Watch GT 2",'[1]Sales per type juli'!$D$8:$BA$8,0)),0)</f>
        <v>0</v>
      </c>
      <c r="T24" s="143">
        <f t="shared" si="4"/>
        <v>0</v>
      </c>
      <c r="U24" s="143">
        <f>IFERROR(INDEX('[1]SALES PERTYPE'!$I$10:$I$52,MATCH($C24,'[1]SALES PERTYPE'!$B$10:$B$52,0)),0)</f>
        <v>0</v>
      </c>
      <c r="V24" s="143" cm="1">
        <f t="array" ref="V24">IFERROR(INDEX('[1]Sales per type juli'!$D$10:$BA$51,MATCH($C24,'[1]Sales per type juli'!$B$10:$B$51,0),MATCH("Watch GT 2",'[1]Sales per type juli'!$D$8:$BA$8,0)+1),0)</f>
        <v>0</v>
      </c>
      <c r="W24" s="143">
        <f t="shared" si="5"/>
        <v>0</v>
      </c>
      <c r="X24" s="143">
        <f>IFERROR(INDEX('[1]SALES PERTYPE'!$J$10:$J$52,MATCH($C24,'[1]SALES PERTYPE'!$B$10:$B$52,0)),0)</f>
        <v>0</v>
      </c>
      <c r="Y24" s="143">
        <f>IFERROR(INDEX('[1]Sales per type juli'!$D$10:$BA$51,MATCH($C24,'[1]Sales per type juli'!$B$10:$B$51,0),MATCH("Y05e",'[1]Sales per type juli'!$D$8:$BA$8,0)),0)</f>
        <v>0</v>
      </c>
      <c r="Z24" s="143">
        <f t="shared" si="6"/>
        <v>0</v>
      </c>
      <c r="AA24" s="143">
        <f>IFERROR(INDEX('[1]SALES PERTYPE'!$K$10:$K$52,MATCH($C24,'[1]SALES PERTYPE'!$B$10:$B$52,0)),0)</f>
        <v>0</v>
      </c>
      <c r="AB24" s="143" cm="1">
        <f t="array" ref="AB24">IFERROR(INDEX('[1]Sales per type juli'!$D$10:$BA$51,MATCH($C24,'[1]Sales per type juli'!$B$10:$B$51,0),MATCH("Y05e",'[1]Sales per type juli'!$D$8:$BA$8,0)+1),0)</f>
        <v>0</v>
      </c>
      <c r="AC24" s="143">
        <f t="shared" si="7"/>
        <v>0</v>
      </c>
      <c r="AD24" s="143">
        <f>IFERROR(INDEX('[1]SALES PERTYPE'!$L$10:$L$52,MATCH($C24,'[1]SALES PERTYPE'!$B$10:$B$52,0)),0)</f>
        <v>0</v>
      </c>
      <c r="AE24" s="143">
        <f>IFERROR(INDEX('[1]Sales per type juli'!$D$10:$BA$51,MATCH($C24,'[1]Sales per type juli'!$B$10:$B$51,0),MATCH("V70",'[1]Sales per type juli'!$D$8:$BA$8,0)),0)</f>
        <v>2</v>
      </c>
      <c r="AF24" s="143">
        <f t="shared" si="8"/>
        <v>-2</v>
      </c>
      <c r="AG24" s="143">
        <f>IFERROR(INDEX('[1]SALES PERTYPE'!$M$10:$M$52,MATCH($C24,'[1]SALES PERTYPE'!$B$10:$B$52,0)),0)</f>
        <v>0</v>
      </c>
      <c r="AH24" s="143" cm="1">
        <f t="array" ref="AH24">IFERROR(INDEX('[1]Sales per type juli'!$D$10:$BA$51,MATCH($C24,'[1]Sales per type juli'!$B$10:$B$51,0),MATCH("V70",'[1]Sales per type juli'!$D$8:$BA$8,0)+1),0)</f>
        <v>17998000</v>
      </c>
      <c r="AI24" s="143">
        <f t="shared" si="9"/>
        <v>-17998000</v>
      </c>
      <c r="AJ24" s="143">
        <f>IFERROR(INDEX('[1]SALES PERTYPE'!$N$10:$N$52,MATCH($C24,'[1]SALES PERTYPE'!$B$10:$B$52,0)),0)</f>
        <v>2</v>
      </c>
      <c r="AK24" s="143">
        <f>IFERROR(INDEX('[1]Sales per type juli'!$D$10:$BA$51,MATCH($C24,'[1]Sales per type juli'!$B$10:$B$51,0),MATCH("Y31d Pro",'[1]Sales per type juli'!$D$8:$BA$8,0)),0)</f>
        <v>4</v>
      </c>
      <c r="AL24" s="143">
        <f t="shared" si="10"/>
        <v>-2</v>
      </c>
      <c r="AM24" s="143">
        <f>IFERROR(INDEX('[1]SALES PERTYPE'!$O$10:$O$52,MATCH($C24,'[1]SALES PERTYPE'!$B$10:$B$52,0)),0)</f>
        <v>9798000</v>
      </c>
      <c r="AN24" s="143" cm="1">
        <f t="array" ref="AN24">IFERROR(INDEX('[1]Sales per type juli'!$D$10:$BA$51,MATCH($C24,'[1]Sales per type juli'!$B$10:$B$51,0),MATCH("Y31d Pro",'[1]Sales per type juli'!$D$8:$BA$8,0)+1),0)</f>
        <v>17796000</v>
      </c>
      <c r="AO24" s="143">
        <f t="shared" si="11"/>
        <v>-7998000</v>
      </c>
      <c r="AP24" s="143">
        <f>IFERROR(INDEX('[1]SALES PERTYPE'!$P$10:$P$52,MATCH($C24,'[1]SALES PERTYPE'!$B$10:$B$52,0)),0)</f>
        <v>0</v>
      </c>
      <c r="AQ24" s="143" cm="1">
        <f t="array" ref="AQ24">IFERROR(INDEX('[1]Sales per type juli'!$D$10:$BA$51,MATCH($C24,'[1]Sales per type juli'!$B$10:$B$51,0),$FG$2),0)</f>
        <v>0</v>
      </c>
      <c r="AR24" s="143">
        <f t="shared" si="12"/>
        <v>0</v>
      </c>
      <c r="AS24" s="143">
        <f>IFERROR(INDEX('[1]SALES PERTYPE'!$Q$10:$Q$52,MATCH($C24,'[1]SALES PERTYPE'!$B$10:$B$52,0)),0)</f>
        <v>0</v>
      </c>
      <c r="AT24" s="143" cm="1">
        <f t="array" ref="AT24">IFERROR(INDEX('[1]Sales per type juli'!$D$10:$BA$51,MATCH($C24,'[1]Sales per type juli'!$B$10:$B$51,0),$FG$2+1),0)</f>
        <v>0</v>
      </c>
      <c r="AU24" s="143">
        <f t="shared" si="13"/>
        <v>0</v>
      </c>
      <c r="AV24" s="143">
        <f>IFERROR(INDEX('[1]SALES PERTYPE'!$R$10:$R$52,MATCH($C24,'[1]SALES PERTYPE'!$B$10:$B$52,0)),0)</f>
        <v>1</v>
      </c>
      <c r="AW24" s="143">
        <f>IFERROR(INDEX('[1]Sales per type juli'!$D$10:$BA$51,MATCH($C24,'[1]Sales per type juli'!$B$10:$B$51,0),MATCH("Y31d ",'[1]Sales per type juli'!$D$8:$BA$8,0)),0)</f>
        <v>0</v>
      </c>
      <c r="AX24" s="143">
        <f t="shared" si="14"/>
        <v>1</v>
      </c>
      <c r="AY24" s="143">
        <f>IFERROR(INDEX('[1]SALES PERTYPE'!$S$10:$S$52,MATCH($C24,'[1]SALES PERTYPE'!$B$10:$B$52,0)),0)</f>
        <v>3599000</v>
      </c>
      <c r="AZ24" s="143" cm="1">
        <f t="array" ref="AZ24">IFERROR(INDEX('[1]Sales per type juli'!$D$10:$BA$51,MATCH($C24,'[1]Sales per type juli'!$B$10:$B$51,0),MATCH("Y31d ",'[1]Sales per type juli'!$D$8:$BA$8,0)+1),0)</f>
        <v>0</v>
      </c>
      <c r="BA24" s="143">
        <f t="shared" si="15"/>
        <v>3599000</v>
      </c>
      <c r="BB24" s="143">
        <f>IFERROR(INDEX('[1]SALES PERTYPE'!$T$10:$T$52,MATCH($C24,'[1]SALES PERTYPE'!$B$10:$B$52,0)),0)</f>
        <v>3</v>
      </c>
      <c r="BC24" s="143">
        <f>IFERROR(INDEX('[1]Sales per type juli'!$D$10:$BA$51,MATCH($C24,'[1]Sales per type juli'!$B$10:$B$51,0),MATCH("V70 FE",'[1]Sales per type juli'!$D$8:$BA$8,0)),0)</f>
        <v>1</v>
      </c>
      <c r="BD24" s="143">
        <f t="shared" si="16"/>
        <v>2</v>
      </c>
      <c r="BE24" s="143">
        <f>IFERROR(INDEX('[1]SALES PERTYPE'!$U$10:$U$52,MATCH($C24,'[1]SALES PERTYPE'!$B$10:$B$52,0)),0)</f>
        <v>21997000</v>
      </c>
      <c r="BF24" s="143" cm="1">
        <f t="array" ref="BF24">IFERROR(INDEX('[1]Sales per type juli'!$D$10:$BA$51,MATCH($C24,'[1]Sales per type juli'!$B$10:$B$51,0),MATCH("V70 FE",'[1]Sales per type juli'!$D$8:$BA$8,0)+1),0)</f>
        <v>6499000</v>
      </c>
      <c r="BG24" s="143">
        <f t="shared" si="17"/>
        <v>15498000</v>
      </c>
      <c r="BH24" s="143">
        <f>IFERROR(INDEX('[1]SALES PERTYPE'!$V$10:$V$52,MATCH($C24,'[1]SALES PERTYPE'!$B$10:$B$52,0)),0)</f>
        <v>1</v>
      </c>
      <c r="BI24" s="143">
        <f>IFERROR(INDEX('[1]Sales per type juli'!$D$10:$BA$51,MATCH($C24,'[1]Sales per type juli'!$B$10:$B$51,0),MATCH("Y31d",'[1]Sales per type juli'!$D$8:$BA$8,0)),0)</f>
        <v>0</v>
      </c>
      <c r="BJ24" s="143">
        <f t="shared" si="18"/>
        <v>1</v>
      </c>
      <c r="BK24" s="143">
        <f>IFERROR(INDEX('[1]SALES PERTYPE'!$W$10:$W$52,MATCH($C24,'[1]SALES PERTYPE'!$B$10:$B$52,0)),0)</f>
        <v>3599000</v>
      </c>
      <c r="BL24" s="143" cm="1">
        <f t="array" ref="BL24">IFERROR(INDEX('[1]Sales per type juli'!$D$10:$BA$51,MATCH($C24,'[1]Sales per type juli'!$B$10:$B$51,0),MATCH("Y31d",'[1]Sales per type juli'!$D$8:$BA$8,0)+1),0)</f>
        <v>0</v>
      </c>
      <c r="BM24" s="143">
        <f t="shared" si="19"/>
        <v>3599000</v>
      </c>
      <c r="BN24" s="143">
        <f>IFERROR(INDEX('[1]SALES PERTYPE'!$X$10:$X$52,MATCH($C24,'[1]SALES PERTYPE'!$B$10:$B$52,0)),0)</f>
        <v>0</v>
      </c>
      <c r="BO24" s="143">
        <f>IFERROR(INDEX('[1]Sales per type juli'!$D$10:$BA$51,MATCH($C24,'[1]Sales per type juli'!$B$10:$B$51,0),MATCH("Y500",'[1]Sales per type juli'!$D$8:$BA$8,0)),0)</f>
        <v>0</v>
      </c>
      <c r="BP24" s="143">
        <f t="shared" si="20"/>
        <v>0</v>
      </c>
      <c r="BQ24" s="143">
        <f>IFERROR(INDEX('[1]SALES PERTYPE'!$Y$10:$Y$52,MATCH($C24,'[1]SALES PERTYPE'!$B$10:$B$52,0)),0)</f>
        <v>0</v>
      </c>
      <c r="BR24" s="143" cm="1">
        <f t="array" ref="BR24">IFERROR(INDEX('[1]Sales per type juli'!$D$10:$BA$51,MATCH($C24,'[1]Sales per type juli'!$B$10:$B$51,0),MATCH("Y500",'[1]Sales per type juli'!$D$8:$BA$8,0)+1),0)</f>
        <v>0</v>
      </c>
      <c r="BS24" s="143">
        <f t="shared" si="21"/>
        <v>0</v>
      </c>
      <c r="BT24" s="143">
        <f>IFERROR(INDEX('[1]SALES PERTYPE'!$Z$10:$Z$52,MATCH($C24,'[1]SALES PERTYPE'!$B$10:$B$52,0)),0)</f>
        <v>0</v>
      </c>
      <c r="BU24" s="143">
        <f>IFERROR(INDEX('[1]Sales per type juli'!$D$10:$BA$51,MATCH($C24,'[1]Sales per type juli'!$B$10:$B$51,0),MATCH("IQOO 15R",'[1]Sales per type juli'!$D$8:$BA$8,0)),0)</f>
        <v>0</v>
      </c>
      <c r="BV24" s="143">
        <f t="shared" si="22"/>
        <v>0</v>
      </c>
      <c r="BW24" s="143">
        <f>IFERROR(INDEX('[1]SALES PERTYPE'!$AA$10:$AA$52,MATCH($C24,'[1]SALES PERTYPE'!$B$10:$B$52,0)),0)</f>
        <v>0</v>
      </c>
      <c r="BX24" s="143" cm="1">
        <f t="array" ref="BX24">IFERROR(INDEX('[1]Sales per type juli'!$D$10:$BA$51,MATCH($C24,'[1]Sales per type juli'!$B$10:$B$51,0),MATCH("IQOO 15R",'[1]Sales per type juli'!$D$8:$BA$8,0)+1),0)</f>
        <v>0</v>
      </c>
      <c r="BY24" s="143">
        <f t="shared" si="23"/>
        <v>0</v>
      </c>
      <c r="BZ24" s="143">
        <f>IFERROR(INDEX('[1]SALES PERTYPE'!$AB$10:$AB$52,MATCH($C24,'[1]SALES PERTYPE'!$B$10:$B$52,0)),0)</f>
        <v>1</v>
      </c>
      <c r="CA24" s="143">
        <f>IFERROR(INDEX('[1]Sales per type juli'!$D$10:$BA$51,MATCH($C24,'[1]Sales per type juli'!$B$10:$B$51,0),MATCH("V60 Lite",'[1]Sales per type juli'!$D$8:$BA$8,0)),0)</f>
        <v>2</v>
      </c>
      <c r="CB24" s="143">
        <f t="shared" si="24"/>
        <v>-1</v>
      </c>
      <c r="CC24" s="143">
        <f>IFERROR(INDEX('[1]SALES PERTYPE'!$AC$10:$AC$52,MATCH($C24,'[1]SALES PERTYPE'!$B$10:$B$52,0)),0)</f>
        <v>5899000</v>
      </c>
      <c r="CD24" s="143" cm="1">
        <f t="array" ref="CD24">IFERROR(INDEX('[1]Sales per type juli'!$D$10:$BA$51,MATCH($C24,'[1]Sales per type juli'!$B$10:$B$51,0),MATCH("V60 Lite",'[1]Sales per type juli'!$D$8:$BA$8,0)+1),0)</f>
        <v>10598000</v>
      </c>
      <c r="CE24" s="143">
        <f t="shared" si="25"/>
        <v>-4699000</v>
      </c>
      <c r="CF24" s="143">
        <f>IFERROR(INDEX('[1]SALES PERTYPE'!$AD$10:$AD$52,MATCH($C24,'[1]SALES PERTYPE'!$B$10:$B$52,0)),0)</f>
        <v>0</v>
      </c>
      <c r="CG24" s="143">
        <f>IFERROR(INDEX('[1]Sales per type juli'!$D$10:$BA$51,MATCH($C24,'[1]Sales per type juli'!$B$10:$B$51,0),MATCH("X300 Ultra",'[1]Sales per type juli'!$D$8:$BA$8,0)),0)</f>
        <v>0</v>
      </c>
      <c r="CH24" s="143">
        <f t="shared" si="26"/>
        <v>0</v>
      </c>
      <c r="CI24" s="143">
        <f>IFERROR(INDEX('[1]SALES PERTYPE'!$AE$10:$AE$52,MATCH($C24,'[1]SALES PERTYPE'!$B$10:$B$52,0)),0)</f>
        <v>0</v>
      </c>
      <c r="CJ24" s="143" cm="1">
        <f t="array" ref="CJ24">IFERROR(INDEX('[1]Sales per type juli'!$D$10:$BA$51,MATCH($C24,'[1]Sales per type juli'!$B$10:$B$51,0),MATCH("X300 Ultra",'[1]Sales per type juli'!$D$8:$BA$8,0)+1),0)</f>
        <v>0</v>
      </c>
      <c r="CK24" s="143">
        <f t="shared" si="27"/>
        <v>0</v>
      </c>
      <c r="CL24" s="143">
        <f>IFERROR(INDEX('[1]SALES PERTYPE'!$AF$10:$AF$52,MATCH($C24,'[1]SALES PERTYPE'!$B$10:$B$52,0)),0)</f>
        <v>0</v>
      </c>
      <c r="CM24" s="143">
        <f>IFERROR(INDEX('[1]Sales per type juli'!$D$10:$BA$51,MATCH($C24,'[1]Sales per type juli'!$B$10:$B$51,0),MATCH("IQOO 15",'[1]Sales per type juli'!$D$8:$BA$8,0)),0)</f>
        <v>0</v>
      </c>
      <c r="CN24" s="143">
        <f t="shared" si="28"/>
        <v>0</v>
      </c>
      <c r="CO24" s="143">
        <f>IFERROR(INDEX('[1]SALES PERTYPE'!$AG$10:$AG$52,MATCH($C24,'[1]SALES PERTYPE'!$B$10:$B$52,0)),0)</f>
        <v>0</v>
      </c>
      <c r="CP24" s="143" cm="1">
        <f t="array" ref="CP24">IFERROR(INDEX('[1]Sales per type juli'!$D$10:$BA$51,MATCH($C24,'[1]Sales per type juli'!$B$10:$B$51,0),MATCH("IQOO 15",'[1]Sales per type juli'!$D$8:$BA$8,0)+1),0)</f>
        <v>0</v>
      </c>
      <c r="CQ24" s="143">
        <f t="shared" si="29"/>
        <v>0</v>
      </c>
      <c r="CR24" s="143">
        <f>IFERROR(INDEX('[1]SALES PERTYPE'!$AH$10:$AH$52,MATCH($C24,'[1]SALES PERTYPE'!$B$10:$B$52,0)),0)</f>
        <v>0</v>
      </c>
      <c r="CS24" s="143">
        <f>IFERROR(INDEX('[1]Sales per type juli'!$D$10:$BA$51,MATCH($C24,'[1]Sales per type juli'!$B$10:$B$51,0),MATCH("IQOO Z11x",'[1]Sales per type juli'!$D$8:$BA$8,0)),0)</f>
        <v>1</v>
      </c>
      <c r="CT24" s="143">
        <f t="shared" si="30"/>
        <v>-1</v>
      </c>
      <c r="CU24" s="143">
        <f>IFERROR(INDEX('[1]SALES PERTYPE'!$AI$10:$AI$52,MATCH($C24,'[1]SALES PERTYPE'!$B$10:$B$52,0)),0)</f>
        <v>0</v>
      </c>
      <c r="CV24" s="143" cm="1">
        <f t="array" ref="CV24">IFERROR(INDEX('[1]Sales per type juli'!$D$10:$BA$51,MATCH($C24,'[1]Sales per type juli'!$B$10:$B$51,0),MATCH("IQOO Z11x",'[1]Sales per type juli'!$D$8:$BA$8,0)+1),0)</f>
        <v>4799000</v>
      </c>
      <c r="CW24" s="143">
        <f t="shared" si="31"/>
        <v>-4799000</v>
      </c>
      <c r="CX24" s="143">
        <f>IFERROR(INDEX('[1]SALES PERTYPE'!$AJ$10:$AJ$52,MATCH($C24,'[1]SALES PERTYPE'!$B$10:$B$52,0)),0)</f>
        <v>0</v>
      </c>
      <c r="CY24" s="143">
        <f>IFERROR(INDEX('[1]Sales per type juli'!$D$10:$BA$51,MATCH($C24,'[1]Sales per type juli'!$B$10:$B$51,0),MATCH("IQOO Z11",'[1]Sales per type juli'!$D$8:$BA$8,0)),0)</f>
        <v>1</v>
      </c>
      <c r="CZ24" s="143">
        <f t="shared" si="32"/>
        <v>-1</v>
      </c>
      <c r="DA24" s="143">
        <f>IFERROR(INDEX('[1]SALES PERTYPE'!$AK$10:$AK$52,MATCH($C24,'[1]SALES PERTYPE'!$B$10:$B$52,0)),0)</f>
        <v>0</v>
      </c>
      <c r="DB24" s="143" cm="1">
        <f t="array" ref="DB24">IFERROR(INDEX('[1]Sales per type juli'!$D$10:$BA$51,MATCH($C24,'[1]Sales per type juli'!$B$10:$B$51,0),MATCH("IQOO Z11",'[1]Sales per type juli'!$D$8:$BA$8,0)+1),0)</f>
        <v>5699000</v>
      </c>
      <c r="DC24" s="143">
        <f t="shared" si="33"/>
        <v>-5699000</v>
      </c>
      <c r="DD24" s="143">
        <v>0</v>
      </c>
      <c r="DE24" s="143">
        <f>IFERROR(INDEX('[1]Sales per type juli'!$D$10:$BA$51,MATCH($C24,'[1]Sales per type juli'!$B$10:$B$51,0),MATCH("WATCH 3",'[1]Sales per type juli'!$D$8:$BA$8,0)),0)</f>
        <v>0</v>
      </c>
      <c r="DF24" s="143">
        <f t="shared" si="34"/>
        <v>0</v>
      </c>
      <c r="DG24" s="143">
        <v>0</v>
      </c>
      <c r="DH24" s="143" cm="1">
        <f t="array" ref="DH24">IFERROR(INDEX('[1]Sales per type juli'!$D$10:$BA$51,MATCH($C24,'[1]Sales per type juli'!$B$10:$B$51,0),MATCH("WATCH 3",'[1]Sales per type juli'!$D$8:$BA$8,0)+1),0)</f>
        <v>0</v>
      </c>
      <c r="DI24" s="143">
        <f t="shared" si="35"/>
        <v>0</v>
      </c>
      <c r="DJ24" s="143">
        <v>0</v>
      </c>
      <c r="DK24" s="143">
        <f>IFERROR(INDEX('[1]Sales per type juli'!$D$10:$BA$51,MATCH($C24,'[1]Sales per type juli'!$B$10:$B$51,0),MATCH("X300 Demo",'[1]Sales per type juli'!$D$8:$BA$8,0)),0)</f>
        <v>1</v>
      </c>
      <c r="DL24" s="143">
        <f t="shared" si="36"/>
        <v>-1</v>
      </c>
      <c r="DM24" s="143">
        <v>0</v>
      </c>
      <c r="DN24" s="143" cm="1">
        <f t="array" ref="DN24">IFERROR(INDEX('[1]Sales per type juli'!$D$10:$BA$51,MATCH($C24,'[1]Sales per type juli'!$B$10:$B$51,0),MATCH("X300 Demo",'[1]Sales per type juli'!$D$8:$BA$8,0)+1),0)</f>
        <v>14999000</v>
      </c>
      <c r="DO24" s="143">
        <f t="shared" si="37"/>
        <v>-14999000</v>
      </c>
      <c r="DP24" s="143">
        <v>0</v>
      </c>
      <c r="DQ24" s="143">
        <f>IFERROR(INDEX('[1]Sales per type juli'!$D$10:$BA$51,MATCH($C24,'[1]Sales per type juli'!$B$10:$B$51,0),MATCH("X300 Pro Demo",'[1]Sales per type juli'!$D$8:$BA$8,0)),0)</f>
        <v>1</v>
      </c>
      <c r="DR24" s="143">
        <f t="shared" si="38"/>
        <v>-1</v>
      </c>
      <c r="DS24" s="143">
        <v>0</v>
      </c>
      <c r="DT24" s="143" cm="1">
        <f t="array" ref="DT24">IFERROR(INDEX('[1]Sales per type juli'!$D$10:$BA$51,MATCH($C24,'[1]Sales per type juli'!$B$10:$B$51,0),MATCH("X300 Pro Demo",'[1]Sales per type juli'!$D$8:$BA$8,0)+1),0)</f>
        <v>18999000</v>
      </c>
      <c r="DU24" s="143">
        <f t="shared" si="39"/>
        <v>-18999000</v>
      </c>
      <c r="DV24" s="143">
        <v>0</v>
      </c>
      <c r="DW24" s="143">
        <f>IFERROR(INDEX('[1]Sales per type juli'!$D$10:$BA$51,MATCH($C24,'[1]Sales per type juli'!$B$10:$B$51,0),MATCH("X Fold5 DEMO",'[1]Sales per type juli'!$D$8:$BA$8,0)),0)</f>
        <v>0</v>
      </c>
      <c r="DX24" s="143">
        <f t="shared" si="40"/>
        <v>0</v>
      </c>
      <c r="DY24" s="143">
        <v>0</v>
      </c>
      <c r="DZ24" s="143" cm="1">
        <f t="array" ref="DZ24">IFERROR(INDEX('[1]Sales per type juli'!$D$10:$BA$51,MATCH($C24,'[1]Sales per type juli'!$B$10:$B$51,0),MATCH("X Fold5 DEMO",'[1]Sales per type juli'!$D$8:$BA$8,0)+1),0)</f>
        <v>0</v>
      </c>
      <c r="EA24" s="143">
        <f t="shared" si="41"/>
        <v>0</v>
      </c>
      <c r="EB24" s="143">
        <v>0</v>
      </c>
      <c r="EC24" s="143">
        <f>IFERROR(INDEX('[1]Sales per type juli'!$D$10:$BA$51,MATCH($C24,'[1]Sales per type juli'!$B$10:$B$51,0),MATCH("X Fold5",'[1]Sales per type juli'!$D$8:$BA$8,0)),0)</f>
        <v>0</v>
      </c>
      <c r="ED24" s="143">
        <f t="shared" si="42"/>
        <v>0</v>
      </c>
      <c r="EE24" s="143">
        <v>0</v>
      </c>
      <c r="EF24" s="143" cm="1">
        <f t="array" ref="EF24">IFERROR(INDEX('[1]Sales per type juli'!$D$10:$BA$51,MATCH($C24,'[1]Sales per type juli'!$B$10:$B$51,0),MATCH("X Fold5",'[1]Sales per type juli'!$D$8:$BA$8,0)+1),0)</f>
        <v>0</v>
      </c>
      <c r="EG24" s="143">
        <f t="shared" si="43"/>
        <v>0</v>
      </c>
      <c r="EH24" s="143">
        <v>0</v>
      </c>
      <c r="EI24" s="143">
        <f>IFERROR(INDEX('[1]Sales per type juli'!$D$10:$BA$51,MATCH($C24,'[1]Sales per type juli'!$B$10:$B$51,0),MATCH("IQOO 15 Demo",'[1]Sales per type juli'!$D$8:$BA$8,0)),0)</f>
        <v>1</v>
      </c>
      <c r="EJ24" s="143">
        <f t="shared" si="44"/>
        <v>-1</v>
      </c>
      <c r="EK24" s="143">
        <v>0</v>
      </c>
      <c r="EL24" s="143" cm="1">
        <f t="array" ref="EL24">IFERROR(INDEX('[1]Sales per type juli'!$D$10:$BA$51,MATCH($C24,'[1]Sales per type juli'!$B$10:$B$51,0),MATCH("IQOO 15 Demo",'[1]Sales per type juli'!$D$8:$BA$8,0)+1),0)</f>
        <v>13999000</v>
      </c>
      <c r="EM24" s="143">
        <f t="shared" si="45"/>
        <v>-13999000</v>
      </c>
      <c r="EN24" s="143">
        <v>0</v>
      </c>
      <c r="EO24" s="143">
        <f>IFERROR(INDEX('[1]Sales per type juli'!$D$10:$BA$51,MATCH($C24,'[1]Sales per type juli'!$B$10:$B$51,0),MATCH("X300 PRO",'[1]Sales per type juli'!$D$8:$BA$8,0)),0)</f>
        <v>0</v>
      </c>
      <c r="EP24" s="143">
        <f t="shared" si="46"/>
        <v>0</v>
      </c>
      <c r="EQ24" s="143">
        <v>0</v>
      </c>
      <c r="ER24" s="143" cm="1">
        <f t="array" ref="ER24">IFERROR(INDEX('[1]Sales per type juli'!$D$10:$BA$51,MATCH($C24,'[1]Sales per type juli'!$B$10:$B$51,0),MATCH("X300 PRO",'[1]Sales per type juli'!$D$8:$BA$8,0)+1),0)</f>
        <v>0</v>
      </c>
      <c r="ES24" s="143">
        <f t="shared" si="47"/>
        <v>0</v>
      </c>
      <c r="ET24" s="143">
        <v>0</v>
      </c>
      <c r="EU24" s="143">
        <f>IFERROR(INDEX('[1]Sales per type juli'!$D$10:$BA$51,MATCH($C24,'[1]Sales per type juli'!$B$10:$B$51,0),MATCH("X300 ",'[1]Sales per type juli'!$D$8:$BA$8,0)),0)</f>
        <v>0</v>
      </c>
      <c r="EV24" s="143">
        <f t="shared" si="48"/>
        <v>0</v>
      </c>
      <c r="EW24" s="143">
        <v>0</v>
      </c>
      <c r="EX24" s="143" cm="1">
        <f t="array" ref="EX24">IFERROR(INDEX('[1]Sales per type juli'!$D$10:$BA$51,MATCH($C24,'[1]Sales per type juli'!$B$10:$B$51,0),MATCH("X300 ",'[1]Sales per type juli'!$D$8:$BA$8,0)+1),0)</f>
        <v>0</v>
      </c>
      <c r="EY24" s="143">
        <f t="shared" si="49"/>
        <v>0</v>
      </c>
      <c r="EZ24" s="143">
        <f t="shared" si="50"/>
        <v>16</v>
      </c>
      <c r="FA24" s="143">
        <f t="shared" si="50"/>
        <v>24</v>
      </c>
      <c r="FB24" s="143">
        <f t="shared" si="51"/>
        <v>-8</v>
      </c>
      <c r="FC24" s="143">
        <f t="shared" si="52"/>
        <v>65584000</v>
      </c>
      <c r="FD24" s="143">
        <f t="shared" si="52"/>
        <v>137076000</v>
      </c>
      <c r="FE24" s="143">
        <f t="shared" si="53"/>
        <v>-71492000</v>
      </c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</row>
    <row r="25" spans="1:208" ht="16" x14ac:dyDescent="0.2">
      <c r="A25" s="141">
        <f>'[1]ACHIEVEMENT STORE'!A25</f>
        <v>21</v>
      </c>
      <c r="B25" s="142" t="str">
        <f>'[1]ACHIEVEMENT STORE'!B25</f>
        <v>624-万丹BANTEN</v>
      </c>
      <c r="C25" s="141">
        <f>'[1]ACHIEVEMENT STORE'!C25</f>
        <v>6170707</v>
      </c>
      <c r="D25" s="142" t="str">
        <f>'[1]ACHIEVEMENT STORE'!D25</f>
        <v>6170707-LG BLOK D NO. 01D SKY 7</v>
      </c>
      <c r="E25" s="142" t="str">
        <f>'[1]ACHIEVEMENT STORE'!E25</f>
        <v>ARIES FITRIYANTO</v>
      </c>
      <c r="F25" s="143">
        <f>IFERROR(INDEX('[1]SALES PERTYPE'!$D$10:$D$52,MATCH($C25,'[1]SALES PERTYPE'!$B$10:$B$52,0)),0)</f>
        <v>18</v>
      </c>
      <c r="G25" s="143">
        <f>IFERROR(INDEX('[1]Sales per type juli'!$D$10:$BA$51,MATCH($C25,'[1]Sales per type juli'!$B$10:$B$51,0),MATCH("Y05",'[1]Sales per type juli'!$D$8:$BA$8,0)),0)</f>
        <v>32</v>
      </c>
      <c r="H25" s="143">
        <f t="shared" si="0"/>
        <v>-14</v>
      </c>
      <c r="I25" s="143">
        <f>IFERROR(INDEX('[1]SALES PERTYPE'!$E$10:$E$52,MATCH($C25,'[1]SALES PERTYPE'!$B$10:$B$52,0)),0)</f>
        <v>44382000</v>
      </c>
      <c r="J25" s="143" cm="1">
        <f t="array" ref="J25">IFERROR(INDEX('[1]Sales per type juli'!$D$10:$BA$51,MATCH($C25,'[1]Sales per type juli'!$B$10:$B$51,0),MATCH("Y05",'[1]Sales per type juli'!$D$8:$BA$8,0)+1),0)</f>
        <v>71368000</v>
      </c>
      <c r="K25" s="143">
        <f t="shared" si="1"/>
        <v>-26986000</v>
      </c>
      <c r="L25" s="143">
        <f>IFERROR(INDEX('[1]SALES PERTYPE'!$F$10:$F$52,MATCH($C25,'[1]SALES PERTYPE'!$B$10:$B$52,0)),0)</f>
        <v>18</v>
      </c>
      <c r="M25" s="143">
        <f>IFERROR(INDEX('[1]Sales per type juli'!$D$10:$BA$51,MATCH($C25,'[1]Sales per type juli'!$B$10:$B$51,0),MATCH("Y11d",'[1]Sales per type juli'!$D$8:$BA$8,0)),0)</f>
        <v>6</v>
      </c>
      <c r="N25" s="143">
        <f t="shared" si="2"/>
        <v>12</v>
      </c>
      <c r="O25" s="143">
        <f>IFERROR(INDEX('[1]SALES PERTYPE'!$G$10:$G$52,MATCH($C25,'[1]SALES PERTYPE'!$B$10:$B$52,0)),0)</f>
        <v>47982000</v>
      </c>
      <c r="P25" s="143" cm="1">
        <f t="array" ref="P25">IFERROR(INDEX('[1]Sales per type juli'!$D$10:$BA$51,MATCH($C25,'[1]Sales per type juli'!$B$10:$B$51,0),MATCH("Y11d",'[1]Sales per type juli'!$D$8:$BA$8,0)+1),0)</f>
        <v>15994000</v>
      </c>
      <c r="Q25" s="143">
        <f t="shared" si="3"/>
        <v>31988000</v>
      </c>
      <c r="R25" s="143">
        <f>IFERROR(INDEX('[1]SALES PERTYPE'!$H$10:$H$52,MATCH($C25,'[1]SALES PERTYPE'!$B$10:$B$52,0)),0)</f>
        <v>0</v>
      </c>
      <c r="S25" s="143">
        <f>IFERROR(INDEX('[1]Sales per type juli'!$D$10:$BA$51,MATCH($C25,'[1]Sales per type juli'!$B$10:$B$51,0),MATCH("Watch GT 2",'[1]Sales per type juli'!$D$8:$BA$8,0)),0)</f>
        <v>0</v>
      </c>
      <c r="T25" s="143">
        <f t="shared" si="4"/>
        <v>0</v>
      </c>
      <c r="U25" s="143">
        <f>IFERROR(INDEX('[1]SALES PERTYPE'!$I$10:$I$52,MATCH($C25,'[1]SALES PERTYPE'!$B$10:$B$52,0)),0)</f>
        <v>0</v>
      </c>
      <c r="V25" s="143" cm="1">
        <f t="array" ref="V25">IFERROR(INDEX('[1]Sales per type juli'!$D$10:$BA$51,MATCH($C25,'[1]Sales per type juli'!$B$10:$B$51,0),MATCH("Watch GT 2",'[1]Sales per type juli'!$D$8:$BA$8,0)+1),0)</f>
        <v>0</v>
      </c>
      <c r="W25" s="143">
        <f t="shared" si="5"/>
        <v>0</v>
      </c>
      <c r="X25" s="143">
        <f>IFERROR(INDEX('[1]SALES PERTYPE'!$J$10:$J$52,MATCH($C25,'[1]SALES PERTYPE'!$B$10:$B$52,0)),0)</f>
        <v>6</v>
      </c>
      <c r="Y25" s="143">
        <f>IFERROR(INDEX('[1]Sales per type juli'!$D$10:$BA$51,MATCH($C25,'[1]Sales per type juli'!$B$10:$B$51,0),MATCH("Y05e",'[1]Sales per type juli'!$D$8:$BA$8,0)),0)</f>
        <v>0</v>
      </c>
      <c r="Z25" s="143">
        <f t="shared" si="6"/>
        <v>6</v>
      </c>
      <c r="AA25" s="143">
        <f>IFERROR(INDEX('[1]SALES PERTYPE'!$K$10:$K$52,MATCH($C25,'[1]SALES PERTYPE'!$B$10:$B$52,0)),0)</f>
        <v>12594000</v>
      </c>
      <c r="AB25" s="143" cm="1">
        <f t="array" ref="AB25">IFERROR(INDEX('[1]Sales per type juli'!$D$10:$BA$51,MATCH($C25,'[1]Sales per type juli'!$B$10:$B$51,0),MATCH("Y05e",'[1]Sales per type juli'!$D$8:$BA$8,0)+1),0)</f>
        <v>0</v>
      </c>
      <c r="AC25" s="143">
        <f t="shared" si="7"/>
        <v>12594000</v>
      </c>
      <c r="AD25" s="143">
        <f>IFERROR(INDEX('[1]SALES PERTYPE'!$L$10:$L$52,MATCH($C25,'[1]SALES PERTYPE'!$B$10:$B$52,0)),0)</f>
        <v>0</v>
      </c>
      <c r="AE25" s="143">
        <f>IFERROR(INDEX('[1]Sales per type juli'!$D$10:$BA$51,MATCH($C25,'[1]Sales per type juli'!$B$10:$B$51,0),MATCH("V70",'[1]Sales per type juli'!$D$8:$BA$8,0)),0)</f>
        <v>5</v>
      </c>
      <c r="AF25" s="143">
        <f t="shared" si="8"/>
        <v>-5</v>
      </c>
      <c r="AG25" s="143">
        <f>IFERROR(INDEX('[1]SALES PERTYPE'!$M$10:$M$52,MATCH($C25,'[1]SALES PERTYPE'!$B$10:$B$52,0)),0)</f>
        <v>0</v>
      </c>
      <c r="AH25" s="143" cm="1">
        <f t="array" ref="AH25">IFERROR(INDEX('[1]Sales per type juli'!$D$10:$BA$51,MATCH($C25,'[1]Sales per type juli'!$B$10:$B$51,0),MATCH("V70",'[1]Sales per type juli'!$D$8:$BA$8,0)+1),0)</f>
        <v>46995000</v>
      </c>
      <c r="AI25" s="143">
        <f t="shared" si="9"/>
        <v>-46995000</v>
      </c>
      <c r="AJ25" s="143">
        <f>IFERROR(INDEX('[1]SALES PERTYPE'!$N$10:$N$52,MATCH($C25,'[1]SALES PERTYPE'!$B$10:$B$52,0)),0)</f>
        <v>4</v>
      </c>
      <c r="AK25" s="143">
        <f>IFERROR(INDEX('[1]Sales per type juli'!$D$10:$BA$51,MATCH($C25,'[1]Sales per type juli'!$B$10:$B$51,0),MATCH("Y31d Pro",'[1]Sales per type juli'!$D$8:$BA$8,0)),0)</f>
        <v>6</v>
      </c>
      <c r="AL25" s="143">
        <f t="shared" si="10"/>
        <v>-2</v>
      </c>
      <c r="AM25" s="143">
        <f>IFERROR(INDEX('[1]SALES PERTYPE'!$O$10:$O$52,MATCH($C25,'[1]SALES PERTYPE'!$B$10:$B$52,0)),0)</f>
        <v>19196000</v>
      </c>
      <c r="AN25" s="143" cm="1">
        <f t="array" ref="AN25">IFERROR(INDEX('[1]Sales per type juli'!$D$10:$BA$51,MATCH($C25,'[1]Sales per type juli'!$B$10:$B$51,0),MATCH("Y31d Pro",'[1]Sales per type juli'!$D$8:$BA$8,0)+1),0)</f>
        <v>24794000</v>
      </c>
      <c r="AO25" s="143">
        <f t="shared" si="11"/>
        <v>-5598000</v>
      </c>
      <c r="AP25" s="143">
        <f>IFERROR(INDEX('[1]SALES PERTYPE'!$P$10:$P$52,MATCH($C25,'[1]SALES PERTYPE'!$B$10:$B$52,0)),0)</f>
        <v>0</v>
      </c>
      <c r="AQ25" s="143" cm="1">
        <f t="array" ref="AQ25">IFERROR(INDEX('[1]Sales per type juli'!$D$10:$BA$51,MATCH($C25,'[1]Sales per type juli'!$B$10:$B$51,0),$FG$2),0)</f>
        <v>0</v>
      </c>
      <c r="AR25" s="143">
        <f t="shared" si="12"/>
        <v>0</v>
      </c>
      <c r="AS25" s="143">
        <f>IFERROR(INDEX('[1]SALES PERTYPE'!$Q$10:$Q$52,MATCH($C25,'[1]SALES PERTYPE'!$B$10:$B$52,0)),0)</f>
        <v>0</v>
      </c>
      <c r="AT25" s="143" cm="1">
        <f t="array" ref="AT25">IFERROR(INDEX('[1]Sales per type juli'!$D$10:$BA$51,MATCH($C25,'[1]Sales per type juli'!$B$10:$B$51,0),$FG$2+1),0)</f>
        <v>0</v>
      </c>
      <c r="AU25" s="143">
        <f t="shared" si="13"/>
        <v>0</v>
      </c>
      <c r="AV25" s="143">
        <f>IFERROR(INDEX('[1]SALES PERTYPE'!$R$10:$R$52,MATCH($C25,'[1]SALES PERTYPE'!$B$10:$B$52,0)),0)</f>
        <v>1</v>
      </c>
      <c r="AW25" s="143">
        <f>IFERROR(INDEX('[1]Sales per type juli'!$D$10:$BA$51,MATCH($C25,'[1]Sales per type juli'!$B$10:$B$51,0),MATCH("Y31d ",'[1]Sales per type juli'!$D$8:$BA$8,0)),0)</f>
        <v>3</v>
      </c>
      <c r="AX25" s="143">
        <f t="shared" si="14"/>
        <v>-2</v>
      </c>
      <c r="AY25" s="143">
        <f>IFERROR(INDEX('[1]SALES PERTYPE'!$S$10:$S$52,MATCH($C25,'[1]SALES PERTYPE'!$B$10:$B$52,0)),0)</f>
        <v>3599000</v>
      </c>
      <c r="AZ25" s="143" cm="1">
        <f t="array" ref="AZ25">IFERROR(INDEX('[1]Sales per type juli'!$D$10:$BA$51,MATCH($C25,'[1]Sales per type juli'!$B$10:$B$51,0),MATCH("Y31d ",'[1]Sales per type juli'!$D$8:$BA$8,0)+1),0)</f>
        <v>10797000</v>
      </c>
      <c r="BA25" s="143">
        <f t="shared" si="15"/>
        <v>-7198000</v>
      </c>
      <c r="BB25" s="143">
        <f>IFERROR(INDEX('[1]SALES PERTYPE'!$T$10:$T$52,MATCH($C25,'[1]SALES PERTYPE'!$B$10:$B$52,0)),0)</f>
        <v>2</v>
      </c>
      <c r="BC25" s="143">
        <f>IFERROR(INDEX('[1]Sales per type juli'!$D$10:$BA$51,MATCH($C25,'[1]Sales per type juli'!$B$10:$B$51,0),MATCH("V70 FE",'[1]Sales per type juli'!$D$8:$BA$8,0)),0)</f>
        <v>2</v>
      </c>
      <c r="BD25" s="143">
        <f t="shared" si="16"/>
        <v>0</v>
      </c>
      <c r="BE25" s="143">
        <f>IFERROR(INDEX('[1]SALES PERTYPE'!$U$10:$U$52,MATCH($C25,'[1]SALES PERTYPE'!$B$10:$B$52,0)),0)</f>
        <v>14998000</v>
      </c>
      <c r="BF25" s="143" cm="1">
        <f t="array" ref="BF25">IFERROR(INDEX('[1]Sales per type juli'!$D$10:$BA$51,MATCH($C25,'[1]Sales per type juli'!$B$10:$B$51,0),MATCH("V70 FE",'[1]Sales per type juli'!$D$8:$BA$8,0)+1),0)</f>
        <v>13698000</v>
      </c>
      <c r="BG25" s="143">
        <f t="shared" si="17"/>
        <v>1300000</v>
      </c>
      <c r="BH25" s="143">
        <f>IFERROR(INDEX('[1]SALES PERTYPE'!$V$10:$V$52,MATCH($C25,'[1]SALES PERTYPE'!$B$10:$B$52,0)),0)</f>
        <v>0</v>
      </c>
      <c r="BI25" s="143">
        <f>IFERROR(INDEX('[1]Sales per type juli'!$D$10:$BA$51,MATCH($C25,'[1]Sales per type juli'!$B$10:$B$51,0),MATCH("Y31d",'[1]Sales per type juli'!$D$8:$BA$8,0)),0)</f>
        <v>7</v>
      </c>
      <c r="BJ25" s="143">
        <f t="shared" si="18"/>
        <v>-7</v>
      </c>
      <c r="BK25" s="143">
        <f>IFERROR(INDEX('[1]SALES PERTYPE'!$W$10:$W$52,MATCH($C25,'[1]SALES PERTYPE'!$B$10:$B$52,0)),0)</f>
        <v>0</v>
      </c>
      <c r="BL25" s="143" cm="1">
        <f t="array" ref="BL25">IFERROR(INDEX('[1]Sales per type juli'!$D$10:$BA$51,MATCH($C25,'[1]Sales per type juli'!$B$10:$B$51,0),MATCH("Y31d",'[1]Sales per type juli'!$D$8:$BA$8,0)+1),0)</f>
        <v>25193000</v>
      </c>
      <c r="BM25" s="143">
        <f t="shared" si="19"/>
        <v>-25193000</v>
      </c>
      <c r="BN25" s="143">
        <f>IFERROR(INDEX('[1]SALES PERTYPE'!$X$10:$X$52,MATCH($C25,'[1]SALES PERTYPE'!$B$10:$B$52,0)),0)</f>
        <v>2</v>
      </c>
      <c r="BO25" s="143">
        <f>IFERROR(INDEX('[1]Sales per type juli'!$D$10:$BA$51,MATCH($C25,'[1]Sales per type juli'!$B$10:$B$51,0),MATCH("Y500",'[1]Sales per type juli'!$D$8:$BA$8,0)),0)</f>
        <v>0</v>
      </c>
      <c r="BP25" s="143">
        <f t="shared" si="20"/>
        <v>2</v>
      </c>
      <c r="BQ25" s="143">
        <f>IFERROR(INDEX('[1]SALES PERTYPE'!$Y$10:$Y$52,MATCH($C25,'[1]SALES PERTYPE'!$B$10:$B$52,0)),0)</f>
        <v>10998000</v>
      </c>
      <c r="BR25" s="143" cm="1">
        <f t="array" ref="BR25">IFERROR(INDEX('[1]Sales per type juli'!$D$10:$BA$51,MATCH($C25,'[1]Sales per type juli'!$B$10:$B$51,0),MATCH("Y500",'[1]Sales per type juli'!$D$8:$BA$8,0)+1),0)</f>
        <v>0</v>
      </c>
      <c r="BS25" s="143">
        <f t="shared" si="21"/>
        <v>10998000</v>
      </c>
      <c r="BT25" s="143">
        <f>IFERROR(INDEX('[1]SALES PERTYPE'!$Z$10:$Z$52,MATCH($C25,'[1]SALES PERTYPE'!$B$10:$B$52,0)),0)</f>
        <v>0</v>
      </c>
      <c r="BU25" s="143">
        <f>IFERROR(INDEX('[1]Sales per type juli'!$D$10:$BA$51,MATCH($C25,'[1]Sales per type juli'!$B$10:$B$51,0),MATCH("IQOO 15R",'[1]Sales per type juli'!$D$8:$BA$8,0)),0)</f>
        <v>2</v>
      </c>
      <c r="BV25" s="143">
        <f t="shared" si="22"/>
        <v>-2</v>
      </c>
      <c r="BW25" s="143">
        <f>IFERROR(INDEX('[1]SALES PERTYPE'!$AA$10:$AA$52,MATCH($C25,'[1]SALES PERTYPE'!$B$10:$B$52,0)),0)</f>
        <v>0</v>
      </c>
      <c r="BX25" s="143" cm="1">
        <f t="array" ref="BX25">IFERROR(INDEX('[1]Sales per type juli'!$D$10:$BA$51,MATCH($C25,'[1]Sales per type juli'!$B$10:$B$51,0),MATCH("IQOO 15R",'[1]Sales per type juli'!$D$8:$BA$8,0)+1),0)</f>
        <v>21298000</v>
      </c>
      <c r="BY25" s="143">
        <f t="shared" si="23"/>
        <v>-21298000</v>
      </c>
      <c r="BZ25" s="143">
        <f>IFERROR(INDEX('[1]SALES PERTYPE'!$AB$10:$AB$52,MATCH($C25,'[1]SALES PERTYPE'!$B$10:$B$52,0)),0)</f>
        <v>4</v>
      </c>
      <c r="CA25" s="143">
        <f>IFERROR(INDEX('[1]Sales per type juli'!$D$10:$BA$51,MATCH($C25,'[1]Sales per type juli'!$B$10:$B$51,0),MATCH("V60 Lite",'[1]Sales per type juli'!$D$8:$BA$8,0)),0)</f>
        <v>1</v>
      </c>
      <c r="CB25" s="143">
        <f t="shared" si="24"/>
        <v>3</v>
      </c>
      <c r="CC25" s="143">
        <f>IFERROR(INDEX('[1]SALES PERTYPE'!$AC$10:$AC$52,MATCH($C25,'[1]SALES PERTYPE'!$B$10:$B$52,0)),0)</f>
        <v>22996000</v>
      </c>
      <c r="CD25" s="143" cm="1">
        <f t="array" ref="CD25">IFERROR(INDEX('[1]Sales per type juli'!$D$10:$BA$51,MATCH($C25,'[1]Sales per type juli'!$B$10:$B$51,0),MATCH("V60 Lite",'[1]Sales per type juli'!$D$8:$BA$8,0)+1),0)</f>
        <v>5299000</v>
      </c>
      <c r="CE25" s="143">
        <f t="shared" si="25"/>
        <v>17697000</v>
      </c>
      <c r="CF25" s="143">
        <f>IFERROR(INDEX('[1]SALES PERTYPE'!$AD$10:$AD$52,MATCH($C25,'[1]SALES PERTYPE'!$B$10:$B$52,0)),0)</f>
        <v>0</v>
      </c>
      <c r="CG25" s="143">
        <f>IFERROR(INDEX('[1]Sales per type juli'!$D$10:$BA$51,MATCH($C25,'[1]Sales per type juli'!$B$10:$B$51,0),MATCH("X300 Ultra",'[1]Sales per type juli'!$D$8:$BA$8,0)),0)</f>
        <v>0</v>
      </c>
      <c r="CH25" s="143">
        <f t="shared" si="26"/>
        <v>0</v>
      </c>
      <c r="CI25" s="143">
        <f>IFERROR(INDEX('[1]SALES PERTYPE'!$AE$10:$AE$52,MATCH($C25,'[1]SALES PERTYPE'!$B$10:$B$52,0)),0)</f>
        <v>0</v>
      </c>
      <c r="CJ25" s="143" cm="1">
        <f t="array" ref="CJ25">IFERROR(INDEX('[1]Sales per type juli'!$D$10:$BA$51,MATCH($C25,'[1]Sales per type juli'!$B$10:$B$51,0),MATCH("X300 Ultra",'[1]Sales per type juli'!$D$8:$BA$8,0)+1),0)</f>
        <v>0</v>
      </c>
      <c r="CK25" s="143">
        <f t="shared" si="27"/>
        <v>0</v>
      </c>
      <c r="CL25" s="143">
        <f>IFERROR(INDEX('[1]SALES PERTYPE'!$AF$10:$AF$52,MATCH($C25,'[1]SALES PERTYPE'!$B$10:$B$52,0)),0)</f>
        <v>0</v>
      </c>
      <c r="CM25" s="143">
        <f>IFERROR(INDEX('[1]Sales per type juli'!$D$10:$BA$51,MATCH($C25,'[1]Sales per type juli'!$B$10:$B$51,0),MATCH("IQOO 15",'[1]Sales per type juli'!$D$8:$BA$8,0)),0)</f>
        <v>0</v>
      </c>
      <c r="CN25" s="143">
        <f t="shared" si="28"/>
        <v>0</v>
      </c>
      <c r="CO25" s="143">
        <f>IFERROR(INDEX('[1]SALES PERTYPE'!$AG$10:$AG$52,MATCH($C25,'[1]SALES PERTYPE'!$B$10:$B$52,0)),0)</f>
        <v>0</v>
      </c>
      <c r="CP25" s="143" cm="1">
        <f t="array" ref="CP25">IFERROR(INDEX('[1]Sales per type juli'!$D$10:$BA$51,MATCH($C25,'[1]Sales per type juli'!$B$10:$B$51,0),MATCH("IQOO 15",'[1]Sales per type juli'!$D$8:$BA$8,0)+1),0)</f>
        <v>0</v>
      </c>
      <c r="CQ25" s="143">
        <f t="shared" si="29"/>
        <v>0</v>
      </c>
      <c r="CR25" s="143">
        <f>IFERROR(INDEX('[1]SALES PERTYPE'!$AH$10:$AH$52,MATCH($C25,'[1]SALES PERTYPE'!$B$10:$B$52,0)),0)</f>
        <v>0</v>
      </c>
      <c r="CS25" s="143">
        <f>IFERROR(INDEX('[1]Sales per type juli'!$D$10:$BA$51,MATCH($C25,'[1]Sales per type juli'!$B$10:$B$51,0),MATCH("IQOO Z11x",'[1]Sales per type juli'!$D$8:$BA$8,0)),0)</f>
        <v>1</v>
      </c>
      <c r="CT25" s="143">
        <f t="shared" si="30"/>
        <v>-1</v>
      </c>
      <c r="CU25" s="143">
        <f>IFERROR(INDEX('[1]SALES PERTYPE'!$AI$10:$AI$52,MATCH($C25,'[1]SALES PERTYPE'!$B$10:$B$52,0)),0)</f>
        <v>0</v>
      </c>
      <c r="CV25" s="143" cm="1">
        <f t="array" ref="CV25">IFERROR(INDEX('[1]Sales per type juli'!$D$10:$BA$51,MATCH($C25,'[1]Sales per type juli'!$B$10:$B$51,0),MATCH("IQOO Z11x",'[1]Sales per type juli'!$D$8:$BA$8,0)+1),0)</f>
        <v>4799000</v>
      </c>
      <c r="CW25" s="143">
        <f t="shared" si="31"/>
        <v>-4799000</v>
      </c>
      <c r="CX25" s="143">
        <f>IFERROR(INDEX('[1]SALES PERTYPE'!$AJ$10:$AJ$52,MATCH($C25,'[1]SALES PERTYPE'!$B$10:$B$52,0)),0)</f>
        <v>1</v>
      </c>
      <c r="CY25" s="143">
        <f>IFERROR(INDEX('[1]Sales per type juli'!$D$10:$BA$51,MATCH($C25,'[1]Sales per type juli'!$B$10:$B$51,0),MATCH("IQOO Z11",'[1]Sales per type juli'!$D$8:$BA$8,0)),0)</f>
        <v>2</v>
      </c>
      <c r="CZ25" s="143">
        <f t="shared" si="32"/>
        <v>-1</v>
      </c>
      <c r="DA25" s="143">
        <f>IFERROR(INDEX('[1]SALES PERTYPE'!$AK$10:$AK$52,MATCH($C25,'[1]SALES PERTYPE'!$B$10:$B$52,0)),0)</f>
        <v>6899000</v>
      </c>
      <c r="DB25" s="143" cm="1">
        <f t="array" ref="DB25">IFERROR(INDEX('[1]Sales per type juli'!$D$10:$BA$51,MATCH($C25,'[1]Sales per type juli'!$B$10:$B$51,0),MATCH("IQOO Z11",'[1]Sales per type juli'!$D$8:$BA$8,0)+1),0)</f>
        <v>11398000</v>
      </c>
      <c r="DC25" s="143">
        <f t="shared" si="33"/>
        <v>-4499000</v>
      </c>
      <c r="DD25" s="143">
        <v>0</v>
      </c>
      <c r="DE25" s="143">
        <f>IFERROR(INDEX('[1]Sales per type juli'!$D$10:$BA$51,MATCH($C25,'[1]Sales per type juli'!$B$10:$B$51,0),MATCH("WATCH 3",'[1]Sales per type juli'!$D$8:$BA$8,0)),0)</f>
        <v>0</v>
      </c>
      <c r="DF25" s="143">
        <f t="shared" si="34"/>
        <v>0</v>
      </c>
      <c r="DG25" s="143">
        <v>0</v>
      </c>
      <c r="DH25" s="143" cm="1">
        <f t="array" ref="DH25">IFERROR(INDEX('[1]Sales per type juli'!$D$10:$BA$51,MATCH($C25,'[1]Sales per type juli'!$B$10:$B$51,0),MATCH("WATCH 3",'[1]Sales per type juli'!$D$8:$BA$8,0)+1),0)</f>
        <v>0</v>
      </c>
      <c r="DI25" s="143">
        <f t="shared" si="35"/>
        <v>0</v>
      </c>
      <c r="DJ25" s="143">
        <v>0</v>
      </c>
      <c r="DK25" s="143">
        <f>IFERROR(INDEX('[1]Sales per type juli'!$D$10:$BA$51,MATCH($C25,'[1]Sales per type juli'!$B$10:$B$51,0),MATCH("X300 Demo",'[1]Sales per type juli'!$D$8:$BA$8,0)),0)</f>
        <v>1</v>
      </c>
      <c r="DL25" s="143">
        <f t="shared" si="36"/>
        <v>-1</v>
      </c>
      <c r="DM25" s="143">
        <v>0</v>
      </c>
      <c r="DN25" s="143" cm="1">
        <f t="array" ref="DN25">IFERROR(INDEX('[1]Sales per type juli'!$D$10:$BA$51,MATCH($C25,'[1]Sales per type juli'!$B$10:$B$51,0),MATCH("X300 Demo",'[1]Sales per type juli'!$D$8:$BA$8,0)+1),0)</f>
        <v>14999000</v>
      </c>
      <c r="DO25" s="143">
        <f t="shared" si="37"/>
        <v>-14999000</v>
      </c>
      <c r="DP25" s="143">
        <v>0</v>
      </c>
      <c r="DQ25" s="143">
        <f>IFERROR(INDEX('[1]Sales per type juli'!$D$10:$BA$51,MATCH($C25,'[1]Sales per type juli'!$B$10:$B$51,0),MATCH("X300 Pro Demo",'[1]Sales per type juli'!$D$8:$BA$8,0)),0)</f>
        <v>1</v>
      </c>
      <c r="DR25" s="143">
        <f t="shared" si="38"/>
        <v>-1</v>
      </c>
      <c r="DS25" s="143">
        <v>0</v>
      </c>
      <c r="DT25" s="143" cm="1">
        <f t="array" ref="DT25">IFERROR(INDEX('[1]Sales per type juli'!$D$10:$BA$51,MATCH($C25,'[1]Sales per type juli'!$B$10:$B$51,0),MATCH("X300 Pro Demo",'[1]Sales per type juli'!$D$8:$BA$8,0)+1),0)</f>
        <v>18999000</v>
      </c>
      <c r="DU25" s="143">
        <f t="shared" si="39"/>
        <v>-18999000</v>
      </c>
      <c r="DV25" s="143">
        <v>0</v>
      </c>
      <c r="DW25" s="143">
        <f>IFERROR(INDEX('[1]Sales per type juli'!$D$10:$BA$51,MATCH($C25,'[1]Sales per type juli'!$B$10:$B$51,0),MATCH("X Fold5 DEMO",'[1]Sales per type juli'!$D$8:$BA$8,0)),0)</f>
        <v>0</v>
      </c>
      <c r="DX25" s="143">
        <f t="shared" si="40"/>
        <v>0</v>
      </c>
      <c r="DY25" s="143">
        <v>0</v>
      </c>
      <c r="DZ25" s="143" cm="1">
        <f t="array" ref="DZ25">IFERROR(INDEX('[1]Sales per type juli'!$D$10:$BA$51,MATCH($C25,'[1]Sales per type juli'!$B$10:$B$51,0),MATCH("X Fold5 DEMO",'[1]Sales per type juli'!$D$8:$BA$8,0)+1),0)</f>
        <v>0</v>
      </c>
      <c r="EA25" s="143">
        <f t="shared" si="41"/>
        <v>0</v>
      </c>
      <c r="EB25" s="143">
        <v>0</v>
      </c>
      <c r="EC25" s="143">
        <f>IFERROR(INDEX('[1]Sales per type juli'!$D$10:$BA$51,MATCH($C25,'[1]Sales per type juli'!$B$10:$B$51,0),MATCH("X Fold5",'[1]Sales per type juli'!$D$8:$BA$8,0)),0)</f>
        <v>0</v>
      </c>
      <c r="ED25" s="143">
        <f t="shared" si="42"/>
        <v>0</v>
      </c>
      <c r="EE25" s="143">
        <v>0</v>
      </c>
      <c r="EF25" s="143" cm="1">
        <f t="array" ref="EF25">IFERROR(INDEX('[1]Sales per type juli'!$D$10:$BA$51,MATCH($C25,'[1]Sales per type juli'!$B$10:$B$51,0),MATCH("X Fold5",'[1]Sales per type juli'!$D$8:$BA$8,0)+1),0)</f>
        <v>0</v>
      </c>
      <c r="EG25" s="143">
        <f t="shared" si="43"/>
        <v>0</v>
      </c>
      <c r="EH25" s="143">
        <v>0</v>
      </c>
      <c r="EI25" s="143">
        <f>IFERROR(INDEX('[1]Sales per type juli'!$D$10:$BA$51,MATCH($C25,'[1]Sales per type juli'!$B$10:$B$51,0),MATCH("IQOO 15 Demo",'[1]Sales per type juli'!$D$8:$BA$8,0)),0)</f>
        <v>1</v>
      </c>
      <c r="EJ25" s="143">
        <f t="shared" si="44"/>
        <v>-1</v>
      </c>
      <c r="EK25" s="143">
        <v>0</v>
      </c>
      <c r="EL25" s="143" cm="1">
        <f t="array" ref="EL25">IFERROR(INDEX('[1]Sales per type juli'!$D$10:$BA$51,MATCH($C25,'[1]Sales per type juli'!$B$10:$B$51,0),MATCH("IQOO 15 Demo",'[1]Sales per type juli'!$D$8:$BA$8,0)+1),0)</f>
        <v>13999000</v>
      </c>
      <c r="EM25" s="143">
        <f t="shared" si="45"/>
        <v>-13999000</v>
      </c>
      <c r="EN25" s="143">
        <v>0</v>
      </c>
      <c r="EO25" s="143">
        <f>IFERROR(INDEX('[1]Sales per type juli'!$D$10:$BA$51,MATCH($C25,'[1]Sales per type juli'!$B$10:$B$51,0),MATCH("X300 PRO",'[1]Sales per type juli'!$D$8:$BA$8,0)),0)</f>
        <v>1</v>
      </c>
      <c r="EP25" s="143">
        <f t="shared" si="46"/>
        <v>-1</v>
      </c>
      <c r="EQ25" s="143">
        <v>0</v>
      </c>
      <c r="ER25" s="143" cm="1">
        <f t="array" ref="ER25">IFERROR(INDEX('[1]Sales per type juli'!$D$10:$BA$51,MATCH($C25,'[1]Sales per type juli'!$B$10:$B$51,0),MATCH("X300 PRO",'[1]Sales per type juli'!$D$8:$BA$8,0)+1),0)</f>
        <v>18999000</v>
      </c>
      <c r="ES25" s="143">
        <f t="shared" si="47"/>
        <v>-18999000</v>
      </c>
      <c r="ET25" s="143">
        <v>0</v>
      </c>
      <c r="EU25" s="143">
        <f>IFERROR(INDEX('[1]Sales per type juli'!$D$10:$BA$51,MATCH($C25,'[1]Sales per type juli'!$B$10:$B$51,0),MATCH("X300 ",'[1]Sales per type juli'!$D$8:$BA$8,0)),0)</f>
        <v>0</v>
      </c>
      <c r="EV25" s="143">
        <f t="shared" si="48"/>
        <v>0</v>
      </c>
      <c r="EW25" s="143">
        <v>0</v>
      </c>
      <c r="EX25" s="143" cm="1">
        <f t="array" ref="EX25">IFERROR(INDEX('[1]Sales per type juli'!$D$10:$BA$51,MATCH($C25,'[1]Sales per type juli'!$B$10:$B$51,0),MATCH("X300 ",'[1]Sales per type juli'!$D$8:$BA$8,0)+1),0)</f>
        <v>0</v>
      </c>
      <c r="EY25" s="143">
        <f t="shared" si="49"/>
        <v>0</v>
      </c>
      <c r="EZ25" s="143">
        <f t="shared" si="50"/>
        <v>56</v>
      </c>
      <c r="FA25" s="143">
        <f t="shared" si="50"/>
        <v>71</v>
      </c>
      <c r="FB25" s="143">
        <f t="shared" si="51"/>
        <v>-15</v>
      </c>
      <c r="FC25" s="143">
        <f t="shared" si="52"/>
        <v>183644000</v>
      </c>
      <c r="FD25" s="143">
        <f t="shared" si="52"/>
        <v>318629000</v>
      </c>
      <c r="FE25" s="143">
        <f t="shared" si="53"/>
        <v>-134985000</v>
      </c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</row>
    <row r="26" spans="1:208" ht="16" x14ac:dyDescent="0.2">
      <c r="A26" s="144">
        <f>'[1]ACHIEVEMENT STORE'!A26</f>
        <v>22</v>
      </c>
      <c r="B26" s="145" t="str">
        <f>'[1]ACHIEVEMENT STORE'!B26</f>
        <v>624-万丹BANTEN</v>
      </c>
      <c r="C26" s="144">
        <f>'[1]ACHIEVEMENT STORE'!C26</f>
        <v>6240702</v>
      </c>
      <c r="D26" s="145" t="str">
        <f>'[1]ACHIEVEMENT STORE'!D26</f>
        <v>A200902-LG BLOK B NO. 01B SKY M3</v>
      </c>
      <c r="E26" s="145" t="str">
        <f>'[1]ACHIEVEMENT STORE'!E26</f>
        <v>ARIES FITRIYANTO</v>
      </c>
      <c r="F26" s="143">
        <f>IFERROR(INDEX('[1]SALES PERTYPE'!$D$10:$D$52,MATCH($C26,'[1]SALES PERTYPE'!$B$10:$B$52,0)),0)</f>
        <v>9</v>
      </c>
      <c r="G26" s="143">
        <f>IFERROR(INDEX('[1]Sales per type juli'!$D$10:$BA$51,MATCH($C26,'[1]Sales per type juli'!$B$10:$B$51,0),MATCH("Y05",'[1]Sales per type juli'!$D$8:$BA$8,0)),0)</f>
        <v>26</v>
      </c>
      <c r="H26" s="143">
        <f t="shared" si="0"/>
        <v>-17</v>
      </c>
      <c r="I26" s="143">
        <f>IFERROR(INDEX('[1]SALES PERTYPE'!$E$10:$E$52,MATCH($C26,'[1]SALES PERTYPE'!$B$10:$B$52,0)),0)</f>
        <v>22191000</v>
      </c>
      <c r="J26" s="143" cm="1">
        <f t="array" ref="J26">IFERROR(INDEX('[1]Sales per type juli'!$D$10:$BA$51,MATCH($C26,'[1]Sales per type juli'!$B$10:$B$51,0),MATCH("Y05",'[1]Sales per type juli'!$D$8:$BA$8,0)+1),0)</f>
        <v>59574000</v>
      </c>
      <c r="K26" s="143">
        <f t="shared" si="1"/>
        <v>-37383000</v>
      </c>
      <c r="L26" s="143">
        <f>IFERROR(INDEX('[1]SALES PERTYPE'!$F$10:$F$52,MATCH($C26,'[1]SALES PERTYPE'!$B$10:$B$52,0)),0)</f>
        <v>19</v>
      </c>
      <c r="M26" s="143">
        <f>IFERROR(INDEX('[1]Sales per type juli'!$D$10:$BA$51,MATCH($C26,'[1]Sales per type juli'!$B$10:$B$51,0),MATCH("Y11d",'[1]Sales per type juli'!$D$8:$BA$8,0)),0)</f>
        <v>14</v>
      </c>
      <c r="N26" s="143">
        <f t="shared" si="2"/>
        <v>5</v>
      </c>
      <c r="O26" s="143">
        <f>IFERROR(INDEX('[1]SALES PERTYPE'!$G$10:$G$52,MATCH($C26,'[1]SALES PERTYPE'!$B$10:$B$52,0)),0)</f>
        <v>49581000</v>
      </c>
      <c r="P26" s="143" cm="1">
        <f t="array" ref="P26">IFERROR(INDEX('[1]Sales per type juli'!$D$10:$BA$51,MATCH($C26,'[1]Sales per type juli'!$B$10:$B$51,0),MATCH("Y11d",'[1]Sales per type juli'!$D$8:$BA$8,0)+1),0)</f>
        <v>37986000</v>
      </c>
      <c r="Q26" s="143">
        <f t="shared" si="3"/>
        <v>11595000</v>
      </c>
      <c r="R26" s="143">
        <f>IFERROR(INDEX('[1]SALES PERTYPE'!$H$10:$H$52,MATCH($C26,'[1]SALES PERTYPE'!$B$10:$B$52,0)),0)</f>
        <v>0</v>
      </c>
      <c r="S26" s="143">
        <f>IFERROR(INDEX('[1]Sales per type juli'!$D$10:$BA$51,MATCH($C26,'[1]Sales per type juli'!$B$10:$B$51,0),MATCH("Watch GT 2",'[1]Sales per type juli'!$D$8:$BA$8,0)),0)</f>
        <v>0</v>
      </c>
      <c r="T26" s="143">
        <f t="shared" si="4"/>
        <v>0</v>
      </c>
      <c r="U26" s="143">
        <f>IFERROR(INDEX('[1]SALES PERTYPE'!$I$10:$I$52,MATCH($C26,'[1]SALES PERTYPE'!$B$10:$B$52,0)),0)</f>
        <v>0</v>
      </c>
      <c r="V26" s="143" cm="1">
        <f t="array" ref="V26">IFERROR(INDEX('[1]Sales per type juli'!$D$10:$BA$51,MATCH($C26,'[1]Sales per type juli'!$B$10:$B$51,0),MATCH("Watch GT 2",'[1]Sales per type juli'!$D$8:$BA$8,0)+1),0)</f>
        <v>0</v>
      </c>
      <c r="W26" s="143">
        <f t="shared" si="5"/>
        <v>0</v>
      </c>
      <c r="X26" s="143">
        <f>IFERROR(INDEX('[1]SALES PERTYPE'!$J$10:$J$52,MATCH($C26,'[1]SALES PERTYPE'!$B$10:$B$52,0)),0)</f>
        <v>12</v>
      </c>
      <c r="Y26" s="143">
        <f>IFERROR(INDEX('[1]Sales per type juli'!$D$10:$BA$51,MATCH($C26,'[1]Sales per type juli'!$B$10:$B$51,0),MATCH("Y05e",'[1]Sales per type juli'!$D$8:$BA$8,0)),0)</f>
        <v>0</v>
      </c>
      <c r="Z26" s="143">
        <f t="shared" si="6"/>
        <v>12</v>
      </c>
      <c r="AA26" s="143">
        <f>IFERROR(INDEX('[1]SALES PERTYPE'!$K$10:$K$52,MATCH($C26,'[1]SALES PERTYPE'!$B$10:$B$52,0)),0)</f>
        <v>25188000</v>
      </c>
      <c r="AB26" s="143" cm="1">
        <f t="array" ref="AB26">IFERROR(INDEX('[1]Sales per type juli'!$D$10:$BA$51,MATCH($C26,'[1]Sales per type juli'!$B$10:$B$51,0),MATCH("Y05e",'[1]Sales per type juli'!$D$8:$BA$8,0)+1),0)</f>
        <v>0</v>
      </c>
      <c r="AC26" s="143">
        <f t="shared" si="7"/>
        <v>25188000</v>
      </c>
      <c r="AD26" s="143">
        <f>IFERROR(INDEX('[1]SALES PERTYPE'!$L$10:$L$52,MATCH($C26,'[1]SALES PERTYPE'!$B$10:$B$52,0)),0)</f>
        <v>3</v>
      </c>
      <c r="AE26" s="143">
        <f>IFERROR(INDEX('[1]Sales per type juli'!$D$10:$BA$51,MATCH($C26,'[1]Sales per type juli'!$B$10:$B$51,0),MATCH("V70",'[1]Sales per type juli'!$D$8:$BA$8,0)),0)</f>
        <v>6</v>
      </c>
      <c r="AF26" s="143">
        <f t="shared" si="8"/>
        <v>-3</v>
      </c>
      <c r="AG26" s="143">
        <f>IFERROR(INDEX('[1]SALES PERTYPE'!$M$10:$M$52,MATCH($C26,'[1]SALES PERTYPE'!$B$10:$B$52,0)),0)</f>
        <v>28997000</v>
      </c>
      <c r="AH26" s="143" cm="1">
        <f t="array" ref="AH26">IFERROR(INDEX('[1]Sales per type juli'!$D$10:$BA$51,MATCH($C26,'[1]Sales per type juli'!$B$10:$B$51,0),MATCH("V70",'[1]Sales per type juli'!$D$8:$BA$8,0)+1),0)</f>
        <v>53994000</v>
      </c>
      <c r="AI26" s="143">
        <f t="shared" si="9"/>
        <v>-24997000</v>
      </c>
      <c r="AJ26" s="143">
        <f>IFERROR(INDEX('[1]SALES PERTYPE'!$N$10:$N$52,MATCH($C26,'[1]SALES PERTYPE'!$B$10:$B$52,0)),0)</f>
        <v>9</v>
      </c>
      <c r="AK26" s="143">
        <f>IFERROR(INDEX('[1]Sales per type juli'!$D$10:$BA$51,MATCH($C26,'[1]Sales per type juli'!$B$10:$B$51,0),MATCH("Y31d Pro",'[1]Sales per type juli'!$D$8:$BA$8,0)),0)</f>
        <v>6</v>
      </c>
      <c r="AL26" s="143">
        <f t="shared" si="10"/>
        <v>3</v>
      </c>
      <c r="AM26" s="143">
        <f>IFERROR(INDEX('[1]SALES PERTYPE'!$O$10:$O$52,MATCH($C26,'[1]SALES PERTYPE'!$B$10:$B$52,0)),0)</f>
        <v>40491000</v>
      </c>
      <c r="AN26" s="143" cm="1">
        <f t="array" ref="AN26">IFERROR(INDEX('[1]Sales per type juli'!$D$10:$BA$51,MATCH($C26,'[1]Sales per type juli'!$B$10:$B$51,0),MATCH("Y31d Pro",'[1]Sales per type juli'!$D$8:$BA$8,0)+1),0)</f>
        <v>25794000</v>
      </c>
      <c r="AO26" s="143">
        <f t="shared" si="11"/>
        <v>14697000</v>
      </c>
      <c r="AP26" s="143">
        <f>IFERROR(INDEX('[1]SALES PERTYPE'!$P$10:$P$52,MATCH($C26,'[1]SALES PERTYPE'!$B$10:$B$52,0)),0)</f>
        <v>0</v>
      </c>
      <c r="AQ26" s="143" cm="1">
        <f t="array" ref="AQ26">IFERROR(INDEX('[1]Sales per type juli'!$D$10:$BA$51,MATCH($C26,'[1]Sales per type juli'!$B$10:$B$51,0),$FG$2),0)</f>
        <v>0</v>
      </c>
      <c r="AR26" s="143">
        <f t="shared" si="12"/>
        <v>0</v>
      </c>
      <c r="AS26" s="143">
        <f>IFERROR(INDEX('[1]SALES PERTYPE'!$Q$10:$Q$52,MATCH($C26,'[1]SALES PERTYPE'!$B$10:$B$52,0)),0)</f>
        <v>0</v>
      </c>
      <c r="AT26" s="143" cm="1">
        <f t="array" ref="AT26">IFERROR(INDEX('[1]Sales per type juli'!$D$10:$BA$51,MATCH($C26,'[1]Sales per type juli'!$B$10:$B$51,0),$FG$2+1),0)</f>
        <v>0</v>
      </c>
      <c r="AU26" s="143">
        <f t="shared" si="13"/>
        <v>0</v>
      </c>
      <c r="AV26" s="143">
        <f>IFERROR(INDEX('[1]SALES PERTYPE'!$R$10:$R$52,MATCH($C26,'[1]SALES PERTYPE'!$B$10:$B$52,0)),0)</f>
        <v>0</v>
      </c>
      <c r="AW26" s="143">
        <f>IFERROR(INDEX('[1]Sales per type juli'!$D$10:$BA$51,MATCH($C26,'[1]Sales per type juli'!$B$10:$B$51,0),MATCH("Y31d ",'[1]Sales per type juli'!$D$8:$BA$8,0)),0)</f>
        <v>0</v>
      </c>
      <c r="AX26" s="143">
        <f t="shared" si="14"/>
        <v>0</v>
      </c>
      <c r="AY26" s="143">
        <f>IFERROR(INDEX('[1]SALES PERTYPE'!$S$10:$S$52,MATCH($C26,'[1]SALES PERTYPE'!$B$10:$B$52,0)),0)</f>
        <v>0</v>
      </c>
      <c r="AZ26" s="143" cm="1">
        <f t="array" ref="AZ26">IFERROR(INDEX('[1]Sales per type juli'!$D$10:$BA$51,MATCH($C26,'[1]Sales per type juli'!$B$10:$B$51,0),MATCH("Y31d ",'[1]Sales per type juli'!$D$8:$BA$8,0)+1),0)</f>
        <v>0</v>
      </c>
      <c r="BA26" s="143">
        <f t="shared" si="15"/>
        <v>0</v>
      </c>
      <c r="BB26" s="143">
        <f>IFERROR(INDEX('[1]SALES PERTYPE'!$T$10:$T$52,MATCH($C26,'[1]SALES PERTYPE'!$B$10:$B$52,0)),0)</f>
        <v>5</v>
      </c>
      <c r="BC26" s="143">
        <f>IFERROR(INDEX('[1]Sales per type juli'!$D$10:$BA$51,MATCH($C26,'[1]Sales per type juli'!$B$10:$B$51,0),MATCH("V70 FE",'[1]Sales per type juli'!$D$8:$BA$8,0)),0)</f>
        <v>5</v>
      </c>
      <c r="BD26" s="143">
        <f t="shared" si="16"/>
        <v>0</v>
      </c>
      <c r="BE26" s="143">
        <f>IFERROR(INDEX('[1]SALES PERTYPE'!$U$10:$U$52,MATCH($C26,'[1]SALES PERTYPE'!$B$10:$B$52,0)),0)</f>
        <v>39995000</v>
      </c>
      <c r="BF26" s="143" cm="1">
        <f t="array" ref="BF26">IFERROR(INDEX('[1]Sales per type juli'!$D$10:$BA$51,MATCH($C26,'[1]Sales per type juli'!$B$10:$B$51,0),MATCH("V70 FE",'[1]Sales per type juli'!$D$8:$BA$8,0)+1),0)</f>
        <v>33195000</v>
      </c>
      <c r="BG26" s="143">
        <f t="shared" si="17"/>
        <v>6800000</v>
      </c>
      <c r="BH26" s="143">
        <f>IFERROR(INDEX('[1]SALES PERTYPE'!$V$10:$V$52,MATCH($C26,'[1]SALES PERTYPE'!$B$10:$B$52,0)),0)</f>
        <v>1</v>
      </c>
      <c r="BI26" s="143">
        <f>IFERROR(INDEX('[1]Sales per type juli'!$D$10:$BA$51,MATCH($C26,'[1]Sales per type juli'!$B$10:$B$51,0),MATCH("Y31d",'[1]Sales per type juli'!$D$8:$BA$8,0)),0)</f>
        <v>3</v>
      </c>
      <c r="BJ26" s="143">
        <f t="shared" si="18"/>
        <v>-2</v>
      </c>
      <c r="BK26" s="143">
        <f>IFERROR(INDEX('[1]SALES PERTYPE'!$W$10:$W$52,MATCH($C26,'[1]SALES PERTYPE'!$B$10:$B$52,0)),0)</f>
        <v>3599000</v>
      </c>
      <c r="BL26" s="143" cm="1">
        <f t="array" ref="BL26">IFERROR(INDEX('[1]Sales per type juli'!$D$10:$BA$51,MATCH($C26,'[1]Sales per type juli'!$B$10:$B$51,0),MATCH("Y31d",'[1]Sales per type juli'!$D$8:$BA$8,0)+1),0)</f>
        <v>10797000</v>
      </c>
      <c r="BM26" s="143">
        <f t="shared" si="19"/>
        <v>-7198000</v>
      </c>
      <c r="BN26" s="143">
        <f>IFERROR(INDEX('[1]SALES PERTYPE'!$X$10:$X$52,MATCH($C26,'[1]SALES PERTYPE'!$B$10:$B$52,0)),0)</f>
        <v>2</v>
      </c>
      <c r="BO26" s="143">
        <f>IFERROR(INDEX('[1]Sales per type juli'!$D$10:$BA$51,MATCH($C26,'[1]Sales per type juli'!$B$10:$B$51,0),MATCH("Y500",'[1]Sales per type juli'!$D$8:$BA$8,0)),0)</f>
        <v>5</v>
      </c>
      <c r="BP26" s="143">
        <f t="shared" si="20"/>
        <v>-3</v>
      </c>
      <c r="BQ26" s="143">
        <f>IFERROR(INDEX('[1]SALES PERTYPE'!$Y$10:$Y$52,MATCH($C26,'[1]SALES PERTYPE'!$B$10:$B$52,0)),0)</f>
        <v>10998000</v>
      </c>
      <c r="BR26" s="143" cm="1">
        <f t="array" ref="BR26">IFERROR(INDEX('[1]Sales per type juli'!$D$10:$BA$51,MATCH($C26,'[1]Sales per type juli'!$B$10:$B$51,0),MATCH("Y500",'[1]Sales per type juli'!$D$8:$BA$8,0)+1),0)</f>
        <v>28295000</v>
      </c>
      <c r="BS26" s="143">
        <f t="shared" si="21"/>
        <v>-17297000</v>
      </c>
      <c r="BT26" s="143">
        <f>IFERROR(INDEX('[1]SALES PERTYPE'!$Z$10:$Z$52,MATCH($C26,'[1]SALES PERTYPE'!$B$10:$B$52,0)),0)</f>
        <v>1</v>
      </c>
      <c r="BU26" s="143">
        <f>IFERROR(INDEX('[1]Sales per type juli'!$D$10:$BA$51,MATCH($C26,'[1]Sales per type juli'!$B$10:$B$51,0),MATCH("IQOO 15R",'[1]Sales per type juli'!$D$8:$BA$8,0)),0)</f>
        <v>3</v>
      </c>
      <c r="BV26" s="143">
        <f t="shared" si="22"/>
        <v>-2</v>
      </c>
      <c r="BW26" s="143">
        <f>IFERROR(INDEX('[1]SALES PERTYPE'!$AA$10:$AA$52,MATCH($C26,'[1]SALES PERTYPE'!$B$10:$B$52,0)),0)</f>
        <v>11999000</v>
      </c>
      <c r="BX26" s="143" cm="1">
        <f t="array" ref="BX26">IFERROR(INDEX('[1]Sales per type juli'!$D$10:$BA$51,MATCH($C26,'[1]Sales per type juli'!$B$10:$B$51,0),MATCH("IQOO 15R",'[1]Sales per type juli'!$D$8:$BA$8,0)+1),0)</f>
        <v>31197000</v>
      </c>
      <c r="BY26" s="143">
        <f t="shared" si="23"/>
        <v>-19198000</v>
      </c>
      <c r="BZ26" s="143">
        <f>IFERROR(INDEX('[1]SALES PERTYPE'!$AB$10:$AB$52,MATCH($C26,'[1]SALES PERTYPE'!$B$10:$B$52,0)),0)</f>
        <v>4</v>
      </c>
      <c r="CA26" s="143">
        <f>IFERROR(INDEX('[1]Sales per type juli'!$D$10:$BA$51,MATCH($C26,'[1]Sales per type juli'!$B$10:$B$51,0),MATCH("V60 Lite",'[1]Sales per type juli'!$D$8:$BA$8,0)),0)</f>
        <v>8</v>
      </c>
      <c r="CB26" s="143">
        <f t="shared" si="24"/>
        <v>-4</v>
      </c>
      <c r="CC26" s="143">
        <f>IFERROR(INDEX('[1]SALES PERTYPE'!$AC$10:$AC$52,MATCH($C26,'[1]SALES PERTYPE'!$B$10:$B$52,0)),0)</f>
        <v>22396000</v>
      </c>
      <c r="CD26" s="143" cm="1">
        <f t="array" ref="CD26">IFERROR(INDEX('[1]Sales per type juli'!$D$10:$BA$51,MATCH($C26,'[1]Sales per type juli'!$B$10:$B$51,0),MATCH("V60 Lite",'[1]Sales per type juli'!$D$8:$BA$8,0)+1),0)</f>
        <v>43792000</v>
      </c>
      <c r="CE26" s="143">
        <f t="shared" si="25"/>
        <v>-21396000</v>
      </c>
      <c r="CF26" s="143">
        <f>IFERROR(INDEX('[1]SALES PERTYPE'!$AD$10:$AD$52,MATCH($C26,'[1]SALES PERTYPE'!$B$10:$B$52,0)),0)</f>
        <v>0</v>
      </c>
      <c r="CG26" s="143">
        <f>IFERROR(INDEX('[1]Sales per type juli'!$D$10:$BA$51,MATCH($C26,'[1]Sales per type juli'!$B$10:$B$51,0),MATCH("X300 Ultra",'[1]Sales per type juli'!$D$8:$BA$8,0)),0)</f>
        <v>0</v>
      </c>
      <c r="CH26" s="143">
        <f t="shared" si="26"/>
        <v>0</v>
      </c>
      <c r="CI26" s="143">
        <f>IFERROR(INDEX('[1]SALES PERTYPE'!$AE$10:$AE$52,MATCH($C26,'[1]SALES PERTYPE'!$B$10:$B$52,0)),0)</f>
        <v>0</v>
      </c>
      <c r="CJ26" s="143" cm="1">
        <f t="array" ref="CJ26">IFERROR(INDEX('[1]Sales per type juli'!$D$10:$BA$51,MATCH($C26,'[1]Sales per type juli'!$B$10:$B$51,0),MATCH("X300 Ultra",'[1]Sales per type juli'!$D$8:$BA$8,0)+1),0)</f>
        <v>0</v>
      </c>
      <c r="CK26" s="143">
        <f t="shared" si="27"/>
        <v>0</v>
      </c>
      <c r="CL26" s="143">
        <f>IFERROR(INDEX('[1]SALES PERTYPE'!$AF$10:$AF$52,MATCH($C26,'[1]SALES PERTYPE'!$B$10:$B$52,0)),0)</f>
        <v>0</v>
      </c>
      <c r="CM26" s="143">
        <f>IFERROR(INDEX('[1]Sales per type juli'!$D$10:$BA$51,MATCH($C26,'[1]Sales per type juli'!$B$10:$B$51,0),MATCH("IQOO 15",'[1]Sales per type juli'!$D$8:$BA$8,0)),0)</f>
        <v>0</v>
      </c>
      <c r="CN26" s="143">
        <f t="shared" si="28"/>
        <v>0</v>
      </c>
      <c r="CO26" s="143">
        <f>IFERROR(INDEX('[1]SALES PERTYPE'!$AG$10:$AG$52,MATCH($C26,'[1]SALES PERTYPE'!$B$10:$B$52,0)),0)</f>
        <v>0</v>
      </c>
      <c r="CP26" s="143" cm="1">
        <f t="array" ref="CP26">IFERROR(INDEX('[1]Sales per type juli'!$D$10:$BA$51,MATCH($C26,'[1]Sales per type juli'!$B$10:$B$51,0),MATCH("IQOO 15",'[1]Sales per type juli'!$D$8:$BA$8,0)+1),0)</f>
        <v>0</v>
      </c>
      <c r="CQ26" s="143">
        <f t="shared" si="29"/>
        <v>0</v>
      </c>
      <c r="CR26" s="143">
        <f>IFERROR(INDEX('[1]SALES PERTYPE'!$AH$10:$AH$52,MATCH($C26,'[1]SALES PERTYPE'!$B$10:$B$52,0)),0)</f>
        <v>0</v>
      </c>
      <c r="CS26" s="143">
        <f>IFERROR(INDEX('[1]Sales per type juli'!$D$10:$BA$51,MATCH($C26,'[1]Sales per type juli'!$B$10:$B$51,0),MATCH("IQOO Z11x",'[1]Sales per type juli'!$D$8:$BA$8,0)),0)</f>
        <v>0</v>
      </c>
      <c r="CT26" s="143">
        <f t="shared" si="30"/>
        <v>0</v>
      </c>
      <c r="CU26" s="143">
        <f>IFERROR(INDEX('[1]SALES PERTYPE'!$AI$10:$AI$52,MATCH($C26,'[1]SALES PERTYPE'!$B$10:$B$52,0)),0)</f>
        <v>0</v>
      </c>
      <c r="CV26" s="143" cm="1">
        <f t="array" ref="CV26">IFERROR(INDEX('[1]Sales per type juli'!$D$10:$BA$51,MATCH($C26,'[1]Sales per type juli'!$B$10:$B$51,0),MATCH("IQOO Z11x",'[1]Sales per type juli'!$D$8:$BA$8,0)+1),0)</f>
        <v>0</v>
      </c>
      <c r="CW26" s="143">
        <f t="shared" si="31"/>
        <v>0</v>
      </c>
      <c r="CX26" s="143">
        <f>IFERROR(INDEX('[1]SALES PERTYPE'!$AJ$10:$AJ$52,MATCH($C26,'[1]SALES PERTYPE'!$B$10:$B$52,0)),0)</f>
        <v>0</v>
      </c>
      <c r="CY26" s="143">
        <f>IFERROR(INDEX('[1]Sales per type juli'!$D$10:$BA$51,MATCH($C26,'[1]Sales per type juli'!$B$10:$B$51,0),MATCH("IQOO Z11",'[1]Sales per type juli'!$D$8:$BA$8,0)),0)</f>
        <v>5</v>
      </c>
      <c r="CZ26" s="143">
        <f t="shared" si="32"/>
        <v>-5</v>
      </c>
      <c r="DA26" s="143">
        <f>IFERROR(INDEX('[1]SALES PERTYPE'!$AK$10:$AK$52,MATCH($C26,'[1]SALES PERTYPE'!$B$10:$B$52,0)),0)</f>
        <v>0</v>
      </c>
      <c r="DB26" s="143" cm="1">
        <f t="array" ref="DB26">IFERROR(INDEX('[1]Sales per type juli'!$D$10:$BA$51,MATCH($C26,'[1]Sales per type juli'!$B$10:$B$51,0),MATCH("IQOO Z11",'[1]Sales per type juli'!$D$8:$BA$8,0)+1),0)</f>
        <v>28495000</v>
      </c>
      <c r="DC26" s="143">
        <f t="shared" si="33"/>
        <v>-28495000</v>
      </c>
      <c r="DD26" s="143">
        <v>0</v>
      </c>
      <c r="DE26" s="143">
        <f>IFERROR(INDEX('[1]Sales per type juli'!$D$10:$BA$51,MATCH($C26,'[1]Sales per type juli'!$B$10:$B$51,0),MATCH("WATCH 3",'[1]Sales per type juli'!$D$8:$BA$8,0)),0)</f>
        <v>0</v>
      </c>
      <c r="DF26" s="143">
        <f t="shared" si="34"/>
        <v>0</v>
      </c>
      <c r="DG26" s="143">
        <v>0</v>
      </c>
      <c r="DH26" s="143" cm="1">
        <f t="array" ref="DH26">IFERROR(INDEX('[1]Sales per type juli'!$D$10:$BA$51,MATCH($C26,'[1]Sales per type juli'!$B$10:$B$51,0),MATCH("WATCH 3",'[1]Sales per type juli'!$D$8:$BA$8,0)+1),0)</f>
        <v>0</v>
      </c>
      <c r="DI26" s="143">
        <f t="shared" si="35"/>
        <v>0</v>
      </c>
      <c r="DJ26" s="143">
        <v>0</v>
      </c>
      <c r="DK26" s="143">
        <f>IFERROR(INDEX('[1]Sales per type juli'!$D$10:$BA$51,MATCH($C26,'[1]Sales per type juli'!$B$10:$B$51,0),MATCH("X300 Demo",'[1]Sales per type juli'!$D$8:$BA$8,0)),0)</f>
        <v>1</v>
      </c>
      <c r="DL26" s="143">
        <f t="shared" si="36"/>
        <v>-1</v>
      </c>
      <c r="DM26" s="143">
        <v>0</v>
      </c>
      <c r="DN26" s="143" cm="1">
        <f t="array" ref="DN26">IFERROR(INDEX('[1]Sales per type juli'!$D$10:$BA$51,MATCH($C26,'[1]Sales per type juli'!$B$10:$B$51,0),MATCH("X300 Demo",'[1]Sales per type juli'!$D$8:$BA$8,0)+1),0)</f>
        <v>18999000</v>
      </c>
      <c r="DO26" s="143">
        <f t="shared" si="37"/>
        <v>-18999000</v>
      </c>
      <c r="DP26" s="143">
        <v>0</v>
      </c>
      <c r="DQ26" s="143">
        <f>IFERROR(INDEX('[1]Sales per type juli'!$D$10:$BA$51,MATCH($C26,'[1]Sales per type juli'!$B$10:$B$51,0),MATCH("X300 Pro Demo",'[1]Sales per type juli'!$D$8:$BA$8,0)),0)</f>
        <v>0</v>
      </c>
      <c r="DR26" s="143">
        <f t="shared" si="38"/>
        <v>0</v>
      </c>
      <c r="DS26" s="143">
        <v>0</v>
      </c>
      <c r="DT26" s="143" cm="1">
        <f t="array" ref="DT26">IFERROR(INDEX('[1]Sales per type juli'!$D$10:$BA$51,MATCH($C26,'[1]Sales per type juli'!$B$10:$B$51,0),MATCH("X300 Pro Demo",'[1]Sales per type juli'!$D$8:$BA$8,0)+1),0)</f>
        <v>0</v>
      </c>
      <c r="DU26" s="143">
        <f t="shared" si="39"/>
        <v>0</v>
      </c>
      <c r="DV26" s="143">
        <v>0</v>
      </c>
      <c r="DW26" s="143">
        <f>IFERROR(INDEX('[1]Sales per type juli'!$D$10:$BA$51,MATCH($C26,'[1]Sales per type juli'!$B$10:$B$51,0),MATCH("X Fold5 DEMO",'[1]Sales per type juli'!$D$8:$BA$8,0)),0)</f>
        <v>0</v>
      </c>
      <c r="DX26" s="143">
        <f t="shared" si="40"/>
        <v>0</v>
      </c>
      <c r="DY26" s="143">
        <v>0</v>
      </c>
      <c r="DZ26" s="143" cm="1">
        <f t="array" ref="DZ26">IFERROR(INDEX('[1]Sales per type juli'!$D$10:$BA$51,MATCH($C26,'[1]Sales per type juli'!$B$10:$B$51,0),MATCH("X Fold5 DEMO",'[1]Sales per type juli'!$D$8:$BA$8,0)+1),0)</f>
        <v>0</v>
      </c>
      <c r="EA26" s="143">
        <f t="shared" si="41"/>
        <v>0</v>
      </c>
      <c r="EB26" s="143">
        <v>0</v>
      </c>
      <c r="EC26" s="143">
        <f>IFERROR(INDEX('[1]Sales per type juli'!$D$10:$BA$51,MATCH($C26,'[1]Sales per type juli'!$B$10:$B$51,0),MATCH("X Fold5",'[1]Sales per type juli'!$D$8:$BA$8,0)),0)</f>
        <v>0</v>
      </c>
      <c r="ED26" s="143">
        <f t="shared" si="42"/>
        <v>0</v>
      </c>
      <c r="EE26" s="143">
        <v>0</v>
      </c>
      <c r="EF26" s="143" cm="1">
        <f t="array" ref="EF26">IFERROR(INDEX('[1]Sales per type juli'!$D$10:$BA$51,MATCH($C26,'[1]Sales per type juli'!$B$10:$B$51,0),MATCH("X Fold5",'[1]Sales per type juli'!$D$8:$BA$8,0)+1),0)</f>
        <v>0</v>
      </c>
      <c r="EG26" s="143">
        <f t="shared" si="43"/>
        <v>0</v>
      </c>
      <c r="EH26" s="143">
        <v>0</v>
      </c>
      <c r="EI26" s="143">
        <f>IFERROR(INDEX('[1]Sales per type juli'!$D$10:$BA$51,MATCH($C26,'[1]Sales per type juli'!$B$10:$B$51,0),MATCH("IQOO 15 Demo",'[1]Sales per type juli'!$D$8:$BA$8,0)),0)</f>
        <v>2</v>
      </c>
      <c r="EJ26" s="143">
        <f t="shared" si="44"/>
        <v>-2</v>
      </c>
      <c r="EK26" s="143">
        <v>0</v>
      </c>
      <c r="EL26" s="143" cm="1">
        <f t="array" ref="EL26">IFERROR(INDEX('[1]Sales per type juli'!$D$10:$BA$51,MATCH($C26,'[1]Sales per type juli'!$B$10:$B$51,0),MATCH("IQOO 15 Demo",'[1]Sales per type juli'!$D$8:$BA$8,0)+1),0)</f>
        <v>27998000</v>
      </c>
      <c r="EM26" s="143">
        <f t="shared" si="45"/>
        <v>-27998000</v>
      </c>
      <c r="EN26" s="143">
        <v>0</v>
      </c>
      <c r="EO26" s="143">
        <f>IFERROR(INDEX('[1]Sales per type juli'!$D$10:$BA$51,MATCH($C26,'[1]Sales per type juli'!$B$10:$B$51,0),MATCH("X300 PRO",'[1]Sales per type juli'!$D$8:$BA$8,0)),0)</f>
        <v>0</v>
      </c>
      <c r="EP26" s="143">
        <f t="shared" si="46"/>
        <v>0</v>
      </c>
      <c r="EQ26" s="143">
        <v>0</v>
      </c>
      <c r="ER26" s="143" cm="1">
        <f t="array" ref="ER26">IFERROR(INDEX('[1]Sales per type juli'!$D$10:$BA$51,MATCH($C26,'[1]Sales per type juli'!$B$10:$B$51,0),MATCH("X300 PRO",'[1]Sales per type juli'!$D$8:$BA$8,0)+1),0)</f>
        <v>0</v>
      </c>
      <c r="ES26" s="143">
        <f t="shared" si="47"/>
        <v>0</v>
      </c>
      <c r="ET26" s="143">
        <v>0</v>
      </c>
      <c r="EU26" s="143">
        <f>IFERROR(INDEX('[1]Sales per type juli'!$D$10:$BA$51,MATCH($C26,'[1]Sales per type juli'!$B$10:$B$51,0),MATCH("X300 ",'[1]Sales per type juli'!$D$8:$BA$8,0)),0)</f>
        <v>0</v>
      </c>
      <c r="EV26" s="143">
        <f t="shared" si="48"/>
        <v>0</v>
      </c>
      <c r="EW26" s="143">
        <v>0</v>
      </c>
      <c r="EX26" s="143" cm="1">
        <f t="array" ref="EX26">IFERROR(INDEX('[1]Sales per type juli'!$D$10:$BA$51,MATCH($C26,'[1]Sales per type juli'!$B$10:$B$51,0),MATCH("X300 ",'[1]Sales per type juli'!$D$8:$BA$8,0)+1),0)</f>
        <v>0</v>
      </c>
      <c r="EY26" s="143">
        <f t="shared" si="49"/>
        <v>0</v>
      </c>
      <c r="EZ26" s="143">
        <f t="shared" si="50"/>
        <v>65</v>
      </c>
      <c r="FA26" s="143">
        <f t="shared" si="50"/>
        <v>84</v>
      </c>
      <c r="FB26" s="143">
        <f t="shared" si="51"/>
        <v>-19</v>
      </c>
      <c r="FC26" s="143">
        <f t="shared" si="52"/>
        <v>255435000</v>
      </c>
      <c r="FD26" s="143">
        <f t="shared" si="52"/>
        <v>400116000</v>
      </c>
      <c r="FE26" s="143">
        <f t="shared" si="53"/>
        <v>-144681000</v>
      </c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</row>
    <row r="27" spans="1:208" ht="16" x14ac:dyDescent="0.2">
      <c r="A27" s="141">
        <f>'[1]ACHIEVEMENT STORE'!A27</f>
        <v>23</v>
      </c>
      <c r="B27" s="142" t="str">
        <f>'[1]ACHIEVEMENT STORE'!B27</f>
        <v>624-万丹BANTEN</v>
      </c>
      <c r="C27" s="141">
        <f>'[1]ACHIEVEMENT STORE'!C27</f>
        <v>6240704</v>
      </c>
      <c r="D27" s="142" t="str">
        <f>'[1]ACHIEVEMENT STORE'!D27</f>
        <v>6240704-TANGCITY LG017 WEST LOBBY</v>
      </c>
      <c r="E27" s="142" t="str">
        <f>'[1]ACHIEVEMENT STORE'!E27</f>
        <v>ARIES FITRIYANTO</v>
      </c>
      <c r="F27" s="143">
        <f>IFERROR(INDEX('[1]SALES PERTYPE'!$D$10:$D$52,MATCH($C27,'[1]SALES PERTYPE'!$B$10:$B$52,0)),0)</f>
        <v>1</v>
      </c>
      <c r="G27" s="143">
        <f>IFERROR(INDEX('[1]Sales per type juli'!$D$10:$BA$51,MATCH($C27,'[1]Sales per type juli'!$B$10:$B$51,0),MATCH("Y05",'[1]Sales per type juli'!$D$8:$BA$8,0)),0)</f>
        <v>7</v>
      </c>
      <c r="H27" s="143">
        <f t="shared" si="0"/>
        <v>-6</v>
      </c>
      <c r="I27" s="143">
        <f>IFERROR(INDEX('[1]SALES PERTYPE'!$E$10:$E$52,MATCH($C27,'[1]SALES PERTYPE'!$B$10:$B$52,0)),0)</f>
        <v>2299000</v>
      </c>
      <c r="J27" s="143" cm="1">
        <f t="array" ref="J27">IFERROR(INDEX('[1]Sales per type juli'!$D$10:$BA$51,MATCH($C27,'[1]Sales per type juli'!$B$10:$B$51,0),MATCH("Y05",'[1]Sales per type juli'!$D$8:$BA$8,0)+1),0)</f>
        <v>16093000</v>
      </c>
      <c r="K27" s="143">
        <f t="shared" si="1"/>
        <v>-13794000</v>
      </c>
      <c r="L27" s="143">
        <f>IFERROR(INDEX('[1]SALES PERTYPE'!$F$10:$F$52,MATCH($C27,'[1]SALES PERTYPE'!$B$10:$B$52,0)),0)</f>
        <v>5</v>
      </c>
      <c r="M27" s="143">
        <f>IFERROR(INDEX('[1]Sales per type juli'!$D$10:$BA$51,MATCH($C27,'[1]Sales per type juli'!$B$10:$B$51,0),MATCH("Y11d",'[1]Sales per type juli'!$D$8:$BA$8,0)),0)</f>
        <v>1</v>
      </c>
      <c r="N27" s="143">
        <f t="shared" si="2"/>
        <v>4</v>
      </c>
      <c r="O27" s="143">
        <f>IFERROR(INDEX('[1]SALES PERTYPE'!$G$10:$G$52,MATCH($C27,'[1]SALES PERTYPE'!$B$10:$B$52,0)),0)</f>
        <v>13995000</v>
      </c>
      <c r="P27" s="143" cm="1">
        <f t="array" ref="P27">IFERROR(INDEX('[1]Sales per type juli'!$D$10:$BA$51,MATCH($C27,'[1]Sales per type juli'!$B$10:$B$51,0),MATCH("Y11d",'[1]Sales per type juli'!$D$8:$BA$8,0)+1),0)</f>
        <v>2399000</v>
      </c>
      <c r="Q27" s="143">
        <f t="shared" si="3"/>
        <v>11596000</v>
      </c>
      <c r="R27" s="143">
        <f>IFERROR(INDEX('[1]SALES PERTYPE'!$H$10:$H$52,MATCH($C27,'[1]SALES PERTYPE'!$B$10:$B$52,0)),0)</f>
        <v>0</v>
      </c>
      <c r="S27" s="143">
        <f>IFERROR(INDEX('[1]Sales per type juli'!$D$10:$BA$51,MATCH($C27,'[1]Sales per type juli'!$B$10:$B$51,0),MATCH("Watch GT 2",'[1]Sales per type juli'!$D$8:$BA$8,0)),0)</f>
        <v>0</v>
      </c>
      <c r="T27" s="143">
        <f t="shared" si="4"/>
        <v>0</v>
      </c>
      <c r="U27" s="143">
        <f>IFERROR(INDEX('[1]SALES PERTYPE'!$I$10:$I$52,MATCH($C27,'[1]SALES PERTYPE'!$B$10:$B$52,0)),0)</f>
        <v>0</v>
      </c>
      <c r="V27" s="143" cm="1">
        <f t="array" ref="V27">IFERROR(INDEX('[1]Sales per type juli'!$D$10:$BA$51,MATCH($C27,'[1]Sales per type juli'!$B$10:$B$51,0),MATCH("Watch GT 2",'[1]Sales per type juli'!$D$8:$BA$8,0)+1),0)</f>
        <v>0</v>
      </c>
      <c r="W27" s="143">
        <f t="shared" si="5"/>
        <v>0</v>
      </c>
      <c r="X27" s="143">
        <f>IFERROR(INDEX('[1]SALES PERTYPE'!$J$10:$J$52,MATCH($C27,'[1]SALES PERTYPE'!$B$10:$B$52,0)),0)</f>
        <v>6</v>
      </c>
      <c r="Y27" s="143">
        <f>IFERROR(INDEX('[1]Sales per type juli'!$D$10:$BA$51,MATCH($C27,'[1]Sales per type juli'!$B$10:$B$51,0),MATCH("Y05e",'[1]Sales per type juli'!$D$8:$BA$8,0)),0)</f>
        <v>0</v>
      </c>
      <c r="Z27" s="143">
        <f t="shared" si="6"/>
        <v>6</v>
      </c>
      <c r="AA27" s="143">
        <f>IFERROR(INDEX('[1]SALES PERTYPE'!$K$10:$K$52,MATCH($C27,'[1]SALES PERTYPE'!$B$10:$B$52,0)),0)</f>
        <v>12594000</v>
      </c>
      <c r="AB27" s="143" cm="1">
        <f t="array" ref="AB27">IFERROR(INDEX('[1]Sales per type juli'!$D$10:$BA$51,MATCH($C27,'[1]Sales per type juli'!$B$10:$B$51,0),MATCH("Y05e",'[1]Sales per type juli'!$D$8:$BA$8,0)+1),0)</f>
        <v>0</v>
      </c>
      <c r="AC27" s="143">
        <f t="shared" si="7"/>
        <v>12594000</v>
      </c>
      <c r="AD27" s="143">
        <f>IFERROR(INDEX('[1]SALES PERTYPE'!$L$10:$L$52,MATCH($C27,'[1]SALES PERTYPE'!$B$10:$B$52,0)),0)</f>
        <v>0</v>
      </c>
      <c r="AE27" s="143">
        <f>IFERROR(INDEX('[1]Sales per type juli'!$D$10:$BA$51,MATCH($C27,'[1]Sales per type juli'!$B$10:$B$51,0),MATCH("V70",'[1]Sales per type juli'!$D$8:$BA$8,0)),0)</f>
        <v>0</v>
      </c>
      <c r="AF27" s="143">
        <f t="shared" si="8"/>
        <v>0</v>
      </c>
      <c r="AG27" s="143">
        <f>IFERROR(INDEX('[1]SALES PERTYPE'!$M$10:$M$52,MATCH($C27,'[1]SALES PERTYPE'!$B$10:$B$52,0)),0)</f>
        <v>0</v>
      </c>
      <c r="AH27" s="143" cm="1">
        <f t="array" ref="AH27">IFERROR(INDEX('[1]Sales per type juli'!$D$10:$BA$51,MATCH($C27,'[1]Sales per type juli'!$B$10:$B$51,0),MATCH("V70",'[1]Sales per type juli'!$D$8:$BA$8,0)+1),0)</f>
        <v>0</v>
      </c>
      <c r="AI27" s="143">
        <f t="shared" si="9"/>
        <v>0</v>
      </c>
      <c r="AJ27" s="143">
        <f>IFERROR(INDEX('[1]SALES PERTYPE'!$N$10:$N$52,MATCH($C27,'[1]SALES PERTYPE'!$B$10:$B$52,0)),0)</f>
        <v>2</v>
      </c>
      <c r="AK27" s="143">
        <f>IFERROR(INDEX('[1]Sales per type juli'!$D$10:$BA$51,MATCH($C27,'[1]Sales per type juli'!$B$10:$B$51,0),MATCH("Y31d Pro",'[1]Sales per type juli'!$D$8:$BA$8,0)),0)</f>
        <v>3</v>
      </c>
      <c r="AL27" s="143">
        <f t="shared" si="10"/>
        <v>-1</v>
      </c>
      <c r="AM27" s="143">
        <f>IFERROR(INDEX('[1]SALES PERTYPE'!$O$10:$O$52,MATCH($C27,'[1]SALES PERTYPE'!$B$10:$B$52,0)),0)</f>
        <v>8598000</v>
      </c>
      <c r="AN27" s="143" cm="1">
        <f t="array" ref="AN27">IFERROR(INDEX('[1]Sales per type juli'!$D$10:$BA$51,MATCH($C27,'[1]Sales per type juli'!$B$10:$B$51,0),MATCH("Y31d Pro",'[1]Sales per type juli'!$D$8:$BA$8,0)+1),0)</f>
        <v>12697000</v>
      </c>
      <c r="AO27" s="143">
        <f t="shared" si="11"/>
        <v>-4099000</v>
      </c>
      <c r="AP27" s="143">
        <f>IFERROR(INDEX('[1]SALES PERTYPE'!$P$10:$P$52,MATCH($C27,'[1]SALES PERTYPE'!$B$10:$B$52,0)),0)</f>
        <v>0</v>
      </c>
      <c r="AQ27" s="143" cm="1">
        <f t="array" ref="AQ27">IFERROR(INDEX('[1]Sales per type juli'!$D$10:$BA$51,MATCH($C27,'[1]Sales per type juli'!$B$10:$B$51,0),$FG$2),0)</f>
        <v>0</v>
      </c>
      <c r="AR27" s="143">
        <f t="shared" si="12"/>
        <v>0</v>
      </c>
      <c r="AS27" s="143">
        <f>IFERROR(INDEX('[1]SALES PERTYPE'!$Q$10:$Q$52,MATCH($C27,'[1]SALES PERTYPE'!$B$10:$B$52,0)),0)</f>
        <v>0</v>
      </c>
      <c r="AT27" s="143" cm="1">
        <f t="array" ref="AT27">IFERROR(INDEX('[1]Sales per type juli'!$D$10:$BA$51,MATCH($C27,'[1]Sales per type juli'!$B$10:$B$51,0),$FG$2+1),0)</f>
        <v>0</v>
      </c>
      <c r="AU27" s="143">
        <f t="shared" si="13"/>
        <v>0</v>
      </c>
      <c r="AV27" s="143">
        <f>IFERROR(INDEX('[1]SALES PERTYPE'!$R$10:$R$52,MATCH($C27,'[1]SALES PERTYPE'!$B$10:$B$52,0)),0)</f>
        <v>0</v>
      </c>
      <c r="AW27" s="143">
        <f>IFERROR(INDEX('[1]Sales per type juli'!$D$10:$BA$51,MATCH($C27,'[1]Sales per type juli'!$B$10:$B$51,0),MATCH("Y31d ",'[1]Sales per type juli'!$D$8:$BA$8,0)),0)</f>
        <v>1</v>
      </c>
      <c r="AX27" s="143">
        <f t="shared" si="14"/>
        <v>-1</v>
      </c>
      <c r="AY27" s="143">
        <f>IFERROR(INDEX('[1]SALES PERTYPE'!$S$10:$S$52,MATCH($C27,'[1]SALES PERTYPE'!$B$10:$B$52,0)),0)</f>
        <v>0</v>
      </c>
      <c r="AZ27" s="143" cm="1">
        <f t="array" ref="AZ27">IFERROR(INDEX('[1]Sales per type juli'!$D$10:$BA$51,MATCH($C27,'[1]Sales per type juli'!$B$10:$B$51,0),MATCH("Y31d ",'[1]Sales per type juli'!$D$8:$BA$8,0)+1),0)</f>
        <v>3599000</v>
      </c>
      <c r="BA27" s="143">
        <f t="shared" si="15"/>
        <v>-3599000</v>
      </c>
      <c r="BB27" s="143">
        <f>IFERROR(INDEX('[1]SALES PERTYPE'!$T$10:$T$52,MATCH($C27,'[1]SALES PERTYPE'!$B$10:$B$52,0)),0)</f>
        <v>0</v>
      </c>
      <c r="BC27" s="143">
        <f>IFERROR(INDEX('[1]Sales per type juli'!$D$10:$BA$51,MATCH($C27,'[1]Sales per type juli'!$B$10:$B$51,0),MATCH("V70 FE",'[1]Sales per type juli'!$D$8:$BA$8,0)),0)</f>
        <v>0</v>
      </c>
      <c r="BD27" s="143">
        <f t="shared" si="16"/>
        <v>0</v>
      </c>
      <c r="BE27" s="143">
        <f>IFERROR(INDEX('[1]SALES PERTYPE'!$U$10:$U$52,MATCH($C27,'[1]SALES PERTYPE'!$B$10:$B$52,0)),0)</f>
        <v>0</v>
      </c>
      <c r="BF27" s="143" cm="1">
        <f t="array" ref="BF27">IFERROR(INDEX('[1]Sales per type juli'!$D$10:$BA$51,MATCH($C27,'[1]Sales per type juli'!$B$10:$B$51,0),MATCH("V70 FE",'[1]Sales per type juli'!$D$8:$BA$8,0)+1),0)</f>
        <v>0</v>
      </c>
      <c r="BG27" s="143">
        <f t="shared" si="17"/>
        <v>0</v>
      </c>
      <c r="BH27" s="143">
        <f>IFERROR(INDEX('[1]SALES PERTYPE'!$V$10:$V$52,MATCH($C27,'[1]SALES PERTYPE'!$B$10:$B$52,0)),0)</f>
        <v>0</v>
      </c>
      <c r="BI27" s="143">
        <f>IFERROR(INDEX('[1]Sales per type juli'!$D$10:$BA$51,MATCH($C27,'[1]Sales per type juli'!$B$10:$B$51,0),MATCH("Y31d",'[1]Sales per type juli'!$D$8:$BA$8,0)),0)</f>
        <v>1</v>
      </c>
      <c r="BJ27" s="143">
        <f t="shared" si="18"/>
        <v>-1</v>
      </c>
      <c r="BK27" s="143">
        <f>IFERROR(INDEX('[1]SALES PERTYPE'!$W$10:$W$52,MATCH($C27,'[1]SALES PERTYPE'!$B$10:$B$52,0)),0)</f>
        <v>0</v>
      </c>
      <c r="BL27" s="143" cm="1">
        <f t="array" ref="BL27">IFERROR(INDEX('[1]Sales per type juli'!$D$10:$BA$51,MATCH($C27,'[1]Sales per type juli'!$B$10:$B$51,0),MATCH("Y31d",'[1]Sales per type juli'!$D$8:$BA$8,0)+1),0)</f>
        <v>3599000</v>
      </c>
      <c r="BM27" s="143">
        <f t="shared" si="19"/>
        <v>-3599000</v>
      </c>
      <c r="BN27" s="143">
        <f>IFERROR(INDEX('[1]SALES PERTYPE'!$X$10:$X$52,MATCH($C27,'[1]SALES PERTYPE'!$B$10:$B$52,0)),0)</f>
        <v>1</v>
      </c>
      <c r="BO27" s="143">
        <f>IFERROR(INDEX('[1]Sales per type juli'!$D$10:$BA$51,MATCH($C27,'[1]Sales per type juli'!$B$10:$B$51,0),MATCH("Y500",'[1]Sales per type juli'!$D$8:$BA$8,0)),0)</f>
        <v>0</v>
      </c>
      <c r="BP27" s="143">
        <f t="shared" si="20"/>
        <v>1</v>
      </c>
      <c r="BQ27" s="143">
        <f>IFERROR(INDEX('[1]SALES PERTYPE'!$Y$10:$Y$52,MATCH($C27,'[1]SALES PERTYPE'!$B$10:$B$52,0)),0)</f>
        <v>5499000</v>
      </c>
      <c r="BR27" s="143" cm="1">
        <f t="array" ref="BR27">IFERROR(INDEX('[1]Sales per type juli'!$D$10:$BA$51,MATCH($C27,'[1]Sales per type juli'!$B$10:$B$51,0),MATCH("Y500",'[1]Sales per type juli'!$D$8:$BA$8,0)+1),0)</f>
        <v>0</v>
      </c>
      <c r="BS27" s="143">
        <f t="shared" si="21"/>
        <v>5499000</v>
      </c>
      <c r="BT27" s="143">
        <f>IFERROR(INDEX('[1]SALES PERTYPE'!$Z$10:$Z$52,MATCH($C27,'[1]SALES PERTYPE'!$B$10:$B$52,0)),0)</f>
        <v>0</v>
      </c>
      <c r="BU27" s="143">
        <f>IFERROR(INDEX('[1]Sales per type juli'!$D$10:$BA$51,MATCH($C27,'[1]Sales per type juli'!$B$10:$B$51,0),MATCH("IQOO 15R",'[1]Sales per type juli'!$D$8:$BA$8,0)),0)</f>
        <v>0</v>
      </c>
      <c r="BV27" s="143">
        <f t="shared" si="22"/>
        <v>0</v>
      </c>
      <c r="BW27" s="143">
        <f>IFERROR(INDEX('[1]SALES PERTYPE'!$AA$10:$AA$52,MATCH($C27,'[1]SALES PERTYPE'!$B$10:$B$52,0)),0)</f>
        <v>0</v>
      </c>
      <c r="BX27" s="143" cm="1">
        <f t="array" ref="BX27">IFERROR(INDEX('[1]Sales per type juli'!$D$10:$BA$51,MATCH($C27,'[1]Sales per type juli'!$B$10:$B$51,0),MATCH("IQOO 15R",'[1]Sales per type juli'!$D$8:$BA$8,0)+1),0)</f>
        <v>0</v>
      </c>
      <c r="BY27" s="143">
        <f t="shared" si="23"/>
        <v>0</v>
      </c>
      <c r="BZ27" s="143">
        <f>IFERROR(INDEX('[1]SALES PERTYPE'!$AB$10:$AB$52,MATCH($C27,'[1]SALES PERTYPE'!$B$10:$B$52,0)),0)</f>
        <v>0</v>
      </c>
      <c r="CA27" s="143">
        <f>IFERROR(INDEX('[1]Sales per type juli'!$D$10:$BA$51,MATCH($C27,'[1]Sales per type juli'!$B$10:$B$51,0),MATCH("V60 Lite",'[1]Sales per type juli'!$D$8:$BA$8,0)),0)</f>
        <v>0</v>
      </c>
      <c r="CB27" s="143">
        <f t="shared" si="24"/>
        <v>0</v>
      </c>
      <c r="CC27" s="143">
        <f>IFERROR(INDEX('[1]SALES PERTYPE'!$AC$10:$AC$52,MATCH($C27,'[1]SALES PERTYPE'!$B$10:$B$52,0)),0)</f>
        <v>0</v>
      </c>
      <c r="CD27" s="143" cm="1">
        <f t="array" ref="CD27">IFERROR(INDEX('[1]Sales per type juli'!$D$10:$BA$51,MATCH($C27,'[1]Sales per type juli'!$B$10:$B$51,0),MATCH("V60 Lite",'[1]Sales per type juli'!$D$8:$BA$8,0)+1),0)</f>
        <v>0</v>
      </c>
      <c r="CE27" s="143">
        <f t="shared" si="25"/>
        <v>0</v>
      </c>
      <c r="CF27" s="143">
        <f>IFERROR(INDEX('[1]SALES PERTYPE'!$AD$10:$AD$52,MATCH($C27,'[1]SALES PERTYPE'!$B$10:$B$52,0)),0)</f>
        <v>0</v>
      </c>
      <c r="CG27" s="143">
        <f>IFERROR(INDEX('[1]Sales per type juli'!$D$10:$BA$51,MATCH($C27,'[1]Sales per type juli'!$B$10:$B$51,0),MATCH("X300 Ultra",'[1]Sales per type juli'!$D$8:$BA$8,0)),0)</f>
        <v>0</v>
      </c>
      <c r="CH27" s="143">
        <f t="shared" si="26"/>
        <v>0</v>
      </c>
      <c r="CI27" s="143">
        <f>IFERROR(INDEX('[1]SALES PERTYPE'!$AE$10:$AE$52,MATCH($C27,'[1]SALES PERTYPE'!$B$10:$B$52,0)),0)</f>
        <v>0</v>
      </c>
      <c r="CJ27" s="143" cm="1">
        <f t="array" ref="CJ27">IFERROR(INDEX('[1]Sales per type juli'!$D$10:$BA$51,MATCH($C27,'[1]Sales per type juli'!$B$10:$B$51,0),MATCH("X300 Ultra",'[1]Sales per type juli'!$D$8:$BA$8,0)+1),0)</f>
        <v>0</v>
      </c>
      <c r="CK27" s="143">
        <f t="shared" si="27"/>
        <v>0</v>
      </c>
      <c r="CL27" s="143">
        <f>IFERROR(INDEX('[1]SALES PERTYPE'!$AF$10:$AF$52,MATCH($C27,'[1]SALES PERTYPE'!$B$10:$B$52,0)),0)</f>
        <v>0</v>
      </c>
      <c r="CM27" s="143">
        <f>IFERROR(INDEX('[1]Sales per type juli'!$D$10:$BA$51,MATCH($C27,'[1]Sales per type juli'!$B$10:$B$51,0),MATCH("IQOO 15",'[1]Sales per type juli'!$D$8:$BA$8,0)),0)</f>
        <v>0</v>
      </c>
      <c r="CN27" s="143">
        <f t="shared" si="28"/>
        <v>0</v>
      </c>
      <c r="CO27" s="143">
        <f>IFERROR(INDEX('[1]SALES PERTYPE'!$AG$10:$AG$52,MATCH($C27,'[1]SALES PERTYPE'!$B$10:$B$52,0)),0)</f>
        <v>0</v>
      </c>
      <c r="CP27" s="143" cm="1">
        <f t="array" ref="CP27">IFERROR(INDEX('[1]Sales per type juli'!$D$10:$BA$51,MATCH($C27,'[1]Sales per type juli'!$B$10:$B$51,0),MATCH("IQOO 15",'[1]Sales per type juli'!$D$8:$BA$8,0)+1),0)</f>
        <v>0</v>
      </c>
      <c r="CQ27" s="143">
        <f t="shared" si="29"/>
        <v>0</v>
      </c>
      <c r="CR27" s="143">
        <f>IFERROR(INDEX('[1]SALES PERTYPE'!$AH$10:$AH$52,MATCH($C27,'[1]SALES PERTYPE'!$B$10:$B$52,0)),0)</f>
        <v>0</v>
      </c>
      <c r="CS27" s="143">
        <f>IFERROR(INDEX('[1]Sales per type juli'!$D$10:$BA$51,MATCH($C27,'[1]Sales per type juli'!$B$10:$B$51,0),MATCH("IQOO Z11x",'[1]Sales per type juli'!$D$8:$BA$8,0)),0)</f>
        <v>0</v>
      </c>
      <c r="CT27" s="143">
        <f t="shared" si="30"/>
        <v>0</v>
      </c>
      <c r="CU27" s="143">
        <f>IFERROR(INDEX('[1]SALES PERTYPE'!$AI$10:$AI$52,MATCH($C27,'[1]SALES PERTYPE'!$B$10:$B$52,0)),0)</f>
        <v>0</v>
      </c>
      <c r="CV27" s="143" cm="1">
        <f t="array" ref="CV27">IFERROR(INDEX('[1]Sales per type juli'!$D$10:$BA$51,MATCH($C27,'[1]Sales per type juli'!$B$10:$B$51,0),MATCH("IQOO Z11x",'[1]Sales per type juli'!$D$8:$BA$8,0)+1),0)</f>
        <v>0</v>
      </c>
      <c r="CW27" s="143">
        <f t="shared" si="31"/>
        <v>0</v>
      </c>
      <c r="CX27" s="143">
        <f>IFERROR(INDEX('[1]SALES PERTYPE'!$AJ$10:$AJ$52,MATCH($C27,'[1]SALES PERTYPE'!$B$10:$B$52,0)),0)</f>
        <v>0</v>
      </c>
      <c r="CY27" s="143">
        <f>IFERROR(INDEX('[1]Sales per type juli'!$D$10:$BA$51,MATCH($C27,'[1]Sales per type juli'!$B$10:$B$51,0),MATCH("IQOO Z11",'[1]Sales per type juli'!$D$8:$BA$8,0)),0)</f>
        <v>2</v>
      </c>
      <c r="CZ27" s="143">
        <f t="shared" si="32"/>
        <v>-2</v>
      </c>
      <c r="DA27" s="143">
        <f>IFERROR(INDEX('[1]SALES PERTYPE'!$AK$10:$AK$52,MATCH($C27,'[1]SALES PERTYPE'!$B$10:$B$52,0)),0)</f>
        <v>0</v>
      </c>
      <c r="DB27" s="143" cm="1">
        <f t="array" ref="DB27">IFERROR(INDEX('[1]Sales per type juli'!$D$10:$BA$51,MATCH($C27,'[1]Sales per type juli'!$B$10:$B$51,0),MATCH("IQOO Z11",'[1]Sales per type juli'!$D$8:$BA$8,0)+1),0)</f>
        <v>11398000</v>
      </c>
      <c r="DC27" s="143">
        <f t="shared" si="33"/>
        <v>-11398000</v>
      </c>
      <c r="DD27" s="143">
        <v>0</v>
      </c>
      <c r="DE27" s="143">
        <f>IFERROR(INDEX('[1]Sales per type juli'!$D$10:$BA$51,MATCH($C27,'[1]Sales per type juli'!$B$10:$B$51,0),MATCH("WATCH 3",'[1]Sales per type juli'!$D$8:$BA$8,0)),0)</f>
        <v>0</v>
      </c>
      <c r="DF27" s="143">
        <f t="shared" si="34"/>
        <v>0</v>
      </c>
      <c r="DG27" s="143">
        <v>0</v>
      </c>
      <c r="DH27" s="143" cm="1">
        <f t="array" ref="DH27">IFERROR(INDEX('[1]Sales per type juli'!$D$10:$BA$51,MATCH($C27,'[1]Sales per type juli'!$B$10:$B$51,0),MATCH("WATCH 3",'[1]Sales per type juli'!$D$8:$BA$8,0)+1),0)</f>
        <v>0</v>
      </c>
      <c r="DI27" s="143">
        <f t="shared" si="35"/>
        <v>0</v>
      </c>
      <c r="DJ27" s="143">
        <v>0</v>
      </c>
      <c r="DK27" s="143">
        <f>IFERROR(INDEX('[1]Sales per type juli'!$D$10:$BA$51,MATCH($C27,'[1]Sales per type juli'!$B$10:$B$51,0),MATCH("X300 Demo",'[1]Sales per type juli'!$D$8:$BA$8,0)),0)</f>
        <v>2</v>
      </c>
      <c r="DL27" s="143">
        <f t="shared" si="36"/>
        <v>-2</v>
      </c>
      <c r="DM27" s="143">
        <v>0</v>
      </c>
      <c r="DN27" s="143" cm="1">
        <f t="array" ref="DN27">IFERROR(INDEX('[1]Sales per type juli'!$D$10:$BA$51,MATCH($C27,'[1]Sales per type juli'!$B$10:$B$51,0),MATCH("X300 Demo",'[1]Sales per type juli'!$D$8:$BA$8,0)+1),0)</f>
        <v>29998000</v>
      </c>
      <c r="DO27" s="143">
        <f t="shared" si="37"/>
        <v>-29998000</v>
      </c>
      <c r="DP27" s="143">
        <v>0</v>
      </c>
      <c r="DQ27" s="143">
        <f>IFERROR(INDEX('[1]Sales per type juli'!$D$10:$BA$51,MATCH($C27,'[1]Sales per type juli'!$B$10:$B$51,0),MATCH("X300 Pro Demo",'[1]Sales per type juli'!$D$8:$BA$8,0)),0)</f>
        <v>0</v>
      </c>
      <c r="DR27" s="143">
        <f t="shared" si="38"/>
        <v>0</v>
      </c>
      <c r="DS27" s="143">
        <v>0</v>
      </c>
      <c r="DT27" s="143" cm="1">
        <f t="array" ref="DT27">IFERROR(INDEX('[1]Sales per type juli'!$D$10:$BA$51,MATCH($C27,'[1]Sales per type juli'!$B$10:$B$51,0),MATCH("X300 Pro Demo",'[1]Sales per type juli'!$D$8:$BA$8,0)+1),0)</f>
        <v>0</v>
      </c>
      <c r="DU27" s="143">
        <f t="shared" si="39"/>
        <v>0</v>
      </c>
      <c r="DV27" s="143">
        <v>0</v>
      </c>
      <c r="DW27" s="143">
        <f>IFERROR(INDEX('[1]Sales per type juli'!$D$10:$BA$51,MATCH($C27,'[1]Sales per type juli'!$B$10:$B$51,0),MATCH("X Fold5 DEMO",'[1]Sales per type juli'!$D$8:$BA$8,0)),0)</f>
        <v>0</v>
      </c>
      <c r="DX27" s="143">
        <f t="shared" si="40"/>
        <v>0</v>
      </c>
      <c r="DY27" s="143">
        <v>0</v>
      </c>
      <c r="DZ27" s="143" cm="1">
        <f t="array" ref="DZ27">IFERROR(INDEX('[1]Sales per type juli'!$D$10:$BA$51,MATCH($C27,'[1]Sales per type juli'!$B$10:$B$51,0),MATCH("X Fold5 DEMO",'[1]Sales per type juli'!$D$8:$BA$8,0)+1),0)</f>
        <v>0</v>
      </c>
      <c r="EA27" s="143">
        <f t="shared" si="41"/>
        <v>0</v>
      </c>
      <c r="EB27" s="143">
        <v>0</v>
      </c>
      <c r="EC27" s="143">
        <f>IFERROR(INDEX('[1]Sales per type juli'!$D$10:$BA$51,MATCH($C27,'[1]Sales per type juli'!$B$10:$B$51,0),MATCH("X Fold5",'[1]Sales per type juli'!$D$8:$BA$8,0)),0)</f>
        <v>0</v>
      </c>
      <c r="ED27" s="143">
        <f t="shared" si="42"/>
        <v>0</v>
      </c>
      <c r="EE27" s="143">
        <v>0</v>
      </c>
      <c r="EF27" s="143" cm="1">
        <f t="array" ref="EF27">IFERROR(INDEX('[1]Sales per type juli'!$D$10:$BA$51,MATCH($C27,'[1]Sales per type juli'!$B$10:$B$51,0),MATCH("X Fold5",'[1]Sales per type juli'!$D$8:$BA$8,0)+1),0)</f>
        <v>0</v>
      </c>
      <c r="EG27" s="143">
        <f t="shared" si="43"/>
        <v>0</v>
      </c>
      <c r="EH27" s="143">
        <v>0</v>
      </c>
      <c r="EI27" s="143">
        <f>IFERROR(INDEX('[1]Sales per type juli'!$D$10:$BA$51,MATCH($C27,'[1]Sales per type juli'!$B$10:$B$51,0),MATCH("IQOO 15 Demo",'[1]Sales per type juli'!$D$8:$BA$8,0)),0)</f>
        <v>0</v>
      </c>
      <c r="EJ27" s="143">
        <f t="shared" si="44"/>
        <v>0</v>
      </c>
      <c r="EK27" s="143">
        <v>0</v>
      </c>
      <c r="EL27" s="143" cm="1">
        <f t="array" ref="EL27">IFERROR(INDEX('[1]Sales per type juli'!$D$10:$BA$51,MATCH($C27,'[1]Sales per type juli'!$B$10:$B$51,0),MATCH("IQOO 15 Demo",'[1]Sales per type juli'!$D$8:$BA$8,0)+1),0)</f>
        <v>0</v>
      </c>
      <c r="EM27" s="143">
        <f t="shared" si="45"/>
        <v>0</v>
      </c>
      <c r="EN27" s="143">
        <v>0</v>
      </c>
      <c r="EO27" s="143">
        <f>IFERROR(INDEX('[1]Sales per type juli'!$D$10:$BA$51,MATCH($C27,'[1]Sales per type juli'!$B$10:$B$51,0),MATCH("X300 PRO",'[1]Sales per type juli'!$D$8:$BA$8,0)),0)</f>
        <v>0</v>
      </c>
      <c r="EP27" s="143">
        <f t="shared" si="46"/>
        <v>0</v>
      </c>
      <c r="EQ27" s="143">
        <v>0</v>
      </c>
      <c r="ER27" s="143" cm="1">
        <f t="array" ref="ER27">IFERROR(INDEX('[1]Sales per type juli'!$D$10:$BA$51,MATCH($C27,'[1]Sales per type juli'!$B$10:$B$51,0),MATCH("X300 PRO",'[1]Sales per type juli'!$D$8:$BA$8,0)+1),0)</f>
        <v>0</v>
      </c>
      <c r="ES27" s="143">
        <f t="shared" si="47"/>
        <v>0</v>
      </c>
      <c r="ET27" s="143">
        <v>0</v>
      </c>
      <c r="EU27" s="143">
        <f>IFERROR(INDEX('[1]Sales per type juli'!$D$10:$BA$51,MATCH($C27,'[1]Sales per type juli'!$B$10:$B$51,0),MATCH("X300 ",'[1]Sales per type juli'!$D$8:$BA$8,0)),0)</f>
        <v>0</v>
      </c>
      <c r="EV27" s="143">
        <f t="shared" si="48"/>
        <v>0</v>
      </c>
      <c r="EW27" s="143">
        <v>0</v>
      </c>
      <c r="EX27" s="143" cm="1">
        <f t="array" ref="EX27">IFERROR(INDEX('[1]Sales per type juli'!$D$10:$BA$51,MATCH($C27,'[1]Sales per type juli'!$B$10:$B$51,0),MATCH("X300 ",'[1]Sales per type juli'!$D$8:$BA$8,0)+1),0)</f>
        <v>0</v>
      </c>
      <c r="EY27" s="143">
        <f t="shared" si="49"/>
        <v>0</v>
      </c>
      <c r="EZ27" s="143">
        <f t="shared" si="50"/>
        <v>15</v>
      </c>
      <c r="FA27" s="143">
        <f t="shared" si="50"/>
        <v>17</v>
      </c>
      <c r="FB27" s="143">
        <f t="shared" si="51"/>
        <v>-2</v>
      </c>
      <c r="FC27" s="143">
        <f t="shared" si="52"/>
        <v>42985000</v>
      </c>
      <c r="FD27" s="143">
        <f t="shared" si="52"/>
        <v>79783000</v>
      </c>
      <c r="FE27" s="143">
        <f t="shared" si="53"/>
        <v>-36798000</v>
      </c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</row>
    <row r="28" spans="1:208" ht="16" x14ac:dyDescent="0.2">
      <c r="A28" s="144">
        <f>'[1]ACHIEVEMENT STORE'!A28</f>
        <v>24</v>
      </c>
      <c r="B28" s="145" t="str">
        <f>'[1]ACHIEVEMENT STORE'!B28</f>
        <v>624-万丹BANTEN</v>
      </c>
      <c r="C28" s="144">
        <f>'[1]ACHIEVEMENT STORE'!C28</f>
        <v>6240701</v>
      </c>
      <c r="D28" s="145" t="str">
        <f>'[1]ACHIEVEMENT STORE'!D28</f>
        <v>A200803-LG BLOK A-B NO. 12 SKY 5</v>
      </c>
      <c r="E28" s="145" t="str">
        <f>'[1]ACHIEVEMENT STORE'!E28</f>
        <v>DHANI EKO NUGROHO</v>
      </c>
      <c r="F28" s="143">
        <f>IFERROR(INDEX('[1]SALES PERTYPE'!$D$10:$D$52,MATCH($C28,'[1]SALES PERTYPE'!$B$10:$B$52,0)),0)</f>
        <v>14</v>
      </c>
      <c r="G28" s="143">
        <f>IFERROR(INDEX('[1]Sales per type juli'!$D$10:$BA$51,MATCH($C28,'[1]Sales per type juli'!$B$10:$B$51,0),MATCH("Y05",'[1]Sales per type juli'!$D$8:$BA$8,0)),0)</f>
        <v>32</v>
      </c>
      <c r="H28" s="143">
        <f t="shared" si="0"/>
        <v>-18</v>
      </c>
      <c r="I28" s="143">
        <f>IFERROR(INDEX('[1]SALES PERTYPE'!$E$10:$E$52,MATCH($C28,'[1]SALES PERTYPE'!$B$10:$B$52,0)),0)</f>
        <v>34586000</v>
      </c>
      <c r="J28" s="143" cm="1">
        <f t="array" ref="J28">IFERROR(INDEX('[1]Sales per type juli'!$D$10:$BA$51,MATCH($C28,'[1]Sales per type juli'!$B$10:$B$51,0),MATCH("Y05",'[1]Sales per type juli'!$D$8:$BA$8,0)+1),0)</f>
        <v>72268000</v>
      </c>
      <c r="K28" s="143">
        <f t="shared" si="1"/>
        <v>-37682000</v>
      </c>
      <c r="L28" s="143">
        <f>IFERROR(INDEX('[1]SALES PERTYPE'!$F$10:$F$52,MATCH($C28,'[1]SALES PERTYPE'!$B$10:$B$52,0)),0)</f>
        <v>24</v>
      </c>
      <c r="M28" s="143">
        <f>IFERROR(INDEX('[1]Sales per type juli'!$D$10:$BA$51,MATCH($C28,'[1]Sales per type juli'!$B$10:$B$51,0),MATCH("Y11d",'[1]Sales per type juli'!$D$8:$BA$8,0)),0)</f>
        <v>14</v>
      </c>
      <c r="N28" s="143">
        <f t="shared" si="2"/>
        <v>10</v>
      </c>
      <c r="O28" s="143">
        <f>IFERROR(INDEX('[1]SALES PERTYPE'!$G$10:$G$52,MATCH($C28,'[1]SALES PERTYPE'!$B$10:$B$52,0)),0)</f>
        <v>63576000</v>
      </c>
      <c r="P28" s="143" cm="1">
        <f t="array" ref="P28">IFERROR(INDEX('[1]Sales per type juli'!$D$10:$BA$51,MATCH($C28,'[1]Sales per type juli'!$B$10:$B$51,0),MATCH("Y11d",'[1]Sales per type juli'!$D$8:$BA$8,0)+1),0)</f>
        <v>37186000</v>
      </c>
      <c r="Q28" s="143">
        <f t="shared" si="3"/>
        <v>26390000</v>
      </c>
      <c r="R28" s="143">
        <f>IFERROR(INDEX('[1]SALES PERTYPE'!$H$10:$H$52,MATCH($C28,'[1]SALES PERTYPE'!$B$10:$B$52,0)),0)</f>
        <v>0</v>
      </c>
      <c r="S28" s="143">
        <f>IFERROR(INDEX('[1]Sales per type juli'!$D$10:$BA$51,MATCH($C28,'[1]Sales per type juli'!$B$10:$B$51,0),MATCH("Watch GT 2",'[1]Sales per type juli'!$D$8:$BA$8,0)),0)</f>
        <v>0</v>
      </c>
      <c r="T28" s="143">
        <f t="shared" si="4"/>
        <v>0</v>
      </c>
      <c r="U28" s="143">
        <f>IFERROR(INDEX('[1]SALES PERTYPE'!$I$10:$I$52,MATCH($C28,'[1]SALES PERTYPE'!$B$10:$B$52,0)),0)</f>
        <v>0</v>
      </c>
      <c r="V28" s="143" cm="1">
        <f t="array" ref="V28">IFERROR(INDEX('[1]Sales per type juli'!$D$10:$BA$51,MATCH($C28,'[1]Sales per type juli'!$B$10:$B$51,0),MATCH("Watch GT 2",'[1]Sales per type juli'!$D$8:$BA$8,0)+1),0)</f>
        <v>0</v>
      </c>
      <c r="W28" s="143">
        <f t="shared" si="5"/>
        <v>0</v>
      </c>
      <c r="X28" s="143">
        <f>IFERROR(INDEX('[1]SALES PERTYPE'!$J$10:$J$52,MATCH($C28,'[1]SALES PERTYPE'!$B$10:$B$52,0)),0)</f>
        <v>9</v>
      </c>
      <c r="Y28" s="143">
        <f>IFERROR(INDEX('[1]Sales per type juli'!$D$10:$BA$51,MATCH($C28,'[1]Sales per type juli'!$B$10:$B$51,0),MATCH("Y05e",'[1]Sales per type juli'!$D$8:$BA$8,0)),0)</f>
        <v>0</v>
      </c>
      <c r="Z28" s="143">
        <f t="shared" si="6"/>
        <v>9</v>
      </c>
      <c r="AA28" s="143">
        <f>IFERROR(INDEX('[1]SALES PERTYPE'!$K$10:$K$52,MATCH($C28,'[1]SALES PERTYPE'!$B$10:$B$52,0)),0)</f>
        <v>18891000</v>
      </c>
      <c r="AB28" s="143" cm="1">
        <f t="array" ref="AB28">IFERROR(INDEX('[1]Sales per type juli'!$D$10:$BA$51,MATCH($C28,'[1]Sales per type juli'!$B$10:$B$51,0),MATCH("Y05e",'[1]Sales per type juli'!$D$8:$BA$8,0)+1),0)</f>
        <v>0</v>
      </c>
      <c r="AC28" s="143">
        <f t="shared" si="7"/>
        <v>18891000</v>
      </c>
      <c r="AD28" s="143">
        <f>IFERROR(INDEX('[1]SALES PERTYPE'!$L$10:$L$52,MATCH($C28,'[1]SALES PERTYPE'!$B$10:$B$52,0)),0)</f>
        <v>1</v>
      </c>
      <c r="AE28" s="143">
        <f>IFERROR(INDEX('[1]Sales per type juli'!$D$10:$BA$51,MATCH($C28,'[1]Sales per type juli'!$B$10:$B$51,0),MATCH("V70",'[1]Sales per type juli'!$D$8:$BA$8,0)),0)</f>
        <v>2</v>
      </c>
      <c r="AF28" s="143">
        <f t="shared" si="8"/>
        <v>-1</v>
      </c>
      <c r="AG28" s="143">
        <f>IFERROR(INDEX('[1]SALES PERTYPE'!$M$10:$M$52,MATCH($C28,'[1]SALES PERTYPE'!$B$10:$B$52,0)),0)</f>
        <v>9999000</v>
      </c>
      <c r="AH28" s="143" cm="1">
        <f t="array" ref="AH28">IFERROR(INDEX('[1]Sales per type juli'!$D$10:$BA$51,MATCH($C28,'[1]Sales per type juli'!$B$10:$B$51,0),MATCH("V70",'[1]Sales per type juli'!$D$8:$BA$8,0)+1),0)</f>
        <v>17998000</v>
      </c>
      <c r="AI28" s="143">
        <f t="shared" si="9"/>
        <v>-7999000</v>
      </c>
      <c r="AJ28" s="143">
        <f>IFERROR(INDEX('[1]SALES PERTYPE'!$N$10:$N$52,MATCH($C28,'[1]SALES PERTYPE'!$B$10:$B$52,0)),0)</f>
        <v>17</v>
      </c>
      <c r="AK28" s="143">
        <f>IFERROR(INDEX('[1]Sales per type juli'!$D$10:$BA$51,MATCH($C28,'[1]Sales per type juli'!$B$10:$B$51,0),MATCH("Y31d Pro",'[1]Sales per type juli'!$D$8:$BA$8,0)),0)</f>
        <v>9</v>
      </c>
      <c r="AL28" s="143">
        <f t="shared" si="10"/>
        <v>8</v>
      </c>
      <c r="AM28" s="143">
        <f>IFERROR(INDEX('[1]SALES PERTYPE'!$O$10:$O$52,MATCH($C28,'[1]SALES PERTYPE'!$B$10:$B$52,0)),0)</f>
        <v>76883000</v>
      </c>
      <c r="AN28" s="143" cm="1">
        <f t="array" ref="AN28">IFERROR(INDEX('[1]Sales per type juli'!$D$10:$BA$51,MATCH($C28,'[1]Sales per type juli'!$B$10:$B$51,0),MATCH("Y31d Pro",'[1]Sales per type juli'!$D$8:$BA$8,0)+1),0)</f>
        <v>37291000</v>
      </c>
      <c r="AO28" s="143">
        <f t="shared" si="11"/>
        <v>39592000</v>
      </c>
      <c r="AP28" s="143">
        <f>IFERROR(INDEX('[1]SALES PERTYPE'!$P$10:$P$52,MATCH($C28,'[1]SALES PERTYPE'!$B$10:$B$52,0)),0)</f>
        <v>0</v>
      </c>
      <c r="AQ28" s="143" cm="1">
        <f t="array" ref="AQ28">IFERROR(INDEX('[1]Sales per type juli'!$D$10:$BA$51,MATCH($C28,'[1]Sales per type juli'!$B$10:$B$51,0),$FG$2),0)</f>
        <v>0</v>
      </c>
      <c r="AR28" s="143">
        <f t="shared" si="12"/>
        <v>0</v>
      </c>
      <c r="AS28" s="143">
        <f>IFERROR(INDEX('[1]SALES PERTYPE'!$Q$10:$Q$52,MATCH($C28,'[1]SALES PERTYPE'!$B$10:$B$52,0)),0)</f>
        <v>0</v>
      </c>
      <c r="AT28" s="143" cm="1">
        <f t="array" ref="AT28">IFERROR(INDEX('[1]Sales per type juli'!$D$10:$BA$51,MATCH($C28,'[1]Sales per type juli'!$B$10:$B$51,0),$FG$2+1),0)</f>
        <v>0</v>
      </c>
      <c r="AU28" s="143">
        <f t="shared" si="13"/>
        <v>0</v>
      </c>
      <c r="AV28" s="143">
        <f>IFERROR(INDEX('[1]SALES PERTYPE'!$R$10:$R$52,MATCH($C28,'[1]SALES PERTYPE'!$B$10:$B$52,0)),0)</f>
        <v>3</v>
      </c>
      <c r="AW28" s="143">
        <f>IFERROR(INDEX('[1]Sales per type juli'!$D$10:$BA$51,MATCH($C28,'[1]Sales per type juli'!$B$10:$B$51,0),MATCH("Y31d ",'[1]Sales per type juli'!$D$8:$BA$8,0)),0)</f>
        <v>4</v>
      </c>
      <c r="AX28" s="143">
        <f t="shared" si="14"/>
        <v>-1</v>
      </c>
      <c r="AY28" s="143">
        <f>IFERROR(INDEX('[1]SALES PERTYPE'!$S$10:$S$52,MATCH($C28,'[1]SALES PERTYPE'!$B$10:$B$52,0)),0)</f>
        <v>10797000</v>
      </c>
      <c r="AZ28" s="143" cm="1">
        <f t="array" ref="AZ28">IFERROR(INDEX('[1]Sales per type juli'!$D$10:$BA$51,MATCH($C28,'[1]Sales per type juli'!$B$10:$B$51,0),MATCH("Y31d ",'[1]Sales per type juli'!$D$8:$BA$8,0)+1),0)</f>
        <v>14396000</v>
      </c>
      <c r="BA28" s="143">
        <f t="shared" si="15"/>
        <v>-3599000</v>
      </c>
      <c r="BB28" s="143">
        <f>IFERROR(INDEX('[1]SALES PERTYPE'!$T$10:$T$52,MATCH($C28,'[1]SALES PERTYPE'!$B$10:$B$52,0)),0)</f>
        <v>1</v>
      </c>
      <c r="BC28" s="143">
        <f>IFERROR(INDEX('[1]Sales per type juli'!$D$10:$BA$51,MATCH($C28,'[1]Sales per type juli'!$B$10:$B$51,0),MATCH("V70 FE",'[1]Sales per type juli'!$D$8:$BA$8,0)),0)</f>
        <v>7</v>
      </c>
      <c r="BD28" s="143">
        <f t="shared" si="16"/>
        <v>-6</v>
      </c>
      <c r="BE28" s="143">
        <f>IFERROR(INDEX('[1]SALES PERTYPE'!$U$10:$U$52,MATCH($C28,'[1]SALES PERTYPE'!$B$10:$B$52,0)),0)</f>
        <v>6499000</v>
      </c>
      <c r="BF28" s="143" cm="1">
        <f t="array" ref="BF28">IFERROR(INDEX('[1]Sales per type juli'!$D$10:$BA$51,MATCH($C28,'[1]Sales per type juli'!$B$10:$B$51,0),MATCH("V70 FE",'[1]Sales per type juli'!$D$8:$BA$8,0)+1),0)</f>
        <v>47593000</v>
      </c>
      <c r="BG28" s="143">
        <f t="shared" si="17"/>
        <v>-41094000</v>
      </c>
      <c r="BH28" s="143">
        <f>IFERROR(INDEX('[1]SALES PERTYPE'!$V$10:$V$52,MATCH($C28,'[1]SALES PERTYPE'!$B$10:$B$52,0)),0)</f>
        <v>0</v>
      </c>
      <c r="BI28" s="143">
        <f>IFERROR(INDEX('[1]Sales per type juli'!$D$10:$BA$51,MATCH($C28,'[1]Sales per type juli'!$B$10:$B$51,0),MATCH("Y31d",'[1]Sales per type juli'!$D$8:$BA$8,0)),0)</f>
        <v>0</v>
      </c>
      <c r="BJ28" s="143">
        <f t="shared" si="18"/>
        <v>0</v>
      </c>
      <c r="BK28" s="143">
        <f>IFERROR(INDEX('[1]SALES PERTYPE'!$W$10:$W$52,MATCH($C28,'[1]SALES PERTYPE'!$B$10:$B$52,0)),0)</f>
        <v>0</v>
      </c>
      <c r="BL28" s="143" cm="1">
        <f t="array" ref="BL28">IFERROR(INDEX('[1]Sales per type juli'!$D$10:$BA$51,MATCH($C28,'[1]Sales per type juli'!$B$10:$B$51,0),MATCH("Y31d",'[1]Sales per type juli'!$D$8:$BA$8,0)+1),0)</f>
        <v>0</v>
      </c>
      <c r="BM28" s="143">
        <f t="shared" si="19"/>
        <v>0</v>
      </c>
      <c r="BN28" s="143">
        <f>IFERROR(INDEX('[1]SALES PERTYPE'!$X$10:$X$52,MATCH($C28,'[1]SALES PERTYPE'!$B$10:$B$52,0)),0)</f>
        <v>3</v>
      </c>
      <c r="BO28" s="143">
        <f>IFERROR(INDEX('[1]Sales per type juli'!$D$10:$BA$51,MATCH($C28,'[1]Sales per type juli'!$B$10:$B$51,0),MATCH("Y500",'[1]Sales per type juli'!$D$8:$BA$8,0)),0)</f>
        <v>2</v>
      </c>
      <c r="BP28" s="143">
        <f t="shared" si="20"/>
        <v>1</v>
      </c>
      <c r="BQ28" s="143">
        <f>IFERROR(INDEX('[1]SALES PERTYPE'!$Y$10:$Y$52,MATCH($C28,'[1]SALES PERTYPE'!$B$10:$B$52,0)),0)</f>
        <v>17297000</v>
      </c>
      <c r="BR28" s="143" cm="1">
        <f t="array" ref="BR28">IFERROR(INDEX('[1]Sales per type juli'!$D$10:$BA$51,MATCH($C28,'[1]Sales per type juli'!$B$10:$B$51,0),MATCH("Y500",'[1]Sales per type juli'!$D$8:$BA$8,0)+1),0)</f>
        <v>11798000</v>
      </c>
      <c r="BS28" s="143">
        <f t="shared" si="21"/>
        <v>5499000</v>
      </c>
      <c r="BT28" s="143">
        <f>IFERROR(INDEX('[1]SALES PERTYPE'!$Z$10:$Z$52,MATCH($C28,'[1]SALES PERTYPE'!$B$10:$B$52,0)),0)</f>
        <v>0</v>
      </c>
      <c r="BU28" s="143">
        <f>IFERROR(INDEX('[1]Sales per type juli'!$D$10:$BA$51,MATCH($C28,'[1]Sales per type juli'!$B$10:$B$51,0),MATCH("IQOO 15R",'[1]Sales per type juli'!$D$8:$BA$8,0)),0)</f>
        <v>3</v>
      </c>
      <c r="BV28" s="143">
        <f t="shared" si="22"/>
        <v>-3</v>
      </c>
      <c r="BW28" s="143">
        <f>IFERROR(INDEX('[1]SALES PERTYPE'!$AA$10:$AA$52,MATCH($C28,'[1]SALES PERTYPE'!$B$10:$B$52,0)),0)</f>
        <v>0</v>
      </c>
      <c r="BX28" s="143" cm="1">
        <f t="array" ref="BX28">IFERROR(INDEX('[1]Sales per type juli'!$D$10:$BA$51,MATCH($C28,'[1]Sales per type juli'!$B$10:$B$51,0),MATCH("IQOO 15R",'[1]Sales per type juli'!$D$8:$BA$8,0)+1),0)</f>
        <v>29697000</v>
      </c>
      <c r="BY28" s="143">
        <f t="shared" si="23"/>
        <v>-29697000</v>
      </c>
      <c r="BZ28" s="143">
        <f>IFERROR(INDEX('[1]SALES PERTYPE'!$AB$10:$AB$52,MATCH($C28,'[1]SALES PERTYPE'!$B$10:$B$52,0)),0)</f>
        <v>2</v>
      </c>
      <c r="CA28" s="143">
        <f>IFERROR(INDEX('[1]Sales per type juli'!$D$10:$BA$51,MATCH($C28,'[1]Sales per type juli'!$B$10:$B$51,0),MATCH("V60 Lite",'[1]Sales per type juli'!$D$8:$BA$8,0)),0)</f>
        <v>1</v>
      </c>
      <c r="CB28" s="143">
        <f t="shared" si="24"/>
        <v>1</v>
      </c>
      <c r="CC28" s="143">
        <f>IFERROR(INDEX('[1]SALES PERTYPE'!$AC$10:$AC$52,MATCH($C28,'[1]SALES PERTYPE'!$B$10:$B$52,0)),0)</f>
        <v>11798000</v>
      </c>
      <c r="CD28" s="143" cm="1">
        <f t="array" ref="CD28">IFERROR(INDEX('[1]Sales per type juli'!$D$10:$BA$51,MATCH($C28,'[1]Sales per type juli'!$B$10:$B$51,0),MATCH("V60 Lite",'[1]Sales per type juli'!$D$8:$BA$8,0)+1),0)</f>
        <v>5299000</v>
      </c>
      <c r="CE28" s="143">
        <f t="shared" si="25"/>
        <v>6499000</v>
      </c>
      <c r="CF28" s="143">
        <f>IFERROR(INDEX('[1]SALES PERTYPE'!$AD$10:$AD$52,MATCH($C28,'[1]SALES PERTYPE'!$B$10:$B$52,0)),0)</f>
        <v>0</v>
      </c>
      <c r="CG28" s="143">
        <f>IFERROR(INDEX('[1]Sales per type juli'!$D$10:$BA$51,MATCH($C28,'[1]Sales per type juli'!$B$10:$B$51,0),MATCH("X300 Ultra",'[1]Sales per type juli'!$D$8:$BA$8,0)),0)</f>
        <v>0</v>
      </c>
      <c r="CH28" s="143">
        <f t="shared" si="26"/>
        <v>0</v>
      </c>
      <c r="CI28" s="143">
        <f>IFERROR(INDEX('[1]SALES PERTYPE'!$AE$10:$AE$52,MATCH($C28,'[1]SALES PERTYPE'!$B$10:$B$52,0)),0)</f>
        <v>0</v>
      </c>
      <c r="CJ28" s="143" cm="1">
        <f t="array" ref="CJ28">IFERROR(INDEX('[1]Sales per type juli'!$D$10:$BA$51,MATCH($C28,'[1]Sales per type juli'!$B$10:$B$51,0),MATCH("X300 Ultra",'[1]Sales per type juli'!$D$8:$BA$8,0)+1),0)</f>
        <v>0</v>
      </c>
      <c r="CK28" s="143">
        <f t="shared" si="27"/>
        <v>0</v>
      </c>
      <c r="CL28" s="143">
        <f>IFERROR(INDEX('[1]SALES PERTYPE'!$AF$10:$AF$52,MATCH($C28,'[1]SALES PERTYPE'!$B$10:$B$52,0)),0)</f>
        <v>0</v>
      </c>
      <c r="CM28" s="143">
        <f>IFERROR(INDEX('[1]Sales per type juli'!$D$10:$BA$51,MATCH($C28,'[1]Sales per type juli'!$B$10:$B$51,0),MATCH("IQOO 15",'[1]Sales per type juli'!$D$8:$BA$8,0)),0)</f>
        <v>0</v>
      </c>
      <c r="CN28" s="143">
        <f t="shared" si="28"/>
        <v>0</v>
      </c>
      <c r="CO28" s="143">
        <f>IFERROR(INDEX('[1]SALES PERTYPE'!$AG$10:$AG$52,MATCH($C28,'[1]SALES PERTYPE'!$B$10:$B$52,0)),0)</f>
        <v>0</v>
      </c>
      <c r="CP28" s="143" cm="1">
        <f t="array" ref="CP28">IFERROR(INDEX('[1]Sales per type juli'!$D$10:$BA$51,MATCH($C28,'[1]Sales per type juli'!$B$10:$B$51,0),MATCH("IQOO 15",'[1]Sales per type juli'!$D$8:$BA$8,0)+1),0)</f>
        <v>0</v>
      </c>
      <c r="CQ28" s="143">
        <f t="shared" si="29"/>
        <v>0</v>
      </c>
      <c r="CR28" s="143">
        <f>IFERROR(INDEX('[1]SALES PERTYPE'!$AH$10:$AH$52,MATCH($C28,'[1]SALES PERTYPE'!$B$10:$B$52,0)),0)</f>
        <v>1</v>
      </c>
      <c r="CS28" s="143">
        <f>IFERROR(INDEX('[1]Sales per type juli'!$D$10:$BA$51,MATCH($C28,'[1]Sales per type juli'!$B$10:$B$51,0),MATCH("IQOO Z11x",'[1]Sales per type juli'!$D$8:$BA$8,0)),0)</f>
        <v>1</v>
      </c>
      <c r="CT28" s="143">
        <f t="shared" si="30"/>
        <v>0</v>
      </c>
      <c r="CU28" s="143">
        <f>IFERROR(INDEX('[1]SALES PERTYPE'!$AI$10:$AI$52,MATCH($C28,'[1]SALES PERTYPE'!$B$10:$B$52,0)),0)</f>
        <v>5699000</v>
      </c>
      <c r="CV28" s="143" cm="1">
        <f t="array" ref="CV28">IFERROR(INDEX('[1]Sales per type juli'!$D$10:$BA$51,MATCH($C28,'[1]Sales per type juli'!$B$10:$B$51,0),MATCH("IQOO Z11x",'[1]Sales per type juli'!$D$8:$BA$8,0)+1),0)</f>
        <v>4799000</v>
      </c>
      <c r="CW28" s="143">
        <f t="shared" si="31"/>
        <v>900000</v>
      </c>
      <c r="CX28" s="143">
        <f>IFERROR(INDEX('[1]SALES PERTYPE'!$AJ$10:$AJ$52,MATCH($C28,'[1]SALES PERTYPE'!$B$10:$B$52,0)),0)</f>
        <v>0</v>
      </c>
      <c r="CY28" s="143">
        <f>IFERROR(INDEX('[1]Sales per type juli'!$D$10:$BA$51,MATCH($C28,'[1]Sales per type juli'!$B$10:$B$51,0),MATCH("IQOO Z11",'[1]Sales per type juli'!$D$8:$BA$8,0)),0)</f>
        <v>2</v>
      </c>
      <c r="CZ28" s="143">
        <f t="shared" si="32"/>
        <v>-2</v>
      </c>
      <c r="DA28" s="143">
        <f>IFERROR(INDEX('[1]SALES PERTYPE'!$AK$10:$AK$52,MATCH($C28,'[1]SALES PERTYPE'!$B$10:$B$52,0)),0)</f>
        <v>0</v>
      </c>
      <c r="DB28" s="143" cm="1">
        <f t="array" ref="DB28">IFERROR(INDEX('[1]Sales per type juli'!$D$10:$BA$51,MATCH($C28,'[1]Sales per type juli'!$B$10:$B$51,0),MATCH("IQOO Z11",'[1]Sales per type juli'!$D$8:$BA$8,0)+1),0)</f>
        <v>11398000</v>
      </c>
      <c r="DC28" s="143">
        <f t="shared" si="33"/>
        <v>-11398000</v>
      </c>
      <c r="DD28" s="143">
        <v>0</v>
      </c>
      <c r="DE28" s="143">
        <f>IFERROR(INDEX('[1]Sales per type juli'!$D$10:$BA$51,MATCH($C28,'[1]Sales per type juli'!$B$10:$B$51,0),MATCH("WATCH 3",'[1]Sales per type juli'!$D$8:$BA$8,0)),0)</f>
        <v>0</v>
      </c>
      <c r="DF28" s="143">
        <f t="shared" si="34"/>
        <v>0</v>
      </c>
      <c r="DG28" s="143">
        <v>0</v>
      </c>
      <c r="DH28" s="143" cm="1">
        <f t="array" ref="DH28">IFERROR(INDEX('[1]Sales per type juli'!$D$10:$BA$51,MATCH($C28,'[1]Sales per type juli'!$B$10:$B$51,0),MATCH("WATCH 3",'[1]Sales per type juli'!$D$8:$BA$8,0)+1),0)</f>
        <v>0</v>
      </c>
      <c r="DI28" s="143">
        <f t="shared" si="35"/>
        <v>0</v>
      </c>
      <c r="DJ28" s="143">
        <v>0</v>
      </c>
      <c r="DK28" s="143">
        <f>IFERROR(INDEX('[1]Sales per type juli'!$D$10:$BA$51,MATCH($C28,'[1]Sales per type juli'!$B$10:$B$51,0),MATCH("X300 Demo",'[1]Sales per type juli'!$D$8:$BA$8,0)),0)</f>
        <v>1</v>
      </c>
      <c r="DL28" s="143">
        <f t="shared" si="36"/>
        <v>-1</v>
      </c>
      <c r="DM28" s="143">
        <v>0</v>
      </c>
      <c r="DN28" s="143" cm="1">
        <f t="array" ref="DN28">IFERROR(INDEX('[1]Sales per type juli'!$D$10:$BA$51,MATCH($C28,'[1]Sales per type juli'!$B$10:$B$51,0),MATCH("X300 Demo",'[1]Sales per type juli'!$D$8:$BA$8,0)+1),0)</f>
        <v>18999000</v>
      </c>
      <c r="DO28" s="143">
        <f t="shared" si="37"/>
        <v>-18999000</v>
      </c>
      <c r="DP28" s="143">
        <v>0</v>
      </c>
      <c r="DQ28" s="143">
        <f>IFERROR(INDEX('[1]Sales per type juli'!$D$10:$BA$51,MATCH($C28,'[1]Sales per type juli'!$B$10:$B$51,0),MATCH("X300 Pro Demo",'[1]Sales per type juli'!$D$8:$BA$8,0)),0)</f>
        <v>1</v>
      </c>
      <c r="DR28" s="143">
        <f t="shared" si="38"/>
        <v>-1</v>
      </c>
      <c r="DS28" s="143">
        <v>0</v>
      </c>
      <c r="DT28" s="143" cm="1">
        <f t="array" ref="DT28">IFERROR(INDEX('[1]Sales per type juli'!$D$10:$BA$51,MATCH($C28,'[1]Sales per type juli'!$B$10:$B$51,0),MATCH("X300 Pro Demo",'[1]Sales per type juli'!$D$8:$BA$8,0)+1),0)</f>
        <v>18999000</v>
      </c>
      <c r="DU28" s="143">
        <f t="shared" si="39"/>
        <v>-18999000</v>
      </c>
      <c r="DV28" s="143">
        <v>0</v>
      </c>
      <c r="DW28" s="143">
        <f>IFERROR(INDEX('[1]Sales per type juli'!$D$10:$BA$51,MATCH($C28,'[1]Sales per type juli'!$B$10:$B$51,0),MATCH("X Fold5 DEMO",'[1]Sales per type juli'!$D$8:$BA$8,0)),0)</f>
        <v>0</v>
      </c>
      <c r="DX28" s="143">
        <f t="shared" si="40"/>
        <v>0</v>
      </c>
      <c r="DY28" s="143">
        <v>0</v>
      </c>
      <c r="DZ28" s="143" cm="1">
        <f t="array" ref="DZ28">IFERROR(INDEX('[1]Sales per type juli'!$D$10:$BA$51,MATCH($C28,'[1]Sales per type juli'!$B$10:$B$51,0),MATCH("X Fold5 DEMO",'[1]Sales per type juli'!$D$8:$BA$8,0)+1),0)</f>
        <v>0</v>
      </c>
      <c r="EA28" s="143">
        <f t="shared" si="41"/>
        <v>0</v>
      </c>
      <c r="EB28" s="143">
        <v>0</v>
      </c>
      <c r="EC28" s="143">
        <f>IFERROR(INDEX('[1]Sales per type juli'!$D$10:$BA$51,MATCH($C28,'[1]Sales per type juli'!$B$10:$B$51,0),MATCH("X Fold5",'[1]Sales per type juli'!$D$8:$BA$8,0)),0)</f>
        <v>0</v>
      </c>
      <c r="ED28" s="143">
        <f t="shared" si="42"/>
        <v>0</v>
      </c>
      <c r="EE28" s="143">
        <v>0</v>
      </c>
      <c r="EF28" s="143" cm="1">
        <f t="array" ref="EF28">IFERROR(INDEX('[1]Sales per type juli'!$D$10:$BA$51,MATCH($C28,'[1]Sales per type juli'!$B$10:$B$51,0),MATCH("X Fold5",'[1]Sales per type juli'!$D$8:$BA$8,0)+1),0)</f>
        <v>0</v>
      </c>
      <c r="EG28" s="143">
        <f t="shared" si="43"/>
        <v>0</v>
      </c>
      <c r="EH28" s="143">
        <v>0</v>
      </c>
      <c r="EI28" s="143">
        <f>IFERROR(INDEX('[1]Sales per type juli'!$D$10:$BA$51,MATCH($C28,'[1]Sales per type juli'!$B$10:$B$51,0),MATCH("IQOO 15 Demo",'[1]Sales per type juli'!$D$8:$BA$8,0)),0)</f>
        <v>0</v>
      </c>
      <c r="EJ28" s="143">
        <f t="shared" si="44"/>
        <v>0</v>
      </c>
      <c r="EK28" s="143">
        <v>0</v>
      </c>
      <c r="EL28" s="143" cm="1">
        <f t="array" ref="EL28">IFERROR(INDEX('[1]Sales per type juli'!$D$10:$BA$51,MATCH($C28,'[1]Sales per type juli'!$B$10:$B$51,0),MATCH("IQOO 15 Demo",'[1]Sales per type juli'!$D$8:$BA$8,0)+1),0)</f>
        <v>0</v>
      </c>
      <c r="EM28" s="143">
        <f t="shared" si="45"/>
        <v>0</v>
      </c>
      <c r="EN28" s="143">
        <v>0</v>
      </c>
      <c r="EO28" s="143">
        <f>IFERROR(INDEX('[1]Sales per type juli'!$D$10:$BA$51,MATCH($C28,'[1]Sales per type juli'!$B$10:$B$51,0),MATCH("X300 PRO",'[1]Sales per type juli'!$D$8:$BA$8,0)),0)</f>
        <v>1</v>
      </c>
      <c r="EP28" s="143">
        <f t="shared" si="46"/>
        <v>-1</v>
      </c>
      <c r="EQ28" s="143">
        <v>0</v>
      </c>
      <c r="ER28" s="143" cm="1">
        <f t="array" ref="ER28">IFERROR(INDEX('[1]Sales per type juli'!$D$10:$BA$51,MATCH($C28,'[1]Sales per type juli'!$B$10:$B$51,0),MATCH("X300 PRO",'[1]Sales per type juli'!$D$8:$BA$8,0)+1),0)</f>
        <v>18999000</v>
      </c>
      <c r="ES28" s="143">
        <f t="shared" si="47"/>
        <v>-18999000</v>
      </c>
      <c r="ET28" s="143">
        <v>0</v>
      </c>
      <c r="EU28" s="143">
        <f>IFERROR(INDEX('[1]Sales per type juli'!$D$10:$BA$51,MATCH($C28,'[1]Sales per type juli'!$B$10:$B$51,0),MATCH("X300 ",'[1]Sales per type juli'!$D$8:$BA$8,0)),0)</f>
        <v>0</v>
      </c>
      <c r="EV28" s="143">
        <f t="shared" si="48"/>
        <v>0</v>
      </c>
      <c r="EW28" s="143">
        <v>0</v>
      </c>
      <c r="EX28" s="143" cm="1">
        <f t="array" ref="EX28">IFERROR(INDEX('[1]Sales per type juli'!$D$10:$BA$51,MATCH($C28,'[1]Sales per type juli'!$B$10:$B$51,0),MATCH("X300 ",'[1]Sales per type juli'!$D$8:$BA$8,0)+1),0)</f>
        <v>0</v>
      </c>
      <c r="EY28" s="143">
        <f t="shared" si="49"/>
        <v>0</v>
      </c>
      <c r="EZ28" s="143">
        <f t="shared" si="50"/>
        <v>75</v>
      </c>
      <c r="FA28" s="143">
        <f t="shared" si="50"/>
        <v>80</v>
      </c>
      <c r="FB28" s="143">
        <f t="shared" si="51"/>
        <v>-5</v>
      </c>
      <c r="FC28" s="143">
        <f t="shared" si="52"/>
        <v>256025000</v>
      </c>
      <c r="FD28" s="143">
        <f t="shared" si="52"/>
        <v>346720000</v>
      </c>
      <c r="FE28" s="143">
        <f t="shared" si="53"/>
        <v>-90695000</v>
      </c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</row>
    <row r="29" spans="1:208" ht="16" x14ac:dyDescent="0.2">
      <c r="A29" s="141">
        <f>'[1]ACHIEVEMENT STORE'!A29</f>
        <v>25</v>
      </c>
      <c r="B29" s="142" t="str">
        <f>'[1]ACHIEVEMENT STORE'!B29</f>
        <v>624-万丹BANTEN</v>
      </c>
      <c r="C29" s="141">
        <f>'[1]ACHIEVEMENT STORE'!C29</f>
        <v>6170706</v>
      </c>
      <c r="D29" s="142" t="str">
        <f>'[1]ACHIEVEMENT STORE'!D29</f>
        <v>A200802-CHARLES</v>
      </c>
      <c r="E29" s="142" t="str">
        <f>'[1]ACHIEVEMENT STORE'!E29</f>
        <v>DHANI EKO NUGROHO</v>
      </c>
      <c r="F29" s="143">
        <f>IFERROR(INDEX('[1]SALES PERTYPE'!$D$10:$D$52,MATCH($C29,'[1]SALES PERTYPE'!$B$10:$B$52,0)),0)</f>
        <v>16</v>
      </c>
      <c r="G29" s="143">
        <f>IFERROR(INDEX('[1]Sales per type juli'!$D$10:$BA$51,MATCH($C29,'[1]Sales per type juli'!$B$10:$B$51,0),MATCH("Y05",'[1]Sales per type juli'!$D$8:$BA$8,0)),0)</f>
        <v>26</v>
      </c>
      <c r="H29" s="143">
        <f t="shared" si="0"/>
        <v>-10</v>
      </c>
      <c r="I29" s="143">
        <f>IFERROR(INDEX('[1]SALES PERTYPE'!$E$10:$E$52,MATCH($C29,'[1]SALES PERTYPE'!$B$10:$B$52,0)),0)</f>
        <v>38884000</v>
      </c>
      <c r="J29" s="143" cm="1">
        <f t="array" ref="J29">IFERROR(INDEX('[1]Sales per type juli'!$D$10:$BA$51,MATCH($C29,'[1]Sales per type juli'!$B$10:$B$51,0),MATCH("Y05",'[1]Sales per type juli'!$D$8:$BA$8,0)+1),0)</f>
        <v>59474000</v>
      </c>
      <c r="K29" s="143">
        <f t="shared" si="1"/>
        <v>-20590000</v>
      </c>
      <c r="L29" s="143">
        <f>IFERROR(INDEX('[1]SALES PERTYPE'!$F$10:$F$52,MATCH($C29,'[1]SALES PERTYPE'!$B$10:$B$52,0)),0)</f>
        <v>31</v>
      </c>
      <c r="M29" s="143">
        <f>IFERROR(INDEX('[1]Sales per type juli'!$D$10:$BA$51,MATCH($C29,'[1]Sales per type juli'!$B$10:$B$51,0),MATCH("Y11d",'[1]Sales per type juli'!$D$8:$BA$8,0)),0)</f>
        <v>15</v>
      </c>
      <c r="N29" s="143">
        <f t="shared" si="2"/>
        <v>16</v>
      </c>
      <c r="O29" s="143">
        <f>IFERROR(INDEX('[1]SALES PERTYPE'!$G$10:$G$52,MATCH($C29,'[1]SALES PERTYPE'!$B$10:$B$52,0)),0)</f>
        <v>83169000</v>
      </c>
      <c r="P29" s="143" cm="1">
        <f t="array" ref="P29">IFERROR(INDEX('[1]Sales per type juli'!$D$10:$BA$51,MATCH($C29,'[1]Sales per type juli'!$B$10:$B$51,0),MATCH("Y11d",'[1]Sales per type juli'!$D$8:$BA$8,0)+1),0)</f>
        <v>41185000</v>
      </c>
      <c r="Q29" s="143">
        <f t="shared" si="3"/>
        <v>41984000</v>
      </c>
      <c r="R29" s="143">
        <f>IFERROR(INDEX('[1]SALES PERTYPE'!$H$10:$H$52,MATCH($C29,'[1]SALES PERTYPE'!$B$10:$B$52,0)),0)</f>
        <v>0</v>
      </c>
      <c r="S29" s="143">
        <f>IFERROR(INDEX('[1]Sales per type juli'!$D$10:$BA$51,MATCH($C29,'[1]Sales per type juli'!$B$10:$B$51,0),MATCH("Watch GT 2",'[1]Sales per type juli'!$D$8:$BA$8,0)),0)</f>
        <v>0</v>
      </c>
      <c r="T29" s="143">
        <f t="shared" si="4"/>
        <v>0</v>
      </c>
      <c r="U29" s="143">
        <f>IFERROR(INDEX('[1]SALES PERTYPE'!$I$10:$I$52,MATCH($C29,'[1]SALES PERTYPE'!$B$10:$B$52,0)),0)</f>
        <v>0</v>
      </c>
      <c r="V29" s="143" cm="1">
        <f t="array" ref="V29">IFERROR(INDEX('[1]Sales per type juli'!$D$10:$BA$51,MATCH($C29,'[1]Sales per type juli'!$B$10:$B$51,0),MATCH("Watch GT 2",'[1]Sales per type juli'!$D$8:$BA$8,0)+1),0)</f>
        <v>0</v>
      </c>
      <c r="W29" s="143">
        <f t="shared" si="5"/>
        <v>0</v>
      </c>
      <c r="X29" s="143">
        <f>IFERROR(INDEX('[1]SALES PERTYPE'!$J$10:$J$52,MATCH($C29,'[1]SALES PERTYPE'!$B$10:$B$52,0)),0)</f>
        <v>9</v>
      </c>
      <c r="Y29" s="143">
        <f>IFERROR(INDEX('[1]Sales per type juli'!$D$10:$BA$51,MATCH($C29,'[1]Sales per type juli'!$B$10:$B$51,0),MATCH("Y05e",'[1]Sales per type juli'!$D$8:$BA$8,0)),0)</f>
        <v>0</v>
      </c>
      <c r="Z29" s="143">
        <f t="shared" si="6"/>
        <v>9</v>
      </c>
      <c r="AA29" s="143">
        <f>IFERROR(INDEX('[1]SALES PERTYPE'!$K$10:$K$52,MATCH($C29,'[1]SALES PERTYPE'!$B$10:$B$52,0)),0)</f>
        <v>18891000</v>
      </c>
      <c r="AB29" s="143" cm="1">
        <f t="array" ref="AB29">IFERROR(INDEX('[1]Sales per type juli'!$D$10:$BA$51,MATCH($C29,'[1]Sales per type juli'!$B$10:$B$51,0),MATCH("Y05e",'[1]Sales per type juli'!$D$8:$BA$8,0)+1),0)</f>
        <v>0</v>
      </c>
      <c r="AC29" s="143">
        <f t="shared" si="7"/>
        <v>18891000</v>
      </c>
      <c r="AD29" s="143">
        <f>IFERROR(INDEX('[1]SALES PERTYPE'!$L$10:$L$52,MATCH($C29,'[1]SALES PERTYPE'!$B$10:$B$52,0)),0)</f>
        <v>0</v>
      </c>
      <c r="AE29" s="143">
        <f>IFERROR(INDEX('[1]Sales per type juli'!$D$10:$BA$51,MATCH($C29,'[1]Sales per type juli'!$B$10:$B$51,0),MATCH("V70",'[1]Sales per type juli'!$D$8:$BA$8,0)),0)</f>
        <v>3</v>
      </c>
      <c r="AF29" s="143">
        <f t="shared" si="8"/>
        <v>-3</v>
      </c>
      <c r="AG29" s="143">
        <f>IFERROR(INDEX('[1]SALES PERTYPE'!$M$10:$M$52,MATCH($C29,'[1]SALES PERTYPE'!$B$10:$B$52,0)),0)</f>
        <v>0</v>
      </c>
      <c r="AH29" s="143" cm="1">
        <f t="array" ref="AH29">IFERROR(INDEX('[1]Sales per type juli'!$D$10:$BA$51,MATCH($C29,'[1]Sales per type juli'!$B$10:$B$51,0),MATCH("V70",'[1]Sales per type juli'!$D$8:$BA$8,0)+1),0)</f>
        <v>26997000</v>
      </c>
      <c r="AI29" s="143">
        <f t="shared" si="9"/>
        <v>-26997000</v>
      </c>
      <c r="AJ29" s="143">
        <f>IFERROR(INDEX('[1]SALES PERTYPE'!$N$10:$N$52,MATCH($C29,'[1]SALES PERTYPE'!$B$10:$B$52,0)),0)</f>
        <v>5</v>
      </c>
      <c r="AK29" s="143">
        <f>IFERROR(INDEX('[1]Sales per type juli'!$D$10:$BA$51,MATCH($C29,'[1]Sales per type juli'!$B$10:$B$51,0),MATCH("Y31d Pro",'[1]Sales per type juli'!$D$8:$BA$8,0)),0)</f>
        <v>4</v>
      </c>
      <c r="AL29" s="143">
        <f t="shared" si="10"/>
        <v>1</v>
      </c>
      <c r="AM29" s="143">
        <f>IFERROR(INDEX('[1]SALES PERTYPE'!$O$10:$O$52,MATCH($C29,'[1]SALES PERTYPE'!$B$10:$B$52,0)),0)</f>
        <v>20295000</v>
      </c>
      <c r="AN29" s="143" cm="1">
        <f t="array" ref="AN29">IFERROR(INDEX('[1]Sales per type juli'!$D$10:$BA$51,MATCH($C29,'[1]Sales per type juli'!$B$10:$B$51,0),MATCH("Y31d Pro",'[1]Sales per type juli'!$D$8:$BA$8,0)+1),0)</f>
        <v>18196000</v>
      </c>
      <c r="AO29" s="143">
        <f t="shared" si="11"/>
        <v>2099000</v>
      </c>
      <c r="AP29" s="143">
        <f>IFERROR(INDEX('[1]SALES PERTYPE'!$P$10:$P$52,MATCH($C29,'[1]SALES PERTYPE'!$B$10:$B$52,0)),0)</f>
        <v>0</v>
      </c>
      <c r="AQ29" s="143" cm="1">
        <f t="array" ref="AQ29">IFERROR(INDEX('[1]Sales per type juli'!$D$10:$BA$51,MATCH($C29,'[1]Sales per type juli'!$B$10:$B$51,0),$FG$2),0)</f>
        <v>0</v>
      </c>
      <c r="AR29" s="143">
        <f t="shared" si="12"/>
        <v>0</v>
      </c>
      <c r="AS29" s="143">
        <f>IFERROR(INDEX('[1]SALES PERTYPE'!$Q$10:$Q$52,MATCH($C29,'[1]SALES PERTYPE'!$B$10:$B$52,0)),0)</f>
        <v>0</v>
      </c>
      <c r="AT29" s="143" cm="1">
        <f t="array" ref="AT29">IFERROR(INDEX('[1]Sales per type juli'!$D$10:$BA$51,MATCH($C29,'[1]Sales per type juli'!$B$10:$B$51,0),$FG$2+1),0)</f>
        <v>0</v>
      </c>
      <c r="AU29" s="143">
        <f t="shared" si="13"/>
        <v>0</v>
      </c>
      <c r="AV29" s="143">
        <f>IFERROR(INDEX('[1]SALES PERTYPE'!$R$10:$R$52,MATCH($C29,'[1]SALES PERTYPE'!$B$10:$B$52,0)),0)</f>
        <v>0</v>
      </c>
      <c r="AW29" s="143">
        <f>IFERROR(INDEX('[1]Sales per type juli'!$D$10:$BA$51,MATCH($C29,'[1]Sales per type juli'!$B$10:$B$51,0),MATCH("Y31d ",'[1]Sales per type juli'!$D$8:$BA$8,0)),0)</f>
        <v>1</v>
      </c>
      <c r="AX29" s="143">
        <f t="shared" si="14"/>
        <v>-1</v>
      </c>
      <c r="AY29" s="143">
        <f>IFERROR(INDEX('[1]SALES PERTYPE'!$S$10:$S$52,MATCH($C29,'[1]SALES PERTYPE'!$B$10:$B$52,0)),0)</f>
        <v>0</v>
      </c>
      <c r="AZ29" s="143" cm="1">
        <f t="array" ref="AZ29">IFERROR(INDEX('[1]Sales per type juli'!$D$10:$BA$51,MATCH($C29,'[1]Sales per type juli'!$B$10:$B$51,0),MATCH("Y31d ",'[1]Sales per type juli'!$D$8:$BA$8,0)+1),0)</f>
        <v>3599000</v>
      </c>
      <c r="BA29" s="143">
        <f t="shared" si="15"/>
        <v>-3599000</v>
      </c>
      <c r="BB29" s="143">
        <f>IFERROR(INDEX('[1]SALES PERTYPE'!$T$10:$T$52,MATCH($C29,'[1]SALES PERTYPE'!$B$10:$B$52,0)),0)</f>
        <v>2</v>
      </c>
      <c r="BC29" s="143">
        <f>IFERROR(INDEX('[1]Sales per type juli'!$D$10:$BA$51,MATCH($C29,'[1]Sales per type juli'!$B$10:$B$51,0),MATCH("V70 FE",'[1]Sales per type juli'!$D$8:$BA$8,0)),0)</f>
        <v>7</v>
      </c>
      <c r="BD29" s="143">
        <f t="shared" si="16"/>
        <v>-5</v>
      </c>
      <c r="BE29" s="143">
        <f>IFERROR(INDEX('[1]SALES PERTYPE'!$U$10:$U$52,MATCH($C29,'[1]SALES PERTYPE'!$B$10:$B$52,0)),0)</f>
        <v>15198000</v>
      </c>
      <c r="BF29" s="143" cm="1">
        <f t="array" ref="BF29">IFERROR(INDEX('[1]Sales per type juli'!$D$10:$BA$51,MATCH($C29,'[1]Sales per type juli'!$B$10:$B$51,0),MATCH("V70 FE",'[1]Sales per type juli'!$D$8:$BA$8,0)+1),0)</f>
        <v>46193000</v>
      </c>
      <c r="BG29" s="143">
        <f t="shared" si="17"/>
        <v>-30995000</v>
      </c>
      <c r="BH29" s="143">
        <f>IFERROR(INDEX('[1]SALES PERTYPE'!$V$10:$V$52,MATCH($C29,'[1]SALES PERTYPE'!$B$10:$B$52,0)),0)</f>
        <v>2</v>
      </c>
      <c r="BI29" s="143">
        <f>IFERROR(INDEX('[1]Sales per type juli'!$D$10:$BA$51,MATCH($C29,'[1]Sales per type juli'!$B$10:$B$51,0),MATCH("Y31d",'[1]Sales per type juli'!$D$8:$BA$8,0)),0)</f>
        <v>3</v>
      </c>
      <c r="BJ29" s="143">
        <f t="shared" si="18"/>
        <v>-1</v>
      </c>
      <c r="BK29" s="143">
        <f>IFERROR(INDEX('[1]SALES PERTYPE'!$W$10:$W$52,MATCH($C29,'[1]SALES PERTYPE'!$B$10:$B$52,0)),0)</f>
        <v>7198000</v>
      </c>
      <c r="BL29" s="143" cm="1">
        <f t="array" ref="BL29">IFERROR(INDEX('[1]Sales per type juli'!$D$10:$BA$51,MATCH($C29,'[1]Sales per type juli'!$B$10:$B$51,0),MATCH("Y31d",'[1]Sales per type juli'!$D$8:$BA$8,0)+1),0)</f>
        <v>10797000</v>
      </c>
      <c r="BM29" s="143">
        <f t="shared" si="19"/>
        <v>-3599000</v>
      </c>
      <c r="BN29" s="143">
        <f>IFERROR(INDEX('[1]SALES PERTYPE'!$X$10:$X$52,MATCH($C29,'[1]SALES PERTYPE'!$B$10:$B$52,0)),0)</f>
        <v>1</v>
      </c>
      <c r="BO29" s="143">
        <f>IFERROR(INDEX('[1]Sales per type juli'!$D$10:$BA$51,MATCH($C29,'[1]Sales per type juli'!$B$10:$B$51,0),MATCH("Y500",'[1]Sales per type juli'!$D$8:$BA$8,0)),0)</f>
        <v>4</v>
      </c>
      <c r="BP29" s="143">
        <f t="shared" si="20"/>
        <v>-3</v>
      </c>
      <c r="BQ29" s="143">
        <f>IFERROR(INDEX('[1]SALES PERTYPE'!$Y$10:$Y$52,MATCH($C29,'[1]SALES PERTYPE'!$B$10:$B$52,0)),0)</f>
        <v>6299000</v>
      </c>
      <c r="BR29" s="143" cm="1">
        <f t="array" ref="BR29">IFERROR(INDEX('[1]Sales per type juli'!$D$10:$BA$51,MATCH($C29,'[1]Sales per type juli'!$B$10:$B$51,0),MATCH("Y500",'[1]Sales per type juli'!$D$8:$BA$8,0)+1),0)</f>
        <v>23596000</v>
      </c>
      <c r="BS29" s="143">
        <f t="shared" si="21"/>
        <v>-17297000</v>
      </c>
      <c r="BT29" s="143">
        <f>IFERROR(INDEX('[1]SALES PERTYPE'!$Z$10:$Z$52,MATCH($C29,'[1]SALES PERTYPE'!$B$10:$B$52,0)),0)</f>
        <v>0</v>
      </c>
      <c r="BU29" s="143">
        <f>IFERROR(INDEX('[1]Sales per type juli'!$D$10:$BA$51,MATCH($C29,'[1]Sales per type juli'!$B$10:$B$51,0),MATCH("IQOO 15R",'[1]Sales per type juli'!$D$8:$BA$8,0)),0)</f>
        <v>0</v>
      </c>
      <c r="BV29" s="143">
        <f t="shared" si="22"/>
        <v>0</v>
      </c>
      <c r="BW29" s="143">
        <f>IFERROR(INDEX('[1]SALES PERTYPE'!$AA$10:$AA$52,MATCH($C29,'[1]SALES PERTYPE'!$B$10:$B$52,0)),0)</f>
        <v>0</v>
      </c>
      <c r="BX29" s="143" cm="1">
        <f t="array" ref="BX29">IFERROR(INDEX('[1]Sales per type juli'!$D$10:$BA$51,MATCH($C29,'[1]Sales per type juli'!$B$10:$B$51,0),MATCH("IQOO 15R",'[1]Sales per type juli'!$D$8:$BA$8,0)+1),0)</f>
        <v>0</v>
      </c>
      <c r="BY29" s="143">
        <f t="shared" si="23"/>
        <v>0</v>
      </c>
      <c r="BZ29" s="143">
        <f>IFERROR(INDEX('[1]SALES PERTYPE'!$AB$10:$AB$52,MATCH($C29,'[1]SALES PERTYPE'!$B$10:$B$52,0)),0)</f>
        <v>2</v>
      </c>
      <c r="CA29" s="143">
        <f>IFERROR(INDEX('[1]Sales per type juli'!$D$10:$BA$51,MATCH($C29,'[1]Sales per type juli'!$B$10:$B$51,0),MATCH("V60 Lite",'[1]Sales per type juli'!$D$8:$BA$8,0)),0)</f>
        <v>6</v>
      </c>
      <c r="CB29" s="143">
        <f t="shared" si="24"/>
        <v>-4</v>
      </c>
      <c r="CC29" s="143">
        <f>IFERROR(INDEX('[1]SALES PERTYPE'!$AC$10:$AC$52,MATCH($C29,'[1]SALES PERTYPE'!$B$10:$B$52,0)),0)</f>
        <v>11798000</v>
      </c>
      <c r="CD29" s="143" cm="1">
        <f t="array" ref="CD29">IFERROR(INDEX('[1]Sales per type juli'!$D$10:$BA$51,MATCH($C29,'[1]Sales per type juli'!$B$10:$B$51,0),MATCH("V60 Lite",'[1]Sales per type juli'!$D$8:$BA$8,0)+1),0)</f>
        <v>31794000</v>
      </c>
      <c r="CE29" s="143">
        <f t="shared" si="25"/>
        <v>-19996000</v>
      </c>
      <c r="CF29" s="143">
        <f>IFERROR(INDEX('[1]SALES PERTYPE'!$AD$10:$AD$52,MATCH($C29,'[1]SALES PERTYPE'!$B$10:$B$52,0)),0)</f>
        <v>0</v>
      </c>
      <c r="CG29" s="143">
        <f>IFERROR(INDEX('[1]Sales per type juli'!$D$10:$BA$51,MATCH($C29,'[1]Sales per type juli'!$B$10:$B$51,0),MATCH("X300 Ultra",'[1]Sales per type juli'!$D$8:$BA$8,0)),0)</f>
        <v>0</v>
      </c>
      <c r="CH29" s="143">
        <f t="shared" si="26"/>
        <v>0</v>
      </c>
      <c r="CI29" s="143">
        <f>IFERROR(INDEX('[1]SALES PERTYPE'!$AE$10:$AE$52,MATCH($C29,'[1]SALES PERTYPE'!$B$10:$B$52,0)),0)</f>
        <v>0</v>
      </c>
      <c r="CJ29" s="143" cm="1">
        <f t="array" ref="CJ29">IFERROR(INDEX('[1]Sales per type juli'!$D$10:$BA$51,MATCH($C29,'[1]Sales per type juli'!$B$10:$B$51,0),MATCH("X300 Ultra",'[1]Sales per type juli'!$D$8:$BA$8,0)+1),0)</f>
        <v>0</v>
      </c>
      <c r="CK29" s="143">
        <f t="shared" si="27"/>
        <v>0</v>
      </c>
      <c r="CL29" s="143">
        <f>IFERROR(INDEX('[1]SALES PERTYPE'!$AF$10:$AF$52,MATCH($C29,'[1]SALES PERTYPE'!$B$10:$B$52,0)),0)</f>
        <v>0</v>
      </c>
      <c r="CM29" s="143">
        <f>IFERROR(INDEX('[1]Sales per type juli'!$D$10:$BA$51,MATCH($C29,'[1]Sales per type juli'!$B$10:$B$51,0),MATCH("IQOO 15",'[1]Sales per type juli'!$D$8:$BA$8,0)),0)</f>
        <v>0</v>
      </c>
      <c r="CN29" s="143">
        <f t="shared" si="28"/>
        <v>0</v>
      </c>
      <c r="CO29" s="143">
        <f>IFERROR(INDEX('[1]SALES PERTYPE'!$AG$10:$AG$52,MATCH($C29,'[1]SALES PERTYPE'!$B$10:$B$52,0)),0)</f>
        <v>0</v>
      </c>
      <c r="CP29" s="143" cm="1">
        <f t="array" ref="CP29">IFERROR(INDEX('[1]Sales per type juli'!$D$10:$BA$51,MATCH($C29,'[1]Sales per type juli'!$B$10:$B$51,0),MATCH("IQOO 15",'[1]Sales per type juli'!$D$8:$BA$8,0)+1),0)</f>
        <v>0</v>
      </c>
      <c r="CQ29" s="143">
        <f t="shared" si="29"/>
        <v>0</v>
      </c>
      <c r="CR29" s="143">
        <f>IFERROR(INDEX('[1]SALES PERTYPE'!$AH$10:$AH$52,MATCH($C29,'[1]SALES PERTYPE'!$B$10:$B$52,0)),0)</f>
        <v>0</v>
      </c>
      <c r="CS29" s="143">
        <f>IFERROR(INDEX('[1]Sales per type juli'!$D$10:$BA$51,MATCH($C29,'[1]Sales per type juli'!$B$10:$B$51,0),MATCH("IQOO Z11x",'[1]Sales per type juli'!$D$8:$BA$8,0)),0)</f>
        <v>0</v>
      </c>
      <c r="CT29" s="143">
        <f t="shared" si="30"/>
        <v>0</v>
      </c>
      <c r="CU29" s="143">
        <f>IFERROR(INDEX('[1]SALES PERTYPE'!$AI$10:$AI$52,MATCH($C29,'[1]SALES PERTYPE'!$B$10:$B$52,0)),0)</f>
        <v>0</v>
      </c>
      <c r="CV29" s="143" cm="1">
        <f t="array" ref="CV29">IFERROR(INDEX('[1]Sales per type juli'!$D$10:$BA$51,MATCH($C29,'[1]Sales per type juli'!$B$10:$B$51,0),MATCH("IQOO Z11x",'[1]Sales per type juli'!$D$8:$BA$8,0)+1),0)</f>
        <v>0</v>
      </c>
      <c r="CW29" s="143">
        <f t="shared" si="31"/>
        <v>0</v>
      </c>
      <c r="CX29" s="143">
        <f>IFERROR(INDEX('[1]SALES PERTYPE'!$AJ$10:$AJ$52,MATCH($C29,'[1]SALES PERTYPE'!$B$10:$B$52,0)),0)</f>
        <v>1</v>
      </c>
      <c r="CY29" s="143">
        <f>IFERROR(INDEX('[1]Sales per type juli'!$D$10:$BA$51,MATCH($C29,'[1]Sales per type juli'!$B$10:$B$51,0),MATCH("IQOO Z11",'[1]Sales per type juli'!$D$8:$BA$8,0)),0)</f>
        <v>3</v>
      </c>
      <c r="CZ29" s="143">
        <f t="shared" si="32"/>
        <v>-2</v>
      </c>
      <c r="DA29" s="143">
        <f>IFERROR(INDEX('[1]SALES PERTYPE'!$AK$10:$AK$52,MATCH($C29,'[1]SALES PERTYPE'!$B$10:$B$52,0)),0)</f>
        <v>8399000</v>
      </c>
      <c r="DB29" s="143" cm="1">
        <f t="array" ref="DB29">IFERROR(INDEX('[1]Sales per type juli'!$D$10:$BA$51,MATCH($C29,'[1]Sales per type juli'!$B$10:$B$51,0),MATCH("IQOO Z11",'[1]Sales per type juli'!$D$8:$BA$8,0)+1),0)</f>
        <v>17097000</v>
      </c>
      <c r="DC29" s="143">
        <f t="shared" si="33"/>
        <v>-8698000</v>
      </c>
      <c r="DD29" s="143">
        <v>0</v>
      </c>
      <c r="DE29" s="143">
        <f>IFERROR(INDEX('[1]Sales per type juli'!$D$10:$BA$51,MATCH($C29,'[1]Sales per type juli'!$B$10:$B$51,0),MATCH("WATCH 3",'[1]Sales per type juli'!$D$8:$BA$8,0)),0)</f>
        <v>0</v>
      </c>
      <c r="DF29" s="143">
        <f t="shared" si="34"/>
        <v>0</v>
      </c>
      <c r="DG29" s="143">
        <v>0</v>
      </c>
      <c r="DH29" s="143" cm="1">
        <f t="array" ref="DH29">IFERROR(INDEX('[1]Sales per type juli'!$D$10:$BA$51,MATCH($C29,'[1]Sales per type juli'!$B$10:$B$51,0),MATCH("WATCH 3",'[1]Sales per type juli'!$D$8:$BA$8,0)+1),0)</f>
        <v>0</v>
      </c>
      <c r="DI29" s="143">
        <f t="shared" si="35"/>
        <v>0</v>
      </c>
      <c r="DJ29" s="143">
        <v>0</v>
      </c>
      <c r="DK29" s="143">
        <f>IFERROR(INDEX('[1]Sales per type juli'!$D$10:$BA$51,MATCH($C29,'[1]Sales per type juli'!$B$10:$B$51,0),MATCH("X300 Demo",'[1]Sales per type juli'!$D$8:$BA$8,0)),0)</f>
        <v>2</v>
      </c>
      <c r="DL29" s="143">
        <f t="shared" si="36"/>
        <v>-2</v>
      </c>
      <c r="DM29" s="143">
        <v>0</v>
      </c>
      <c r="DN29" s="143" cm="1">
        <f t="array" ref="DN29">IFERROR(INDEX('[1]Sales per type juli'!$D$10:$BA$51,MATCH($C29,'[1]Sales per type juli'!$B$10:$B$51,0),MATCH("X300 Demo",'[1]Sales per type juli'!$D$8:$BA$8,0)+1),0)</f>
        <v>29998000</v>
      </c>
      <c r="DO29" s="143">
        <f t="shared" si="37"/>
        <v>-29998000</v>
      </c>
      <c r="DP29" s="143">
        <v>0</v>
      </c>
      <c r="DQ29" s="143">
        <f>IFERROR(INDEX('[1]Sales per type juli'!$D$10:$BA$51,MATCH($C29,'[1]Sales per type juli'!$B$10:$B$51,0),MATCH("X300 Pro Demo",'[1]Sales per type juli'!$D$8:$BA$8,0)),0)</f>
        <v>0</v>
      </c>
      <c r="DR29" s="143">
        <f t="shared" si="38"/>
        <v>0</v>
      </c>
      <c r="DS29" s="143">
        <v>0</v>
      </c>
      <c r="DT29" s="143" cm="1">
        <f t="array" ref="DT29">IFERROR(INDEX('[1]Sales per type juli'!$D$10:$BA$51,MATCH($C29,'[1]Sales per type juli'!$B$10:$B$51,0),MATCH("X300 Pro Demo",'[1]Sales per type juli'!$D$8:$BA$8,0)+1),0)</f>
        <v>0</v>
      </c>
      <c r="DU29" s="143">
        <f t="shared" si="39"/>
        <v>0</v>
      </c>
      <c r="DV29" s="143">
        <v>0</v>
      </c>
      <c r="DW29" s="143">
        <f>IFERROR(INDEX('[1]Sales per type juli'!$D$10:$BA$51,MATCH($C29,'[1]Sales per type juli'!$B$10:$B$51,0),MATCH("X Fold5 DEMO",'[1]Sales per type juli'!$D$8:$BA$8,0)),0)</f>
        <v>0</v>
      </c>
      <c r="DX29" s="143">
        <f t="shared" si="40"/>
        <v>0</v>
      </c>
      <c r="DY29" s="143">
        <v>0</v>
      </c>
      <c r="DZ29" s="143" cm="1">
        <f t="array" ref="DZ29">IFERROR(INDEX('[1]Sales per type juli'!$D$10:$BA$51,MATCH($C29,'[1]Sales per type juli'!$B$10:$B$51,0),MATCH("X Fold5 DEMO",'[1]Sales per type juli'!$D$8:$BA$8,0)+1),0)</f>
        <v>0</v>
      </c>
      <c r="EA29" s="143">
        <f t="shared" si="41"/>
        <v>0</v>
      </c>
      <c r="EB29" s="143">
        <v>0</v>
      </c>
      <c r="EC29" s="143">
        <f>IFERROR(INDEX('[1]Sales per type juli'!$D$10:$BA$51,MATCH($C29,'[1]Sales per type juli'!$B$10:$B$51,0),MATCH("X Fold5",'[1]Sales per type juli'!$D$8:$BA$8,0)),0)</f>
        <v>0</v>
      </c>
      <c r="ED29" s="143">
        <f t="shared" si="42"/>
        <v>0</v>
      </c>
      <c r="EE29" s="143">
        <v>0</v>
      </c>
      <c r="EF29" s="143" cm="1">
        <f t="array" ref="EF29">IFERROR(INDEX('[1]Sales per type juli'!$D$10:$BA$51,MATCH($C29,'[1]Sales per type juli'!$B$10:$B$51,0),MATCH("X Fold5",'[1]Sales per type juli'!$D$8:$BA$8,0)+1),0)</f>
        <v>0</v>
      </c>
      <c r="EG29" s="143">
        <f t="shared" si="43"/>
        <v>0</v>
      </c>
      <c r="EH29" s="143">
        <v>0</v>
      </c>
      <c r="EI29" s="143">
        <f>IFERROR(INDEX('[1]Sales per type juli'!$D$10:$BA$51,MATCH($C29,'[1]Sales per type juli'!$B$10:$B$51,0),MATCH("IQOO 15 Demo",'[1]Sales per type juli'!$D$8:$BA$8,0)),0)</f>
        <v>3</v>
      </c>
      <c r="EJ29" s="143">
        <f t="shared" si="44"/>
        <v>-3</v>
      </c>
      <c r="EK29" s="143">
        <v>0</v>
      </c>
      <c r="EL29" s="143" cm="1">
        <f t="array" ref="EL29">IFERROR(INDEX('[1]Sales per type juli'!$D$10:$BA$51,MATCH($C29,'[1]Sales per type juli'!$B$10:$B$51,0),MATCH("IQOO 15 Demo",'[1]Sales per type juli'!$D$8:$BA$8,0)+1),0)</f>
        <v>41997000</v>
      </c>
      <c r="EM29" s="143">
        <f t="shared" si="45"/>
        <v>-41997000</v>
      </c>
      <c r="EN29" s="143">
        <v>0</v>
      </c>
      <c r="EO29" s="143">
        <f>IFERROR(INDEX('[1]Sales per type juli'!$D$10:$BA$51,MATCH($C29,'[1]Sales per type juli'!$B$10:$B$51,0),MATCH("X300 PRO",'[1]Sales per type juli'!$D$8:$BA$8,0)),0)</f>
        <v>0</v>
      </c>
      <c r="EP29" s="143">
        <f t="shared" si="46"/>
        <v>0</v>
      </c>
      <c r="EQ29" s="143">
        <v>0</v>
      </c>
      <c r="ER29" s="143" cm="1">
        <f t="array" ref="ER29">IFERROR(INDEX('[1]Sales per type juli'!$D$10:$BA$51,MATCH($C29,'[1]Sales per type juli'!$B$10:$B$51,0),MATCH("X300 PRO",'[1]Sales per type juli'!$D$8:$BA$8,0)+1),0)</f>
        <v>0</v>
      </c>
      <c r="ES29" s="143">
        <f t="shared" si="47"/>
        <v>0</v>
      </c>
      <c r="ET29" s="143">
        <v>0</v>
      </c>
      <c r="EU29" s="143">
        <f>IFERROR(INDEX('[1]Sales per type juli'!$D$10:$BA$51,MATCH($C29,'[1]Sales per type juli'!$B$10:$B$51,0),MATCH("X300 ",'[1]Sales per type juli'!$D$8:$BA$8,0)),0)</f>
        <v>0</v>
      </c>
      <c r="EV29" s="143">
        <f t="shared" si="48"/>
        <v>0</v>
      </c>
      <c r="EW29" s="143">
        <v>0</v>
      </c>
      <c r="EX29" s="143" cm="1">
        <f t="array" ref="EX29">IFERROR(INDEX('[1]Sales per type juli'!$D$10:$BA$51,MATCH($C29,'[1]Sales per type juli'!$B$10:$B$51,0),MATCH("X300 ",'[1]Sales per type juli'!$D$8:$BA$8,0)+1),0)</f>
        <v>0</v>
      </c>
      <c r="EY29" s="143">
        <f t="shared" si="49"/>
        <v>0</v>
      </c>
      <c r="EZ29" s="143">
        <f t="shared" si="50"/>
        <v>69</v>
      </c>
      <c r="FA29" s="143">
        <f t="shared" si="50"/>
        <v>77</v>
      </c>
      <c r="FB29" s="143">
        <f t="shared" si="51"/>
        <v>-8</v>
      </c>
      <c r="FC29" s="143">
        <f t="shared" si="52"/>
        <v>210131000</v>
      </c>
      <c r="FD29" s="143">
        <f t="shared" si="52"/>
        <v>350923000</v>
      </c>
      <c r="FE29" s="143">
        <f t="shared" si="53"/>
        <v>-140792000</v>
      </c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</row>
    <row r="30" spans="1:208" ht="16" x14ac:dyDescent="0.2">
      <c r="A30" s="144">
        <f>'[1]ACHIEVEMENT STORE'!A30</f>
        <v>26</v>
      </c>
      <c r="B30" s="145" t="str">
        <f>'[1]ACHIEVEMENT STORE'!B30</f>
        <v>624-万丹BANTEN</v>
      </c>
      <c r="C30" s="144">
        <f>'[1]ACHIEVEMENT STORE'!C30</f>
        <v>6240703</v>
      </c>
      <c r="D30" s="145" t="str">
        <f>'[1]ACHIEVEMENT STORE'!D30</f>
        <v>6240703-TANGCITY LG009 CENTER</v>
      </c>
      <c r="E30" s="145" t="str">
        <f>'[1]ACHIEVEMENT STORE'!E30</f>
        <v>DHANI EKO NUGROHO</v>
      </c>
      <c r="F30" s="143">
        <f>IFERROR(INDEX('[1]SALES PERTYPE'!$D$10:$D$52,MATCH($C30,'[1]SALES PERTYPE'!$B$10:$B$52,0)),0)</f>
        <v>13</v>
      </c>
      <c r="G30" s="143">
        <f>IFERROR(INDEX('[1]Sales per type juli'!$D$10:$BA$51,MATCH($C30,'[1]Sales per type juli'!$B$10:$B$51,0),MATCH("Y05",'[1]Sales per type juli'!$D$8:$BA$8,0)),0)</f>
        <v>26</v>
      </c>
      <c r="H30" s="143">
        <f t="shared" si="0"/>
        <v>-13</v>
      </c>
      <c r="I30" s="143">
        <f>IFERROR(INDEX('[1]SALES PERTYPE'!$E$10:$E$52,MATCH($C30,'[1]SALES PERTYPE'!$B$10:$B$52,0)),0)</f>
        <v>31687000</v>
      </c>
      <c r="J30" s="143" cm="1">
        <f t="array" ref="J30">IFERROR(INDEX('[1]Sales per type juli'!$D$10:$BA$51,MATCH($C30,'[1]Sales per type juli'!$B$10:$B$51,0),MATCH("Y05",'[1]Sales per type juli'!$D$8:$BA$8,0)+1),0)</f>
        <v>59174000</v>
      </c>
      <c r="K30" s="143">
        <f t="shared" si="1"/>
        <v>-27487000</v>
      </c>
      <c r="L30" s="143">
        <f>IFERROR(INDEX('[1]SALES PERTYPE'!$F$10:$F$52,MATCH($C30,'[1]SALES PERTYPE'!$B$10:$B$52,0)),0)</f>
        <v>13</v>
      </c>
      <c r="M30" s="143">
        <f>IFERROR(INDEX('[1]Sales per type juli'!$D$10:$BA$51,MATCH($C30,'[1]Sales per type juli'!$B$10:$B$51,0),MATCH("Y11d",'[1]Sales per type juli'!$D$8:$BA$8,0)),0)</f>
        <v>16</v>
      </c>
      <c r="N30" s="143">
        <f t="shared" si="2"/>
        <v>-3</v>
      </c>
      <c r="O30" s="143">
        <f>IFERROR(INDEX('[1]SALES PERTYPE'!$G$10:$G$52,MATCH($C30,'[1]SALES PERTYPE'!$B$10:$B$52,0)),0)</f>
        <v>35587000</v>
      </c>
      <c r="P30" s="143" cm="1">
        <f t="array" ref="P30">IFERROR(INDEX('[1]Sales per type juli'!$D$10:$BA$51,MATCH($C30,'[1]Sales per type juli'!$B$10:$B$51,0),MATCH("Y11d",'[1]Sales per type juli'!$D$8:$BA$8,0)+1),0)</f>
        <v>43584000</v>
      </c>
      <c r="Q30" s="143">
        <f t="shared" si="3"/>
        <v>-7997000</v>
      </c>
      <c r="R30" s="143">
        <f>IFERROR(INDEX('[1]SALES PERTYPE'!$H$10:$H$52,MATCH($C30,'[1]SALES PERTYPE'!$B$10:$B$52,0)),0)</f>
        <v>0</v>
      </c>
      <c r="S30" s="143">
        <f>IFERROR(INDEX('[1]Sales per type juli'!$D$10:$BA$51,MATCH($C30,'[1]Sales per type juli'!$B$10:$B$51,0),MATCH("Watch GT 2",'[1]Sales per type juli'!$D$8:$BA$8,0)),0)</f>
        <v>0</v>
      </c>
      <c r="T30" s="143">
        <f t="shared" si="4"/>
        <v>0</v>
      </c>
      <c r="U30" s="143">
        <f>IFERROR(INDEX('[1]SALES PERTYPE'!$I$10:$I$52,MATCH($C30,'[1]SALES PERTYPE'!$B$10:$B$52,0)),0)</f>
        <v>0</v>
      </c>
      <c r="V30" s="143" cm="1">
        <f t="array" ref="V30">IFERROR(INDEX('[1]Sales per type juli'!$D$10:$BA$51,MATCH($C30,'[1]Sales per type juli'!$B$10:$B$51,0),MATCH("Watch GT 2",'[1]Sales per type juli'!$D$8:$BA$8,0)+1),0)</f>
        <v>0</v>
      </c>
      <c r="W30" s="143">
        <f t="shared" si="5"/>
        <v>0</v>
      </c>
      <c r="X30" s="143">
        <f>IFERROR(INDEX('[1]SALES PERTYPE'!$J$10:$J$52,MATCH($C30,'[1]SALES PERTYPE'!$B$10:$B$52,0)),0)</f>
        <v>8</v>
      </c>
      <c r="Y30" s="143">
        <f>IFERROR(INDEX('[1]Sales per type juli'!$D$10:$BA$51,MATCH($C30,'[1]Sales per type juli'!$B$10:$B$51,0),MATCH("Y05e",'[1]Sales per type juli'!$D$8:$BA$8,0)),0)</f>
        <v>0</v>
      </c>
      <c r="Z30" s="143">
        <f t="shared" si="6"/>
        <v>8</v>
      </c>
      <c r="AA30" s="143">
        <f>IFERROR(INDEX('[1]SALES PERTYPE'!$K$10:$K$52,MATCH($C30,'[1]SALES PERTYPE'!$B$10:$B$52,0)),0)</f>
        <v>16792000</v>
      </c>
      <c r="AB30" s="143" cm="1">
        <f t="array" ref="AB30">IFERROR(INDEX('[1]Sales per type juli'!$D$10:$BA$51,MATCH($C30,'[1]Sales per type juli'!$B$10:$B$51,0),MATCH("Y05e",'[1]Sales per type juli'!$D$8:$BA$8,0)+1),0)</f>
        <v>0</v>
      </c>
      <c r="AC30" s="143">
        <f t="shared" si="7"/>
        <v>16792000</v>
      </c>
      <c r="AD30" s="143">
        <f>IFERROR(INDEX('[1]SALES PERTYPE'!$L$10:$L$52,MATCH($C30,'[1]SALES PERTYPE'!$B$10:$B$52,0)),0)</f>
        <v>1</v>
      </c>
      <c r="AE30" s="143">
        <f>IFERROR(INDEX('[1]Sales per type juli'!$D$10:$BA$51,MATCH($C30,'[1]Sales per type juli'!$B$10:$B$51,0),MATCH("V70",'[1]Sales per type juli'!$D$8:$BA$8,0)),0)</f>
        <v>5</v>
      </c>
      <c r="AF30" s="143">
        <f t="shared" si="8"/>
        <v>-4</v>
      </c>
      <c r="AG30" s="143">
        <f>IFERROR(INDEX('[1]SALES PERTYPE'!$M$10:$M$52,MATCH($C30,'[1]SALES PERTYPE'!$B$10:$B$52,0)),0)</f>
        <v>9999000</v>
      </c>
      <c r="AH30" s="143" cm="1">
        <f t="array" ref="AH30">IFERROR(INDEX('[1]Sales per type juli'!$D$10:$BA$51,MATCH($C30,'[1]Sales per type juli'!$B$10:$B$51,0),MATCH("V70",'[1]Sales per type juli'!$D$8:$BA$8,0)+1),0)</f>
        <v>48995000</v>
      </c>
      <c r="AI30" s="143">
        <f t="shared" si="9"/>
        <v>-38996000</v>
      </c>
      <c r="AJ30" s="143">
        <f>IFERROR(INDEX('[1]SALES PERTYPE'!$N$10:$N$52,MATCH($C30,'[1]SALES PERTYPE'!$B$10:$B$52,0)),0)</f>
        <v>10</v>
      </c>
      <c r="AK30" s="143">
        <f>IFERROR(INDEX('[1]Sales per type juli'!$D$10:$BA$51,MATCH($C30,'[1]Sales per type juli'!$B$10:$B$51,0),MATCH("Y31d Pro",'[1]Sales per type juli'!$D$8:$BA$8,0)),0)</f>
        <v>7</v>
      </c>
      <c r="AL30" s="143">
        <f t="shared" si="10"/>
        <v>3</v>
      </c>
      <c r="AM30" s="143">
        <f>IFERROR(INDEX('[1]SALES PERTYPE'!$O$10:$O$52,MATCH($C30,'[1]SALES PERTYPE'!$B$10:$B$52,0)),0)</f>
        <v>42790000</v>
      </c>
      <c r="AN30" s="143" cm="1">
        <f t="array" ref="AN30">IFERROR(INDEX('[1]Sales per type juli'!$D$10:$BA$51,MATCH($C30,'[1]Sales per type juli'!$B$10:$B$51,0),MATCH("Y31d Pro",'[1]Sales per type juli'!$D$8:$BA$8,0)+1),0)</f>
        <v>30493000</v>
      </c>
      <c r="AO30" s="143">
        <f t="shared" si="11"/>
        <v>12297000</v>
      </c>
      <c r="AP30" s="143">
        <f>IFERROR(INDEX('[1]SALES PERTYPE'!$P$10:$P$52,MATCH($C30,'[1]SALES PERTYPE'!$B$10:$B$52,0)),0)</f>
        <v>1</v>
      </c>
      <c r="AQ30" s="143" cm="1">
        <f t="array" ref="AQ30">IFERROR(INDEX('[1]Sales per type juli'!$D$10:$BA$51,MATCH($C30,'[1]Sales per type juli'!$B$10:$B$51,0),$FG$2),0)</f>
        <v>0</v>
      </c>
      <c r="AR30" s="143">
        <f t="shared" si="12"/>
        <v>1</v>
      </c>
      <c r="AS30" s="143">
        <f>IFERROR(INDEX('[1]SALES PERTYPE'!$Q$10:$Q$52,MATCH($C30,'[1]SALES PERTYPE'!$B$10:$B$52,0)),0)</f>
        <v>3599000</v>
      </c>
      <c r="AT30" s="143" cm="1">
        <f t="array" ref="AT30">IFERROR(INDEX('[1]Sales per type juli'!$D$10:$BA$51,MATCH($C30,'[1]Sales per type juli'!$B$10:$B$51,0),$FG$2+1),0)</f>
        <v>0</v>
      </c>
      <c r="AU30" s="143">
        <f t="shared" si="13"/>
        <v>3599000</v>
      </c>
      <c r="AV30" s="143">
        <f>IFERROR(INDEX('[1]SALES PERTYPE'!$R$10:$R$52,MATCH($C30,'[1]SALES PERTYPE'!$B$10:$B$52,0)),0)</f>
        <v>2</v>
      </c>
      <c r="AW30" s="143">
        <f>IFERROR(INDEX('[1]Sales per type juli'!$D$10:$BA$51,MATCH($C30,'[1]Sales per type juli'!$B$10:$B$51,0),MATCH("Y31d ",'[1]Sales per type juli'!$D$8:$BA$8,0)),0)</f>
        <v>4</v>
      </c>
      <c r="AX30" s="143">
        <f t="shared" si="14"/>
        <v>-2</v>
      </c>
      <c r="AY30" s="143">
        <f>IFERROR(INDEX('[1]SALES PERTYPE'!$S$10:$S$52,MATCH($C30,'[1]SALES PERTYPE'!$B$10:$B$52,0)),0)</f>
        <v>7198000</v>
      </c>
      <c r="AZ30" s="143" cm="1">
        <f t="array" ref="AZ30">IFERROR(INDEX('[1]Sales per type juli'!$D$10:$BA$51,MATCH($C30,'[1]Sales per type juli'!$B$10:$B$51,0),MATCH("Y31d ",'[1]Sales per type juli'!$D$8:$BA$8,0)+1),0)</f>
        <v>14396000</v>
      </c>
      <c r="BA30" s="143">
        <f t="shared" si="15"/>
        <v>-7198000</v>
      </c>
      <c r="BB30" s="143">
        <f>IFERROR(INDEX('[1]SALES PERTYPE'!$T$10:$T$52,MATCH($C30,'[1]SALES PERTYPE'!$B$10:$B$52,0)),0)</f>
        <v>4</v>
      </c>
      <c r="BC30" s="143">
        <f>IFERROR(INDEX('[1]Sales per type juli'!$D$10:$BA$51,MATCH($C30,'[1]Sales per type juli'!$B$10:$B$51,0),MATCH("V70 FE",'[1]Sales per type juli'!$D$8:$BA$8,0)),0)</f>
        <v>3</v>
      </c>
      <c r="BD30" s="143">
        <f t="shared" si="16"/>
        <v>1</v>
      </c>
      <c r="BE30" s="143">
        <f>IFERROR(INDEX('[1]SALES PERTYPE'!$U$10:$U$52,MATCH($C30,'[1]SALES PERTYPE'!$B$10:$B$52,0)),0)</f>
        <v>31996000</v>
      </c>
      <c r="BF30" s="143" cm="1">
        <f t="array" ref="BF30">IFERROR(INDEX('[1]Sales per type juli'!$D$10:$BA$51,MATCH($C30,'[1]Sales per type juli'!$B$10:$B$51,0),MATCH("V70 FE",'[1]Sales per type juli'!$D$8:$BA$8,0)+1),0)</f>
        <v>20197000</v>
      </c>
      <c r="BG30" s="143">
        <f t="shared" si="17"/>
        <v>11799000</v>
      </c>
      <c r="BH30" s="143">
        <f>IFERROR(INDEX('[1]SALES PERTYPE'!$V$10:$V$52,MATCH($C30,'[1]SALES PERTYPE'!$B$10:$B$52,0)),0)</f>
        <v>3</v>
      </c>
      <c r="BI30" s="143">
        <f>IFERROR(INDEX('[1]Sales per type juli'!$D$10:$BA$51,MATCH($C30,'[1]Sales per type juli'!$B$10:$B$51,0),MATCH("Y31d",'[1]Sales per type juli'!$D$8:$BA$8,0)),0)</f>
        <v>6</v>
      </c>
      <c r="BJ30" s="143">
        <f t="shared" si="18"/>
        <v>-3</v>
      </c>
      <c r="BK30" s="143">
        <f>IFERROR(INDEX('[1]SALES PERTYPE'!$W$10:$W$52,MATCH($C30,'[1]SALES PERTYPE'!$B$10:$B$52,0)),0)</f>
        <v>10797000</v>
      </c>
      <c r="BL30" s="143" cm="1">
        <f t="array" ref="BL30">IFERROR(INDEX('[1]Sales per type juli'!$D$10:$BA$51,MATCH($C30,'[1]Sales per type juli'!$B$10:$B$51,0),MATCH("Y31d",'[1]Sales per type juli'!$D$8:$BA$8,0)+1),0)</f>
        <v>21594000</v>
      </c>
      <c r="BM30" s="143">
        <f t="shared" si="19"/>
        <v>-10797000</v>
      </c>
      <c r="BN30" s="143">
        <f>IFERROR(INDEX('[1]SALES PERTYPE'!$X$10:$X$52,MATCH($C30,'[1]SALES PERTYPE'!$B$10:$B$52,0)),0)</f>
        <v>0</v>
      </c>
      <c r="BO30" s="143">
        <f>IFERROR(INDEX('[1]Sales per type juli'!$D$10:$BA$51,MATCH($C30,'[1]Sales per type juli'!$B$10:$B$51,0),MATCH("Y500",'[1]Sales per type juli'!$D$8:$BA$8,0)),0)</f>
        <v>0</v>
      </c>
      <c r="BP30" s="143">
        <f t="shared" si="20"/>
        <v>0</v>
      </c>
      <c r="BQ30" s="143">
        <f>IFERROR(INDEX('[1]SALES PERTYPE'!$Y$10:$Y$52,MATCH($C30,'[1]SALES PERTYPE'!$B$10:$B$52,0)),0)</f>
        <v>0</v>
      </c>
      <c r="BR30" s="143" cm="1">
        <f t="array" ref="BR30">IFERROR(INDEX('[1]Sales per type juli'!$D$10:$BA$51,MATCH($C30,'[1]Sales per type juli'!$B$10:$B$51,0),MATCH("Y500",'[1]Sales per type juli'!$D$8:$BA$8,0)+1),0)</f>
        <v>0</v>
      </c>
      <c r="BS30" s="143">
        <f t="shared" si="21"/>
        <v>0</v>
      </c>
      <c r="BT30" s="143">
        <f>IFERROR(INDEX('[1]SALES PERTYPE'!$Z$10:$Z$52,MATCH($C30,'[1]SALES PERTYPE'!$B$10:$B$52,0)),0)</f>
        <v>1</v>
      </c>
      <c r="BU30" s="143">
        <f>IFERROR(INDEX('[1]Sales per type juli'!$D$10:$BA$51,MATCH($C30,'[1]Sales per type juli'!$B$10:$B$51,0),MATCH("IQOO 15R",'[1]Sales per type juli'!$D$8:$BA$8,0)),0)</f>
        <v>1</v>
      </c>
      <c r="BV30" s="143">
        <f t="shared" si="22"/>
        <v>0</v>
      </c>
      <c r="BW30" s="143">
        <f>IFERROR(INDEX('[1]SALES PERTYPE'!$AA$10:$AA$52,MATCH($C30,'[1]SALES PERTYPE'!$B$10:$B$52,0)),0)</f>
        <v>11999000</v>
      </c>
      <c r="BX30" s="143" cm="1">
        <f t="array" ref="BX30">IFERROR(INDEX('[1]Sales per type juli'!$D$10:$BA$51,MATCH($C30,'[1]Sales per type juli'!$B$10:$B$51,0),MATCH("IQOO 15R",'[1]Sales per type juli'!$D$8:$BA$8,0)+1),0)</f>
        <v>9899000</v>
      </c>
      <c r="BY30" s="143">
        <f t="shared" si="23"/>
        <v>2100000</v>
      </c>
      <c r="BZ30" s="143">
        <f>IFERROR(INDEX('[1]SALES PERTYPE'!$AB$10:$AB$52,MATCH($C30,'[1]SALES PERTYPE'!$B$10:$B$52,0)),0)</f>
        <v>4</v>
      </c>
      <c r="CA30" s="143">
        <f>IFERROR(INDEX('[1]Sales per type juli'!$D$10:$BA$51,MATCH($C30,'[1]Sales per type juli'!$B$10:$B$51,0),MATCH("V60 Lite",'[1]Sales per type juli'!$D$8:$BA$8,0)),0)</f>
        <v>5</v>
      </c>
      <c r="CB30" s="143">
        <f t="shared" si="24"/>
        <v>-1</v>
      </c>
      <c r="CC30" s="143">
        <f>IFERROR(INDEX('[1]SALES PERTYPE'!$AC$10:$AC$52,MATCH($C30,'[1]SALES PERTYPE'!$B$10:$B$52,0)),0)</f>
        <v>23596000</v>
      </c>
      <c r="CD30" s="143" cm="1">
        <f t="array" ref="CD30">IFERROR(INDEX('[1]Sales per type juli'!$D$10:$BA$51,MATCH($C30,'[1]Sales per type juli'!$B$10:$B$51,0),MATCH("V60 Lite",'[1]Sales per type juli'!$D$8:$BA$8,0)+1),0)</f>
        <v>26495000</v>
      </c>
      <c r="CE30" s="143">
        <f t="shared" si="25"/>
        <v>-2899000</v>
      </c>
      <c r="CF30" s="143">
        <f>IFERROR(INDEX('[1]SALES PERTYPE'!$AD$10:$AD$52,MATCH($C30,'[1]SALES PERTYPE'!$B$10:$B$52,0)),0)</f>
        <v>1</v>
      </c>
      <c r="CG30" s="143">
        <f>IFERROR(INDEX('[1]Sales per type juli'!$D$10:$BA$51,MATCH($C30,'[1]Sales per type juli'!$B$10:$B$51,0),MATCH("X300 Ultra",'[1]Sales per type juli'!$D$8:$BA$8,0)),0)</f>
        <v>0</v>
      </c>
      <c r="CH30" s="143">
        <f t="shared" si="26"/>
        <v>1</v>
      </c>
      <c r="CI30" s="143">
        <f>IFERROR(INDEX('[1]SALES PERTYPE'!$AE$10:$AE$52,MATCH($C30,'[1]SALES PERTYPE'!$B$10:$B$52,0)),0)</f>
        <v>25999000</v>
      </c>
      <c r="CJ30" s="143" cm="1">
        <f t="array" ref="CJ30">IFERROR(INDEX('[1]Sales per type juli'!$D$10:$BA$51,MATCH($C30,'[1]Sales per type juli'!$B$10:$B$51,0),MATCH("X300 Ultra",'[1]Sales per type juli'!$D$8:$BA$8,0)+1),0)</f>
        <v>0</v>
      </c>
      <c r="CK30" s="143">
        <f t="shared" si="27"/>
        <v>25999000</v>
      </c>
      <c r="CL30" s="143">
        <f>IFERROR(INDEX('[1]SALES PERTYPE'!$AF$10:$AF$52,MATCH($C30,'[1]SALES PERTYPE'!$B$10:$B$52,0)),0)</f>
        <v>0</v>
      </c>
      <c r="CM30" s="143">
        <f>IFERROR(INDEX('[1]Sales per type juli'!$D$10:$BA$51,MATCH($C30,'[1]Sales per type juli'!$B$10:$B$51,0),MATCH("IQOO 15",'[1]Sales per type juli'!$D$8:$BA$8,0)),0)</f>
        <v>0</v>
      </c>
      <c r="CN30" s="143">
        <f t="shared" si="28"/>
        <v>0</v>
      </c>
      <c r="CO30" s="143">
        <f>IFERROR(INDEX('[1]SALES PERTYPE'!$AG$10:$AG$52,MATCH($C30,'[1]SALES PERTYPE'!$B$10:$B$52,0)),0)</f>
        <v>0</v>
      </c>
      <c r="CP30" s="143" cm="1">
        <f t="array" ref="CP30">IFERROR(INDEX('[1]Sales per type juli'!$D$10:$BA$51,MATCH($C30,'[1]Sales per type juli'!$B$10:$B$51,0),MATCH("IQOO 15",'[1]Sales per type juli'!$D$8:$BA$8,0)+1),0)</f>
        <v>0</v>
      </c>
      <c r="CQ30" s="143">
        <f t="shared" si="29"/>
        <v>0</v>
      </c>
      <c r="CR30" s="143">
        <f>IFERROR(INDEX('[1]SALES PERTYPE'!$AH$10:$AH$52,MATCH($C30,'[1]SALES PERTYPE'!$B$10:$B$52,0)),0)</f>
        <v>0</v>
      </c>
      <c r="CS30" s="143">
        <f>IFERROR(INDEX('[1]Sales per type juli'!$D$10:$BA$51,MATCH($C30,'[1]Sales per type juli'!$B$10:$B$51,0),MATCH("IQOO Z11x",'[1]Sales per type juli'!$D$8:$BA$8,0)),0)</f>
        <v>0</v>
      </c>
      <c r="CT30" s="143">
        <f t="shared" si="30"/>
        <v>0</v>
      </c>
      <c r="CU30" s="143">
        <f>IFERROR(INDEX('[1]SALES PERTYPE'!$AI$10:$AI$52,MATCH($C30,'[1]SALES PERTYPE'!$B$10:$B$52,0)),0)</f>
        <v>0</v>
      </c>
      <c r="CV30" s="143" cm="1">
        <f t="array" ref="CV30">IFERROR(INDEX('[1]Sales per type juli'!$D$10:$BA$51,MATCH($C30,'[1]Sales per type juli'!$B$10:$B$51,0),MATCH("IQOO Z11x",'[1]Sales per type juli'!$D$8:$BA$8,0)+1),0)</f>
        <v>0</v>
      </c>
      <c r="CW30" s="143">
        <f t="shared" si="31"/>
        <v>0</v>
      </c>
      <c r="CX30" s="143">
        <f>IFERROR(INDEX('[1]SALES PERTYPE'!$AJ$10:$AJ$52,MATCH($C30,'[1]SALES PERTYPE'!$B$10:$B$52,0)),0)</f>
        <v>2</v>
      </c>
      <c r="CY30" s="143">
        <f>IFERROR(INDEX('[1]Sales per type juli'!$D$10:$BA$51,MATCH($C30,'[1]Sales per type juli'!$B$10:$B$51,0),MATCH("IQOO Z11",'[1]Sales per type juli'!$D$8:$BA$8,0)),0)</f>
        <v>4</v>
      </c>
      <c r="CZ30" s="143">
        <f t="shared" si="32"/>
        <v>-2</v>
      </c>
      <c r="DA30" s="143">
        <f>IFERROR(INDEX('[1]SALES PERTYPE'!$AK$10:$AK$52,MATCH($C30,'[1]SALES PERTYPE'!$B$10:$B$52,0)),0)</f>
        <v>14898000</v>
      </c>
      <c r="DB30" s="143" cm="1">
        <f t="array" ref="DB30">IFERROR(INDEX('[1]Sales per type juli'!$D$10:$BA$51,MATCH($C30,'[1]Sales per type juli'!$B$10:$B$51,0),MATCH("IQOO Z11",'[1]Sales per type juli'!$D$8:$BA$8,0)+1),0)</f>
        <v>22796000</v>
      </c>
      <c r="DC30" s="143">
        <f t="shared" si="33"/>
        <v>-7898000</v>
      </c>
      <c r="DD30" s="143">
        <v>0</v>
      </c>
      <c r="DE30" s="143">
        <f>IFERROR(INDEX('[1]Sales per type juli'!$D$10:$BA$51,MATCH($C30,'[1]Sales per type juli'!$B$10:$B$51,0),MATCH("WATCH 3",'[1]Sales per type juli'!$D$8:$BA$8,0)),0)</f>
        <v>0</v>
      </c>
      <c r="DF30" s="143">
        <f t="shared" si="34"/>
        <v>0</v>
      </c>
      <c r="DG30" s="143">
        <v>0</v>
      </c>
      <c r="DH30" s="143" cm="1">
        <f t="array" ref="DH30">IFERROR(INDEX('[1]Sales per type juli'!$D$10:$BA$51,MATCH($C30,'[1]Sales per type juli'!$B$10:$B$51,0),MATCH("WATCH 3",'[1]Sales per type juli'!$D$8:$BA$8,0)+1),0)</f>
        <v>0</v>
      </c>
      <c r="DI30" s="143">
        <f t="shared" si="35"/>
        <v>0</v>
      </c>
      <c r="DJ30" s="143">
        <v>0</v>
      </c>
      <c r="DK30" s="143">
        <f>IFERROR(INDEX('[1]Sales per type juli'!$D$10:$BA$51,MATCH($C30,'[1]Sales per type juli'!$B$10:$B$51,0),MATCH("X300 Demo",'[1]Sales per type juli'!$D$8:$BA$8,0)),0)</f>
        <v>1</v>
      </c>
      <c r="DL30" s="143">
        <f t="shared" si="36"/>
        <v>-1</v>
      </c>
      <c r="DM30" s="143">
        <v>0</v>
      </c>
      <c r="DN30" s="143" cm="1">
        <f t="array" ref="DN30">IFERROR(INDEX('[1]Sales per type juli'!$D$10:$BA$51,MATCH($C30,'[1]Sales per type juli'!$B$10:$B$51,0),MATCH("X300 Demo",'[1]Sales per type juli'!$D$8:$BA$8,0)+1),0)</f>
        <v>14999000</v>
      </c>
      <c r="DO30" s="143">
        <f t="shared" si="37"/>
        <v>-14999000</v>
      </c>
      <c r="DP30" s="143">
        <v>0</v>
      </c>
      <c r="DQ30" s="143">
        <f>IFERROR(INDEX('[1]Sales per type juli'!$D$10:$BA$51,MATCH($C30,'[1]Sales per type juli'!$B$10:$B$51,0),MATCH("X300 Pro Demo",'[1]Sales per type juli'!$D$8:$BA$8,0)),0)</f>
        <v>1</v>
      </c>
      <c r="DR30" s="143">
        <f t="shared" si="38"/>
        <v>-1</v>
      </c>
      <c r="DS30" s="143">
        <v>0</v>
      </c>
      <c r="DT30" s="143" cm="1">
        <f t="array" ref="DT30">IFERROR(INDEX('[1]Sales per type juli'!$D$10:$BA$51,MATCH($C30,'[1]Sales per type juli'!$B$10:$B$51,0),MATCH("X300 Pro Demo",'[1]Sales per type juli'!$D$8:$BA$8,0)+1),0)</f>
        <v>18999000</v>
      </c>
      <c r="DU30" s="143">
        <f t="shared" si="39"/>
        <v>-18999000</v>
      </c>
      <c r="DV30" s="143">
        <v>0</v>
      </c>
      <c r="DW30" s="143">
        <f>IFERROR(INDEX('[1]Sales per type juli'!$D$10:$BA$51,MATCH($C30,'[1]Sales per type juli'!$B$10:$B$51,0),MATCH("X Fold5 DEMO",'[1]Sales per type juli'!$D$8:$BA$8,0)),0)</f>
        <v>0</v>
      </c>
      <c r="DX30" s="143">
        <f t="shared" si="40"/>
        <v>0</v>
      </c>
      <c r="DY30" s="143">
        <v>0</v>
      </c>
      <c r="DZ30" s="143" cm="1">
        <f t="array" ref="DZ30">IFERROR(INDEX('[1]Sales per type juli'!$D$10:$BA$51,MATCH($C30,'[1]Sales per type juli'!$B$10:$B$51,0),MATCH("X Fold5 DEMO",'[1]Sales per type juli'!$D$8:$BA$8,0)+1),0)</f>
        <v>0</v>
      </c>
      <c r="EA30" s="143">
        <f t="shared" si="41"/>
        <v>0</v>
      </c>
      <c r="EB30" s="143">
        <v>0</v>
      </c>
      <c r="EC30" s="143">
        <f>IFERROR(INDEX('[1]Sales per type juli'!$D$10:$BA$51,MATCH($C30,'[1]Sales per type juli'!$B$10:$B$51,0),MATCH("X Fold5",'[1]Sales per type juli'!$D$8:$BA$8,0)),0)</f>
        <v>0</v>
      </c>
      <c r="ED30" s="143">
        <f t="shared" si="42"/>
        <v>0</v>
      </c>
      <c r="EE30" s="143">
        <v>0</v>
      </c>
      <c r="EF30" s="143" cm="1">
        <f t="array" ref="EF30">IFERROR(INDEX('[1]Sales per type juli'!$D$10:$BA$51,MATCH($C30,'[1]Sales per type juli'!$B$10:$B$51,0),MATCH("X Fold5",'[1]Sales per type juli'!$D$8:$BA$8,0)+1),0)</f>
        <v>0</v>
      </c>
      <c r="EG30" s="143">
        <f t="shared" si="43"/>
        <v>0</v>
      </c>
      <c r="EH30" s="143">
        <v>0</v>
      </c>
      <c r="EI30" s="143">
        <f>IFERROR(INDEX('[1]Sales per type juli'!$D$10:$BA$51,MATCH($C30,'[1]Sales per type juli'!$B$10:$B$51,0),MATCH("IQOO 15 Demo",'[1]Sales per type juli'!$D$8:$BA$8,0)),0)</f>
        <v>0</v>
      </c>
      <c r="EJ30" s="143">
        <f t="shared" si="44"/>
        <v>0</v>
      </c>
      <c r="EK30" s="143">
        <v>0</v>
      </c>
      <c r="EL30" s="143" cm="1">
        <f t="array" ref="EL30">IFERROR(INDEX('[1]Sales per type juli'!$D$10:$BA$51,MATCH($C30,'[1]Sales per type juli'!$B$10:$B$51,0),MATCH("IQOO 15 Demo",'[1]Sales per type juli'!$D$8:$BA$8,0)+1),0)</f>
        <v>0</v>
      </c>
      <c r="EM30" s="143">
        <f t="shared" si="45"/>
        <v>0</v>
      </c>
      <c r="EN30" s="143">
        <v>0</v>
      </c>
      <c r="EO30" s="143">
        <f>IFERROR(INDEX('[1]Sales per type juli'!$D$10:$BA$51,MATCH($C30,'[1]Sales per type juli'!$B$10:$B$51,0),MATCH("X300 PRO",'[1]Sales per type juli'!$D$8:$BA$8,0)),0)</f>
        <v>0</v>
      </c>
      <c r="EP30" s="143">
        <f t="shared" si="46"/>
        <v>0</v>
      </c>
      <c r="EQ30" s="143">
        <v>0</v>
      </c>
      <c r="ER30" s="143" cm="1">
        <f t="array" ref="ER30">IFERROR(INDEX('[1]Sales per type juli'!$D$10:$BA$51,MATCH($C30,'[1]Sales per type juli'!$B$10:$B$51,0),MATCH("X300 PRO",'[1]Sales per type juli'!$D$8:$BA$8,0)+1),0)</f>
        <v>0</v>
      </c>
      <c r="ES30" s="143">
        <f t="shared" si="47"/>
        <v>0</v>
      </c>
      <c r="ET30" s="143">
        <v>0</v>
      </c>
      <c r="EU30" s="143">
        <f>IFERROR(INDEX('[1]Sales per type juli'!$D$10:$BA$51,MATCH($C30,'[1]Sales per type juli'!$B$10:$B$51,0),MATCH("X300 ",'[1]Sales per type juli'!$D$8:$BA$8,0)),0)</f>
        <v>0</v>
      </c>
      <c r="EV30" s="143">
        <f t="shared" si="48"/>
        <v>0</v>
      </c>
      <c r="EW30" s="143">
        <v>0</v>
      </c>
      <c r="EX30" s="143" cm="1">
        <f t="array" ref="EX30">IFERROR(INDEX('[1]Sales per type juli'!$D$10:$BA$51,MATCH($C30,'[1]Sales per type juli'!$B$10:$B$51,0),MATCH("X300 ",'[1]Sales per type juli'!$D$8:$BA$8,0)+1),0)</f>
        <v>0</v>
      </c>
      <c r="EY30" s="143">
        <f t="shared" si="49"/>
        <v>0</v>
      </c>
      <c r="EZ30" s="143">
        <f t="shared" si="50"/>
        <v>63</v>
      </c>
      <c r="FA30" s="143">
        <f t="shared" si="50"/>
        <v>79</v>
      </c>
      <c r="FB30" s="143">
        <f t="shared" si="51"/>
        <v>-16</v>
      </c>
      <c r="FC30" s="143">
        <f t="shared" si="52"/>
        <v>266937000</v>
      </c>
      <c r="FD30" s="143">
        <f t="shared" si="52"/>
        <v>331621000</v>
      </c>
      <c r="FE30" s="143">
        <f t="shared" si="53"/>
        <v>-64684000</v>
      </c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</row>
    <row r="31" spans="1:208" ht="16" x14ac:dyDescent="0.2">
      <c r="A31" s="141">
        <f>'[1]ACHIEVEMENT STORE'!A31</f>
        <v>27</v>
      </c>
      <c r="B31" s="142" t="str">
        <f>'[1]ACHIEVEMENT STORE'!B31</f>
        <v>624-万丹BANTEN</v>
      </c>
      <c r="C31" s="141">
        <f>'[1]ACHIEVEMENT STORE'!C31</f>
        <v>6170703</v>
      </c>
      <c r="D31" s="142" t="str">
        <f>'[1]ACHIEVEMENT STORE'!D31</f>
        <v>6170703-4004 MVS-BNT-CCM STORE</v>
      </c>
      <c r="E31" s="142" t="str">
        <f>'[1]ACHIEVEMENT STORE'!E31</f>
        <v>DWI IRAWAN ( PIC )</v>
      </c>
      <c r="F31" s="143">
        <f>IFERROR(INDEX('[1]SALES PERTYPE'!$D$10:$D$52,MATCH($C31,'[1]SALES PERTYPE'!$B$10:$B$52,0)),0)</f>
        <v>2</v>
      </c>
      <c r="G31" s="143">
        <f>IFERROR(INDEX('[1]Sales per type juli'!$D$10:$BA$51,MATCH($C31,'[1]Sales per type juli'!$B$10:$B$51,0),MATCH("Y05",'[1]Sales per type juli'!$D$8:$BA$8,0)),0)</f>
        <v>5</v>
      </c>
      <c r="H31" s="143">
        <f t="shared" si="0"/>
        <v>-3</v>
      </c>
      <c r="I31" s="143">
        <f>IFERROR(INDEX('[1]SALES PERTYPE'!$E$10:$E$52,MATCH($C31,'[1]SALES PERTYPE'!$B$10:$B$52,0)),0)</f>
        <v>4898000</v>
      </c>
      <c r="J31" s="143" cm="1">
        <f t="array" ref="J31">IFERROR(INDEX('[1]Sales per type juli'!$D$10:$BA$51,MATCH($C31,'[1]Sales per type juli'!$B$10:$B$51,0),MATCH("Y05",'[1]Sales per type juli'!$D$8:$BA$8,0)+1),0)</f>
        <v>11095000</v>
      </c>
      <c r="K31" s="143">
        <f t="shared" si="1"/>
        <v>-6197000</v>
      </c>
      <c r="L31" s="143">
        <f>IFERROR(INDEX('[1]SALES PERTYPE'!$F$10:$F$52,MATCH($C31,'[1]SALES PERTYPE'!$B$10:$B$52,0)),0)</f>
        <v>3</v>
      </c>
      <c r="M31" s="143">
        <f>IFERROR(INDEX('[1]Sales per type juli'!$D$10:$BA$51,MATCH($C31,'[1]Sales per type juli'!$B$10:$B$51,0),MATCH("Y11d",'[1]Sales per type juli'!$D$8:$BA$8,0)),0)</f>
        <v>5</v>
      </c>
      <c r="N31" s="143">
        <f t="shared" si="2"/>
        <v>-2</v>
      </c>
      <c r="O31" s="143">
        <f>IFERROR(INDEX('[1]SALES PERTYPE'!$G$10:$G$52,MATCH($C31,'[1]SALES PERTYPE'!$B$10:$B$52,0)),0)</f>
        <v>7597000</v>
      </c>
      <c r="P31" s="143" cm="1">
        <f t="array" ref="P31">IFERROR(INDEX('[1]Sales per type juli'!$D$10:$BA$51,MATCH($C31,'[1]Sales per type juli'!$B$10:$B$51,0),MATCH("Y11d",'[1]Sales per type juli'!$D$8:$BA$8,0)+1),0)</f>
        <v>13995000</v>
      </c>
      <c r="Q31" s="143">
        <f t="shared" si="3"/>
        <v>-6398000</v>
      </c>
      <c r="R31" s="143">
        <f>IFERROR(INDEX('[1]SALES PERTYPE'!$H$10:$H$52,MATCH($C31,'[1]SALES PERTYPE'!$B$10:$B$52,0)),0)</f>
        <v>0</v>
      </c>
      <c r="S31" s="143">
        <f>IFERROR(INDEX('[1]Sales per type juli'!$D$10:$BA$51,MATCH($C31,'[1]Sales per type juli'!$B$10:$B$51,0),MATCH("Watch GT 2",'[1]Sales per type juli'!$D$8:$BA$8,0)),0)</f>
        <v>0</v>
      </c>
      <c r="T31" s="143">
        <f t="shared" si="4"/>
        <v>0</v>
      </c>
      <c r="U31" s="143">
        <f>IFERROR(INDEX('[1]SALES PERTYPE'!$I$10:$I$52,MATCH($C31,'[1]SALES PERTYPE'!$B$10:$B$52,0)),0)</f>
        <v>0</v>
      </c>
      <c r="V31" s="143" cm="1">
        <f t="array" ref="V31">IFERROR(INDEX('[1]Sales per type juli'!$D$10:$BA$51,MATCH($C31,'[1]Sales per type juli'!$B$10:$B$51,0),MATCH("Watch GT 2",'[1]Sales per type juli'!$D$8:$BA$8,0)+1),0)</f>
        <v>0</v>
      </c>
      <c r="W31" s="143">
        <f t="shared" si="5"/>
        <v>0</v>
      </c>
      <c r="X31" s="143">
        <f>IFERROR(INDEX('[1]SALES PERTYPE'!$J$10:$J$52,MATCH($C31,'[1]SALES PERTYPE'!$B$10:$B$52,0)),0)</f>
        <v>1</v>
      </c>
      <c r="Y31" s="143">
        <f>IFERROR(INDEX('[1]Sales per type juli'!$D$10:$BA$51,MATCH($C31,'[1]Sales per type juli'!$B$10:$B$51,0),MATCH("Y05e",'[1]Sales per type juli'!$D$8:$BA$8,0)),0)</f>
        <v>0</v>
      </c>
      <c r="Z31" s="143">
        <f t="shared" si="6"/>
        <v>1</v>
      </c>
      <c r="AA31" s="143">
        <f>IFERROR(INDEX('[1]SALES PERTYPE'!$K$10:$K$52,MATCH($C31,'[1]SALES PERTYPE'!$B$10:$B$52,0)),0)</f>
        <v>2099000</v>
      </c>
      <c r="AB31" s="143" cm="1">
        <f t="array" ref="AB31">IFERROR(INDEX('[1]Sales per type juli'!$D$10:$BA$51,MATCH($C31,'[1]Sales per type juli'!$B$10:$B$51,0),MATCH("Y05e",'[1]Sales per type juli'!$D$8:$BA$8,0)+1),0)</f>
        <v>0</v>
      </c>
      <c r="AC31" s="143">
        <f t="shared" si="7"/>
        <v>2099000</v>
      </c>
      <c r="AD31" s="143">
        <f>IFERROR(INDEX('[1]SALES PERTYPE'!$L$10:$L$52,MATCH($C31,'[1]SALES PERTYPE'!$B$10:$B$52,0)),0)</f>
        <v>1</v>
      </c>
      <c r="AE31" s="143">
        <f>IFERROR(INDEX('[1]Sales per type juli'!$D$10:$BA$51,MATCH($C31,'[1]Sales per type juli'!$B$10:$B$51,0),MATCH("V70",'[1]Sales per type juli'!$D$8:$BA$8,0)),0)</f>
        <v>3</v>
      </c>
      <c r="AF31" s="143">
        <f t="shared" si="8"/>
        <v>-2</v>
      </c>
      <c r="AG31" s="143">
        <f>IFERROR(INDEX('[1]SALES PERTYPE'!$M$10:$M$52,MATCH($C31,'[1]SALES PERTYPE'!$B$10:$B$52,0)),0)</f>
        <v>9999000</v>
      </c>
      <c r="AH31" s="143" cm="1">
        <f t="array" ref="AH31">IFERROR(INDEX('[1]Sales per type juli'!$D$10:$BA$51,MATCH($C31,'[1]Sales per type juli'!$B$10:$B$51,0),MATCH("V70",'[1]Sales per type juli'!$D$8:$BA$8,0)+1),0)</f>
        <v>26997000</v>
      </c>
      <c r="AI31" s="143">
        <f t="shared" si="9"/>
        <v>-16998000</v>
      </c>
      <c r="AJ31" s="143">
        <f>IFERROR(INDEX('[1]SALES PERTYPE'!$N$10:$N$52,MATCH($C31,'[1]SALES PERTYPE'!$B$10:$B$52,0)),0)</f>
        <v>1</v>
      </c>
      <c r="AK31" s="143">
        <f>IFERROR(INDEX('[1]Sales per type juli'!$D$10:$BA$51,MATCH($C31,'[1]Sales per type juli'!$B$10:$B$51,0),MATCH("Y31d Pro",'[1]Sales per type juli'!$D$8:$BA$8,0)),0)</f>
        <v>0</v>
      </c>
      <c r="AL31" s="143">
        <f t="shared" si="10"/>
        <v>1</v>
      </c>
      <c r="AM31" s="143">
        <f>IFERROR(INDEX('[1]SALES PERTYPE'!$O$10:$O$52,MATCH($C31,'[1]SALES PERTYPE'!$B$10:$B$52,0)),0)</f>
        <v>4299000</v>
      </c>
      <c r="AN31" s="143" cm="1">
        <f t="array" ref="AN31">IFERROR(INDEX('[1]Sales per type juli'!$D$10:$BA$51,MATCH($C31,'[1]Sales per type juli'!$B$10:$B$51,0),MATCH("Y31d Pro",'[1]Sales per type juli'!$D$8:$BA$8,0)+1),0)</f>
        <v>0</v>
      </c>
      <c r="AO31" s="143">
        <f t="shared" si="11"/>
        <v>4299000</v>
      </c>
      <c r="AP31" s="143">
        <f>IFERROR(INDEX('[1]SALES PERTYPE'!$P$10:$P$52,MATCH($C31,'[1]SALES PERTYPE'!$B$10:$B$52,0)),0)</f>
        <v>1</v>
      </c>
      <c r="AQ31" s="143" cm="1">
        <f t="array" ref="AQ31">IFERROR(INDEX('[1]Sales per type juli'!$D$10:$BA$51,MATCH($C31,'[1]Sales per type juli'!$B$10:$B$51,0),$FG$2),0)</f>
        <v>0</v>
      </c>
      <c r="AR31" s="143">
        <f t="shared" si="12"/>
        <v>1</v>
      </c>
      <c r="AS31" s="143">
        <f>IFERROR(INDEX('[1]SALES PERTYPE'!$Q$10:$Q$52,MATCH($C31,'[1]SALES PERTYPE'!$B$10:$B$52,0)),0)</f>
        <v>3599000</v>
      </c>
      <c r="AT31" s="143" cm="1">
        <f t="array" ref="AT31">IFERROR(INDEX('[1]Sales per type juli'!$D$10:$BA$51,MATCH($C31,'[1]Sales per type juli'!$B$10:$B$51,0),$FG$2+1),0)</f>
        <v>0</v>
      </c>
      <c r="AU31" s="143">
        <f t="shared" si="13"/>
        <v>3599000</v>
      </c>
      <c r="AV31" s="143">
        <f>IFERROR(INDEX('[1]SALES PERTYPE'!$R$10:$R$52,MATCH($C31,'[1]SALES PERTYPE'!$B$10:$B$52,0)),0)</f>
        <v>1</v>
      </c>
      <c r="AW31" s="143">
        <f>IFERROR(INDEX('[1]Sales per type juli'!$D$10:$BA$51,MATCH($C31,'[1]Sales per type juli'!$B$10:$B$51,0),MATCH("Y31d ",'[1]Sales per type juli'!$D$8:$BA$8,0)),0)</f>
        <v>0</v>
      </c>
      <c r="AX31" s="143">
        <f t="shared" si="14"/>
        <v>1</v>
      </c>
      <c r="AY31" s="143">
        <f>IFERROR(INDEX('[1]SALES PERTYPE'!$S$10:$S$52,MATCH($C31,'[1]SALES PERTYPE'!$B$10:$B$52,0)),0)</f>
        <v>3599000</v>
      </c>
      <c r="AZ31" s="143" cm="1">
        <f t="array" ref="AZ31">IFERROR(INDEX('[1]Sales per type juli'!$D$10:$BA$51,MATCH($C31,'[1]Sales per type juli'!$B$10:$B$51,0),MATCH("Y31d ",'[1]Sales per type juli'!$D$8:$BA$8,0)+1),0)</f>
        <v>0</v>
      </c>
      <c r="BA31" s="143">
        <f t="shared" si="15"/>
        <v>3599000</v>
      </c>
      <c r="BB31" s="143">
        <f>IFERROR(INDEX('[1]SALES PERTYPE'!$T$10:$T$52,MATCH($C31,'[1]SALES PERTYPE'!$B$10:$B$52,0)),0)</f>
        <v>1</v>
      </c>
      <c r="BC31" s="143">
        <f>IFERROR(INDEX('[1]Sales per type juli'!$D$10:$BA$51,MATCH($C31,'[1]Sales per type juli'!$B$10:$B$51,0),MATCH("V70 FE",'[1]Sales per type juli'!$D$8:$BA$8,0)),0)</f>
        <v>2</v>
      </c>
      <c r="BD31" s="143">
        <f t="shared" si="16"/>
        <v>-1</v>
      </c>
      <c r="BE31" s="143">
        <f>IFERROR(INDEX('[1]SALES PERTYPE'!$U$10:$U$52,MATCH($C31,'[1]SALES PERTYPE'!$B$10:$B$52,0)),0)</f>
        <v>6999000</v>
      </c>
      <c r="BF31" s="143" cm="1">
        <f t="array" ref="BF31">IFERROR(INDEX('[1]Sales per type juli'!$D$10:$BA$51,MATCH($C31,'[1]Sales per type juli'!$B$10:$B$51,0),MATCH("V70 FE",'[1]Sales per type juli'!$D$8:$BA$8,0)+1),0)</f>
        <v>12998000</v>
      </c>
      <c r="BG31" s="143">
        <f t="shared" si="17"/>
        <v>-5999000</v>
      </c>
      <c r="BH31" s="143">
        <f>IFERROR(INDEX('[1]SALES PERTYPE'!$V$10:$V$52,MATCH($C31,'[1]SALES PERTYPE'!$B$10:$B$52,0)),0)</f>
        <v>0</v>
      </c>
      <c r="BI31" s="143">
        <f>IFERROR(INDEX('[1]Sales per type juli'!$D$10:$BA$51,MATCH($C31,'[1]Sales per type juli'!$B$10:$B$51,0),MATCH("Y31d",'[1]Sales per type juli'!$D$8:$BA$8,0)),0)</f>
        <v>0</v>
      </c>
      <c r="BJ31" s="143">
        <f t="shared" si="18"/>
        <v>0</v>
      </c>
      <c r="BK31" s="143">
        <f>IFERROR(INDEX('[1]SALES PERTYPE'!$W$10:$W$52,MATCH($C31,'[1]SALES PERTYPE'!$B$10:$B$52,0)),0)</f>
        <v>0</v>
      </c>
      <c r="BL31" s="143" cm="1">
        <f t="array" ref="BL31">IFERROR(INDEX('[1]Sales per type juli'!$D$10:$BA$51,MATCH($C31,'[1]Sales per type juli'!$B$10:$B$51,0),MATCH("Y31d",'[1]Sales per type juli'!$D$8:$BA$8,0)+1),0)</f>
        <v>0</v>
      </c>
      <c r="BM31" s="143">
        <f t="shared" si="19"/>
        <v>0</v>
      </c>
      <c r="BN31" s="143">
        <f>IFERROR(INDEX('[1]SALES PERTYPE'!$X$10:$X$52,MATCH($C31,'[1]SALES PERTYPE'!$B$10:$B$52,0)),0)</f>
        <v>1</v>
      </c>
      <c r="BO31" s="143">
        <f>IFERROR(INDEX('[1]Sales per type juli'!$D$10:$BA$51,MATCH($C31,'[1]Sales per type juli'!$B$10:$B$51,0),MATCH("Y500",'[1]Sales per type juli'!$D$8:$BA$8,0)),0)</f>
        <v>1</v>
      </c>
      <c r="BP31" s="143">
        <f t="shared" si="20"/>
        <v>0</v>
      </c>
      <c r="BQ31" s="143">
        <f>IFERROR(INDEX('[1]SALES PERTYPE'!$Y$10:$Y$52,MATCH($C31,'[1]SALES PERTYPE'!$B$10:$B$52,0)),0)</f>
        <v>5499000</v>
      </c>
      <c r="BR31" s="143" cm="1">
        <f t="array" ref="BR31">IFERROR(INDEX('[1]Sales per type juli'!$D$10:$BA$51,MATCH($C31,'[1]Sales per type juli'!$B$10:$B$51,0),MATCH("Y500",'[1]Sales per type juli'!$D$8:$BA$8,0)+1),0)</f>
        <v>5499000</v>
      </c>
      <c r="BS31" s="143">
        <f t="shared" si="21"/>
        <v>0</v>
      </c>
      <c r="BT31" s="143">
        <f>IFERROR(INDEX('[1]SALES PERTYPE'!$Z$10:$Z$52,MATCH($C31,'[1]SALES PERTYPE'!$B$10:$B$52,0)),0)</f>
        <v>1</v>
      </c>
      <c r="BU31" s="143">
        <f>IFERROR(INDEX('[1]Sales per type juli'!$D$10:$BA$51,MATCH($C31,'[1]Sales per type juli'!$B$10:$B$51,0),MATCH("IQOO 15R",'[1]Sales per type juli'!$D$8:$BA$8,0)),0)</f>
        <v>2</v>
      </c>
      <c r="BV31" s="143">
        <f t="shared" si="22"/>
        <v>-1</v>
      </c>
      <c r="BW31" s="143">
        <f>IFERROR(INDEX('[1]SALES PERTYPE'!$AA$10:$AA$52,MATCH($C31,'[1]SALES PERTYPE'!$B$10:$B$52,0)),0)</f>
        <v>11999000</v>
      </c>
      <c r="BX31" s="143" cm="1">
        <f t="array" ref="BX31">IFERROR(INDEX('[1]Sales per type juli'!$D$10:$BA$51,MATCH($C31,'[1]Sales per type juli'!$B$10:$B$51,0),MATCH("IQOO 15R",'[1]Sales per type juli'!$D$8:$BA$8,0)+1),0)</f>
        <v>19798000</v>
      </c>
      <c r="BY31" s="143">
        <f t="shared" si="23"/>
        <v>-7799000</v>
      </c>
      <c r="BZ31" s="143">
        <f>IFERROR(INDEX('[1]SALES PERTYPE'!$AB$10:$AB$52,MATCH($C31,'[1]SALES PERTYPE'!$B$10:$B$52,0)),0)</f>
        <v>0</v>
      </c>
      <c r="CA31" s="143">
        <f>IFERROR(INDEX('[1]Sales per type juli'!$D$10:$BA$51,MATCH($C31,'[1]Sales per type juli'!$B$10:$B$51,0),MATCH("V60 Lite",'[1]Sales per type juli'!$D$8:$BA$8,0)),0)</f>
        <v>2</v>
      </c>
      <c r="CB31" s="143">
        <f t="shared" si="24"/>
        <v>-2</v>
      </c>
      <c r="CC31" s="143">
        <f>IFERROR(INDEX('[1]SALES PERTYPE'!$AC$10:$AC$52,MATCH($C31,'[1]SALES PERTYPE'!$B$10:$B$52,0)),0)</f>
        <v>0</v>
      </c>
      <c r="CD31" s="143" cm="1">
        <f t="array" ref="CD31">IFERROR(INDEX('[1]Sales per type juli'!$D$10:$BA$51,MATCH($C31,'[1]Sales per type juli'!$B$10:$B$51,0),MATCH("V60 Lite",'[1]Sales per type juli'!$D$8:$BA$8,0)+1),0)</f>
        <v>10598000</v>
      </c>
      <c r="CE31" s="143">
        <f t="shared" si="25"/>
        <v>-10598000</v>
      </c>
      <c r="CF31" s="143">
        <f>IFERROR(INDEX('[1]SALES PERTYPE'!$AD$10:$AD$52,MATCH($C31,'[1]SALES PERTYPE'!$B$10:$B$52,0)),0)</f>
        <v>0</v>
      </c>
      <c r="CG31" s="143">
        <f>IFERROR(INDEX('[1]Sales per type juli'!$D$10:$BA$51,MATCH($C31,'[1]Sales per type juli'!$B$10:$B$51,0),MATCH("X300 Ultra",'[1]Sales per type juli'!$D$8:$BA$8,0)),0)</f>
        <v>0</v>
      </c>
      <c r="CH31" s="143">
        <f t="shared" si="26"/>
        <v>0</v>
      </c>
      <c r="CI31" s="143">
        <f>IFERROR(INDEX('[1]SALES PERTYPE'!$AE$10:$AE$52,MATCH($C31,'[1]SALES PERTYPE'!$B$10:$B$52,0)),0)</f>
        <v>0</v>
      </c>
      <c r="CJ31" s="143" cm="1">
        <f t="array" ref="CJ31">IFERROR(INDEX('[1]Sales per type juli'!$D$10:$BA$51,MATCH($C31,'[1]Sales per type juli'!$B$10:$B$51,0),MATCH("X300 Ultra",'[1]Sales per type juli'!$D$8:$BA$8,0)+1),0)</f>
        <v>0</v>
      </c>
      <c r="CK31" s="143">
        <f t="shared" si="27"/>
        <v>0</v>
      </c>
      <c r="CL31" s="143">
        <f>IFERROR(INDEX('[1]SALES PERTYPE'!$AF$10:$AF$52,MATCH($C31,'[1]SALES PERTYPE'!$B$10:$B$52,0)),0)</f>
        <v>0</v>
      </c>
      <c r="CM31" s="143">
        <f>IFERROR(INDEX('[1]Sales per type juli'!$D$10:$BA$51,MATCH($C31,'[1]Sales per type juli'!$B$10:$B$51,0),MATCH("IQOO 15",'[1]Sales per type juli'!$D$8:$BA$8,0)),0)</f>
        <v>0</v>
      </c>
      <c r="CN31" s="143">
        <f t="shared" si="28"/>
        <v>0</v>
      </c>
      <c r="CO31" s="143">
        <f>IFERROR(INDEX('[1]SALES PERTYPE'!$AG$10:$AG$52,MATCH($C31,'[1]SALES PERTYPE'!$B$10:$B$52,0)),0)</f>
        <v>0</v>
      </c>
      <c r="CP31" s="143" cm="1">
        <f t="array" ref="CP31">IFERROR(INDEX('[1]Sales per type juli'!$D$10:$BA$51,MATCH($C31,'[1]Sales per type juli'!$B$10:$B$51,0),MATCH("IQOO 15",'[1]Sales per type juli'!$D$8:$BA$8,0)+1),0)</f>
        <v>0</v>
      </c>
      <c r="CQ31" s="143">
        <f t="shared" si="29"/>
        <v>0</v>
      </c>
      <c r="CR31" s="143">
        <f>IFERROR(INDEX('[1]SALES PERTYPE'!$AH$10:$AH$52,MATCH($C31,'[1]SALES PERTYPE'!$B$10:$B$52,0)),0)</f>
        <v>0</v>
      </c>
      <c r="CS31" s="143">
        <f>IFERROR(INDEX('[1]Sales per type juli'!$D$10:$BA$51,MATCH($C31,'[1]Sales per type juli'!$B$10:$B$51,0),MATCH("IQOO Z11x",'[1]Sales per type juli'!$D$8:$BA$8,0)),0)</f>
        <v>0</v>
      </c>
      <c r="CT31" s="143">
        <f t="shared" si="30"/>
        <v>0</v>
      </c>
      <c r="CU31" s="143">
        <f>IFERROR(INDEX('[1]SALES PERTYPE'!$AI$10:$AI$52,MATCH($C31,'[1]SALES PERTYPE'!$B$10:$B$52,0)),0)</f>
        <v>0</v>
      </c>
      <c r="CV31" s="143" cm="1">
        <f t="array" ref="CV31">IFERROR(INDEX('[1]Sales per type juli'!$D$10:$BA$51,MATCH($C31,'[1]Sales per type juli'!$B$10:$B$51,0),MATCH("IQOO Z11x",'[1]Sales per type juli'!$D$8:$BA$8,0)+1),0)</f>
        <v>0</v>
      </c>
      <c r="CW31" s="143">
        <f t="shared" si="31"/>
        <v>0</v>
      </c>
      <c r="CX31" s="143">
        <f>IFERROR(INDEX('[1]SALES PERTYPE'!$AJ$10:$AJ$52,MATCH($C31,'[1]SALES PERTYPE'!$B$10:$B$52,0)),0)</f>
        <v>1</v>
      </c>
      <c r="CY31" s="143">
        <f>IFERROR(INDEX('[1]Sales per type juli'!$D$10:$BA$51,MATCH($C31,'[1]Sales per type juli'!$B$10:$B$51,0),MATCH("IQOO Z11",'[1]Sales per type juli'!$D$8:$BA$8,0)),0)</f>
        <v>3</v>
      </c>
      <c r="CZ31" s="143">
        <f t="shared" si="32"/>
        <v>-2</v>
      </c>
      <c r="DA31" s="143">
        <f>IFERROR(INDEX('[1]SALES PERTYPE'!$AK$10:$AK$52,MATCH($C31,'[1]SALES PERTYPE'!$B$10:$B$52,0)),0)</f>
        <v>6899000</v>
      </c>
      <c r="DB31" s="143" cm="1">
        <f t="array" ref="DB31">IFERROR(INDEX('[1]Sales per type juli'!$D$10:$BA$51,MATCH($C31,'[1]Sales per type juli'!$B$10:$B$51,0),MATCH("IQOO Z11",'[1]Sales per type juli'!$D$8:$BA$8,0)+1),0)</f>
        <v>17097000</v>
      </c>
      <c r="DC31" s="143">
        <f t="shared" si="33"/>
        <v>-10198000</v>
      </c>
      <c r="DD31" s="143">
        <v>0</v>
      </c>
      <c r="DE31" s="143">
        <f>IFERROR(INDEX('[1]Sales per type juli'!$D$10:$BA$51,MATCH($C31,'[1]Sales per type juli'!$B$10:$B$51,0),MATCH("WATCH 3",'[1]Sales per type juli'!$D$8:$BA$8,0)),0)</f>
        <v>0</v>
      </c>
      <c r="DF31" s="143">
        <f t="shared" si="34"/>
        <v>0</v>
      </c>
      <c r="DG31" s="143">
        <v>0</v>
      </c>
      <c r="DH31" s="143" cm="1">
        <f t="array" ref="DH31">IFERROR(INDEX('[1]Sales per type juli'!$D$10:$BA$51,MATCH($C31,'[1]Sales per type juli'!$B$10:$B$51,0),MATCH("WATCH 3",'[1]Sales per type juli'!$D$8:$BA$8,0)+1),0)</f>
        <v>0</v>
      </c>
      <c r="DI31" s="143">
        <f t="shared" si="35"/>
        <v>0</v>
      </c>
      <c r="DJ31" s="143">
        <v>0</v>
      </c>
      <c r="DK31" s="143">
        <f>IFERROR(INDEX('[1]Sales per type juli'!$D$10:$BA$51,MATCH($C31,'[1]Sales per type juli'!$B$10:$B$51,0),MATCH("X300 Demo",'[1]Sales per type juli'!$D$8:$BA$8,0)),0)</f>
        <v>1</v>
      </c>
      <c r="DL31" s="143">
        <f t="shared" si="36"/>
        <v>-1</v>
      </c>
      <c r="DM31" s="143">
        <v>0</v>
      </c>
      <c r="DN31" s="143" cm="1">
        <f t="array" ref="DN31">IFERROR(INDEX('[1]Sales per type juli'!$D$10:$BA$51,MATCH($C31,'[1]Sales per type juli'!$B$10:$B$51,0),MATCH("X300 Demo",'[1]Sales per type juli'!$D$8:$BA$8,0)+1),0)</f>
        <v>14999000</v>
      </c>
      <c r="DO31" s="143">
        <f t="shared" si="37"/>
        <v>-14999000</v>
      </c>
      <c r="DP31" s="143">
        <v>0</v>
      </c>
      <c r="DQ31" s="143">
        <f>IFERROR(INDEX('[1]Sales per type juli'!$D$10:$BA$51,MATCH($C31,'[1]Sales per type juli'!$B$10:$B$51,0),MATCH("X300 Pro Demo",'[1]Sales per type juli'!$D$8:$BA$8,0)),0)</f>
        <v>0</v>
      </c>
      <c r="DR31" s="143">
        <f t="shared" si="38"/>
        <v>0</v>
      </c>
      <c r="DS31" s="143">
        <v>0</v>
      </c>
      <c r="DT31" s="143" cm="1">
        <f t="array" ref="DT31">IFERROR(INDEX('[1]Sales per type juli'!$D$10:$BA$51,MATCH($C31,'[1]Sales per type juli'!$B$10:$B$51,0),MATCH("X300 Pro Demo",'[1]Sales per type juli'!$D$8:$BA$8,0)+1),0)</f>
        <v>0</v>
      </c>
      <c r="DU31" s="143">
        <f t="shared" si="39"/>
        <v>0</v>
      </c>
      <c r="DV31" s="143">
        <v>0</v>
      </c>
      <c r="DW31" s="143">
        <f>IFERROR(INDEX('[1]Sales per type juli'!$D$10:$BA$51,MATCH($C31,'[1]Sales per type juli'!$B$10:$B$51,0),MATCH("X Fold5 DEMO",'[1]Sales per type juli'!$D$8:$BA$8,0)),0)</f>
        <v>0</v>
      </c>
      <c r="DX31" s="143">
        <f t="shared" si="40"/>
        <v>0</v>
      </c>
      <c r="DY31" s="143">
        <v>0</v>
      </c>
      <c r="DZ31" s="143" cm="1">
        <f t="array" ref="DZ31">IFERROR(INDEX('[1]Sales per type juli'!$D$10:$BA$51,MATCH($C31,'[1]Sales per type juli'!$B$10:$B$51,0),MATCH("X Fold5 DEMO",'[1]Sales per type juli'!$D$8:$BA$8,0)+1),0)</f>
        <v>0</v>
      </c>
      <c r="EA31" s="143">
        <f t="shared" si="41"/>
        <v>0</v>
      </c>
      <c r="EB31" s="143">
        <v>0</v>
      </c>
      <c r="EC31" s="143">
        <f>IFERROR(INDEX('[1]Sales per type juli'!$D$10:$BA$51,MATCH($C31,'[1]Sales per type juli'!$B$10:$B$51,0),MATCH("X Fold5",'[1]Sales per type juli'!$D$8:$BA$8,0)),0)</f>
        <v>0</v>
      </c>
      <c r="ED31" s="143">
        <f t="shared" si="42"/>
        <v>0</v>
      </c>
      <c r="EE31" s="143">
        <v>0</v>
      </c>
      <c r="EF31" s="143" cm="1">
        <f t="array" ref="EF31">IFERROR(INDEX('[1]Sales per type juli'!$D$10:$BA$51,MATCH($C31,'[1]Sales per type juli'!$B$10:$B$51,0),MATCH("X Fold5",'[1]Sales per type juli'!$D$8:$BA$8,0)+1),0)</f>
        <v>0</v>
      </c>
      <c r="EG31" s="143">
        <f t="shared" si="43"/>
        <v>0</v>
      </c>
      <c r="EH31" s="143">
        <v>0</v>
      </c>
      <c r="EI31" s="143">
        <f>IFERROR(INDEX('[1]Sales per type juli'!$D$10:$BA$51,MATCH($C31,'[1]Sales per type juli'!$B$10:$B$51,0),MATCH("IQOO 15 Demo",'[1]Sales per type juli'!$D$8:$BA$8,0)),0)</f>
        <v>1</v>
      </c>
      <c r="EJ31" s="143">
        <f t="shared" si="44"/>
        <v>-1</v>
      </c>
      <c r="EK31" s="143">
        <v>0</v>
      </c>
      <c r="EL31" s="143" cm="1">
        <f t="array" ref="EL31">IFERROR(INDEX('[1]Sales per type juli'!$D$10:$BA$51,MATCH($C31,'[1]Sales per type juli'!$B$10:$B$51,0),MATCH("IQOO 15 Demo",'[1]Sales per type juli'!$D$8:$BA$8,0)+1),0)</f>
        <v>13999000</v>
      </c>
      <c r="EM31" s="143">
        <f t="shared" si="45"/>
        <v>-13999000</v>
      </c>
      <c r="EN31" s="143">
        <v>0</v>
      </c>
      <c r="EO31" s="143">
        <f>IFERROR(INDEX('[1]Sales per type juli'!$D$10:$BA$51,MATCH($C31,'[1]Sales per type juli'!$B$10:$B$51,0),MATCH("X300 PRO",'[1]Sales per type juli'!$D$8:$BA$8,0)),0)</f>
        <v>0</v>
      </c>
      <c r="EP31" s="143">
        <f t="shared" si="46"/>
        <v>0</v>
      </c>
      <c r="EQ31" s="143">
        <v>0</v>
      </c>
      <c r="ER31" s="143" cm="1">
        <f t="array" ref="ER31">IFERROR(INDEX('[1]Sales per type juli'!$D$10:$BA$51,MATCH($C31,'[1]Sales per type juli'!$B$10:$B$51,0),MATCH("X300 PRO",'[1]Sales per type juli'!$D$8:$BA$8,0)+1),0)</f>
        <v>0</v>
      </c>
      <c r="ES31" s="143">
        <f t="shared" si="47"/>
        <v>0</v>
      </c>
      <c r="ET31" s="143">
        <v>0</v>
      </c>
      <c r="EU31" s="143">
        <f>IFERROR(INDEX('[1]Sales per type juli'!$D$10:$BA$51,MATCH($C31,'[1]Sales per type juli'!$B$10:$B$51,0),MATCH("X300 ",'[1]Sales per type juli'!$D$8:$BA$8,0)),0)</f>
        <v>0</v>
      </c>
      <c r="EV31" s="143">
        <f t="shared" si="48"/>
        <v>0</v>
      </c>
      <c r="EW31" s="143">
        <v>0</v>
      </c>
      <c r="EX31" s="143" cm="1">
        <f t="array" ref="EX31">IFERROR(INDEX('[1]Sales per type juli'!$D$10:$BA$51,MATCH($C31,'[1]Sales per type juli'!$B$10:$B$51,0),MATCH("X300 ",'[1]Sales per type juli'!$D$8:$BA$8,0)+1),0)</f>
        <v>0</v>
      </c>
      <c r="EY31" s="143">
        <f t="shared" si="49"/>
        <v>0</v>
      </c>
      <c r="EZ31" s="143">
        <f t="shared" si="50"/>
        <v>14</v>
      </c>
      <c r="FA31" s="143">
        <f t="shared" si="50"/>
        <v>25</v>
      </c>
      <c r="FB31" s="143">
        <f t="shared" si="51"/>
        <v>-11</v>
      </c>
      <c r="FC31" s="143">
        <f t="shared" si="52"/>
        <v>67486000</v>
      </c>
      <c r="FD31" s="143">
        <f t="shared" si="52"/>
        <v>147075000</v>
      </c>
      <c r="FE31" s="143">
        <f t="shared" si="53"/>
        <v>-79589000</v>
      </c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</row>
    <row r="32" spans="1:208" ht="16" x14ac:dyDescent="0.2">
      <c r="A32" s="144">
        <f>'[1]ACHIEVEMENT STORE'!A32</f>
        <v>28</v>
      </c>
      <c r="B32" s="145" t="str">
        <f>'[1]ACHIEVEMENT STORE'!B32</f>
        <v>624-万丹BANTEN</v>
      </c>
      <c r="C32" s="144">
        <f>'[1]ACHIEVEMENT STORE'!C32</f>
        <v>6240705</v>
      </c>
      <c r="D32" s="145" t="str">
        <f>'[1]ACHIEVEMENT STORE'!D32</f>
        <v>6240705-CIPUTRA 2FC15</v>
      </c>
      <c r="E32" s="145" t="str">
        <f>'[1]ACHIEVEMENT STORE'!E32</f>
        <v>DHANI EKO NUGROHO</v>
      </c>
      <c r="F32" s="143">
        <f>IFERROR(INDEX('[1]SALES PERTYPE'!$D$10:$D$52,MATCH($C32,'[1]SALES PERTYPE'!$B$10:$B$52,0)),0)</f>
        <v>3</v>
      </c>
      <c r="G32" s="143">
        <f>IFERROR(INDEX('[1]Sales per type juli'!$D$10:$BA$51,MATCH($C32,'[1]Sales per type juli'!$B$10:$B$51,0),MATCH("Y05",'[1]Sales per type juli'!$D$8:$BA$8,0)),0)</f>
        <v>9</v>
      </c>
      <c r="H32" s="143">
        <f t="shared" si="0"/>
        <v>-6</v>
      </c>
      <c r="I32" s="143">
        <f>IFERROR(INDEX('[1]SALES PERTYPE'!$E$10:$E$52,MATCH($C32,'[1]SALES PERTYPE'!$B$10:$B$52,0)),0)</f>
        <v>7797000</v>
      </c>
      <c r="J32" s="143" cm="1">
        <f t="array" ref="J32">IFERROR(INDEX('[1]Sales per type juli'!$D$10:$BA$51,MATCH($C32,'[1]Sales per type juli'!$B$10:$B$51,0),MATCH("Y05",'[1]Sales per type juli'!$D$8:$BA$8,0)+1),0)</f>
        <v>20091000</v>
      </c>
      <c r="K32" s="143">
        <f t="shared" si="1"/>
        <v>-12294000</v>
      </c>
      <c r="L32" s="143">
        <f>IFERROR(INDEX('[1]SALES PERTYPE'!$F$10:$F$52,MATCH($C32,'[1]SALES PERTYPE'!$B$10:$B$52,0)),0)</f>
        <v>6</v>
      </c>
      <c r="M32" s="143">
        <f>IFERROR(INDEX('[1]Sales per type juli'!$D$10:$BA$51,MATCH($C32,'[1]Sales per type juli'!$B$10:$B$51,0),MATCH("Y11d",'[1]Sales per type juli'!$D$8:$BA$8,0)),0)</f>
        <v>4</v>
      </c>
      <c r="N32" s="143">
        <f t="shared" si="2"/>
        <v>2</v>
      </c>
      <c r="O32" s="143">
        <f>IFERROR(INDEX('[1]SALES PERTYPE'!$G$10:$G$52,MATCH($C32,'[1]SALES PERTYPE'!$B$10:$B$52,0)),0)</f>
        <v>16394000</v>
      </c>
      <c r="P32" s="143" cm="1">
        <f t="array" ref="P32">IFERROR(INDEX('[1]Sales per type juli'!$D$10:$BA$51,MATCH($C32,'[1]Sales per type juli'!$B$10:$B$51,0),MATCH("Y11d",'[1]Sales per type juli'!$D$8:$BA$8,0)+1),0)</f>
        <v>10796000</v>
      </c>
      <c r="Q32" s="143">
        <f t="shared" si="3"/>
        <v>5598000</v>
      </c>
      <c r="R32" s="143">
        <f>IFERROR(INDEX('[1]SALES PERTYPE'!$H$10:$H$52,MATCH($C32,'[1]SALES PERTYPE'!$B$10:$B$52,0)),0)</f>
        <v>0</v>
      </c>
      <c r="S32" s="143">
        <f>IFERROR(INDEX('[1]Sales per type juli'!$D$10:$BA$51,MATCH($C32,'[1]Sales per type juli'!$B$10:$B$51,0),MATCH("Watch GT 2",'[1]Sales per type juli'!$D$8:$BA$8,0)),0)</f>
        <v>0</v>
      </c>
      <c r="T32" s="143">
        <f t="shared" si="4"/>
        <v>0</v>
      </c>
      <c r="U32" s="143">
        <f>IFERROR(INDEX('[1]SALES PERTYPE'!$I$10:$I$52,MATCH($C32,'[1]SALES PERTYPE'!$B$10:$B$52,0)),0)</f>
        <v>0</v>
      </c>
      <c r="V32" s="143" cm="1">
        <f t="array" ref="V32">IFERROR(INDEX('[1]Sales per type juli'!$D$10:$BA$51,MATCH($C32,'[1]Sales per type juli'!$B$10:$B$51,0),MATCH("Watch GT 2",'[1]Sales per type juli'!$D$8:$BA$8,0)+1),0)</f>
        <v>0</v>
      </c>
      <c r="W32" s="143">
        <f t="shared" si="5"/>
        <v>0</v>
      </c>
      <c r="X32" s="143">
        <f>IFERROR(INDEX('[1]SALES PERTYPE'!$J$10:$J$52,MATCH($C32,'[1]SALES PERTYPE'!$B$10:$B$52,0)),0)</f>
        <v>2</v>
      </c>
      <c r="Y32" s="143">
        <f>IFERROR(INDEX('[1]Sales per type juli'!$D$10:$BA$51,MATCH($C32,'[1]Sales per type juli'!$B$10:$B$51,0),MATCH("Y05e",'[1]Sales per type juli'!$D$8:$BA$8,0)),0)</f>
        <v>0</v>
      </c>
      <c r="Z32" s="143">
        <f t="shared" si="6"/>
        <v>2</v>
      </c>
      <c r="AA32" s="143">
        <f>IFERROR(INDEX('[1]SALES PERTYPE'!$K$10:$K$52,MATCH($C32,'[1]SALES PERTYPE'!$B$10:$B$52,0)),0)</f>
        <v>4198000</v>
      </c>
      <c r="AB32" s="143" cm="1">
        <f t="array" ref="AB32">IFERROR(INDEX('[1]Sales per type juli'!$D$10:$BA$51,MATCH($C32,'[1]Sales per type juli'!$B$10:$B$51,0),MATCH("Y05e",'[1]Sales per type juli'!$D$8:$BA$8,0)+1),0)</f>
        <v>0</v>
      </c>
      <c r="AC32" s="143">
        <f t="shared" si="7"/>
        <v>4198000</v>
      </c>
      <c r="AD32" s="143">
        <f>IFERROR(INDEX('[1]SALES PERTYPE'!$L$10:$L$52,MATCH($C32,'[1]SALES PERTYPE'!$B$10:$B$52,0)),0)</f>
        <v>2</v>
      </c>
      <c r="AE32" s="143">
        <f>IFERROR(INDEX('[1]Sales per type juli'!$D$10:$BA$51,MATCH($C32,'[1]Sales per type juli'!$B$10:$B$51,0),MATCH("V70",'[1]Sales per type juli'!$D$8:$BA$8,0)),0)</f>
        <v>0</v>
      </c>
      <c r="AF32" s="143">
        <f t="shared" si="8"/>
        <v>2</v>
      </c>
      <c r="AG32" s="143">
        <f>IFERROR(INDEX('[1]SALES PERTYPE'!$M$10:$M$52,MATCH($C32,'[1]SALES PERTYPE'!$B$10:$B$52,0)),0)</f>
        <v>19998000</v>
      </c>
      <c r="AH32" s="143" cm="1">
        <f t="array" ref="AH32">IFERROR(INDEX('[1]Sales per type juli'!$D$10:$BA$51,MATCH($C32,'[1]Sales per type juli'!$B$10:$B$51,0),MATCH("V70",'[1]Sales per type juli'!$D$8:$BA$8,0)+1),0)</f>
        <v>0</v>
      </c>
      <c r="AI32" s="143">
        <f t="shared" si="9"/>
        <v>19998000</v>
      </c>
      <c r="AJ32" s="143">
        <f>IFERROR(INDEX('[1]SALES PERTYPE'!$N$10:$N$52,MATCH($C32,'[1]SALES PERTYPE'!$B$10:$B$52,0)),0)</f>
        <v>3</v>
      </c>
      <c r="AK32" s="143">
        <f>IFERROR(INDEX('[1]Sales per type juli'!$D$10:$BA$51,MATCH($C32,'[1]Sales per type juli'!$B$10:$B$51,0),MATCH("Y31d Pro",'[1]Sales per type juli'!$D$8:$BA$8,0)),0)</f>
        <v>5</v>
      </c>
      <c r="AL32" s="143">
        <f t="shared" si="10"/>
        <v>-2</v>
      </c>
      <c r="AM32" s="143">
        <f>IFERROR(INDEX('[1]SALES PERTYPE'!$O$10:$O$52,MATCH($C32,'[1]SALES PERTYPE'!$B$10:$B$52,0)),0)</f>
        <v>12097000</v>
      </c>
      <c r="AN32" s="143" cm="1">
        <f t="array" ref="AN32">IFERROR(INDEX('[1]Sales per type juli'!$D$10:$BA$51,MATCH($C32,'[1]Sales per type juli'!$B$10:$B$51,0),MATCH("Y31d Pro",'[1]Sales per type juli'!$D$8:$BA$8,0)+1),0)</f>
        <v>21695000</v>
      </c>
      <c r="AO32" s="143">
        <f t="shared" si="11"/>
        <v>-9598000</v>
      </c>
      <c r="AP32" s="143">
        <f>IFERROR(INDEX('[1]SALES PERTYPE'!$P$10:$P$52,MATCH($C32,'[1]SALES PERTYPE'!$B$10:$B$52,0)),0)</f>
        <v>0</v>
      </c>
      <c r="AQ32" s="143" cm="1">
        <f t="array" ref="AQ32">IFERROR(INDEX('[1]Sales per type juli'!$D$10:$BA$51,MATCH($C32,'[1]Sales per type juli'!$B$10:$B$51,0),$FG$2),0)</f>
        <v>0</v>
      </c>
      <c r="AR32" s="143">
        <f t="shared" si="12"/>
        <v>0</v>
      </c>
      <c r="AS32" s="143">
        <f>IFERROR(INDEX('[1]SALES PERTYPE'!$Q$10:$Q$52,MATCH($C32,'[1]SALES PERTYPE'!$B$10:$B$52,0)),0)</f>
        <v>0</v>
      </c>
      <c r="AT32" s="143" cm="1">
        <f t="array" ref="AT32">IFERROR(INDEX('[1]Sales per type juli'!$D$10:$BA$51,MATCH($C32,'[1]Sales per type juli'!$B$10:$B$51,0),$FG$2+1),0)</f>
        <v>0</v>
      </c>
      <c r="AU32" s="143">
        <f t="shared" si="13"/>
        <v>0</v>
      </c>
      <c r="AV32" s="143">
        <f>IFERROR(INDEX('[1]SALES PERTYPE'!$R$10:$R$52,MATCH($C32,'[1]SALES PERTYPE'!$B$10:$B$52,0)),0)</f>
        <v>0</v>
      </c>
      <c r="AW32" s="143">
        <f>IFERROR(INDEX('[1]Sales per type juli'!$D$10:$BA$51,MATCH($C32,'[1]Sales per type juli'!$B$10:$B$51,0),MATCH("Y31d ",'[1]Sales per type juli'!$D$8:$BA$8,0)),0)</f>
        <v>0</v>
      </c>
      <c r="AX32" s="143">
        <f t="shared" si="14"/>
        <v>0</v>
      </c>
      <c r="AY32" s="143">
        <f>IFERROR(INDEX('[1]SALES PERTYPE'!$S$10:$S$52,MATCH($C32,'[1]SALES PERTYPE'!$B$10:$B$52,0)),0)</f>
        <v>0</v>
      </c>
      <c r="AZ32" s="143" cm="1">
        <f t="array" ref="AZ32">IFERROR(INDEX('[1]Sales per type juli'!$D$10:$BA$51,MATCH($C32,'[1]Sales per type juli'!$B$10:$B$51,0),MATCH("Y31d ",'[1]Sales per type juli'!$D$8:$BA$8,0)+1),0)</f>
        <v>0</v>
      </c>
      <c r="BA32" s="143">
        <f t="shared" si="15"/>
        <v>0</v>
      </c>
      <c r="BB32" s="143">
        <f>IFERROR(INDEX('[1]SALES PERTYPE'!$T$10:$T$52,MATCH($C32,'[1]SALES PERTYPE'!$B$10:$B$52,0)),0)</f>
        <v>4</v>
      </c>
      <c r="BC32" s="143">
        <f>IFERROR(INDEX('[1]Sales per type juli'!$D$10:$BA$51,MATCH($C32,'[1]Sales per type juli'!$B$10:$B$51,0),MATCH("V70 FE",'[1]Sales per type juli'!$D$8:$BA$8,0)),0)</f>
        <v>0</v>
      </c>
      <c r="BD32" s="143">
        <f t="shared" si="16"/>
        <v>4</v>
      </c>
      <c r="BE32" s="143">
        <f>IFERROR(INDEX('[1]SALES PERTYPE'!$U$10:$U$52,MATCH($C32,'[1]SALES PERTYPE'!$B$10:$B$52,0)),0)</f>
        <v>30496000</v>
      </c>
      <c r="BF32" s="143" cm="1">
        <f t="array" ref="BF32">IFERROR(INDEX('[1]Sales per type juli'!$D$10:$BA$51,MATCH($C32,'[1]Sales per type juli'!$B$10:$B$51,0),MATCH("V70 FE",'[1]Sales per type juli'!$D$8:$BA$8,0)+1),0)</f>
        <v>0</v>
      </c>
      <c r="BG32" s="143">
        <f t="shared" si="17"/>
        <v>30496000</v>
      </c>
      <c r="BH32" s="143">
        <f>IFERROR(INDEX('[1]SALES PERTYPE'!$V$10:$V$52,MATCH($C32,'[1]SALES PERTYPE'!$B$10:$B$52,0)),0)</f>
        <v>0</v>
      </c>
      <c r="BI32" s="143">
        <f>IFERROR(INDEX('[1]Sales per type juli'!$D$10:$BA$51,MATCH($C32,'[1]Sales per type juli'!$B$10:$B$51,0),MATCH("Y31d",'[1]Sales per type juli'!$D$8:$BA$8,0)),0)</f>
        <v>0</v>
      </c>
      <c r="BJ32" s="143">
        <f t="shared" si="18"/>
        <v>0</v>
      </c>
      <c r="BK32" s="143">
        <f>IFERROR(INDEX('[1]SALES PERTYPE'!$W$10:$W$52,MATCH($C32,'[1]SALES PERTYPE'!$B$10:$B$52,0)),0)</f>
        <v>0</v>
      </c>
      <c r="BL32" s="143" cm="1">
        <f t="array" ref="BL32">IFERROR(INDEX('[1]Sales per type juli'!$D$10:$BA$51,MATCH($C32,'[1]Sales per type juli'!$B$10:$B$51,0),MATCH("Y31d",'[1]Sales per type juli'!$D$8:$BA$8,0)+1),0)</f>
        <v>0</v>
      </c>
      <c r="BM32" s="143">
        <f t="shared" si="19"/>
        <v>0</v>
      </c>
      <c r="BN32" s="143">
        <f>IFERROR(INDEX('[1]SALES PERTYPE'!$X$10:$X$52,MATCH($C32,'[1]SALES PERTYPE'!$B$10:$B$52,0)),0)</f>
        <v>4</v>
      </c>
      <c r="BO32" s="143">
        <f>IFERROR(INDEX('[1]Sales per type juli'!$D$10:$BA$51,MATCH($C32,'[1]Sales per type juli'!$B$10:$B$51,0),MATCH("Y500",'[1]Sales per type juli'!$D$8:$BA$8,0)),0)</f>
        <v>2</v>
      </c>
      <c r="BP32" s="143">
        <f t="shared" si="20"/>
        <v>2</v>
      </c>
      <c r="BQ32" s="143">
        <f>IFERROR(INDEX('[1]SALES PERTYPE'!$Y$10:$Y$52,MATCH($C32,'[1]SALES PERTYPE'!$B$10:$B$52,0)),0)</f>
        <v>22796000</v>
      </c>
      <c r="BR32" s="143" cm="1">
        <f t="array" ref="BR32">IFERROR(INDEX('[1]Sales per type juli'!$D$10:$BA$51,MATCH($C32,'[1]Sales per type juli'!$B$10:$B$51,0),MATCH("Y500",'[1]Sales per type juli'!$D$8:$BA$8,0)+1),0)</f>
        <v>11798000</v>
      </c>
      <c r="BS32" s="143">
        <f t="shared" si="21"/>
        <v>10998000</v>
      </c>
      <c r="BT32" s="143">
        <f>IFERROR(INDEX('[1]SALES PERTYPE'!$Z$10:$Z$52,MATCH($C32,'[1]SALES PERTYPE'!$B$10:$B$52,0)),0)</f>
        <v>1</v>
      </c>
      <c r="BU32" s="143">
        <f>IFERROR(INDEX('[1]Sales per type juli'!$D$10:$BA$51,MATCH($C32,'[1]Sales per type juli'!$B$10:$B$51,0),MATCH("IQOO 15R",'[1]Sales per type juli'!$D$8:$BA$8,0)),0)</f>
        <v>0</v>
      </c>
      <c r="BV32" s="143">
        <f t="shared" si="22"/>
        <v>1</v>
      </c>
      <c r="BW32" s="143">
        <f>IFERROR(INDEX('[1]SALES PERTYPE'!$AA$10:$AA$52,MATCH($C32,'[1]SALES PERTYPE'!$B$10:$B$52,0)),0)</f>
        <v>11999000</v>
      </c>
      <c r="BX32" s="143" cm="1">
        <f t="array" ref="BX32">IFERROR(INDEX('[1]Sales per type juli'!$D$10:$BA$51,MATCH($C32,'[1]Sales per type juli'!$B$10:$B$51,0),MATCH("IQOO 15R",'[1]Sales per type juli'!$D$8:$BA$8,0)+1),0)</f>
        <v>0</v>
      </c>
      <c r="BY32" s="143">
        <f t="shared" si="23"/>
        <v>11999000</v>
      </c>
      <c r="BZ32" s="143">
        <f>IFERROR(INDEX('[1]SALES PERTYPE'!$AB$10:$AB$52,MATCH($C32,'[1]SALES PERTYPE'!$B$10:$B$52,0)),0)</f>
        <v>1</v>
      </c>
      <c r="CA32" s="143">
        <f>IFERROR(INDEX('[1]Sales per type juli'!$D$10:$BA$51,MATCH($C32,'[1]Sales per type juli'!$B$10:$B$51,0),MATCH("V60 Lite",'[1]Sales per type juli'!$D$8:$BA$8,0)),0)</f>
        <v>1</v>
      </c>
      <c r="CB32" s="143">
        <f t="shared" si="24"/>
        <v>0</v>
      </c>
      <c r="CC32" s="143">
        <f>IFERROR(INDEX('[1]SALES PERTYPE'!$AC$10:$AC$52,MATCH($C32,'[1]SALES PERTYPE'!$B$10:$B$52,0)),0)</f>
        <v>5899000</v>
      </c>
      <c r="CD32" s="143" cm="1">
        <f t="array" ref="CD32">IFERROR(INDEX('[1]Sales per type juli'!$D$10:$BA$51,MATCH($C32,'[1]Sales per type juli'!$B$10:$B$51,0),MATCH("V60 Lite",'[1]Sales per type juli'!$D$8:$BA$8,0)+1),0)</f>
        <v>5299000</v>
      </c>
      <c r="CE32" s="143">
        <f t="shared" si="25"/>
        <v>600000</v>
      </c>
      <c r="CF32" s="143">
        <f>IFERROR(INDEX('[1]SALES PERTYPE'!$AD$10:$AD$52,MATCH($C32,'[1]SALES PERTYPE'!$B$10:$B$52,0)),0)</f>
        <v>0</v>
      </c>
      <c r="CG32" s="143">
        <f>IFERROR(INDEX('[1]Sales per type juli'!$D$10:$BA$51,MATCH($C32,'[1]Sales per type juli'!$B$10:$B$51,0),MATCH("X300 Ultra",'[1]Sales per type juli'!$D$8:$BA$8,0)),0)</f>
        <v>0</v>
      </c>
      <c r="CH32" s="143">
        <f t="shared" si="26"/>
        <v>0</v>
      </c>
      <c r="CI32" s="143">
        <f>IFERROR(INDEX('[1]SALES PERTYPE'!$AE$10:$AE$52,MATCH($C32,'[1]SALES PERTYPE'!$B$10:$B$52,0)),0)</f>
        <v>0</v>
      </c>
      <c r="CJ32" s="143" cm="1">
        <f t="array" ref="CJ32">IFERROR(INDEX('[1]Sales per type juli'!$D$10:$BA$51,MATCH($C32,'[1]Sales per type juli'!$B$10:$B$51,0),MATCH("X300 Ultra",'[1]Sales per type juli'!$D$8:$BA$8,0)+1),0)</f>
        <v>0</v>
      </c>
      <c r="CK32" s="143">
        <f t="shared" si="27"/>
        <v>0</v>
      </c>
      <c r="CL32" s="143">
        <f>IFERROR(INDEX('[1]SALES PERTYPE'!$AF$10:$AF$52,MATCH($C32,'[1]SALES PERTYPE'!$B$10:$B$52,0)),0)</f>
        <v>0</v>
      </c>
      <c r="CM32" s="143">
        <f>IFERROR(INDEX('[1]Sales per type juli'!$D$10:$BA$51,MATCH($C32,'[1]Sales per type juli'!$B$10:$B$51,0),MATCH("IQOO 15",'[1]Sales per type juli'!$D$8:$BA$8,0)),0)</f>
        <v>0</v>
      </c>
      <c r="CN32" s="143">
        <f t="shared" si="28"/>
        <v>0</v>
      </c>
      <c r="CO32" s="143">
        <f>IFERROR(INDEX('[1]SALES PERTYPE'!$AG$10:$AG$52,MATCH($C32,'[1]SALES PERTYPE'!$B$10:$B$52,0)),0)</f>
        <v>0</v>
      </c>
      <c r="CP32" s="143" cm="1">
        <f t="array" ref="CP32">IFERROR(INDEX('[1]Sales per type juli'!$D$10:$BA$51,MATCH($C32,'[1]Sales per type juli'!$B$10:$B$51,0),MATCH("IQOO 15",'[1]Sales per type juli'!$D$8:$BA$8,0)+1),0)</f>
        <v>0</v>
      </c>
      <c r="CQ32" s="143">
        <f t="shared" si="29"/>
        <v>0</v>
      </c>
      <c r="CR32" s="143">
        <f>IFERROR(INDEX('[1]SALES PERTYPE'!$AH$10:$AH$52,MATCH($C32,'[1]SALES PERTYPE'!$B$10:$B$52,0)),0)</f>
        <v>0</v>
      </c>
      <c r="CS32" s="143">
        <f>IFERROR(INDEX('[1]Sales per type juli'!$D$10:$BA$51,MATCH($C32,'[1]Sales per type juli'!$B$10:$B$51,0),MATCH("IQOO Z11x",'[1]Sales per type juli'!$D$8:$BA$8,0)),0)</f>
        <v>1</v>
      </c>
      <c r="CT32" s="143">
        <f t="shared" si="30"/>
        <v>-1</v>
      </c>
      <c r="CU32" s="143">
        <f>IFERROR(INDEX('[1]SALES PERTYPE'!$AI$10:$AI$52,MATCH($C32,'[1]SALES PERTYPE'!$B$10:$B$52,0)),0)</f>
        <v>0</v>
      </c>
      <c r="CV32" s="143" cm="1">
        <f t="array" ref="CV32">IFERROR(INDEX('[1]Sales per type juli'!$D$10:$BA$51,MATCH($C32,'[1]Sales per type juli'!$B$10:$B$51,0),MATCH("IQOO Z11x",'[1]Sales per type juli'!$D$8:$BA$8,0)+1),0)</f>
        <v>4799000</v>
      </c>
      <c r="CW32" s="143">
        <f t="shared" si="31"/>
        <v>-4799000</v>
      </c>
      <c r="CX32" s="143">
        <f>IFERROR(INDEX('[1]SALES PERTYPE'!$AJ$10:$AJ$52,MATCH($C32,'[1]SALES PERTYPE'!$B$10:$B$52,0)),0)</f>
        <v>3</v>
      </c>
      <c r="CY32" s="143">
        <f>IFERROR(INDEX('[1]Sales per type juli'!$D$10:$BA$51,MATCH($C32,'[1]Sales per type juli'!$B$10:$B$51,0),MATCH("IQOO Z11",'[1]Sales per type juli'!$D$8:$BA$8,0)),0)</f>
        <v>3</v>
      </c>
      <c r="CZ32" s="143">
        <f t="shared" si="32"/>
        <v>0</v>
      </c>
      <c r="DA32" s="143">
        <f>IFERROR(INDEX('[1]SALES PERTYPE'!$AK$10:$AK$52,MATCH($C32,'[1]SALES PERTYPE'!$B$10:$B$52,0)),0)</f>
        <v>22197000</v>
      </c>
      <c r="DB32" s="143" cm="1">
        <f t="array" ref="DB32">IFERROR(INDEX('[1]Sales per type juli'!$D$10:$BA$51,MATCH($C32,'[1]Sales per type juli'!$B$10:$B$51,0),MATCH("IQOO Z11",'[1]Sales per type juli'!$D$8:$BA$8,0)+1),0)</f>
        <v>17097000</v>
      </c>
      <c r="DC32" s="143">
        <f t="shared" si="33"/>
        <v>5100000</v>
      </c>
      <c r="DD32" s="143">
        <v>0</v>
      </c>
      <c r="DE32" s="143">
        <f>IFERROR(INDEX('[1]Sales per type juli'!$D$10:$BA$51,MATCH($C32,'[1]Sales per type juli'!$B$10:$B$51,0),MATCH("WATCH 3",'[1]Sales per type juli'!$D$8:$BA$8,0)),0)</f>
        <v>0</v>
      </c>
      <c r="DF32" s="143">
        <f t="shared" si="34"/>
        <v>0</v>
      </c>
      <c r="DG32" s="143">
        <v>0</v>
      </c>
      <c r="DH32" s="143" cm="1">
        <f t="array" ref="DH32">IFERROR(INDEX('[1]Sales per type juli'!$D$10:$BA$51,MATCH($C32,'[1]Sales per type juli'!$B$10:$B$51,0),MATCH("WATCH 3",'[1]Sales per type juli'!$D$8:$BA$8,0)+1),0)</f>
        <v>0</v>
      </c>
      <c r="DI32" s="143">
        <f t="shared" si="35"/>
        <v>0</v>
      </c>
      <c r="DJ32" s="143">
        <v>0</v>
      </c>
      <c r="DK32" s="143">
        <f>IFERROR(INDEX('[1]Sales per type juli'!$D$10:$BA$51,MATCH($C32,'[1]Sales per type juli'!$B$10:$B$51,0),MATCH("X300 Demo",'[1]Sales per type juli'!$D$8:$BA$8,0)),0)</f>
        <v>2</v>
      </c>
      <c r="DL32" s="143">
        <f t="shared" si="36"/>
        <v>-2</v>
      </c>
      <c r="DM32" s="143">
        <v>0</v>
      </c>
      <c r="DN32" s="143" cm="1">
        <f t="array" ref="DN32">IFERROR(INDEX('[1]Sales per type juli'!$D$10:$BA$51,MATCH($C32,'[1]Sales per type juli'!$B$10:$B$51,0),MATCH("X300 Demo",'[1]Sales per type juli'!$D$8:$BA$8,0)+1),0)</f>
        <v>33998000</v>
      </c>
      <c r="DO32" s="143">
        <f t="shared" si="37"/>
        <v>-33998000</v>
      </c>
      <c r="DP32" s="143">
        <v>0</v>
      </c>
      <c r="DQ32" s="143">
        <f>IFERROR(INDEX('[1]Sales per type juli'!$D$10:$BA$51,MATCH($C32,'[1]Sales per type juli'!$B$10:$B$51,0),MATCH("X300 Pro Demo",'[1]Sales per type juli'!$D$8:$BA$8,0)),0)</f>
        <v>0</v>
      </c>
      <c r="DR32" s="143">
        <f t="shared" si="38"/>
        <v>0</v>
      </c>
      <c r="DS32" s="143">
        <v>0</v>
      </c>
      <c r="DT32" s="143" cm="1">
        <f t="array" ref="DT32">IFERROR(INDEX('[1]Sales per type juli'!$D$10:$BA$51,MATCH($C32,'[1]Sales per type juli'!$B$10:$B$51,0),MATCH("X300 Pro Demo",'[1]Sales per type juli'!$D$8:$BA$8,0)+1),0)</f>
        <v>0</v>
      </c>
      <c r="DU32" s="143">
        <f t="shared" si="39"/>
        <v>0</v>
      </c>
      <c r="DV32" s="143">
        <v>0</v>
      </c>
      <c r="DW32" s="143">
        <f>IFERROR(INDEX('[1]Sales per type juli'!$D$10:$BA$51,MATCH($C32,'[1]Sales per type juli'!$B$10:$B$51,0),MATCH("X Fold5 DEMO",'[1]Sales per type juli'!$D$8:$BA$8,0)),0)</f>
        <v>0</v>
      </c>
      <c r="DX32" s="143">
        <f t="shared" si="40"/>
        <v>0</v>
      </c>
      <c r="DY32" s="143">
        <v>0</v>
      </c>
      <c r="DZ32" s="143" cm="1">
        <f t="array" ref="DZ32">IFERROR(INDEX('[1]Sales per type juli'!$D$10:$BA$51,MATCH($C32,'[1]Sales per type juli'!$B$10:$B$51,0),MATCH("X Fold5 DEMO",'[1]Sales per type juli'!$D$8:$BA$8,0)+1),0)</f>
        <v>0</v>
      </c>
      <c r="EA32" s="143">
        <f t="shared" si="41"/>
        <v>0</v>
      </c>
      <c r="EB32" s="143">
        <v>0</v>
      </c>
      <c r="EC32" s="143">
        <f>IFERROR(INDEX('[1]Sales per type juli'!$D$10:$BA$51,MATCH($C32,'[1]Sales per type juli'!$B$10:$B$51,0),MATCH("X Fold5",'[1]Sales per type juli'!$D$8:$BA$8,0)),0)</f>
        <v>0</v>
      </c>
      <c r="ED32" s="143">
        <f t="shared" si="42"/>
        <v>0</v>
      </c>
      <c r="EE32" s="143">
        <v>0</v>
      </c>
      <c r="EF32" s="143" cm="1">
        <f t="array" ref="EF32">IFERROR(INDEX('[1]Sales per type juli'!$D$10:$BA$51,MATCH($C32,'[1]Sales per type juli'!$B$10:$B$51,0),MATCH("X Fold5",'[1]Sales per type juli'!$D$8:$BA$8,0)+1),0)</f>
        <v>0</v>
      </c>
      <c r="EG32" s="143">
        <f t="shared" si="43"/>
        <v>0</v>
      </c>
      <c r="EH32" s="143">
        <v>0</v>
      </c>
      <c r="EI32" s="143">
        <f>IFERROR(INDEX('[1]Sales per type juli'!$D$10:$BA$51,MATCH($C32,'[1]Sales per type juli'!$B$10:$B$51,0),MATCH("IQOO 15 Demo",'[1]Sales per type juli'!$D$8:$BA$8,0)),0)</f>
        <v>1</v>
      </c>
      <c r="EJ32" s="143">
        <f t="shared" si="44"/>
        <v>-1</v>
      </c>
      <c r="EK32" s="143">
        <v>0</v>
      </c>
      <c r="EL32" s="143" cm="1">
        <f t="array" ref="EL32">IFERROR(INDEX('[1]Sales per type juli'!$D$10:$BA$51,MATCH($C32,'[1]Sales per type juli'!$B$10:$B$51,0),MATCH("IQOO 15 Demo",'[1]Sales per type juli'!$D$8:$BA$8,0)+1),0)</f>
        <v>13999000</v>
      </c>
      <c r="EM32" s="143">
        <f t="shared" si="45"/>
        <v>-13999000</v>
      </c>
      <c r="EN32" s="143">
        <v>0</v>
      </c>
      <c r="EO32" s="143">
        <f>IFERROR(INDEX('[1]Sales per type juli'!$D$10:$BA$51,MATCH($C32,'[1]Sales per type juli'!$B$10:$B$51,0),MATCH("X300 PRO",'[1]Sales per type juli'!$D$8:$BA$8,0)),0)</f>
        <v>0</v>
      </c>
      <c r="EP32" s="143">
        <f t="shared" si="46"/>
        <v>0</v>
      </c>
      <c r="EQ32" s="143">
        <v>0</v>
      </c>
      <c r="ER32" s="143" cm="1">
        <f t="array" ref="ER32">IFERROR(INDEX('[1]Sales per type juli'!$D$10:$BA$51,MATCH($C32,'[1]Sales per type juli'!$B$10:$B$51,0),MATCH("X300 PRO",'[1]Sales per type juli'!$D$8:$BA$8,0)+1),0)</f>
        <v>0</v>
      </c>
      <c r="ES32" s="143">
        <f t="shared" si="47"/>
        <v>0</v>
      </c>
      <c r="ET32" s="143">
        <v>0</v>
      </c>
      <c r="EU32" s="143">
        <f>IFERROR(INDEX('[1]Sales per type juli'!$D$10:$BA$51,MATCH($C32,'[1]Sales per type juli'!$B$10:$B$51,0),MATCH("X300 ",'[1]Sales per type juli'!$D$8:$BA$8,0)),0)</f>
        <v>0</v>
      </c>
      <c r="EV32" s="143">
        <f t="shared" si="48"/>
        <v>0</v>
      </c>
      <c r="EW32" s="143">
        <v>0</v>
      </c>
      <c r="EX32" s="143" cm="1">
        <f t="array" ref="EX32">IFERROR(INDEX('[1]Sales per type juli'!$D$10:$BA$51,MATCH($C32,'[1]Sales per type juli'!$B$10:$B$51,0),MATCH("X300 ",'[1]Sales per type juli'!$D$8:$BA$8,0)+1),0)</f>
        <v>0</v>
      </c>
      <c r="EY32" s="143">
        <f t="shared" si="49"/>
        <v>0</v>
      </c>
      <c r="EZ32" s="143">
        <f t="shared" si="50"/>
        <v>29</v>
      </c>
      <c r="FA32" s="143">
        <f t="shared" si="50"/>
        <v>28</v>
      </c>
      <c r="FB32" s="143">
        <f t="shared" si="51"/>
        <v>1</v>
      </c>
      <c r="FC32" s="143">
        <f t="shared" si="52"/>
        <v>153871000</v>
      </c>
      <c r="FD32" s="143">
        <f t="shared" si="52"/>
        <v>139572000</v>
      </c>
      <c r="FE32" s="143">
        <f t="shared" si="53"/>
        <v>14299000</v>
      </c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</row>
    <row r="33" spans="1:208" ht="16" x14ac:dyDescent="0.2">
      <c r="A33" s="141">
        <f>'[1]ACHIEVEMENT STORE'!A33</f>
        <v>29</v>
      </c>
      <c r="B33" s="142" t="str">
        <f>'[1]ACHIEVEMENT STORE'!B33</f>
        <v>624-万丹BANTEN</v>
      </c>
      <c r="C33" s="141">
        <f>'[1]ACHIEVEMENT STORE'!C33</f>
        <v>6240709</v>
      </c>
      <c r="D33" s="142" t="str">
        <f>'[1]ACHIEVEMENT STORE'!D33</f>
        <v>6240709-ITC BSD 1F49-50</v>
      </c>
      <c r="E33" s="142" t="str">
        <f>'[1]ACHIEVEMENT STORE'!E33</f>
        <v>ARIES FITRIYANTO</v>
      </c>
      <c r="F33" s="143">
        <f>IFERROR(INDEX('[1]SALES PERTYPE'!$D$10:$D$52,MATCH($C33,'[1]SALES PERTYPE'!$B$10:$B$52,0)),0)</f>
        <v>1</v>
      </c>
      <c r="G33" s="143">
        <f>IFERROR(INDEX('[1]Sales per type juli'!$D$10:$BA$51,MATCH($C33,'[1]Sales per type juli'!$B$10:$B$51,0),MATCH("Y05",'[1]Sales per type juli'!$D$8:$BA$8,0)),0)</f>
        <v>1</v>
      </c>
      <c r="H33" s="143">
        <f t="shared" si="0"/>
        <v>0</v>
      </c>
      <c r="I33" s="143">
        <f>IFERROR(INDEX('[1]SALES PERTYPE'!$E$10:$E$52,MATCH($C33,'[1]SALES PERTYPE'!$B$10:$B$52,0)),0)</f>
        <v>2299000</v>
      </c>
      <c r="J33" s="143" cm="1">
        <f t="array" ref="J33">IFERROR(INDEX('[1]Sales per type juli'!$D$10:$BA$51,MATCH($C33,'[1]Sales per type juli'!$B$10:$B$51,0),MATCH("Y05",'[1]Sales per type juli'!$D$8:$BA$8,0)+1),0)</f>
        <v>2399000</v>
      </c>
      <c r="K33" s="143">
        <f t="shared" si="1"/>
        <v>-100000</v>
      </c>
      <c r="L33" s="143">
        <f>IFERROR(INDEX('[1]SALES PERTYPE'!$F$10:$F$52,MATCH($C33,'[1]SALES PERTYPE'!$B$10:$B$52,0)),0)</f>
        <v>1</v>
      </c>
      <c r="M33" s="143">
        <f>IFERROR(INDEX('[1]Sales per type juli'!$D$10:$BA$51,MATCH($C33,'[1]Sales per type juli'!$B$10:$B$51,0),MATCH("Y11d",'[1]Sales per type juli'!$D$8:$BA$8,0)),0)</f>
        <v>3</v>
      </c>
      <c r="N33" s="143">
        <f t="shared" si="2"/>
        <v>-2</v>
      </c>
      <c r="O33" s="143">
        <f>IFERROR(INDEX('[1]SALES PERTYPE'!$G$10:$G$52,MATCH($C33,'[1]SALES PERTYPE'!$B$10:$B$52,0)),0)</f>
        <v>2399000</v>
      </c>
      <c r="P33" s="143" cm="1">
        <f t="array" ref="P33">IFERROR(INDEX('[1]Sales per type juli'!$D$10:$BA$51,MATCH($C33,'[1]Sales per type juli'!$B$10:$B$51,0),MATCH("Y11d",'[1]Sales per type juli'!$D$8:$BA$8,0)+1),0)</f>
        <v>7597000</v>
      </c>
      <c r="Q33" s="143">
        <f t="shared" si="3"/>
        <v>-5198000</v>
      </c>
      <c r="R33" s="143">
        <f>IFERROR(INDEX('[1]SALES PERTYPE'!$H$10:$H$52,MATCH($C33,'[1]SALES PERTYPE'!$B$10:$B$52,0)),0)</f>
        <v>0</v>
      </c>
      <c r="S33" s="143">
        <f>IFERROR(INDEX('[1]Sales per type juli'!$D$10:$BA$51,MATCH($C33,'[1]Sales per type juli'!$B$10:$B$51,0),MATCH("Watch GT 2",'[1]Sales per type juli'!$D$8:$BA$8,0)),0)</f>
        <v>0</v>
      </c>
      <c r="T33" s="143">
        <f t="shared" si="4"/>
        <v>0</v>
      </c>
      <c r="U33" s="143">
        <f>IFERROR(INDEX('[1]SALES PERTYPE'!$I$10:$I$52,MATCH($C33,'[1]SALES PERTYPE'!$B$10:$B$52,0)),0)</f>
        <v>0</v>
      </c>
      <c r="V33" s="143" cm="1">
        <f t="array" ref="V33">IFERROR(INDEX('[1]Sales per type juli'!$D$10:$BA$51,MATCH($C33,'[1]Sales per type juli'!$B$10:$B$51,0),MATCH("Watch GT 2",'[1]Sales per type juli'!$D$8:$BA$8,0)+1),0)</f>
        <v>0</v>
      </c>
      <c r="W33" s="143">
        <f t="shared" si="5"/>
        <v>0</v>
      </c>
      <c r="X33" s="143">
        <f>IFERROR(INDEX('[1]SALES PERTYPE'!$J$10:$J$52,MATCH($C33,'[1]SALES PERTYPE'!$B$10:$B$52,0)),0)</f>
        <v>1</v>
      </c>
      <c r="Y33" s="143">
        <f>IFERROR(INDEX('[1]Sales per type juli'!$D$10:$BA$51,MATCH($C33,'[1]Sales per type juli'!$B$10:$B$51,0),MATCH("Y05e",'[1]Sales per type juli'!$D$8:$BA$8,0)),0)</f>
        <v>0</v>
      </c>
      <c r="Z33" s="143">
        <f t="shared" si="6"/>
        <v>1</v>
      </c>
      <c r="AA33" s="143">
        <f>IFERROR(INDEX('[1]SALES PERTYPE'!$K$10:$K$52,MATCH($C33,'[1]SALES PERTYPE'!$B$10:$B$52,0)),0)</f>
        <v>2099000</v>
      </c>
      <c r="AB33" s="143" cm="1">
        <f t="array" ref="AB33">IFERROR(INDEX('[1]Sales per type juli'!$D$10:$BA$51,MATCH($C33,'[1]Sales per type juli'!$B$10:$B$51,0),MATCH("Y05e",'[1]Sales per type juli'!$D$8:$BA$8,0)+1),0)</f>
        <v>0</v>
      </c>
      <c r="AC33" s="143">
        <f t="shared" si="7"/>
        <v>2099000</v>
      </c>
      <c r="AD33" s="143">
        <f>IFERROR(INDEX('[1]SALES PERTYPE'!$L$10:$L$52,MATCH($C33,'[1]SALES PERTYPE'!$B$10:$B$52,0)),0)</f>
        <v>0</v>
      </c>
      <c r="AE33" s="143">
        <f>IFERROR(INDEX('[1]Sales per type juli'!$D$10:$BA$51,MATCH($C33,'[1]Sales per type juli'!$B$10:$B$51,0),MATCH("V70",'[1]Sales per type juli'!$D$8:$BA$8,0)),0)</f>
        <v>2</v>
      </c>
      <c r="AF33" s="143">
        <f t="shared" si="8"/>
        <v>-2</v>
      </c>
      <c r="AG33" s="143">
        <f>IFERROR(INDEX('[1]SALES PERTYPE'!$M$10:$M$52,MATCH($C33,'[1]SALES PERTYPE'!$B$10:$B$52,0)),0)</f>
        <v>0</v>
      </c>
      <c r="AH33" s="143" cm="1">
        <f t="array" ref="AH33">IFERROR(INDEX('[1]Sales per type juli'!$D$10:$BA$51,MATCH($C33,'[1]Sales per type juli'!$B$10:$B$51,0),MATCH("V70",'[1]Sales per type juli'!$D$8:$BA$8,0)+1),0)</f>
        <v>19998000</v>
      </c>
      <c r="AI33" s="143">
        <f t="shared" si="9"/>
        <v>-19998000</v>
      </c>
      <c r="AJ33" s="143">
        <f>IFERROR(INDEX('[1]SALES PERTYPE'!$N$10:$N$52,MATCH($C33,'[1]SALES PERTYPE'!$B$10:$B$52,0)),0)</f>
        <v>5</v>
      </c>
      <c r="AK33" s="143">
        <f>IFERROR(INDEX('[1]Sales per type juli'!$D$10:$BA$51,MATCH($C33,'[1]Sales per type juli'!$B$10:$B$51,0),MATCH("Y31d Pro",'[1]Sales per type juli'!$D$8:$BA$8,0)),0)</f>
        <v>3</v>
      </c>
      <c r="AL33" s="143">
        <f t="shared" si="10"/>
        <v>2</v>
      </c>
      <c r="AM33" s="143">
        <f>IFERROR(INDEX('[1]SALES PERTYPE'!$O$10:$O$52,MATCH($C33,'[1]SALES PERTYPE'!$B$10:$B$52,0)),0)</f>
        <v>20695000</v>
      </c>
      <c r="AN33" s="143" cm="1">
        <f t="array" ref="AN33">IFERROR(INDEX('[1]Sales per type juli'!$D$10:$BA$51,MATCH($C33,'[1]Sales per type juli'!$B$10:$B$51,0),MATCH("Y31d Pro",'[1]Sales per type juli'!$D$8:$BA$8,0)+1),0)</f>
        <v>14697000</v>
      </c>
      <c r="AO33" s="143">
        <f t="shared" si="11"/>
        <v>5998000</v>
      </c>
      <c r="AP33" s="143">
        <f>IFERROR(INDEX('[1]SALES PERTYPE'!$P$10:$P$52,MATCH($C33,'[1]SALES PERTYPE'!$B$10:$B$52,0)),0)</f>
        <v>0</v>
      </c>
      <c r="AQ33" s="143" cm="1">
        <f t="array" ref="AQ33">IFERROR(INDEX('[1]Sales per type juli'!$D$10:$BA$51,MATCH($C33,'[1]Sales per type juli'!$B$10:$B$51,0),$FG$2),0)</f>
        <v>0</v>
      </c>
      <c r="AR33" s="143">
        <f t="shared" si="12"/>
        <v>0</v>
      </c>
      <c r="AS33" s="143">
        <f>IFERROR(INDEX('[1]SALES PERTYPE'!$Q$10:$Q$52,MATCH($C33,'[1]SALES PERTYPE'!$B$10:$B$52,0)),0)</f>
        <v>0</v>
      </c>
      <c r="AT33" s="143" cm="1">
        <f t="array" ref="AT33">IFERROR(INDEX('[1]Sales per type juli'!$D$10:$BA$51,MATCH($C33,'[1]Sales per type juli'!$B$10:$B$51,0),$FG$2+1),0)</f>
        <v>0</v>
      </c>
      <c r="AU33" s="143">
        <f t="shared" si="13"/>
        <v>0</v>
      </c>
      <c r="AV33" s="143">
        <f>IFERROR(INDEX('[1]SALES PERTYPE'!$R$10:$R$52,MATCH($C33,'[1]SALES PERTYPE'!$B$10:$B$52,0)),0)</f>
        <v>0</v>
      </c>
      <c r="AW33" s="143">
        <f>IFERROR(INDEX('[1]Sales per type juli'!$D$10:$BA$51,MATCH($C33,'[1]Sales per type juli'!$B$10:$B$51,0),MATCH("Y31d ",'[1]Sales per type juli'!$D$8:$BA$8,0)),0)</f>
        <v>0</v>
      </c>
      <c r="AX33" s="143">
        <f t="shared" si="14"/>
        <v>0</v>
      </c>
      <c r="AY33" s="143">
        <f>IFERROR(INDEX('[1]SALES PERTYPE'!$S$10:$S$52,MATCH($C33,'[1]SALES PERTYPE'!$B$10:$B$52,0)),0)</f>
        <v>0</v>
      </c>
      <c r="AZ33" s="143" cm="1">
        <f t="array" ref="AZ33">IFERROR(INDEX('[1]Sales per type juli'!$D$10:$BA$51,MATCH($C33,'[1]Sales per type juli'!$B$10:$B$51,0),MATCH("Y31d ",'[1]Sales per type juli'!$D$8:$BA$8,0)+1),0)</f>
        <v>0</v>
      </c>
      <c r="BA33" s="143">
        <f t="shared" si="15"/>
        <v>0</v>
      </c>
      <c r="BB33" s="143">
        <f>IFERROR(INDEX('[1]SALES PERTYPE'!$T$10:$T$52,MATCH($C33,'[1]SALES PERTYPE'!$B$10:$B$52,0)),0)</f>
        <v>1</v>
      </c>
      <c r="BC33" s="143">
        <f>IFERROR(INDEX('[1]Sales per type juli'!$D$10:$BA$51,MATCH($C33,'[1]Sales per type juli'!$B$10:$B$51,0),MATCH("V70 FE",'[1]Sales per type juli'!$D$8:$BA$8,0)),0)</f>
        <v>1</v>
      </c>
      <c r="BD33" s="143">
        <f t="shared" si="16"/>
        <v>0</v>
      </c>
      <c r="BE33" s="143">
        <f>IFERROR(INDEX('[1]SALES PERTYPE'!$U$10:$U$52,MATCH($C33,'[1]SALES PERTYPE'!$B$10:$B$52,0)),0)</f>
        <v>6499000</v>
      </c>
      <c r="BF33" s="143" cm="1">
        <f t="array" ref="BF33">IFERROR(INDEX('[1]Sales per type juli'!$D$10:$BA$51,MATCH($C33,'[1]Sales per type juli'!$B$10:$B$51,0),MATCH("V70 FE",'[1]Sales per type juli'!$D$8:$BA$8,0)+1),0)</f>
        <v>7199000</v>
      </c>
      <c r="BG33" s="143">
        <f t="shared" si="17"/>
        <v>-700000</v>
      </c>
      <c r="BH33" s="143">
        <f>IFERROR(INDEX('[1]SALES PERTYPE'!$V$10:$V$52,MATCH($C33,'[1]SALES PERTYPE'!$B$10:$B$52,0)),0)</f>
        <v>1</v>
      </c>
      <c r="BI33" s="143">
        <f>IFERROR(INDEX('[1]Sales per type juli'!$D$10:$BA$51,MATCH($C33,'[1]Sales per type juli'!$B$10:$B$51,0),MATCH("Y31d",'[1]Sales per type juli'!$D$8:$BA$8,0)),0)</f>
        <v>0</v>
      </c>
      <c r="BJ33" s="143">
        <f t="shared" si="18"/>
        <v>1</v>
      </c>
      <c r="BK33" s="143">
        <f>IFERROR(INDEX('[1]SALES PERTYPE'!$W$10:$W$52,MATCH($C33,'[1]SALES PERTYPE'!$B$10:$B$52,0)),0)</f>
        <v>3599000</v>
      </c>
      <c r="BL33" s="143" cm="1">
        <f t="array" ref="BL33">IFERROR(INDEX('[1]Sales per type juli'!$D$10:$BA$51,MATCH($C33,'[1]Sales per type juli'!$B$10:$B$51,0),MATCH("Y31d",'[1]Sales per type juli'!$D$8:$BA$8,0)+1),0)</f>
        <v>0</v>
      </c>
      <c r="BM33" s="143">
        <f t="shared" si="19"/>
        <v>3599000</v>
      </c>
      <c r="BN33" s="143">
        <f>IFERROR(INDEX('[1]SALES PERTYPE'!$X$10:$X$52,MATCH($C33,'[1]SALES PERTYPE'!$B$10:$B$52,0)),0)</f>
        <v>1</v>
      </c>
      <c r="BO33" s="143">
        <f>IFERROR(INDEX('[1]Sales per type juli'!$D$10:$BA$51,MATCH($C33,'[1]Sales per type juli'!$B$10:$B$51,0),MATCH("Y500",'[1]Sales per type juli'!$D$8:$BA$8,0)),0)</f>
        <v>0</v>
      </c>
      <c r="BP33" s="143">
        <f t="shared" si="20"/>
        <v>1</v>
      </c>
      <c r="BQ33" s="143">
        <f>IFERROR(INDEX('[1]SALES PERTYPE'!$Y$10:$Y$52,MATCH($C33,'[1]SALES PERTYPE'!$B$10:$B$52,0)),0)</f>
        <v>5499000</v>
      </c>
      <c r="BR33" s="143" cm="1">
        <f t="array" ref="BR33">IFERROR(INDEX('[1]Sales per type juli'!$D$10:$BA$51,MATCH($C33,'[1]Sales per type juli'!$B$10:$B$51,0),MATCH("Y500",'[1]Sales per type juli'!$D$8:$BA$8,0)+1),0)</f>
        <v>0</v>
      </c>
      <c r="BS33" s="143">
        <f t="shared" si="21"/>
        <v>5499000</v>
      </c>
      <c r="BT33" s="143">
        <f>IFERROR(INDEX('[1]SALES PERTYPE'!$Z$10:$Z$52,MATCH($C33,'[1]SALES PERTYPE'!$B$10:$B$52,0)),0)</f>
        <v>0</v>
      </c>
      <c r="BU33" s="143">
        <f>IFERROR(INDEX('[1]Sales per type juli'!$D$10:$BA$51,MATCH($C33,'[1]Sales per type juli'!$B$10:$B$51,0),MATCH("IQOO 15R",'[1]Sales per type juli'!$D$8:$BA$8,0)),0)</f>
        <v>1</v>
      </c>
      <c r="BV33" s="143">
        <f t="shared" si="22"/>
        <v>-1</v>
      </c>
      <c r="BW33" s="143">
        <f>IFERROR(INDEX('[1]SALES PERTYPE'!$AA$10:$AA$52,MATCH($C33,'[1]SALES PERTYPE'!$B$10:$B$52,0)),0)</f>
        <v>0</v>
      </c>
      <c r="BX33" s="143" cm="1">
        <f t="array" ref="BX33">IFERROR(INDEX('[1]Sales per type juli'!$D$10:$BA$51,MATCH($C33,'[1]Sales per type juli'!$B$10:$B$51,0),MATCH("IQOO 15R",'[1]Sales per type juli'!$D$8:$BA$8,0)+1),0)</f>
        <v>9899000</v>
      </c>
      <c r="BY33" s="143">
        <f t="shared" si="23"/>
        <v>-9899000</v>
      </c>
      <c r="BZ33" s="143">
        <f>IFERROR(INDEX('[1]SALES PERTYPE'!$AB$10:$AB$52,MATCH($C33,'[1]SALES PERTYPE'!$B$10:$B$52,0)),0)</f>
        <v>2</v>
      </c>
      <c r="CA33" s="143">
        <f>IFERROR(INDEX('[1]Sales per type juli'!$D$10:$BA$51,MATCH($C33,'[1]Sales per type juli'!$B$10:$B$51,0),MATCH("V60 Lite",'[1]Sales per type juli'!$D$8:$BA$8,0)),0)</f>
        <v>1</v>
      </c>
      <c r="CB33" s="143">
        <f t="shared" si="24"/>
        <v>1</v>
      </c>
      <c r="CC33" s="143">
        <f>IFERROR(INDEX('[1]SALES PERTYPE'!$AC$10:$AC$52,MATCH($C33,'[1]SALES PERTYPE'!$B$10:$B$52,0)),0)</f>
        <v>11798000</v>
      </c>
      <c r="CD33" s="143" cm="1">
        <f t="array" ref="CD33">IFERROR(INDEX('[1]Sales per type juli'!$D$10:$BA$51,MATCH($C33,'[1]Sales per type juli'!$B$10:$B$51,0),MATCH("V60 Lite",'[1]Sales per type juli'!$D$8:$BA$8,0)+1),0)</f>
        <v>5999000</v>
      </c>
      <c r="CE33" s="143">
        <f t="shared" si="25"/>
        <v>5799000</v>
      </c>
      <c r="CF33" s="143">
        <f>IFERROR(INDEX('[1]SALES PERTYPE'!$AD$10:$AD$52,MATCH($C33,'[1]SALES PERTYPE'!$B$10:$B$52,0)),0)</f>
        <v>0</v>
      </c>
      <c r="CG33" s="143">
        <f>IFERROR(INDEX('[1]Sales per type juli'!$D$10:$BA$51,MATCH($C33,'[1]Sales per type juli'!$B$10:$B$51,0),MATCH("X300 Ultra",'[1]Sales per type juli'!$D$8:$BA$8,0)),0)</f>
        <v>0</v>
      </c>
      <c r="CH33" s="143">
        <f t="shared" si="26"/>
        <v>0</v>
      </c>
      <c r="CI33" s="143">
        <f>IFERROR(INDEX('[1]SALES PERTYPE'!$AE$10:$AE$52,MATCH($C33,'[1]SALES PERTYPE'!$B$10:$B$52,0)),0)</f>
        <v>0</v>
      </c>
      <c r="CJ33" s="143" cm="1">
        <f t="array" ref="CJ33">IFERROR(INDEX('[1]Sales per type juli'!$D$10:$BA$51,MATCH($C33,'[1]Sales per type juli'!$B$10:$B$51,0),MATCH("X300 Ultra",'[1]Sales per type juli'!$D$8:$BA$8,0)+1),0)</f>
        <v>0</v>
      </c>
      <c r="CK33" s="143">
        <f t="shared" si="27"/>
        <v>0</v>
      </c>
      <c r="CL33" s="143">
        <f>IFERROR(INDEX('[1]SALES PERTYPE'!$AF$10:$AF$52,MATCH($C33,'[1]SALES PERTYPE'!$B$10:$B$52,0)),0)</f>
        <v>0</v>
      </c>
      <c r="CM33" s="143">
        <f>IFERROR(INDEX('[1]Sales per type juli'!$D$10:$BA$51,MATCH($C33,'[1]Sales per type juli'!$B$10:$B$51,0),MATCH("IQOO 15",'[1]Sales per type juli'!$D$8:$BA$8,0)),0)</f>
        <v>0</v>
      </c>
      <c r="CN33" s="143">
        <f t="shared" si="28"/>
        <v>0</v>
      </c>
      <c r="CO33" s="143">
        <f>IFERROR(INDEX('[1]SALES PERTYPE'!$AG$10:$AG$52,MATCH($C33,'[1]SALES PERTYPE'!$B$10:$B$52,0)),0)</f>
        <v>0</v>
      </c>
      <c r="CP33" s="143" cm="1">
        <f t="array" ref="CP33">IFERROR(INDEX('[1]Sales per type juli'!$D$10:$BA$51,MATCH($C33,'[1]Sales per type juli'!$B$10:$B$51,0),MATCH("IQOO 15",'[1]Sales per type juli'!$D$8:$BA$8,0)+1),0)</f>
        <v>0</v>
      </c>
      <c r="CQ33" s="143">
        <f t="shared" si="29"/>
        <v>0</v>
      </c>
      <c r="CR33" s="143">
        <f>IFERROR(INDEX('[1]SALES PERTYPE'!$AH$10:$AH$52,MATCH($C33,'[1]SALES PERTYPE'!$B$10:$B$52,0)),0)</f>
        <v>1</v>
      </c>
      <c r="CS33" s="143">
        <f>IFERROR(INDEX('[1]Sales per type juli'!$D$10:$BA$51,MATCH($C33,'[1]Sales per type juli'!$B$10:$B$51,0),MATCH("IQOO Z11x",'[1]Sales per type juli'!$D$8:$BA$8,0)),0)</f>
        <v>0</v>
      </c>
      <c r="CT33" s="143">
        <f t="shared" si="30"/>
        <v>1</v>
      </c>
      <c r="CU33" s="143">
        <f>IFERROR(INDEX('[1]SALES PERTYPE'!$AI$10:$AI$52,MATCH($C33,'[1]SALES PERTYPE'!$B$10:$B$52,0)),0)</f>
        <v>5699000</v>
      </c>
      <c r="CV33" s="143" cm="1">
        <f t="array" ref="CV33">IFERROR(INDEX('[1]Sales per type juli'!$D$10:$BA$51,MATCH($C33,'[1]Sales per type juli'!$B$10:$B$51,0),MATCH("IQOO Z11x",'[1]Sales per type juli'!$D$8:$BA$8,0)+1),0)</f>
        <v>0</v>
      </c>
      <c r="CW33" s="143">
        <f t="shared" si="31"/>
        <v>5699000</v>
      </c>
      <c r="CX33" s="143">
        <f>IFERROR(INDEX('[1]SALES PERTYPE'!$AJ$10:$AJ$52,MATCH($C33,'[1]SALES PERTYPE'!$B$10:$B$52,0)),0)</f>
        <v>0</v>
      </c>
      <c r="CY33" s="143">
        <f>IFERROR(INDEX('[1]Sales per type juli'!$D$10:$BA$51,MATCH($C33,'[1]Sales per type juli'!$B$10:$B$51,0),MATCH("IQOO Z11",'[1]Sales per type juli'!$D$8:$BA$8,0)),0)</f>
        <v>3</v>
      </c>
      <c r="CZ33" s="143">
        <f t="shared" si="32"/>
        <v>-3</v>
      </c>
      <c r="DA33" s="143">
        <f>IFERROR(INDEX('[1]SALES PERTYPE'!$AK$10:$AK$52,MATCH($C33,'[1]SALES PERTYPE'!$B$10:$B$52,0)),0)</f>
        <v>0</v>
      </c>
      <c r="DB33" s="143" cm="1">
        <f t="array" ref="DB33">IFERROR(INDEX('[1]Sales per type juli'!$D$10:$BA$51,MATCH($C33,'[1]Sales per type juli'!$B$10:$B$51,0),MATCH("IQOO Z11",'[1]Sales per type juli'!$D$8:$BA$8,0)+1),0)</f>
        <v>19397000</v>
      </c>
      <c r="DC33" s="143">
        <f t="shared" si="33"/>
        <v>-19397000</v>
      </c>
      <c r="DD33" s="143">
        <v>0</v>
      </c>
      <c r="DE33" s="143">
        <f>IFERROR(INDEX('[1]Sales per type juli'!$D$10:$BA$51,MATCH($C33,'[1]Sales per type juli'!$B$10:$B$51,0),MATCH("WATCH 3",'[1]Sales per type juli'!$D$8:$BA$8,0)),0)</f>
        <v>0</v>
      </c>
      <c r="DF33" s="143">
        <f t="shared" si="34"/>
        <v>0</v>
      </c>
      <c r="DG33" s="143">
        <v>0</v>
      </c>
      <c r="DH33" s="143" cm="1">
        <f t="array" ref="DH33">IFERROR(INDEX('[1]Sales per type juli'!$D$10:$BA$51,MATCH($C33,'[1]Sales per type juli'!$B$10:$B$51,0),MATCH("WATCH 3",'[1]Sales per type juli'!$D$8:$BA$8,0)+1),0)</f>
        <v>0</v>
      </c>
      <c r="DI33" s="143">
        <f t="shared" si="35"/>
        <v>0</v>
      </c>
      <c r="DJ33" s="143">
        <v>0</v>
      </c>
      <c r="DK33" s="143">
        <f>IFERROR(INDEX('[1]Sales per type juli'!$D$10:$BA$51,MATCH($C33,'[1]Sales per type juli'!$B$10:$B$51,0),MATCH("X300 Demo",'[1]Sales per type juli'!$D$8:$BA$8,0)),0)</f>
        <v>0</v>
      </c>
      <c r="DL33" s="143">
        <f t="shared" si="36"/>
        <v>0</v>
      </c>
      <c r="DM33" s="143">
        <v>0</v>
      </c>
      <c r="DN33" s="143" cm="1">
        <f t="array" ref="DN33">IFERROR(INDEX('[1]Sales per type juli'!$D$10:$BA$51,MATCH($C33,'[1]Sales per type juli'!$B$10:$B$51,0),MATCH("X300 Demo",'[1]Sales per type juli'!$D$8:$BA$8,0)+1),0)</f>
        <v>0</v>
      </c>
      <c r="DO33" s="143">
        <f t="shared" si="37"/>
        <v>0</v>
      </c>
      <c r="DP33" s="143">
        <v>0</v>
      </c>
      <c r="DQ33" s="143">
        <f>IFERROR(INDEX('[1]Sales per type juli'!$D$10:$BA$51,MATCH($C33,'[1]Sales per type juli'!$B$10:$B$51,0),MATCH("X300 Pro Demo",'[1]Sales per type juli'!$D$8:$BA$8,0)),0)</f>
        <v>0</v>
      </c>
      <c r="DR33" s="143">
        <f t="shared" si="38"/>
        <v>0</v>
      </c>
      <c r="DS33" s="143">
        <v>0</v>
      </c>
      <c r="DT33" s="143" cm="1">
        <f t="array" ref="DT33">IFERROR(INDEX('[1]Sales per type juli'!$D$10:$BA$51,MATCH($C33,'[1]Sales per type juli'!$B$10:$B$51,0),MATCH("X300 Pro Demo",'[1]Sales per type juli'!$D$8:$BA$8,0)+1),0)</f>
        <v>0</v>
      </c>
      <c r="DU33" s="143">
        <f t="shared" si="39"/>
        <v>0</v>
      </c>
      <c r="DV33" s="143">
        <v>0</v>
      </c>
      <c r="DW33" s="143">
        <f>IFERROR(INDEX('[1]Sales per type juli'!$D$10:$BA$51,MATCH($C33,'[1]Sales per type juli'!$B$10:$B$51,0),MATCH("X Fold5 DEMO",'[1]Sales per type juli'!$D$8:$BA$8,0)),0)</f>
        <v>0</v>
      </c>
      <c r="DX33" s="143">
        <f t="shared" si="40"/>
        <v>0</v>
      </c>
      <c r="DY33" s="143">
        <v>0</v>
      </c>
      <c r="DZ33" s="143" cm="1">
        <f t="array" ref="DZ33">IFERROR(INDEX('[1]Sales per type juli'!$D$10:$BA$51,MATCH($C33,'[1]Sales per type juli'!$B$10:$B$51,0),MATCH("X Fold5 DEMO",'[1]Sales per type juli'!$D$8:$BA$8,0)+1),0)</f>
        <v>0</v>
      </c>
      <c r="EA33" s="143">
        <f t="shared" si="41"/>
        <v>0</v>
      </c>
      <c r="EB33" s="143">
        <v>0</v>
      </c>
      <c r="EC33" s="143">
        <f>IFERROR(INDEX('[1]Sales per type juli'!$D$10:$BA$51,MATCH($C33,'[1]Sales per type juli'!$B$10:$B$51,0),MATCH("X Fold5",'[1]Sales per type juli'!$D$8:$BA$8,0)),0)</f>
        <v>0</v>
      </c>
      <c r="ED33" s="143">
        <f t="shared" si="42"/>
        <v>0</v>
      </c>
      <c r="EE33" s="143">
        <v>0</v>
      </c>
      <c r="EF33" s="143" cm="1">
        <f t="array" ref="EF33">IFERROR(INDEX('[1]Sales per type juli'!$D$10:$BA$51,MATCH($C33,'[1]Sales per type juli'!$B$10:$B$51,0),MATCH("X Fold5",'[1]Sales per type juli'!$D$8:$BA$8,0)+1),0)</f>
        <v>0</v>
      </c>
      <c r="EG33" s="143">
        <f t="shared" si="43"/>
        <v>0</v>
      </c>
      <c r="EH33" s="143">
        <v>0</v>
      </c>
      <c r="EI33" s="143">
        <f>IFERROR(INDEX('[1]Sales per type juli'!$D$10:$BA$51,MATCH($C33,'[1]Sales per type juli'!$B$10:$B$51,0),MATCH("IQOO 15 Demo",'[1]Sales per type juli'!$D$8:$BA$8,0)),0)</f>
        <v>0</v>
      </c>
      <c r="EJ33" s="143">
        <f t="shared" si="44"/>
        <v>0</v>
      </c>
      <c r="EK33" s="143">
        <v>0</v>
      </c>
      <c r="EL33" s="143" cm="1">
        <f t="array" ref="EL33">IFERROR(INDEX('[1]Sales per type juli'!$D$10:$BA$51,MATCH($C33,'[1]Sales per type juli'!$B$10:$B$51,0),MATCH("IQOO 15 Demo",'[1]Sales per type juli'!$D$8:$BA$8,0)+1),0)</f>
        <v>0</v>
      </c>
      <c r="EM33" s="143">
        <f t="shared" si="45"/>
        <v>0</v>
      </c>
      <c r="EN33" s="143">
        <v>0</v>
      </c>
      <c r="EO33" s="143">
        <f>IFERROR(INDEX('[1]Sales per type juli'!$D$10:$BA$51,MATCH($C33,'[1]Sales per type juli'!$B$10:$B$51,0),MATCH("X300 PRO",'[1]Sales per type juli'!$D$8:$BA$8,0)),0)</f>
        <v>0</v>
      </c>
      <c r="EP33" s="143">
        <f t="shared" si="46"/>
        <v>0</v>
      </c>
      <c r="EQ33" s="143">
        <v>0</v>
      </c>
      <c r="ER33" s="143" cm="1">
        <f t="array" ref="ER33">IFERROR(INDEX('[1]Sales per type juli'!$D$10:$BA$51,MATCH($C33,'[1]Sales per type juli'!$B$10:$B$51,0),MATCH("X300 PRO",'[1]Sales per type juli'!$D$8:$BA$8,0)+1),0)</f>
        <v>0</v>
      </c>
      <c r="ES33" s="143">
        <f t="shared" si="47"/>
        <v>0</v>
      </c>
      <c r="ET33" s="143">
        <v>0</v>
      </c>
      <c r="EU33" s="143">
        <f>IFERROR(INDEX('[1]Sales per type juli'!$D$10:$BA$51,MATCH($C33,'[1]Sales per type juli'!$B$10:$B$51,0),MATCH("X300 ",'[1]Sales per type juli'!$D$8:$BA$8,0)),0)</f>
        <v>0</v>
      </c>
      <c r="EV33" s="143">
        <f t="shared" si="48"/>
        <v>0</v>
      </c>
      <c r="EW33" s="143">
        <v>0</v>
      </c>
      <c r="EX33" s="143" cm="1">
        <f t="array" ref="EX33">IFERROR(INDEX('[1]Sales per type juli'!$D$10:$BA$51,MATCH($C33,'[1]Sales per type juli'!$B$10:$B$51,0),MATCH("X300 ",'[1]Sales per type juli'!$D$8:$BA$8,0)+1),0)</f>
        <v>0</v>
      </c>
      <c r="EY33" s="143">
        <f t="shared" si="49"/>
        <v>0</v>
      </c>
      <c r="EZ33" s="143">
        <f t="shared" si="50"/>
        <v>14</v>
      </c>
      <c r="FA33" s="143">
        <f t="shared" si="50"/>
        <v>15</v>
      </c>
      <c r="FB33" s="143">
        <f t="shared" si="51"/>
        <v>-1</v>
      </c>
      <c r="FC33" s="143">
        <f t="shared" si="52"/>
        <v>60586000</v>
      </c>
      <c r="FD33" s="143">
        <f t="shared" si="52"/>
        <v>87185000</v>
      </c>
      <c r="FE33" s="143">
        <f t="shared" si="53"/>
        <v>-26599000</v>
      </c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</row>
    <row r="34" spans="1:208" ht="16" x14ac:dyDescent="0.2">
      <c r="A34" s="144">
        <f>'[1]ACHIEVEMENT STORE'!A34</f>
        <v>30</v>
      </c>
      <c r="B34" s="145" t="str">
        <f>'[1]ACHIEVEMENT STORE'!B34</f>
        <v>624-万丹BANTEN</v>
      </c>
      <c r="C34" s="144">
        <f>'[1]ACHIEVEMENT STORE'!C34</f>
        <v>6240708</v>
      </c>
      <c r="D34" s="145" t="str">
        <f>'[1]ACHIEVEMENT STORE'!D34</f>
        <v>6240708-ITC BSD 1F09-14</v>
      </c>
      <c r="E34" s="145" t="str">
        <f>'[1]ACHIEVEMENT STORE'!E34</f>
        <v>ARIES FITRIYANTO</v>
      </c>
      <c r="F34" s="143">
        <f>IFERROR(INDEX('[1]SALES PERTYPE'!$D$10:$D$52,MATCH($C34,'[1]SALES PERTYPE'!$B$10:$B$52,0)),0)</f>
        <v>1</v>
      </c>
      <c r="G34" s="143">
        <f>IFERROR(INDEX('[1]Sales per type juli'!$D$10:$BA$51,MATCH($C34,'[1]Sales per type juli'!$B$10:$B$51,0),MATCH("Y05",'[1]Sales per type juli'!$D$8:$BA$8,0)),0)</f>
        <v>7</v>
      </c>
      <c r="H34" s="143">
        <f t="shared" si="0"/>
        <v>-6</v>
      </c>
      <c r="I34" s="143">
        <f>IFERROR(INDEX('[1]SALES PERTYPE'!$E$10:$E$52,MATCH($C34,'[1]SALES PERTYPE'!$B$10:$B$52,0)),0)</f>
        <v>2599000</v>
      </c>
      <c r="J34" s="143" cm="1">
        <f t="array" ref="J34">IFERROR(INDEX('[1]Sales per type juli'!$D$10:$BA$51,MATCH($C34,'[1]Sales per type juli'!$B$10:$B$51,0),MATCH("Y05",'[1]Sales per type juli'!$D$8:$BA$8,0)+1),0)</f>
        <v>15593000</v>
      </c>
      <c r="K34" s="143">
        <f t="shared" si="1"/>
        <v>-12994000</v>
      </c>
      <c r="L34" s="143">
        <f>IFERROR(INDEX('[1]SALES PERTYPE'!$F$10:$F$52,MATCH($C34,'[1]SALES PERTYPE'!$B$10:$B$52,0)),0)</f>
        <v>5</v>
      </c>
      <c r="M34" s="143">
        <f>IFERROR(INDEX('[1]Sales per type juli'!$D$10:$BA$51,MATCH($C34,'[1]Sales per type juli'!$B$10:$B$51,0),MATCH("Y11d",'[1]Sales per type juli'!$D$8:$BA$8,0)),0)</f>
        <v>5</v>
      </c>
      <c r="N34" s="143">
        <f t="shared" si="2"/>
        <v>0</v>
      </c>
      <c r="O34" s="143">
        <f>IFERROR(INDEX('[1]SALES PERTYPE'!$G$10:$G$52,MATCH($C34,'[1]SALES PERTYPE'!$B$10:$B$52,0)),0)</f>
        <v>13595000</v>
      </c>
      <c r="P34" s="143" cm="1">
        <f t="array" ref="P34">IFERROR(INDEX('[1]Sales per type juli'!$D$10:$BA$51,MATCH($C34,'[1]Sales per type juli'!$B$10:$B$51,0),MATCH("Y11d",'[1]Sales per type juli'!$D$8:$BA$8,0)+1),0)</f>
        <v>13195000</v>
      </c>
      <c r="Q34" s="143">
        <f t="shared" si="3"/>
        <v>400000</v>
      </c>
      <c r="R34" s="143">
        <f>IFERROR(INDEX('[1]SALES PERTYPE'!$H$10:$H$52,MATCH($C34,'[1]SALES PERTYPE'!$B$10:$B$52,0)),0)</f>
        <v>0</v>
      </c>
      <c r="S34" s="143">
        <f>IFERROR(INDEX('[1]Sales per type juli'!$D$10:$BA$51,MATCH($C34,'[1]Sales per type juli'!$B$10:$B$51,0),MATCH("Watch GT 2",'[1]Sales per type juli'!$D$8:$BA$8,0)),0)</f>
        <v>0</v>
      </c>
      <c r="T34" s="143">
        <f t="shared" si="4"/>
        <v>0</v>
      </c>
      <c r="U34" s="143">
        <f>IFERROR(INDEX('[1]SALES PERTYPE'!$I$10:$I$52,MATCH($C34,'[1]SALES PERTYPE'!$B$10:$B$52,0)),0)</f>
        <v>0</v>
      </c>
      <c r="V34" s="143" cm="1">
        <f t="array" ref="V34">IFERROR(INDEX('[1]Sales per type juli'!$D$10:$BA$51,MATCH($C34,'[1]Sales per type juli'!$B$10:$B$51,0),MATCH("Watch GT 2",'[1]Sales per type juli'!$D$8:$BA$8,0)+1),0)</f>
        <v>0</v>
      </c>
      <c r="W34" s="143">
        <f t="shared" si="5"/>
        <v>0</v>
      </c>
      <c r="X34" s="143">
        <f>IFERROR(INDEX('[1]SALES PERTYPE'!$J$10:$J$52,MATCH($C34,'[1]SALES PERTYPE'!$B$10:$B$52,0)),0)</f>
        <v>1</v>
      </c>
      <c r="Y34" s="143">
        <f>IFERROR(INDEX('[1]Sales per type juli'!$D$10:$BA$51,MATCH($C34,'[1]Sales per type juli'!$B$10:$B$51,0),MATCH("Y05e",'[1]Sales per type juli'!$D$8:$BA$8,0)),0)</f>
        <v>0</v>
      </c>
      <c r="Z34" s="143">
        <f t="shared" si="6"/>
        <v>1</v>
      </c>
      <c r="AA34" s="143">
        <f>IFERROR(INDEX('[1]SALES PERTYPE'!$K$10:$K$52,MATCH($C34,'[1]SALES PERTYPE'!$B$10:$B$52,0)),0)</f>
        <v>2099000</v>
      </c>
      <c r="AB34" s="143" cm="1">
        <f t="array" ref="AB34">IFERROR(INDEX('[1]Sales per type juli'!$D$10:$BA$51,MATCH($C34,'[1]Sales per type juli'!$B$10:$B$51,0),MATCH("Y05e",'[1]Sales per type juli'!$D$8:$BA$8,0)+1),0)</f>
        <v>0</v>
      </c>
      <c r="AC34" s="143">
        <f t="shared" si="7"/>
        <v>2099000</v>
      </c>
      <c r="AD34" s="143">
        <f>IFERROR(INDEX('[1]SALES PERTYPE'!$L$10:$L$52,MATCH($C34,'[1]SALES PERTYPE'!$B$10:$B$52,0)),0)</f>
        <v>0</v>
      </c>
      <c r="AE34" s="143">
        <f>IFERROR(INDEX('[1]Sales per type juli'!$D$10:$BA$51,MATCH($C34,'[1]Sales per type juli'!$B$10:$B$51,0),MATCH("V70",'[1]Sales per type juli'!$D$8:$BA$8,0)),0)</f>
        <v>4</v>
      </c>
      <c r="AF34" s="143">
        <f t="shared" si="8"/>
        <v>-4</v>
      </c>
      <c r="AG34" s="143">
        <f>IFERROR(INDEX('[1]SALES PERTYPE'!$M$10:$M$52,MATCH($C34,'[1]SALES PERTYPE'!$B$10:$B$52,0)),0)</f>
        <v>0</v>
      </c>
      <c r="AH34" s="143" cm="1">
        <f t="array" ref="AH34">IFERROR(INDEX('[1]Sales per type juli'!$D$10:$BA$51,MATCH($C34,'[1]Sales per type juli'!$B$10:$B$51,0),MATCH("V70",'[1]Sales per type juli'!$D$8:$BA$8,0)+1),0)</f>
        <v>35996000</v>
      </c>
      <c r="AI34" s="143">
        <f t="shared" si="9"/>
        <v>-35996000</v>
      </c>
      <c r="AJ34" s="143">
        <f>IFERROR(INDEX('[1]SALES PERTYPE'!$N$10:$N$52,MATCH($C34,'[1]SALES PERTYPE'!$B$10:$B$52,0)),0)</f>
        <v>5</v>
      </c>
      <c r="AK34" s="143">
        <f>IFERROR(INDEX('[1]Sales per type juli'!$D$10:$BA$51,MATCH($C34,'[1]Sales per type juli'!$B$10:$B$51,0),MATCH("Y31d Pro",'[1]Sales per type juli'!$D$8:$BA$8,0)),0)</f>
        <v>1</v>
      </c>
      <c r="AL34" s="143">
        <f t="shared" si="10"/>
        <v>4</v>
      </c>
      <c r="AM34" s="143">
        <f>IFERROR(INDEX('[1]SALES PERTYPE'!$O$10:$O$52,MATCH($C34,'[1]SALES PERTYPE'!$B$10:$B$52,0)),0)</f>
        <v>20295000</v>
      </c>
      <c r="AN34" s="143" cm="1">
        <f t="array" ref="AN34">IFERROR(INDEX('[1]Sales per type juli'!$D$10:$BA$51,MATCH($C34,'[1]Sales per type juli'!$B$10:$B$51,0),MATCH("Y31d Pro",'[1]Sales per type juli'!$D$8:$BA$8,0)+1),0)</f>
        <v>3899000</v>
      </c>
      <c r="AO34" s="143">
        <f t="shared" si="11"/>
        <v>16396000</v>
      </c>
      <c r="AP34" s="143">
        <f>IFERROR(INDEX('[1]SALES PERTYPE'!$P$10:$P$52,MATCH($C34,'[1]SALES PERTYPE'!$B$10:$B$52,0)),0)</f>
        <v>1</v>
      </c>
      <c r="AQ34" s="143" cm="1">
        <f t="array" ref="AQ34">IFERROR(INDEX('[1]Sales per type juli'!$D$10:$BA$51,MATCH($C34,'[1]Sales per type juli'!$B$10:$B$51,0),$FG$2),0)</f>
        <v>0</v>
      </c>
      <c r="AR34" s="143">
        <f t="shared" si="12"/>
        <v>1</v>
      </c>
      <c r="AS34" s="143">
        <f>IFERROR(INDEX('[1]SALES PERTYPE'!$Q$10:$Q$52,MATCH($C34,'[1]SALES PERTYPE'!$B$10:$B$52,0)),0)</f>
        <v>3599000</v>
      </c>
      <c r="AT34" s="143" cm="1">
        <f t="array" ref="AT34">IFERROR(INDEX('[1]Sales per type juli'!$D$10:$BA$51,MATCH($C34,'[1]Sales per type juli'!$B$10:$B$51,0),$FG$2+1),0)</f>
        <v>0</v>
      </c>
      <c r="AU34" s="143">
        <f t="shared" si="13"/>
        <v>3599000</v>
      </c>
      <c r="AV34" s="143">
        <f>IFERROR(INDEX('[1]SALES PERTYPE'!$R$10:$R$52,MATCH($C34,'[1]SALES PERTYPE'!$B$10:$B$52,0)),0)</f>
        <v>0</v>
      </c>
      <c r="AW34" s="143">
        <f>IFERROR(INDEX('[1]Sales per type juli'!$D$10:$BA$51,MATCH($C34,'[1]Sales per type juli'!$B$10:$B$51,0),MATCH("Y31d ",'[1]Sales per type juli'!$D$8:$BA$8,0)),0)</f>
        <v>0</v>
      </c>
      <c r="AX34" s="143">
        <f t="shared" si="14"/>
        <v>0</v>
      </c>
      <c r="AY34" s="143">
        <f>IFERROR(INDEX('[1]SALES PERTYPE'!$S$10:$S$52,MATCH($C34,'[1]SALES PERTYPE'!$B$10:$B$52,0)),0)</f>
        <v>0</v>
      </c>
      <c r="AZ34" s="143" cm="1">
        <f t="array" ref="AZ34">IFERROR(INDEX('[1]Sales per type juli'!$D$10:$BA$51,MATCH($C34,'[1]Sales per type juli'!$B$10:$B$51,0),MATCH("Y31d ",'[1]Sales per type juli'!$D$8:$BA$8,0)+1),0)</f>
        <v>0</v>
      </c>
      <c r="BA34" s="143">
        <f t="shared" si="15"/>
        <v>0</v>
      </c>
      <c r="BB34" s="143">
        <f>IFERROR(INDEX('[1]SALES PERTYPE'!$T$10:$T$52,MATCH($C34,'[1]SALES PERTYPE'!$B$10:$B$52,0)),0)</f>
        <v>2</v>
      </c>
      <c r="BC34" s="143">
        <f>IFERROR(INDEX('[1]Sales per type juli'!$D$10:$BA$51,MATCH($C34,'[1]Sales per type juli'!$B$10:$B$51,0),MATCH("V70 FE",'[1]Sales per type juli'!$D$8:$BA$8,0)),0)</f>
        <v>1</v>
      </c>
      <c r="BD34" s="143">
        <f t="shared" si="16"/>
        <v>1</v>
      </c>
      <c r="BE34" s="143">
        <f>IFERROR(INDEX('[1]SALES PERTYPE'!$U$10:$U$52,MATCH($C34,'[1]SALES PERTYPE'!$B$10:$B$52,0)),0)</f>
        <v>15998000</v>
      </c>
      <c r="BF34" s="143" cm="1">
        <f t="array" ref="BF34">IFERROR(INDEX('[1]Sales per type juli'!$D$10:$BA$51,MATCH($C34,'[1]Sales per type juli'!$B$10:$B$51,0),MATCH("V70 FE",'[1]Sales per type juli'!$D$8:$BA$8,0)+1),0)</f>
        <v>6499000</v>
      </c>
      <c r="BG34" s="143">
        <f t="shared" si="17"/>
        <v>9499000</v>
      </c>
      <c r="BH34" s="143">
        <f>IFERROR(INDEX('[1]SALES PERTYPE'!$V$10:$V$52,MATCH($C34,'[1]SALES PERTYPE'!$B$10:$B$52,0)),0)</f>
        <v>0</v>
      </c>
      <c r="BI34" s="143">
        <f>IFERROR(INDEX('[1]Sales per type juli'!$D$10:$BA$51,MATCH($C34,'[1]Sales per type juli'!$B$10:$B$51,0),MATCH("Y31d",'[1]Sales per type juli'!$D$8:$BA$8,0)),0)</f>
        <v>2</v>
      </c>
      <c r="BJ34" s="143">
        <f t="shared" si="18"/>
        <v>-2</v>
      </c>
      <c r="BK34" s="143">
        <f>IFERROR(INDEX('[1]SALES PERTYPE'!$W$10:$W$52,MATCH($C34,'[1]SALES PERTYPE'!$B$10:$B$52,0)),0)</f>
        <v>0</v>
      </c>
      <c r="BL34" s="143" cm="1">
        <f t="array" ref="BL34">IFERROR(INDEX('[1]Sales per type juli'!$D$10:$BA$51,MATCH($C34,'[1]Sales per type juli'!$B$10:$B$51,0),MATCH("Y31d",'[1]Sales per type juli'!$D$8:$BA$8,0)+1),0)</f>
        <v>7198000</v>
      </c>
      <c r="BM34" s="143">
        <f t="shared" si="19"/>
        <v>-7198000</v>
      </c>
      <c r="BN34" s="143">
        <f>IFERROR(INDEX('[1]SALES PERTYPE'!$X$10:$X$52,MATCH($C34,'[1]SALES PERTYPE'!$B$10:$B$52,0)),0)</f>
        <v>1</v>
      </c>
      <c r="BO34" s="143">
        <f>IFERROR(INDEX('[1]Sales per type juli'!$D$10:$BA$51,MATCH($C34,'[1]Sales per type juli'!$B$10:$B$51,0),MATCH("Y500",'[1]Sales per type juli'!$D$8:$BA$8,0)),0)</f>
        <v>2</v>
      </c>
      <c r="BP34" s="143">
        <f t="shared" si="20"/>
        <v>-1</v>
      </c>
      <c r="BQ34" s="143">
        <f>IFERROR(INDEX('[1]SALES PERTYPE'!$Y$10:$Y$52,MATCH($C34,'[1]SALES PERTYPE'!$B$10:$B$52,0)),0)</f>
        <v>5499000</v>
      </c>
      <c r="BR34" s="143" cm="1">
        <f t="array" ref="BR34">IFERROR(INDEX('[1]Sales per type juli'!$D$10:$BA$51,MATCH($C34,'[1]Sales per type juli'!$B$10:$B$51,0),MATCH("Y500",'[1]Sales per type juli'!$D$8:$BA$8,0)+1),0)</f>
        <v>11798000</v>
      </c>
      <c r="BS34" s="143">
        <f t="shared" si="21"/>
        <v>-6299000</v>
      </c>
      <c r="BT34" s="143">
        <f>IFERROR(INDEX('[1]SALES PERTYPE'!$Z$10:$Z$52,MATCH($C34,'[1]SALES PERTYPE'!$B$10:$B$52,0)),0)</f>
        <v>0</v>
      </c>
      <c r="BU34" s="143">
        <f>IFERROR(INDEX('[1]Sales per type juli'!$D$10:$BA$51,MATCH($C34,'[1]Sales per type juli'!$B$10:$B$51,0),MATCH("IQOO 15R",'[1]Sales per type juli'!$D$8:$BA$8,0)),0)</f>
        <v>1</v>
      </c>
      <c r="BV34" s="143">
        <f t="shared" si="22"/>
        <v>-1</v>
      </c>
      <c r="BW34" s="143">
        <f>IFERROR(INDEX('[1]SALES PERTYPE'!$AA$10:$AA$52,MATCH($C34,'[1]SALES PERTYPE'!$B$10:$B$52,0)),0)</f>
        <v>0</v>
      </c>
      <c r="BX34" s="143" cm="1">
        <f t="array" ref="BX34">IFERROR(INDEX('[1]Sales per type juli'!$D$10:$BA$51,MATCH($C34,'[1]Sales per type juli'!$B$10:$B$51,0),MATCH("IQOO 15R",'[1]Sales per type juli'!$D$8:$BA$8,0)+1),0)</f>
        <v>9899000</v>
      </c>
      <c r="BY34" s="143">
        <f t="shared" si="23"/>
        <v>-9899000</v>
      </c>
      <c r="BZ34" s="143">
        <f>IFERROR(INDEX('[1]SALES PERTYPE'!$AB$10:$AB$52,MATCH($C34,'[1]SALES PERTYPE'!$B$10:$B$52,0)),0)</f>
        <v>0</v>
      </c>
      <c r="CA34" s="143">
        <f>IFERROR(INDEX('[1]Sales per type juli'!$D$10:$BA$51,MATCH($C34,'[1]Sales per type juli'!$B$10:$B$51,0),MATCH("V60 Lite",'[1]Sales per type juli'!$D$8:$BA$8,0)),0)</f>
        <v>0</v>
      </c>
      <c r="CB34" s="143">
        <f t="shared" si="24"/>
        <v>0</v>
      </c>
      <c r="CC34" s="143">
        <f>IFERROR(INDEX('[1]SALES PERTYPE'!$AC$10:$AC$52,MATCH($C34,'[1]SALES PERTYPE'!$B$10:$B$52,0)),0)</f>
        <v>0</v>
      </c>
      <c r="CD34" s="143" cm="1">
        <f t="array" ref="CD34">IFERROR(INDEX('[1]Sales per type juli'!$D$10:$BA$51,MATCH($C34,'[1]Sales per type juli'!$B$10:$B$51,0),MATCH("V60 Lite",'[1]Sales per type juli'!$D$8:$BA$8,0)+1),0)</f>
        <v>0</v>
      </c>
      <c r="CE34" s="143">
        <f t="shared" si="25"/>
        <v>0</v>
      </c>
      <c r="CF34" s="143">
        <f>IFERROR(INDEX('[1]SALES PERTYPE'!$AD$10:$AD$52,MATCH($C34,'[1]SALES PERTYPE'!$B$10:$B$52,0)),0)</f>
        <v>0</v>
      </c>
      <c r="CG34" s="143">
        <f>IFERROR(INDEX('[1]Sales per type juli'!$D$10:$BA$51,MATCH($C34,'[1]Sales per type juli'!$B$10:$B$51,0),MATCH("X300 Ultra",'[1]Sales per type juli'!$D$8:$BA$8,0)),0)</f>
        <v>1</v>
      </c>
      <c r="CH34" s="143">
        <f t="shared" si="26"/>
        <v>-1</v>
      </c>
      <c r="CI34" s="143">
        <f>IFERROR(INDEX('[1]SALES PERTYPE'!$AE$10:$AE$52,MATCH($C34,'[1]SALES PERTYPE'!$B$10:$B$52,0)),0)</f>
        <v>0</v>
      </c>
      <c r="CJ34" s="143" cm="1">
        <f t="array" ref="CJ34">IFERROR(INDEX('[1]Sales per type juli'!$D$10:$BA$51,MATCH($C34,'[1]Sales per type juli'!$B$10:$B$51,0),MATCH("X300 Ultra",'[1]Sales per type juli'!$D$8:$BA$8,0)+1),0)</f>
        <v>25999000</v>
      </c>
      <c r="CK34" s="143">
        <f t="shared" si="27"/>
        <v>-25999000</v>
      </c>
      <c r="CL34" s="143">
        <f>IFERROR(INDEX('[1]SALES PERTYPE'!$AF$10:$AF$52,MATCH($C34,'[1]SALES PERTYPE'!$B$10:$B$52,0)),0)</f>
        <v>0</v>
      </c>
      <c r="CM34" s="143">
        <f>IFERROR(INDEX('[1]Sales per type juli'!$D$10:$BA$51,MATCH($C34,'[1]Sales per type juli'!$B$10:$B$51,0),MATCH("IQOO 15",'[1]Sales per type juli'!$D$8:$BA$8,0)),0)</f>
        <v>0</v>
      </c>
      <c r="CN34" s="143">
        <f t="shared" si="28"/>
        <v>0</v>
      </c>
      <c r="CO34" s="143">
        <f>IFERROR(INDEX('[1]SALES PERTYPE'!$AG$10:$AG$52,MATCH($C34,'[1]SALES PERTYPE'!$B$10:$B$52,0)),0)</f>
        <v>0</v>
      </c>
      <c r="CP34" s="143" cm="1">
        <f t="array" ref="CP34">IFERROR(INDEX('[1]Sales per type juli'!$D$10:$BA$51,MATCH($C34,'[1]Sales per type juli'!$B$10:$B$51,0),MATCH("IQOO 15",'[1]Sales per type juli'!$D$8:$BA$8,0)+1),0)</f>
        <v>0</v>
      </c>
      <c r="CQ34" s="143">
        <f t="shared" si="29"/>
        <v>0</v>
      </c>
      <c r="CR34" s="143">
        <f>IFERROR(INDEX('[1]SALES PERTYPE'!$AH$10:$AH$52,MATCH($C34,'[1]SALES PERTYPE'!$B$10:$B$52,0)),0)</f>
        <v>0</v>
      </c>
      <c r="CS34" s="143">
        <f>IFERROR(INDEX('[1]Sales per type juli'!$D$10:$BA$51,MATCH($C34,'[1]Sales per type juli'!$B$10:$B$51,0),MATCH("IQOO Z11x",'[1]Sales per type juli'!$D$8:$BA$8,0)),0)</f>
        <v>0</v>
      </c>
      <c r="CT34" s="143">
        <f t="shared" si="30"/>
        <v>0</v>
      </c>
      <c r="CU34" s="143">
        <f>IFERROR(INDEX('[1]SALES PERTYPE'!$AI$10:$AI$52,MATCH($C34,'[1]SALES PERTYPE'!$B$10:$B$52,0)),0)</f>
        <v>0</v>
      </c>
      <c r="CV34" s="143" cm="1">
        <f t="array" ref="CV34">IFERROR(INDEX('[1]Sales per type juli'!$D$10:$BA$51,MATCH($C34,'[1]Sales per type juli'!$B$10:$B$51,0),MATCH("IQOO Z11x",'[1]Sales per type juli'!$D$8:$BA$8,0)+1),0)</f>
        <v>0</v>
      </c>
      <c r="CW34" s="143">
        <f t="shared" si="31"/>
        <v>0</v>
      </c>
      <c r="CX34" s="143">
        <f>IFERROR(INDEX('[1]SALES PERTYPE'!$AJ$10:$AJ$52,MATCH($C34,'[1]SALES PERTYPE'!$B$10:$B$52,0)),0)</f>
        <v>0</v>
      </c>
      <c r="CY34" s="143">
        <f>IFERROR(INDEX('[1]Sales per type juli'!$D$10:$BA$51,MATCH($C34,'[1]Sales per type juli'!$B$10:$B$51,0),MATCH("IQOO Z11",'[1]Sales per type juli'!$D$8:$BA$8,0)),0)</f>
        <v>1</v>
      </c>
      <c r="CZ34" s="143">
        <f t="shared" si="32"/>
        <v>-1</v>
      </c>
      <c r="DA34" s="143">
        <f>IFERROR(INDEX('[1]SALES PERTYPE'!$AK$10:$AK$52,MATCH($C34,'[1]SALES PERTYPE'!$B$10:$B$52,0)),0)</f>
        <v>0</v>
      </c>
      <c r="DB34" s="143" cm="1">
        <f t="array" ref="DB34">IFERROR(INDEX('[1]Sales per type juli'!$D$10:$BA$51,MATCH($C34,'[1]Sales per type juli'!$B$10:$B$51,0),MATCH("IQOO Z11",'[1]Sales per type juli'!$D$8:$BA$8,0)+1),0)</f>
        <v>7999000</v>
      </c>
      <c r="DC34" s="143">
        <f t="shared" si="33"/>
        <v>-7999000</v>
      </c>
      <c r="DD34" s="143">
        <v>0</v>
      </c>
      <c r="DE34" s="143">
        <f>IFERROR(INDEX('[1]Sales per type juli'!$D$10:$BA$51,MATCH($C34,'[1]Sales per type juli'!$B$10:$B$51,0),MATCH("WATCH 3",'[1]Sales per type juli'!$D$8:$BA$8,0)),0)</f>
        <v>0</v>
      </c>
      <c r="DF34" s="143">
        <f t="shared" si="34"/>
        <v>0</v>
      </c>
      <c r="DG34" s="143">
        <v>0</v>
      </c>
      <c r="DH34" s="143" cm="1">
        <f t="array" ref="DH34">IFERROR(INDEX('[1]Sales per type juli'!$D$10:$BA$51,MATCH($C34,'[1]Sales per type juli'!$B$10:$B$51,0),MATCH("WATCH 3",'[1]Sales per type juli'!$D$8:$BA$8,0)+1),0)</f>
        <v>0</v>
      </c>
      <c r="DI34" s="143">
        <f t="shared" si="35"/>
        <v>0</v>
      </c>
      <c r="DJ34" s="143">
        <v>0</v>
      </c>
      <c r="DK34" s="143">
        <f>IFERROR(INDEX('[1]Sales per type juli'!$D$10:$BA$51,MATCH($C34,'[1]Sales per type juli'!$B$10:$B$51,0),MATCH("X300 Demo",'[1]Sales per type juli'!$D$8:$BA$8,0)),0)</f>
        <v>5</v>
      </c>
      <c r="DL34" s="143">
        <f t="shared" si="36"/>
        <v>-5</v>
      </c>
      <c r="DM34" s="143">
        <v>0</v>
      </c>
      <c r="DN34" s="143" cm="1">
        <f t="array" ref="DN34">IFERROR(INDEX('[1]Sales per type juli'!$D$10:$BA$51,MATCH($C34,'[1]Sales per type juli'!$B$10:$B$51,0),MATCH("X300 Demo",'[1]Sales per type juli'!$D$8:$BA$8,0)+1),0)</f>
        <v>82995000</v>
      </c>
      <c r="DO34" s="143">
        <f t="shared" si="37"/>
        <v>-82995000</v>
      </c>
      <c r="DP34" s="143">
        <v>0</v>
      </c>
      <c r="DQ34" s="143">
        <f>IFERROR(INDEX('[1]Sales per type juli'!$D$10:$BA$51,MATCH($C34,'[1]Sales per type juli'!$B$10:$B$51,0),MATCH("X300 Pro Demo",'[1]Sales per type juli'!$D$8:$BA$8,0)),0)</f>
        <v>0</v>
      </c>
      <c r="DR34" s="143">
        <f t="shared" si="38"/>
        <v>0</v>
      </c>
      <c r="DS34" s="143">
        <v>0</v>
      </c>
      <c r="DT34" s="143" cm="1">
        <f t="array" ref="DT34">IFERROR(INDEX('[1]Sales per type juli'!$D$10:$BA$51,MATCH($C34,'[1]Sales per type juli'!$B$10:$B$51,0),MATCH("X300 Pro Demo",'[1]Sales per type juli'!$D$8:$BA$8,0)+1),0)</f>
        <v>0</v>
      </c>
      <c r="DU34" s="143">
        <f t="shared" si="39"/>
        <v>0</v>
      </c>
      <c r="DV34" s="143">
        <v>0</v>
      </c>
      <c r="DW34" s="143">
        <f>IFERROR(INDEX('[1]Sales per type juli'!$D$10:$BA$51,MATCH($C34,'[1]Sales per type juli'!$B$10:$B$51,0),MATCH("X Fold5 DEMO",'[1]Sales per type juli'!$D$8:$BA$8,0)),0)</f>
        <v>0</v>
      </c>
      <c r="DX34" s="143">
        <f t="shared" si="40"/>
        <v>0</v>
      </c>
      <c r="DY34" s="143">
        <v>0</v>
      </c>
      <c r="DZ34" s="143" cm="1">
        <f t="array" ref="DZ34">IFERROR(INDEX('[1]Sales per type juli'!$D$10:$BA$51,MATCH($C34,'[1]Sales per type juli'!$B$10:$B$51,0),MATCH("X Fold5 DEMO",'[1]Sales per type juli'!$D$8:$BA$8,0)+1),0)</f>
        <v>0</v>
      </c>
      <c r="EA34" s="143">
        <f t="shared" si="41"/>
        <v>0</v>
      </c>
      <c r="EB34" s="143">
        <v>0</v>
      </c>
      <c r="EC34" s="143">
        <f>IFERROR(INDEX('[1]Sales per type juli'!$D$10:$BA$51,MATCH($C34,'[1]Sales per type juli'!$B$10:$B$51,0),MATCH("X Fold5",'[1]Sales per type juli'!$D$8:$BA$8,0)),0)</f>
        <v>0</v>
      </c>
      <c r="ED34" s="143">
        <f t="shared" si="42"/>
        <v>0</v>
      </c>
      <c r="EE34" s="143">
        <v>0</v>
      </c>
      <c r="EF34" s="143" cm="1">
        <f t="array" ref="EF34">IFERROR(INDEX('[1]Sales per type juli'!$D$10:$BA$51,MATCH($C34,'[1]Sales per type juli'!$B$10:$B$51,0),MATCH("X Fold5",'[1]Sales per type juli'!$D$8:$BA$8,0)+1),0)</f>
        <v>0</v>
      </c>
      <c r="EG34" s="143">
        <f t="shared" si="43"/>
        <v>0</v>
      </c>
      <c r="EH34" s="143">
        <v>0</v>
      </c>
      <c r="EI34" s="143">
        <f>IFERROR(INDEX('[1]Sales per type juli'!$D$10:$BA$51,MATCH($C34,'[1]Sales per type juli'!$B$10:$B$51,0),MATCH("IQOO 15 Demo",'[1]Sales per type juli'!$D$8:$BA$8,0)),0)</f>
        <v>2</v>
      </c>
      <c r="EJ34" s="143">
        <f t="shared" si="44"/>
        <v>-2</v>
      </c>
      <c r="EK34" s="143">
        <v>0</v>
      </c>
      <c r="EL34" s="143" cm="1">
        <f t="array" ref="EL34">IFERROR(INDEX('[1]Sales per type juli'!$D$10:$BA$51,MATCH($C34,'[1]Sales per type juli'!$B$10:$B$51,0),MATCH("IQOO 15 Demo",'[1]Sales per type juli'!$D$8:$BA$8,0)+1),0)</f>
        <v>27998000</v>
      </c>
      <c r="EM34" s="143">
        <f t="shared" si="45"/>
        <v>-27998000</v>
      </c>
      <c r="EN34" s="143">
        <v>0</v>
      </c>
      <c r="EO34" s="143">
        <f>IFERROR(INDEX('[1]Sales per type juli'!$D$10:$BA$51,MATCH($C34,'[1]Sales per type juli'!$B$10:$B$51,0),MATCH("X300 PRO",'[1]Sales per type juli'!$D$8:$BA$8,0)),0)</f>
        <v>0</v>
      </c>
      <c r="EP34" s="143">
        <f t="shared" si="46"/>
        <v>0</v>
      </c>
      <c r="EQ34" s="143">
        <v>0</v>
      </c>
      <c r="ER34" s="143" cm="1">
        <f t="array" ref="ER34">IFERROR(INDEX('[1]Sales per type juli'!$D$10:$BA$51,MATCH($C34,'[1]Sales per type juli'!$B$10:$B$51,0),MATCH("X300 PRO",'[1]Sales per type juli'!$D$8:$BA$8,0)+1),0)</f>
        <v>0</v>
      </c>
      <c r="ES34" s="143">
        <f t="shared" si="47"/>
        <v>0</v>
      </c>
      <c r="ET34" s="143">
        <v>0</v>
      </c>
      <c r="EU34" s="143">
        <f>IFERROR(INDEX('[1]Sales per type juli'!$D$10:$BA$51,MATCH($C34,'[1]Sales per type juli'!$B$10:$B$51,0),MATCH("X300 ",'[1]Sales per type juli'!$D$8:$BA$8,0)),0)</f>
        <v>0</v>
      </c>
      <c r="EV34" s="143">
        <f t="shared" si="48"/>
        <v>0</v>
      </c>
      <c r="EW34" s="143">
        <v>0</v>
      </c>
      <c r="EX34" s="143" cm="1">
        <f t="array" ref="EX34">IFERROR(INDEX('[1]Sales per type juli'!$D$10:$BA$51,MATCH($C34,'[1]Sales per type juli'!$B$10:$B$51,0),MATCH("X300 ",'[1]Sales per type juli'!$D$8:$BA$8,0)+1),0)</f>
        <v>0</v>
      </c>
      <c r="EY34" s="143">
        <f t="shared" si="49"/>
        <v>0</v>
      </c>
      <c r="EZ34" s="143">
        <f t="shared" si="50"/>
        <v>16</v>
      </c>
      <c r="FA34" s="143">
        <f t="shared" si="50"/>
        <v>32</v>
      </c>
      <c r="FB34" s="143">
        <f t="shared" si="51"/>
        <v>-16</v>
      </c>
      <c r="FC34" s="143">
        <f t="shared" si="52"/>
        <v>63684000</v>
      </c>
      <c r="FD34" s="143">
        <f t="shared" si="52"/>
        <v>249068000</v>
      </c>
      <c r="FE34" s="143">
        <f t="shared" si="53"/>
        <v>-185384000</v>
      </c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</row>
    <row r="35" spans="1:208" ht="16" x14ac:dyDescent="0.2">
      <c r="A35" s="141">
        <f>'[1]ACHIEVEMENT STORE'!A35</f>
        <v>31</v>
      </c>
      <c r="B35" s="142" t="str">
        <f>'[1]ACHIEVEMENT STORE'!B35</f>
        <v>624-万丹BANTEN</v>
      </c>
      <c r="C35" s="141">
        <f>'[1]ACHIEVEMENT STORE'!C35</f>
        <v>6240707</v>
      </c>
      <c r="D35" s="142" t="str">
        <f>'[1]ACHIEVEMENT STORE'!D35</f>
        <v>6240707-SUPERMALL UGN3A</v>
      </c>
      <c r="E35" s="142" t="str">
        <f>'[1]ACHIEVEMENT STORE'!E35</f>
        <v>ADE RIVALDI L</v>
      </c>
      <c r="F35" s="143">
        <f>IFERROR(INDEX('[1]SALES PERTYPE'!$D$10:$D$52,MATCH($C35,'[1]SALES PERTYPE'!$B$10:$B$52,0)),0)</f>
        <v>2</v>
      </c>
      <c r="G35" s="143">
        <f>IFERROR(INDEX('[1]Sales per type juli'!$D$10:$BA$51,MATCH($C35,'[1]Sales per type juli'!$B$10:$B$51,0),MATCH("Y05",'[1]Sales per type juli'!$D$8:$BA$8,0)),0)</f>
        <v>3</v>
      </c>
      <c r="H35" s="143">
        <f t="shared" si="0"/>
        <v>-1</v>
      </c>
      <c r="I35" s="143">
        <f>IFERROR(INDEX('[1]SALES PERTYPE'!$E$10:$E$52,MATCH($C35,'[1]SALES PERTYPE'!$B$10:$B$52,0)),0)</f>
        <v>5198000</v>
      </c>
      <c r="J35" s="143" cm="1">
        <f t="array" ref="J35">IFERROR(INDEX('[1]Sales per type juli'!$D$10:$BA$51,MATCH($C35,'[1]Sales per type juli'!$B$10:$B$51,0),MATCH("Y05",'[1]Sales per type juli'!$D$8:$BA$8,0)+1),0)</f>
        <v>6597000</v>
      </c>
      <c r="K35" s="143">
        <f t="shared" si="1"/>
        <v>-1399000</v>
      </c>
      <c r="L35" s="143">
        <f>IFERROR(INDEX('[1]SALES PERTYPE'!$F$10:$F$52,MATCH($C35,'[1]SALES PERTYPE'!$B$10:$B$52,0)),0)</f>
        <v>5</v>
      </c>
      <c r="M35" s="143">
        <f>IFERROR(INDEX('[1]Sales per type juli'!$D$10:$BA$51,MATCH($C35,'[1]Sales per type juli'!$B$10:$B$51,0),MATCH("Y11d",'[1]Sales per type juli'!$D$8:$BA$8,0)),0)</f>
        <v>3</v>
      </c>
      <c r="N35" s="143">
        <f t="shared" si="2"/>
        <v>2</v>
      </c>
      <c r="O35" s="143">
        <f>IFERROR(INDEX('[1]SALES PERTYPE'!$G$10:$G$52,MATCH($C35,'[1]SALES PERTYPE'!$B$10:$B$52,0)),0)</f>
        <v>13995000</v>
      </c>
      <c r="P35" s="143" cm="1">
        <f t="array" ref="P35">IFERROR(INDEX('[1]Sales per type juli'!$D$10:$BA$51,MATCH($C35,'[1]Sales per type juli'!$B$10:$B$51,0),MATCH("Y11d",'[1]Sales per type juli'!$D$8:$BA$8,0)+1),0)</f>
        <v>7997000</v>
      </c>
      <c r="Q35" s="143">
        <f t="shared" si="3"/>
        <v>5998000</v>
      </c>
      <c r="R35" s="143">
        <f>IFERROR(INDEX('[1]SALES PERTYPE'!$H$10:$H$52,MATCH($C35,'[1]SALES PERTYPE'!$B$10:$B$52,0)),0)</f>
        <v>0</v>
      </c>
      <c r="S35" s="143">
        <f>IFERROR(INDEX('[1]Sales per type juli'!$D$10:$BA$51,MATCH($C35,'[1]Sales per type juli'!$B$10:$B$51,0),MATCH("Watch GT 2",'[1]Sales per type juli'!$D$8:$BA$8,0)),0)</f>
        <v>0</v>
      </c>
      <c r="T35" s="143">
        <f t="shared" si="4"/>
        <v>0</v>
      </c>
      <c r="U35" s="143">
        <f>IFERROR(INDEX('[1]SALES PERTYPE'!$I$10:$I$52,MATCH($C35,'[1]SALES PERTYPE'!$B$10:$B$52,0)),0)</f>
        <v>0</v>
      </c>
      <c r="V35" s="143" cm="1">
        <f t="array" ref="V35">IFERROR(INDEX('[1]Sales per type juli'!$D$10:$BA$51,MATCH($C35,'[1]Sales per type juli'!$B$10:$B$51,0),MATCH("Watch GT 2",'[1]Sales per type juli'!$D$8:$BA$8,0)+1),0)</f>
        <v>0</v>
      </c>
      <c r="W35" s="143">
        <f t="shared" si="5"/>
        <v>0</v>
      </c>
      <c r="X35" s="143">
        <f>IFERROR(INDEX('[1]SALES PERTYPE'!$J$10:$J$52,MATCH($C35,'[1]SALES PERTYPE'!$B$10:$B$52,0)),0)</f>
        <v>4</v>
      </c>
      <c r="Y35" s="143">
        <f>IFERROR(INDEX('[1]Sales per type juli'!$D$10:$BA$51,MATCH($C35,'[1]Sales per type juli'!$B$10:$B$51,0),MATCH("Y05e",'[1]Sales per type juli'!$D$8:$BA$8,0)),0)</f>
        <v>0</v>
      </c>
      <c r="Z35" s="143">
        <f t="shared" si="6"/>
        <v>4</v>
      </c>
      <c r="AA35" s="143">
        <f>IFERROR(INDEX('[1]SALES PERTYPE'!$K$10:$K$52,MATCH($C35,'[1]SALES PERTYPE'!$B$10:$B$52,0)),0)</f>
        <v>8396000</v>
      </c>
      <c r="AB35" s="143" cm="1">
        <f t="array" ref="AB35">IFERROR(INDEX('[1]Sales per type juli'!$D$10:$BA$51,MATCH($C35,'[1]Sales per type juli'!$B$10:$B$51,0),MATCH("Y05e",'[1]Sales per type juli'!$D$8:$BA$8,0)+1),0)</f>
        <v>0</v>
      </c>
      <c r="AC35" s="143">
        <f t="shared" si="7"/>
        <v>8396000</v>
      </c>
      <c r="AD35" s="143">
        <f>IFERROR(INDEX('[1]SALES PERTYPE'!$L$10:$L$52,MATCH($C35,'[1]SALES PERTYPE'!$B$10:$B$52,0)),0)</f>
        <v>1</v>
      </c>
      <c r="AE35" s="143">
        <f>IFERROR(INDEX('[1]Sales per type juli'!$D$10:$BA$51,MATCH($C35,'[1]Sales per type juli'!$B$10:$B$51,0),MATCH("V70",'[1]Sales per type juli'!$D$8:$BA$8,0)),0)</f>
        <v>1</v>
      </c>
      <c r="AF35" s="143">
        <f t="shared" si="8"/>
        <v>0</v>
      </c>
      <c r="AG35" s="143">
        <f>IFERROR(INDEX('[1]SALES PERTYPE'!$M$10:$M$52,MATCH($C35,'[1]SALES PERTYPE'!$B$10:$B$52,0)),0)</f>
        <v>9999000</v>
      </c>
      <c r="AH35" s="143" cm="1">
        <f t="array" ref="AH35">IFERROR(INDEX('[1]Sales per type juli'!$D$10:$BA$51,MATCH($C35,'[1]Sales per type juli'!$B$10:$B$51,0),MATCH("V70",'[1]Sales per type juli'!$D$8:$BA$8,0)+1),0)</f>
        <v>8999000</v>
      </c>
      <c r="AI35" s="143">
        <f t="shared" si="9"/>
        <v>1000000</v>
      </c>
      <c r="AJ35" s="143">
        <f>IFERROR(INDEX('[1]SALES PERTYPE'!$N$10:$N$52,MATCH($C35,'[1]SALES PERTYPE'!$B$10:$B$52,0)),0)</f>
        <v>5</v>
      </c>
      <c r="AK35" s="143">
        <f>IFERROR(INDEX('[1]Sales per type juli'!$D$10:$BA$51,MATCH($C35,'[1]Sales per type juli'!$B$10:$B$51,0),MATCH("Y31d Pro",'[1]Sales per type juli'!$D$8:$BA$8,0)),0)</f>
        <v>1</v>
      </c>
      <c r="AL35" s="143">
        <f t="shared" si="10"/>
        <v>4</v>
      </c>
      <c r="AM35" s="143">
        <f>IFERROR(INDEX('[1]SALES PERTYPE'!$O$10:$O$52,MATCH($C35,'[1]SALES PERTYPE'!$B$10:$B$52,0)),0)</f>
        <v>25095000</v>
      </c>
      <c r="AN35" s="143" cm="1">
        <f t="array" ref="AN35">IFERROR(INDEX('[1]Sales per type juli'!$D$10:$BA$51,MATCH($C35,'[1]Sales per type juli'!$B$10:$B$51,0),MATCH("Y31d Pro",'[1]Sales per type juli'!$D$8:$BA$8,0)+1),0)</f>
        <v>3899000</v>
      </c>
      <c r="AO35" s="143">
        <f t="shared" si="11"/>
        <v>21196000</v>
      </c>
      <c r="AP35" s="143">
        <f>IFERROR(INDEX('[1]SALES PERTYPE'!$P$10:$P$52,MATCH($C35,'[1]SALES PERTYPE'!$B$10:$B$52,0)),0)</f>
        <v>0</v>
      </c>
      <c r="AQ35" s="143" cm="1">
        <f t="array" ref="AQ35">IFERROR(INDEX('[1]Sales per type juli'!$D$10:$BA$51,MATCH($C35,'[1]Sales per type juli'!$B$10:$B$51,0),$FG$2),0)</f>
        <v>0</v>
      </c>
      <c r="AR35" s="143">
        <f t="shared" si="12"/>
        <v>0</v>
      </c>
      <c r="AS35" s="143">
        <f>IFERROR(INDEX('[1]SALES PERTYPE'!$Q$10:$Q$52,MATCH($C35,'[1]SALES PERTYPE'!$B$10:$B$52,0)),0)</f>
        <v>0</v>
      </c>
      <c r="AT35" s="143" cm="1">
        <f t="array" ref="AT35">IFERROR(INDEX('[1]Sales per type juli'!$D$10:$BA$51,MATCH($C35,'[1]Sales per type juli'!$B$10:$B$51,0),$FG$2+1),0)</f>
        <v>0</v>
      </c>
      <c r="AU35" s="143">
        <f t="shared" si="13"/>
        <v>0</v>
      </c>
      <c r="AV35" s="143">
        <f>IFERROR(INDEX('[1]SALES PERTYPE'!$R$10:$R$52,MATCH($C35,'[1]SALES PERTYPE'!$B$10:$B$52,0)),0)</f>
        <v>1</v>
      </c>
      <c r="AW35" s="143">
        <f>IFERROR(INDEX('[1]Sales per type juli'!$D$10:$BA$51,MATCH($C35,'[1]Sales per type juli'!$B$10:$B$51,0),MATCH("Y31d ",'[1]Sales per type juli'!$D$8:$BA$8,0)),0)</f>
        <v>0</v>
      </c>
      <c r="AX35" s="143">
        <f t="shared" si="14"/>
        <v>1</v>
      </c>
      <c r="AY35" s="143">
        <f>IFERROR(INDEX('[1]SALES PERTYPE'!$S$10:$S$52,MATCH($C35,'[1]SALES PERTYPE'!$B$10:$B$52,0)),0)</f>
        <v>3599000</v>
      </c>
      <c r="AZ35" s="143" cm="1">
        <f t="array" ref="AZ35">IFERROR(INDEX('[1]Sales per type juli'!$D$10:$BA$51,MATCH($C35,'[1]Sales per type juli'!$B$10:$B$51,0),MATCH("Y31d ",'[1]Sales per type juli'!$D$8:$BA$8,0)+1),0)</f>
        <v>0</v>
      </c>
      <c r="BA35" s="143">
        <f t="shared" si="15"/>
        <v>3599000</v>
      </c>
      <c r="BB35" s="143">
        <f>IFERROR(INDEX('[1]SALES PERTYPE'!$T$10:$T$52,MATCH($C35,'[1]SALES PERTYPE'!$B$10:$B$52,0)),0)</f>
        <v>0</v>
      </c>
      <c r="BC35" s="143">
        <f>IFERROR(INDEX('[1]Sales per type juli'!$D$10:$BA$51,MATCH($C35,'[1]Sales per type juli'!$B$10:$B$51,0),MATCH("V70 FE",'[1]Sales per type juli'!$D$8:$BA$8,0)),0)</f>
        <v>1</v>
      </c>
      <c r="BD35" s="143">
        <f t="shared" si="16"/>
        <v>-1</v>
      </c>
      <c r="BE35" s="143">
        <f>IFERROR(INDEX('[1]SALES PERTYPE'!$U$10:$U$52,MATCH($C35,'[1]SALES PERTYPE'!$B$10:$B$52,0)),0)</f>
        <v>0</v>
      </c>
      <c r="BF35" s="143" cm="1">
        <f t="array" ref="BF35">IFERROR(INDEX('[1]Sales per type juli'!$D$10:$BA$51,MATCH($C35,'[1]Sales per type juli'!$B$10:$B$51,0),MATCH("V70 FE",'[1]Sales per type juli'!$D$8:$BA$8,0)+1),0)</f>
        <v>6499000</v>
      </c>
      <c r="BG35" s="143">
        <f t="shared" si="17"/>
        <v>-6499000</v>
      </c>
      <c r="BH35" s="143">
        <f>IFERROR(INDEX('[1]SALES PERTYPE'!$V$10:$V$52,MATCH($C35,'[1]SALES PERTYPE'!$B$10:$B$52,0)),0)</f>
        <v>1</v>
      </c>
      <c r="BI35" s="143">
        <f>IFERROR(INDEX('[1]Sales per type juli'!$D$10:$BA$51,MATCH($C35,'[1]Sales per type juli'!$B$10:$B$51,0),MATCH("Y31d",'[1]Sales per type juli'!$D$8:$BA$8,0)),0)</f>
        <v>0</v>
      </c>
      <c r="BJ35" s="143">
        <f t="shared" si="18"/>
        <v>1</v>
      </c>
      <c r="BK35" s="143">
        <f>IFERROR(INDEX('[1]SALES PERTYPE'!$W$10:$W$52,MATCH($C35,'[1]SALES PERTYPE'!$B$10:$B$52,0)),0)</f>
        <v>3599000</v>
      </c>
      <c r="BL35" s="143" cm="1">
        <f t="array" ref="BL35">IFERROR(INDEX('[1]Sales per type juli'!$D$10:$BA$51,MATCH($C35,'[1]Sales per type juli'!$B$10:$B$51,0),MATCH("Y31d",'[1]Sales per type juli'!$D$8:$BA$8,0)+1),0)</f>
        <v>0</v>
      </c>
      <c r="BM35" s="143">
        <f t="shared" si="19"/>
        <v>3599000</v>
      </c>
      <c r="BN35" s="143">
        <f>IFERROR(INDEX('[1]SALES PERTYPE'!$X$10:$X$52,MATCH($C35,'[1]SALES PERTYPE'!$B$10:$B$52,0)),0)</f>
        <v>2</v>
      </c>
      <c r="BO35" s="143">
        <f>IFERROR(INDEX('[1]Sales per type juli'!$D$10:$BA$51,MATCH($C35,'[1]Sales per type juli'!$B$10:$B$51,0),MATCH("Y500",'[1]Sales per type juli'!$D$8:$BA$8,0)),0)</f>
        <v>1</v>
      </c>
      <c r="BP35" s="143">
        <f t="shared" si="20"/>
        <v>1</v>
      </c>
      <c r="BQ35" s="143">
        <f>IFERROR(INDEX('[1]SALES PERTYPE'!$Y$10:$Y$52,MATCH($C35,'[1]SALES PERTYPE'!$B$10:$B$52,0)),0)</f>
        <v>11798000</v>
      </c>
      <c r="BR35" s="143" cm="1">
        <f t="array" ref="BR35">IFERROR(INDEX('[1]Sales per type juli'!$D$10:$BA$51,MATCH($C35,'[1]Sales per type juli'!$B$10:$B$51,0),MATCH("Y500",'[1]Sales per type juli'!$D$8:$BA$8,0)+1),0)</f>
        <v>5499000</v>
      </c>
      <c r="BS35" s="143">
        <f t="shared" si="21"/>
        <v>6299000</v>
      </c>
      <c r="BT35" s="143">
        <f>IFERROR(INDEX('[1]SALES PERTYPE'!$Z$10:$Z$52,MATCH($C35,'[1]SALES PERTYPE'!$B$10:$B$52,0)),0)</f>
        <v>0</v>
      </c>
      <c r="BU35" s="143">
        <f>IFERROR(INDEX('[1]Sales per type juli'!$D$10:$BA$51,MATCH($C35,'[1]Sales per type juli'!$B$10:$B$51,0),MATCH("IQOO 15R",'[1]Sales per type juli'!$D$8:$BA$8,0)),0)</f>
        <v>1</v>
      </c>
      <c r="BV35" s="143">
        <f t="shared" si="22"/>
        <v>-1</v>
      </c>
      <c r="BW35" s="143">
        <f>IFERROR(INDEX('[1]SALES PERTYPE'!$AA$10:$AA$52,MATCH($C35,'[1]SALES PERTYPE'!$B$10:$B$52,0)),0)</f>
        <v>0</v>
      </c>
      <c r="BX35" s="143" cm="1">
        <f t="array" ref="BX35">IFERROR(INDEX('[1]Sales per type juli'!$D$10:$BA$51,MATCH($C35,'[1]Sales per type juli'!$B$10:$B$51,0),MATCH("IQOO 15R",'[1]Sales per type juli'!$D$8:$BA$8,0)+1),0)</f>
        <v>9899000</v>
      </c>
      <c r="BY35" s="143">
        <f t="shared" si="23"/>
        <v>-9899000</v>
      </c>
      <c r="BZ35" s="143">
        <f>IFERROR(INDEX('[1]SALES PERTYPE'!$AB$10:$AB$52,MATCH($C35,'[1]SALES PERTYPE'!$B$10:$B$52,0)),0)</f>
        <v>2</v>
      </c>
      <c r="CA35" s="143">
        <f>IFERROR(INDEX('[1]Sales per type juli'!$D$10:$BA$51,MATCH($C35,'[1]Sales per type juli'!$B$10:$B$51,0),MATCH("V60 Lite",'[1]Sales per type juli'!$D$8:$BA$8,0)),0)</f>
        <v>0</v>
      </c>
      <c r="CB35" s="143">
        <f t="shared" si="24"/>
        <v>2</v>
      </c>
      <c r="CC35" s="143">
        <f>IFERROR(INDEX('[1]SALES PERTYPE'!$AC$10:$AC$52,MATCH($C35,'[1]SALES PERTYPE'!$B$10:$B$52,0)),0)</f>
        <v>12998000</v>
      </c>
      <c r="CD35" s="143" cm="1">
        <f t="array" ref="CD35">IFERROR(INDEX('[1]Sales per type juli'!$D$10:$BA$51,MATCH($C35,'[1]Sales per type juli'!$B$10:$B$51,0),MATCH("V60 Lite",'[1]Sales per type juli'!$D$8:$BA$8,0)+1),0)</f>
        <v>0</v>
      </c>
      <c r="CE35" s="143">
        <f t="shared" si="25"/>
        <v>12998000</v>
      </c>
      <c r="CF35" s="143">
        <f>IFERROR(INDEX('[1]SALES PERTYPE'!$AD$10:$AD$52,MATCH($C35,'[1]SALES PERTYPE'!$B$10:$B$52,0)),0)</f>
        <v>0</v>
      </c>
      <c r="CG35" s="143">
        <f>IFERROR(INDEX('[1]Sales per type juli'!$D$10:$BA$51,MATCH($C35,'[1]Sales per type juli'!$B$10:$B$51,0),MATCH("X300 Ultra",'[1]Sales per type juli'!$D$8:$BA$8,0)),0)</f>
        <v>1</v>
      </c>
      <c r="CH35" s="143">
        <f t="shared" si="26"/>
        <v>-1</v>
      </c>
      <c r="CI35" s="143">
        <f>IFERROR(INDEX('[1]SALES PERTYPE'!$AE$10:$AE$52,MATCH($C35,'[1]SALES PERTYPE'!$B$10:$B$52,0)),0)</f>
        <v>0</v>
      </c>
      <c r="CJ35" s="143" cm="1">
        <f t="array" ref="CJ35">IFERROR(INDEX('[1]Sales per type juli'!$D$10:$BA$51,MATCH($C35,'[1]Sales per type juli'!$B$10:$B$51,0),MATCH("X300 Ultra",'[1]Sales per type juli'!$D$8:$BA$8,0)+1),0)</f>
        <v>25999000</v>
      </c>
      <c r="CK35" s="143">
        <f t="shared" si="27"/>
        <v>-25999000</v>
      </c>
      <c r="CL35" s="143">
        <f>IFERROR(INDEX('[1]SALES PERTYPE'!$AF$10:$AF$52,MATCH($C35,'[1]SALES PERTYPE'!$B$10:$B$52,0)),0)</f>
        <v>0</v>
      </c>
      <c r="CM35" s="143">
        <f>IFERROR(INDEX('[1]Sales per type juli'!$D$10:$BA$51,MATCH($C35,'[1]Sales per type juli'!$B$10:$B$51,0),MATCH("IQOO 15",'[1]Sales per type juli'!$D$8:$BA$8,0)),0)</f>
        <v>0</v>
      </c>
      <c r="CN35" s="143">
        <f t="shared" si="28"/>
        <v>0</v>
      </c>
      <c r="CO35" s="143">
        <f>IFERROR(INDEX('[1]SALES PERTYPE'!$AG$10:$AG$52,MATCH($C35,'[1]SALES PERTYPE'!$B$10:$B$52,0)),0)</f>
        <v>0</v>
      </c>
      <c r="CP35" s="143" cm="1">
        <f t="array" ref="CP35">IFERROR(INDEX('[1]Sales per type juli'!$D$10:$BA$51,MATCH($C35,'[1]Sales per type juli'!$B$10:$B$51,0),MATCH("IQOO 15",'[1]Sales per type juli'!$D$8:$BA$8,0)+1),0)</f>
        <v>0</v>
      </c>
      <c r="CQ35" s="143">
        <f t="shared" si="29"/>
        <v>0</v>
      </c>
      <c r="CR35" s="143">
        <f>IFERROR(INDEX('[1]SALES PERTYPE'!$AH$10:$AH$52,MATCH($C35,'[1]SALES PERTYPE'!$B$10:$B$52,0)),0)</f>
        <v>0</v>
      </c>
      <c r="CS35" s="143">
        <f>IFERROR(INDEX('[1]Sales per type juli'!$D$10:$BA$51,MATCH($C35,'[1]Sales per type juli'!$B$10:$B$51,0),MATCH("IQOO Z11x",'[1]Sales per type juli'!$D$8:$BA$8,0)),0)</f>
        <v>0</v>
      </c>
      <c r="CT35" s="143">
        <f t="shared" si="30"/>
        <v>0</v>
      </c>
      <c r="CU35" s="143">
        <f>IFERROR(INDEX('[1]SALES PERTYPE'!$AI$10:$AI$52,MATCH($C35,'[1]SALES PERTYPE'!$B$10:$B$52,0)),0)</f>
        <v>0</v>
      </c>
      <c r="CV35" s="143" cm="1">
        <f t="array" ref="CV35">IFERROR(INDEX('[1]Sales per type juli'!$D$10:$BA$51,MATCH($C35,'[1]Sales per type juli'!$B$10:$B$51,0),MATCH("IQOO Z11x",'[1]Sales per type juli'!$D$8:$BA$8,0)+1),0)</f>
        <v>0</v>
      </c>
      <c r="CW35" s="143">
        <f t="shared" si="31"/>
        <v>0</v>
      </c>
      <c r="CX35" s="143">
        <f>IFERROR(INDEX('[1]SALES PERTYPE'!$AJ$10:$AJ$52,MATCH($C35,'[1]SALES PERTYPE'!$B$10:$B$52,0)),0)</f>
        <v>1</v>
      </c>
      <c r="CY35" s="143">
        <f>IFERROR(INDEX('[1]Sales per type juli'!$D$10:$BA$51,MATCH($C35,'[1]Sales per type juli'!$B$10:$B$51,0),MATCH("IQOO Z11",'[1]Sales per type juli'!$D$8:$BA$8,0)),0)</f>
        <v>2</v>
      </c>
      <c r="CZ35" s="143">
        <f t="shared" si="32"/>
        <v>-1</v>
      </c>
      <c r="DA35" s="143">
        <f>IFERROR(INDEX('[1]SALES PERTYPE'!$AK$10:$AK$52,MATCH($C35,'[1]SALES PERTYPE'!$B$10:$B$52,0)),0)</f>
        <v>8399000</v>
      </c>
      <c r="DB35" s="143" cm="1">
        <f t="array" ref="DB35">IFERROR(INDEX('[1]Sales per type juli'!$D$10:$BA$51,MATCH($C35,'[1]Sales per type juli'!$B$10:$B$51,0),MATCH("IQOO Z11",'[1]Sales per type juli'!$D$8:$BA$8,0)+1),0)</f>
        <v>11398000</v>
      </c>
      <c r="DC35" s="143">
        <f t="shared" si="33"/>
        <v>-2999000</v>
      </c>
      <c r="DD35" s="143">
        <v>0</v>
      </c>
      <c r="DE35" s="143">
        <f>IFERROR(INDEX('[1]Sales per type juli'!$D$10:$BA$51,MATCH($C35,'[1]Sales per type juli'!$B$10:$B$51,0),MATCH("WATCH 3",'[1]Sales per type juli'!$D$8:$BA$8,0)),0)</f>
        <v>0</v>
      </c>
      <c r="DF35" s="143">
        <f t="shared" si="34"/>
        <v>0</v>
      </c>
      <c r="DG35" s="143">
        <v>0</v>
      </c>
      <c r="DH35" s="143" cm="1">
        <f t="array" ref="DH35">IFERROR(INDEX('[1]Sales per type juli'!$D$10:$BA$51,MATCH($C35,'[1]Sales per type juli'!$B$10:$B$51,0),MATCH("WATCH 3",'[1]Sales per type juli'!$D$8:$BA$8,0)+1),0)</f>
        <v>0</v>
      </c>
      <c r="DI35" s="143">
        <f t="shared" si="35"/>
        <v>0</v>
      </c>
      <c r="DJ35" s="143">
        <v>0</v>
      </c>
      <c r="DK35" s="143">
        <f>IFERROR(INDEX('[1]Sales per type juli'!$D$10:$BA$51,MATCH($C35,'[1]Sales per type juli'!$B$10:$B$51,0),MATCH("X300 Demo",'[1]Sales per type juli'!$D$8:$BA$8,0)),0)</f>
        <v>1</v>
      </c>
      <c r="DL35" s="143">
        <f t="shared" si="36"/>
        <v>-1</v>
      </c>
      <c r="DM35" s="143">
        <v>0</v>
      </c>
      <c r="DN35" s="143" cm="1">
        <f t="array" ref="DN35">IFERROR(INDEX('[1]Sales per type juli'!$D$10:$BA$51,MATCH($C35,'[1]Sales per type juli'!$B$10:$B$51,0),MATCH("X300 Demo",'[1]Sales per type juli'!$D$8:$BA$8,0)+1),0)</f>
        <v>14999000</v>
      </c>
      <c r="DO35" s="143">
        <f t="shared" si="37"/>
        <v>-14999000</v>
      </c>
      <c r="DP35" s="143">
        <v>0</v>
      </c>
      <c r="DQ35" s="143">
        <f>IFERROR(INDEX('[1]Sales per type juli'!$D$10:$BA$51,MATCH($C35,'[1]Sales per type juli'!$B$10:$B$51,0),MATCH("X300 Pro Demo",'[1]Sales per type juli'!$D$8:$BA$8,0)),0)</f>
        <v>1</v>
      </c>
      <c r="DR35" s="143">
        <f t="shared" si="38"/>
        <v>-1</v>
      </c>
      <c r="DS35" s="143">
        <v>0</v>
      </c>
      <c r="DT35" s="143" cm="1">
        <f t="array" ref="DT35">IFERROR(INDEX('[1]Sales per type juli'!$D$10:$BA$51,MATCH($C35,'[1]Sales per type juli'!$B$10:$B$51,0),MATCH("X300 Pro Demo",'[1]Sales per type juli'!$D$8:$BA$8,0)+1),0)</f>
        <v>18999000</v>
      </c>
      <c r="DU35" s="143">
        <f t="shared" si="39"/>
        <v>-18999000</v>
      </c>
      <c r="DV35" s="143">
        <v>0</v>
      </c>
      <c r="DW35" s="143">
        <f>IFERROR(INDEX('[1]Sales per type juli'!$D$10:$BA$51,MATCH($C35,'[1]Sales per type juli'!$B$10:$B$51,0),MATCH("X Fold5 DEMO",'[1]Sales per type juli'!$D$8:$BA$8,0)),0)</f>
        <v>0</v>
      </c>
      <c r="DX35" s="143">
        <f t="shared" si="40"/>
        <v>0</v>
      </c>
      <c r="DY35" s="143">
        <v>0</v>
      </c>
      <c r="DZ35" s="143" cm="1">
        <f t="array" ref="DZ35">IFERROR(INDEX('[1]Sales per type juli'!$D$10:$BA$51,MATCH($C35,'[1]Sales per type juli'!$B$10:$B$51,0),MATCH("X Fold5 DEMO",'[1]Sales per type juli'!$D$8:$BA$8,0)+1),0)</f>
        <v>0</v>
      </c>
      <c r="EA35" s="143">
        <f t="shared" si="41"/>
        <v>0</v>
      </c>
      <c r="EB35" s="143">
        <v>0</v>
      </c>
      <c r="EC35" s="143">
        <f>IFERROR(INDEX('[1]Sales per type juli'!$D$10:$BA$51,MATCH($C35,'[1]Sales per type juli'!$B$10:$B$51,0),MATCH("X Fold5",'[1]Sales per type juli'!$D$8:$BA$8,0)),0)</f>
        <v>0</v>
      </c>
      <c r="ED35" s="143">
        <f t="shared" si="42"/>
        <v>0</v>
      </c>
      <c r="EE35" s="143">
        <v>0</v>
      </c>
      <c r="EF35" s="143" cm="1">
        <f t="array" ref="EF35">IFERROR(INDEX('[1]Sales per type juli'!$D$10:$BA$51,MATCH($C35,'[1]Sales per type juli'!$B$10:$B$51,0),MATCH("X Fold5",'[1]Sales per type juli'!$D$8:$BA$8,0)+1),0)</f>
        <v>0</v>
      </c>
      <c r="EG35" s="143">
        <f t="shared" si="43"/>
        <v>0</v>
      </c>
      <c r="EH35" s="143">
        <v>0</v>
      </c>
      <c r="EI35" s="143">
        <f>IFERROR(INDEX('[1]Sales per type juli'!$D$10:$BA$51,MATCH($C35,'[1]Sales per type juli'!$B$10:$B$51,0),MATCH("IQOO 15 Demo",'[1]Sales per type juli'!$D$8:$BA$8,0)),0)</f>
        <v>1</v>
      </c>
      <c r="EJ35" s="143">
        <f t="shared" si="44"/>
        <v>-1</v>
      </c>
      <c r="EK35" s="143">
        <v>0</v>
      </c>
      <c r="EL35" s="143" cm="1">
        <f t="array" ref="EL35">IFERROR(INDEX('[1]Sales per type juli'!$D$10:$BA$51,MATCH($C35,'[1]Sales per type juli'!$B$10:$B$51,0),MATCH("IQOO 15 Demo",'[1]Sales per type juli'!$D$8:$BA$8,0)+1),0)</f>
        <v>13999000</v>
      </c>
      <c r="EM35" s="143">
        <f t="shared" si="45"/>
        <v>-13999000</v>
      </c>
      <c r="EN35" s="143">
        <v>0</v>
      </c>
      <c r="EO35" s="143">
        <f>IFERROR(INDEX('[1]Sales per type juli'!$D$10:$BA$51,MATCH($C35,'[1]Sales per type juli'!$B$10:$B$51,0),MATCH("X300 PRO",'[1]Sales per type juli'!$D$8:$BA$8,0)),0)</f>
        <v>0</v>
      </c>
      <c r="EP35" s="143">
        <f t="shared" si="46"/>
        <v>0</v>
      </c>
      <c r="EQ35" s="143">
        <v>0</v>
      </c>
      <c r="ER35" s="143" cm="1">
        <f t="array" ref="ER35">IFERROR(INDEX('[1]Sales per type juli'!$D$10:$BA$51,MATCH($C35,'[1]Sales per type juli'!$B$10:$B$51,0),MATCH("X300 PRO",'[1]Sales per type juli'!$D$8:$BA$8,0)+1),0)</f>
        <v>0</v>
      </c>
      <c r="ES35" s="143">
        <f t="shared" si="47"/>
        <v>0</v>
      </c>
      <c r="ET35" s="143">
        <v>0</v>
      </c>
      <c r="EU35" s="143">
        <f>IFERROR(INDEX('[1]Sales per type juli'!$D$10:$BA$51,MATCH($C35,'[1]Sales per type juli'!$B$10:$B$51,0),MATCH("X300 ",'[1]Sales per type juli'!$D$8:$BA$8,0)),0)</f>
        <v>0</v>
      </c>
      <c r="EV35" s="143">
        <f t="shared" si="48"/>
        <v>0</v>
      </c>
      <c r="EW35" s="143">
        <v>0</v>
      </c>
      <c r="EX35" s="143" cm="1">
        <f t="array" ref="EX35">IFERROR(INDEX('[1]Sales per type juli'!$D$10:$BA$51,MATCH($C35,'[1]Sales per type juli'!$B$10:$B$51,0),MATCH("X300 ",'[1]Sales per type juli'!$D$8:$BA$8,0)+1),0)</f>
        <v>0</v>
      </c>
      <c r="EY35" s="143">
        <f t="shared" si="49"/>
        <v>0</v>
      </c>
      <c r="EZ35" s="143">
        <f t="shared" si="50"/>
        <v>24</v>
      </c>
      <c r="FA35" s="143">
        <f t="shared" si="50"/>
        <v>17</v>
      </c>
      <c r="FB35" s="143">
        <f t="shared" si="51"/>
        <v>7</v>
      </c>
      <c r="FC35" s="143">
        <f t="shared" si="52"/>
        <v>103076000</v>
      </c>
      <c r="FD35" s="143">
        <f t="shared" si="52"/>
        <v>134783000</v>
      </c>
      <c r="FE35" s="143">
        <f t="shared" si="53"/>
        <v>-31707000</v>
      </c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</row>
    <row r="36" spans="1:208" ht="16" x14ac:dyDescent="0.2">
      <c r="A36" s="144">
        <f>'[1]ACHIEVEMENT STORE'!A36</f>
        <v>32</v>
      </c>
      <c r="B36" s="145" t="str">
        <f>'[1]ACHIEVEMENT STORE'!B36</f>
        <v>624-万丹BANTEN</v>
      </c>
      <c r="C36" s="144">
        <f>'[1]ACHIEVEMENT STORE'!C36</f>
        <v>6240706</v>
      </c>
      <c r="D36" s="145" t="str">
        <f>'[1]ACHIEVEMENT STORE'!D36</f>
        <v>6240706-SUPERMALL LGC3A</v>
      </c>
      <c r="E36" s="145" t="str">
        <f>'[1]ACHIEVEMENT STORE'!E36</f>
        <v>ADE RIVALDI L</v>
      </c>
      <c r="F36" s="143">
        <f>IFERROR(INDEX('[1]SALES PERTYPE'!$D$10:$D$52,MATCH($C36,'[1]SALES PERTYPE'!$B$10:$B$52,0)),0)</f>
        <v>3</v>
      </c>
      <c r="G36" s="143">
        <f>IFERROR(INDEX('[1]Sales per type juli'!$D$10:$BA$51,MATCH($C36,'[1]Sales per type juli'!$B$10:$B$51,0),MATCH("Y05",'[1]Sales per type juli'!$D$8:$BA$8,0)),0)</f>
        <v>3</v>
      </c>
      <c r="H36" s="143">
        <f t="shared" si="0"/>
        <v>0</v>
      </c>
      <c r="I36" s="143">
        <f>IFERROR(INDEX('[1]SALES PERTYPE'!$E$10:$E$52,MATCH($C36,'[1]SALES PERTYPE'!$B$10:$B$52,0)),0)</f>
        <v>6897000</v>
      </c>
      <c r="J36" s="143" cm="1">
        <f t="array" ref="J36">IFERROR(INDEX('[1]Sales per type juli'!$D$10:$BA$51,MATCH($C36,'[1]Sales per type juli'!$B$10:$B$51,0),MATCH("Y05",'[1]Sales per type juli'!$D$8:$BA$8,0)+1),0)</f>
        <v>7197000</v>
      </c>
      <c r="K36" s="143">
        <f t="shared" si="1"/>
        <v>-300000</v>
      </c>
      <c r="L36" s="143">
        <f>IFERROR(INDEX('[1]SALES PERTYPE'!$F$10:$F$52,MATCH($C36,'[1]SALES PERTYPE'!$B$10:$B$52,0)),0)</f>
        <v>6</v>
      </c>
      <c r="M36" s="143">
        <f>IFERROR(INDEX('[1]Sales per type juli'!$D$10:$BA$51,MATCH($C36,'[1]Sales per type juli'!$B$10:$B$51,0),MATCH("Y11d",'[1]Sales per type juli'!$D$8:$BA$8,0)),0)</f>
        <v>4</v>
      </c>
      <c r="N36" s="143">
        <f t="shared" si="2"/>
        <v>2</v>
      </c>
      <c r="O36" s="143">
        <f>IFERROR(INDEX('[1]SALES PERTYPE'!$G$10:$G$52,MATCH($C36,'[1]SALES PERTYPE'!$B$10:$B$52,0)),0)</f>
        <v>16394000</v>
      </c>
      <c r="P36" s="143" cm="1">
        <f t="array" ref="P36">IFERROR(INDEX('[1]Sales per type juli'!$D$10:$BA$51,MATCH($C36,'[1]Sales per type juli'!$B$10:$B$51,0),MATCH("Y11d",'[1]Sales per type juli'!$D$8:$BA$8,0)+1),0)</f>
        <v>10796000</v>
      </c>
      <c r="Q36" s="143">
        <f t="shared" si="3"/>
        <v>5598000</v>
      </c>
      <c r="R36" s="143">
        <f>IFERROR(INDEX('[1]SALES PERTYPE'!$H$10:$H$52,MATCH($C36,'[1]SALES PERTYPE'!$B$10:$B$52,0)),0)</f>
        <v>0</v>
      </c>
      <c r="S36" s="143">
        <f>IFERROR(INDEX('[1]Sales per type juli'!$D$10:$BA$51,MATCH($C36,'[1]Sales per type juli'!$B$10:$B$51,0),MATCH("Watch GT 2",'[1]Sales per type juli'!$D$8:$BA$8,0)),0)</f>
        <v>0</v>
      </c>
      <c r="T36" s="143">
        <f t="shared" si="4"/>
        <v>0</v>
      </c>
      <c r="U36" s="143">
        <f>IFERROR(INDEX('[1]SALES PERTYPE'!$I$10:$I$52,MATCH($C36,'[1]SALES PERTYPE'!$B$10:$B$52,0)),0)</f>
        <v>0</v>
      </c>
      <c r="V36" s="143" cm="1">
        <f t="array" ref="V36">IFERROR(INDEX('[1]Sales per type juli'!$D$10:$BA$51,MATCH($C36,'[1]Sales per type juli'!$B$10:$B$51,0),MATCH("Watch GT 2",'[1]Sales per type juli'!$D$8:$BA$8,0)+1),0)</f>
        <v>0</v>
      </c>
      <c r="W36" s="143">
        <f t="shared" si="5"/>
        <v>0</v>
      </c>
      <c r="X36" s="143">
        <f>IFERROR(INDEX('[1]SALES PERTYPE'!$J$10:$J$52,MATCH($C36,'[1]SALES PERTYPE'!$B$10:$B$52,0)),0)</f>
        <v>2</v>
      </c>
      <c r="Y36" s="143">
        <f>IFERROR(INDEX('[1]Sales per type juli'!$D$10:$BA$51,MATCH($C36,'[1]Sales per type juli'!$B$10:$B$51,0),MATCH("Y05e",'[1]Sales per type juli'!$D$8:$BA$8,0)),0)</f>
        <v>0</v>
      </c>
      <c r="Z36" s="143">
        <f t="shared" si="6"/>
        <v>2</v>
      </c>
      <c r="AA36" s="143">
        <f>IFERROR(INDEX('[1]SALES PERTYPE'!$K$10:$K$52,MATCH($C36,'[1]SALES PERTYPE'!$B$10:$B$52,0)),0)</f>
        <v>4198000</v>
      </c>
      <c r="AB36" s="143" cm="1">
        <f t="array" ref="AB36">IFERROR(INDEX('[1]Sales per type juli'!$D$10:$BA$51,MATCH($C36,'[1]Sales per type juli'!$B$10:$B$51,0),MATCH("Y05e",'[1]Sales per type juli'!$D$8:$BA$8,0)+1),0)</f>
        <v>0</v>
      </c>
      <c r="AC36" s="143">
        <f t="shared" si="7"/>
        <v>4198000</v>
      </c>
      <c r="AD36" s="143">
        <f>IFERROR(INDEX('[1]SALES PERTYPE'!$L$10:$L$52,MATCH($C36,'[1]SALES PERTYPE'!$B$10:$B$52,0)),0)</f>
        <v>1</v>
      </c>
      <c r="AE36" s="143">
        <f>IFERROR(INDEX('[1]Sales per type juli'!$D$10:$BA$51,MATCH($C36,'[1]Sales per type juli'!$B$10:$B$51,0),MATCH("V70",'[1]Sales per type juli'!$D$8:$BA$8,0)),0)</f>
        <v>3</v>
      </c>
      <c r="AF36" s="143">
        <f t="shared" si="8"/>
        <v>-2</v>
      </c>
      <c r="AG36" s="143">
        <f>IFERROR(INDEX('[1]SALES PERTYPE'!$M$10:$M$52,MATCH($C36,'[1]SALES PERTYPE'!$B$10:$B$52,0)),0)</f>
        <v>9999000</v>
      </c>
      <c r="AH36" s="143" cm="1">
        <f t="array" ref="AH36">IFERROR(INDEX('[1]Sales per type juli'!$D$10:$BA$51,MATCH($C36,'[1]Sales per type juli'!$B$10:$B$51,0),MATCH("V70",'[1]Sales per type juli'!$D$8:$BA$8,0)+1),0)</f>
        <v>26997000</v>
      </c>
      <c r="AI36" s="143">
        <f t="shared" si="9"/>
        <v>-16998000</v>
      </c>
      <c r="AJ36" s="143">
        <f>IFERROR(INDEX('[1]SALES PERTYPE'!$N$10:$N$52,MATCH($C36,'[1]SALES PERTYPE'!$B$10:$B$52,0)),0)</f>
        <v>3</v>
      </c>
      <c r="AK36" s="143">
        <f>IFERROR(INDEX('[1]Sales per type juli'!$D$10:$BA$51,MATCH($C36,'[1]Sales per type juli'!$B$10:$B$51,0),MATCH("Y31d Pro",'[1]Sales per type juli'!$D$8:$BA$8,0)),0)</f>
        <v>2</v>
      </c>
      <c r="AL36" s="143">
        <f t="shared" si="10"/>
        <v>1</v>
      </c>
      <c r="AM36" s="143">
        <f>IFERROR(INDEX('[1]SALES PERTYPE'!$O$10:$O$52,MATCH($C36,'[1]SALES PERTYPE'!$B$10:$B$52,0)),0)</f>
        <v>13697000</v>
      </c>
      <c r="AN36" s="143" cm="1">
        <f t="array" ref="AN36">IFERROR(INDEX('[1]Sales per type juli'!$D$10:$BA$51,MATCH($C36,'[1]Sales per type juli'!$B$10:$B$51,0),MATCH("Y31d Pro",'[1]Sales per type juli'!$D$8:$BA$8,0)+1),0)</f>
        <v>8198000</v>
      </c>
      <c r="AO36" s="143">
        <f t="shared" si="11"/>
        <v>5499000</v>
      </c>
      <c r="AP36" s="143">
        <f>IFERROR(INDEX('[1]SALES PERTYPE'!$P$10:$P$52,MATCH($C36,'[1]SALES PERTYPE'!$B$10:$B$52,0)),0)</f>
        <v>0</v>
      </c>
      <c r="AQ36" s="143" cm="1">
        <f t="array" ref="AQ36">IFERROR(INDEX('[1]Sales per type juli'!$D$10:$BA$51,MATCH($C36,'[1]Sales per type juli'!$B$10:$B$51,0),$FG$2),0)</f>
        <v>0</v>
      </c>
      <c r="AR36" s="143">
        <f t="shared" si="12"/>
        <v>0</v>
      </c>
      <c r="AS36" s="143">
        <f>IFERROR(INDEX('[1]SALES PERTYPE'!$Q$10:$Q$52,MATCH($C36,'[1]SALES PERTYPE'!$B$10:$B$52,0)),0)</f>
        <v>0</v>
      </c>
      <c r="AT36" s="143" cm="1">
        <f t="array" ref="AT36">IFERROR(INDEX('[1]Sales per type juli'!$D$10:$BA$51,MATCH($C36,'[1]Sales per type juli'!$B$10:$B$51,0),$FG$2+1),0)</f>
        <v>0</v>
      </c>
      <c r="AU36" s="143">
        <f t="shared" si="13"/>
        <v>0</v>
      </c>
      <c r="AV36" s="143">
        <f>IFERROR(INDEX('[1]SALES PERTYPE'!$R$10:$R$52,MATCH($C36,'[1]SALES PERTYPE'!$B$10:$B$52,0)),0)</f>
        <v>0</v>
      </c>
      <c r="AW36" s="143">
        <f>IFERROR(INDEX('[1]Sales per type juli'!$D$10:$BA$51,MATCH($C36,'[1]Sales per type juli'!$B$10:$B$51,0),MATCH("Y31d ",'[1]Sales per type juli'!$D$8:$BA$8,0)),0)</f>
        <v>1</v>
      </c>
      <c r="AX36" s="143">
        <f t="shared" si="14"/>
        <v>-1</v>
      </c>
      <c r="AY36" s="143">
        <f>IFERROR(INDEX('[1]SALES PERTYPE'!$S$10:$S$52,MATCH($C36,'[1]SALES PERTYPE'!$B$10:$B$52,0)),0)</f>
        <v>0</v>
      </c>
      <c r="AZ36" s="143" cm="1">
        <f t="array" ref="AZ36">IFERROR(INDEX('[1]Sales per type juli'!$D$10:$BA$51,MATCH($C36,'[1]Sales per type juli'!$B$10:$B$51,0),MATCH("Y31d ",'[1]Sales per type juli'!$D$8:$BA$8,0)+1),0)</f>
        <v>3599000</v>
      </c>
      <c r="BA36" s="143">
        <f t="shared" si="15"/>
        <v>-3599000</v>
      </c>
      <c r="BB36" s="143">
        <f>IFERROR(INDEX('[1]SALES PERTYPE'!$T$10:$T$52,MATCH($C36,'[1]SALES PERTYPE'!$B$10:$B$52,0)),0)</f>
        <v>2</v>
      </c>
      <c r="BC36" s="143">
        <f>IFERROR(INDEX('[1]Sales per type juli'!$D$10:$BA$51,MATCH($C36,'[1]Sales per type juli'!$B$10:$B$51,0),MATCH("V70 FE",'[1]Sales per type juli'!$D$8:$BA$8,0)),0)</f>
        <v>4</v>
      </c>
      <c r="BD36" s="143">
        <f t="shared" si="16"/>
        <v>-2</v>
      </c>
      <c r="BE36" s="143">
        <f>IFERROR(INDEX('[1]SALES PERTYPE'!$U$10:$U$52,MATCH($C36,'[1]SALES PERTYPE'!$B$10:$B$52,0)),0)</f>
        <v>14998000</v>
      </c>
      <c r="BF36" s="143" cm="1">
        <f t="array" ref="BF36">IFERROR(INDEX('[1]Sales per type juli'!$D$10:$BA$51,MATCH($C36,'[1]Sales per type juli'!$B$10:$B$51,0),MATCH("V70 FE",'[1]Sales per type juli'!$D$8:$BA$8,0)+1),0)</f>
        <v>26696000</v>
      </c>
      <c r="BG36" s="143">
        <f t="shared" si="17"/>
        <v>-11698000</v>
      </c>
      <c r="BH36" s="143">
        <f>IFERROR(INDEX('[1]SALES PERTYPE'!$V$10:$V$52,MATCH($C36,'[1]SALES PERTYPE'!$B$10:$B$52,0)),0)</f>
        <v>0</v>
      </c>
      <c r="BI36" s="143">
        <f>IFERROR(INDEX('[1]Sales per type juli'!$D$10:$BA$51,MATCH($C36,'[1]Sales per type juli'!$B$10:$B$51,0),MATCH("Y31d",'[1]Sales per type juli'!$D$8:$BA$8,0)),0)</f>
        <v>0</v>
      </c>
      <c r="BJ36" s="143">
        <f t="shared" si="18"/>
        <v>0</v>
      </c>
      <c r="BK36" s="143">
        <f>IFERROR(INDEX('[1]SALES PERTYPE'!$W$10:$W$52,MATCH($C36,'[1]SALES PERTYPE'!$B$10:$B$52,0)),0)</f>
        <v>0</v>
      </c>
      <c r="BL36" s="143" cm="1">
        <f t="array" ref="BL36">IFERROR(INDEX('[1]Sales per type juli'!$D$10:$BA$51,MATCH($C36,'[1]Sales per type juli'!$B$10:$B$51,0),MATCH("Y31d",'[1]Sales per type juli'!$D$8:$BA$8,0)+1),0)</f>
        <v>0</v>
      </c>
      <c r="BM36" s="143">
        <f t="shared" si="19"/>
        <v>0</v>
      </c>
      <c r="BN36" s="143">
        <f>IFERROR(INDEX('[1]SALES PERTYPE'!$X$10:$X$52,MATCH($C36,'[1]SALES PERTYPE'!$B$10:$B$52,0)),0)</f>
        <v>0</v>
      </c>
      <c r="BO36" s="143">
        <f>IFERROR(INDEX('[1]Sales per type juli'!$D$10:$BA$51,MATCH($C36,'[1]Sales per type juli'!$B$10:$B$51,0),MATCH("Y500",'[1]Sales per type juli'!$D$8:$BA$8,0)),0)</f>
        <v>2</v>
      </c>
      <c r="BP36" s="143">
        <f t="shared" si="20"/>
        <v>-2</v>
      </c>
      <c r="BQ36" s="143">
        <f>IFERROR(INDEX('[1]SALES PERTYPE'!$Y$10:$Y$52,MATCH($C36,'[1]SALES PERTYPE'!$B$10:$B$52,0)),0)</f>
        <v>0</v>
      </c>
      <c r="BR36" s="143" cm="1">
        <f t="array" ref="BR36">IFERROR(INDEX('[1]Sales per type juli'!$D$10:$BA$51,MATCH($C36,'[1]Sales per type juli'!$B$10:$B$51,0),MATCH("Y500",'[1]Sales per type juli'!$D$8:$BA$8,0)+1),0)</f>
        <v>10998000</v>
      </c>
      <c r="BS36" s="143">
        <f t="shared" si="21"/>
        <v>-10998000</v>
      </c>
      <c r="BT36" s="143">
        <f>IFERROR(INDEX('[1]SALES PERTYPE'!$Z$10:$Z$52,MATCH($C36,'[1]SALES PERTYPE'!$B$10:$B$52,0)),0)</f>
        <v>0</v>
      </c>
      <c r="BU36" s="143">
        <f>IFERROR(INDEX('[1]Sales per type juli'!$D$10:$BA$51,MATCH($C36,'[1]Sales per type juli'!$B$10:$B$51,0),MATCH("IQOO 15R",'[1]Sales per type juli'!$D$8:$BA$8,0)),0)</f>
        <v>1</v>
      </c>
      <c r="BV36" s="143">
        <f t="shared" si="22"/>
        <v>-1</v>
      </c>
      <c r="BW36" s="143">
        <f>IFERROR(INDEX('[1]SALES PERTYPE'!$AA$10:$AA$52,MATCH($C36,'[1]SALES PERTYPE'!$B$10:$B$52,0)),0)</f>
        <v>0</v>
      </c>
      <c r="BX36" s="143" cm="1">
        <f t="array" ref="BX36">IFERROR(INDEX('[1]Sales per type juli'!$D$10:$BA$51,MATCH($C36,'[1]Sales per type juli'!$B$10:$B$51,0),MATCH("IQOO 15R",'[1]Sales per type juli'!$D$8:$BA$8,0)+1),0)</f>
        <v>11399000</v>
      </c>
      <c r="BY36" s="143">
        <f t="shared" si="23"/>
        <v>-11399000</v>
      </c>
      <c r="BZ36" s="143">
        <f>IFERROR(INDEX('[1]SALES PERTYPE'!$AB$10:$AB$52,MATCH($C36,'[1]SALES PERTYPE'!$B$10:$B$52,0)),0)</f>
        <v>1</v>
      </c>
      <c r="CA36" s="143">
        <f>IFERROR(INDEX('[1]Sales per type juli'!$D$10:$BA$51,MATCH($C36,'[1]Sales per type juli'!$B$10:$B$51,0),MATCH("V60 Lite",'[1]Sales per type juli'!$D$8:$BA$8,0)),0)</f>
        <v>1</v>
      </c>
      <c r="CB36" s="143">
        <f t="shared" si="24"/>
        <v>0</v>
      </c>
      <c r="CC36" s="143">
        <f>IFERROR(INDEX('[1]SALES PERTYPE'!$AC$10:$AC$52,MATCH($C36,'[1]SALES PERTYPE'!$B$10:$B$52,0)),0)</f>
        <v>5299000</v>
      </c>
      <c r="CD36" s="143" cm="1">
        <f t="array" ref="CD36">IFERROR(INDEX('[1]Sales per type juli'!$D$10:$BA$51,MATCH($C36,'[1]Sales per type juli'!$B$10:$B$51,0),MATCH("V60 Lite",'[1]Sales per type juli'!$D$8:$BA$8,0)+1),0)</f>
        <v>5299000</v>
      </c>
      <c r="CE36" s="143">
        <f t="shared" si="25"/>
        <v>0</v>
      </c>
      <c r="CF36" s="143">
        <f>IFERROR(INDEX('[1]SALES PERTYPE'!$AD$10:$AD$52,MATCH($C36,'[1]SALES PERTYPE'!$B$10:$B$52,0)),0)</f>
        <v>0</v>
      </c>
      <c r="CG36" s="143">
        <f>IFERROR(INDEX('[1]Sales per type juli'!$D$10:$BA$51,MATCH($C36,'[1]Sales per type juli'!$B$10:$B$51,0),MATCH("X300 Ultra",'[1]Sales per type juli'!$D$8:$BA$8,0)),0)</f>
        <v>0</v>
      </c>
      <c r="CH36" s="143">
        <f t="shared" si="26"/>
        <v>0</v>
      </c>
      <c r="CI36" s="143">
        <f>IFERROR(INDEX('[1]SALES PERTYPE'!$AE$10:$AE$52,MATCH($C36,'[1]SALES PERTYPE'!$B$10:$B$52,0)),0)</f>
        <v>0</v>
      </c>
      <c r="CJ36" s="143" cm="1">
        <f t="array" ref="CJ36">IFERROR(INDEX('[1]Sales per type juli'!$D$10:$BA$51,MATCH($C36,'[1]Sales per type juli'!$B$10:$B$51,0),MATCH("X300 Ultra",'[1]Sales per type juli'!$D$8:$BA$8,0)+1),0)</f>
        <v>0</v>
      </c>
      <c r="CK36" s="143">
        <f t="shared" si="27"/>
        <v>0</v>
      </c>
      <c r="CL36" s="143">
        <f>IFERROR(INDEX('[1]SALES PERTYPE'!$AF$10:$AF$52,MATCH($C36,'[1]SALES PERTYPE'!$B$10:$B$52,0)),0)</f>
        <v>0</v>
      </c>
      <c r="CM36" s="143">
        <f>IFERROR(INDEX('[1]Sales per type juli'!$D$10:$BA$51,MATCH($C36,'[1]Sales per type juli'!$B$10:$B$51,0),MATCH("IQOO 15",'[1]Sales per type juli'!$D$8:$BA$8,0)),0)</f>
        <v>0</v>
      </c>
      <c r="CN36" s="143">
        <f t="shared" si="28"/>
        <v>0</v>
      </c>
      <c r="CO36" s="143">
        <f>IFERROR(INDEX('[1]SALES PERTYPE'!$AG$10:$AG$52,MATCH($C36,'[1]SALES PERTYPE'!$B$10:$B$52,0)),0)</f>
        <v>0</v>
      </c>
      <c r="CP36" s="143" cm="1">
        <f t="array" ref="CP36">IFERROR(INDEX('[1]Sales per type juli'!$D$10:$BA$51,MATCH($C36,'[1]Sales per type juli'!$B$10:$B$51,0),MATCH("IQOO 15",'[1]Sales per type juli'!$D$8:$BA$8,0)+1),0)</f>
        <v>0</v>
      </c>
      <c r="CQ36" s="143">
        <f t="shared" si="29"/>
        <v>0</v>
      </c>
      <c r="CR36" s="143">
        <f>IFERROR(INDEX('[1]SALES PERTYPE'!$AH$10:$AH$52,MATCH($C36,'[1]SALES PERTYPE'!$B$10:$B$52,0)),0)</f>
        <v>0</v>
      </c>
      <c r="CS36" s="143">
        <f>IFERROR(INDEX('[1]Sales per type juli'!$D$10:$BA$51,MATCH($C36,'[1]Sales per type juli'!$B$10:$B$51,0),MATCH("IQOO Z11x",'[1]Sales per type juli'!$D$8:$BA$8,0)),0)</f>
        <v>0</v>
      </c>
      <c r="CT36" s="143">
        <f t="shared" si="30"/>
        <v>0</v>
      </c>
      <c r="CU36" s="143">
        <f>IFERROR(INDEX('[1]SALES PERTYPE'!$AI$10:$AI$52,MATCH($C36,'[1]SALES PERTYPE'!$B$10:$B$52,0)),0)</f>
        <v>0</v>
      </c>
      <c r="CV36" s="143" cm="1">
        <f t="array" ref="CV36">IFERROR(INDEX('[1]Sales per type juli'!$D$10:$BA$51,MATCH($C36,'[1]Sales per type juli'!$B$10:$B$51,0),MATCH("IQOO Z11x",'[1]Sales per type juli'!$D$8:$BA$8,0)+1),0)</f>
        <v>0</v>
      </c>
      <c r="CW36" s="143">
        <f t="shared" si="31"/>
        <v>0</v>
      </c>
      <c r="CX36" s="143">
        <f>IFERROR(INDEX('[1]SALES PERTYPE'!$AJ$10:$AJ$52,MATCH($C36,'[1]SALES PERTYPE'!$B$10:$B$52,0)),0)</f>
        <v>1</v>
      </c>
      <c r="CY36" s="143">
        <f>IFERROR(INDEX('[1]Sales per type juli'!$D$10:$BA$51,MATCH($C36,'[1]Sales per type juli'!$B$10:$B$51,0),MATCH("IQOO Z11",'[1]Sales per type juli'!$D$8:$BA$8,0)),0)</f>
        <v>2</v>
      </c>
      <c r="CZ36" s="143">
        <f t="shared" si="32"/>
        <v>-1</v>
      </c>
      <c r="DA36" s="143">
        <f>IFERROR(INDEX('[1]SALES PERTYPE'!$AK$10:$AK$52,MATCH($C36,'[1]SALES PERTYPE'!$B$10:$B$52,0)),0)</f>
        <v>6899000</v>
      </c>
      <c r="DB36" s="143" cm="1">
        <f t="array" ref="DB36">IFERROR(INDEX('[1]Sales per type juli'!$D$10:$BA$51,MATCH($C36,'[1]Sales per type juli'!$B$10:$B$51,0),MATCH("IQOO Z11",'[1]Sales per type juli'!$D$8:$BA$8,0)+1),0)</f>
        <v>11398000</v>
      </c>
      <c r="DC36" s="143">
        <f t="shared" si="33"/>
        <v>-4499000</v>
      </c>
      <c r="DD36" s="143">
        <v>0</v>
      </c>
      <c r="DE36" s="143">
        <f>IFERROR(INDEX('[1]Sales per type juli'!$D$10:$BA$51,MATCH($C36,'[1]Sales per type juli'!$B$10:$B$51,0),MATCH("WATCH 3",'[1]Sales per type juli'!$D$8:$BA$8,0)),0)</f>
        <v>0</v>
      </c>
      <c r="DF36" s="143">
        <f t="shared" si="34"/>
        <v>0</v>
      </c>
      <c r="DG36" s="143">
        <v>0</v>
      </c>
      <c r="DH36" s="143" cm="1">
        <f t="array" ref="DH36">IFERROR(INDEX('[1]Sales per type juli'!$D$10:$BA$51,MATCH($C36,'[1]Sales per type juli'!$B$10:$B$51,0),MATCH("WATCH 3",'[1]Sales per type juli'!$D$8:$BA$8,0)+1),0)</f>
        <v>0</v>
      </c>
      <c r="DI36" s="143">
        <f t="shared" si="35"/>
        <v>0</v>
      </c>
      <c r="DJ36" s="143">
        <v>0</v>
      </c>
      <c r="DK36" s="143">
        <f>IFERROR(INDEX('[1]Sales per type juli'!$D$10:$BA$51,MATCH($C36,'[1]Sales per type juli'!$B$10:$B$51,0),MATCH("X300 Demo",'[1]Sales per type juli'!$D$8:$BA$8,0)),0)</f>
        <v>2</v>
      </c>
      <c r="DL36" s="143">
        <f t="shared" si="36"/>
        <v>-2</v>
      </c>
      <c r="DM36" s="143">
        <v>0</v>
      </c>
      <c r="DN36" s="143" cm="1">
        <f t="array" ref="DN36">IFERROR(INDEX('[1]Sales per type juli'!$D$10:$BA$51,MATCH($C36,'[1]Sales per type juli'!$B$10:$B$51,0),MATCH("X300 Demo",'[1]Sales per type juli'!$D$8:$BA$8,0)+1),0)</f>
        <v>33998000</v>
      </c>
      <c r="DO36" s="143">
        <f t="shared" si="37"/>
        <v>-33998000</v>
      </c>
      <c r="DP36" s="143">
        <v>0</v>
      </c>
      <c r="DQ36" s="143">
        <f>IFERROR(INDEX('[1]Sales per type juli'!$D$10:$BA$51,MATCH($C36,'[1]Sales per type juli'!$B$10:$B$51,0),MATCH("X300 Pro Demo",'[1]Sales per type juli'!$D$8:$BA$8,0)),0)</f>
        <v>0</v>
      </c>
      <c r="DR36" s="143">
        <f t="shared" si="38"/>
        <v>0</v>
      </c>
      <c r="DS36" s="143">
        <v>0</v>
      </c>
      <c r="DT36" s="143" cm="1">
        <f t="array" ref="DT36">IFERROR(INDEX('[1]Sales per type juli'!$D$10:$BA$51,MATCH($C36,'[1]Sales per type juli'!$B$10:$B$51,0),MATCH("X300 Pro Demo",'[1]Sales per type juli'!$D$8:$BA$8,0)+1),0)</f>
        <v>0</v>
      </c>
      <c r="DU36" s="143">
        <f t="shared" si="39"/>
        <v>0</v>
      </c>
      <c r="DV36" s="143">
        <v>0</v>
      </c>
      <c r="DW36" s="143">
        <f>IFERROR(INDEX('[1]Sales per type juli'!$D$10:$BA$51,MATCH($C36,'[1]Sales per type juli'!$B$10:$B$51,0),MATCH("X Fold5 DEMO",'[1]Sales per type juli'!$D$8:$BA$8,0)),0)</f>
        <v>0</v>
      </c>
      <c r="DX36" s="143">
        <f t="shared" si="40"/>
        <v>0</v>
      </c>
      <c r="DY36" s="143">
        <v>0</v>
      </c>
      <c r="DZ36" s="143" cm="1">
        <f t="array" ref="DZ36">IFERROR(INDEX('[1]Sales per type juli'!$D$10:$BA$51,MATCH($C36,'[1]Sales per type juli'!$B$10:$B$51,0),MATCH("X Fold5 DEMO",'[1]Sales per type juli'!$D$8:$BA$8,0)+1),0)</f>
        <v>0</v>
      </c>
      <c r="EA36" s="143">
        <f t="shared" si="41"/>
        <v>0</v>
      </c>
      <c r="EB36" s="143">
        <v>0</v>
      </c>
      <c r="EC36" s="143">
        <f>IFERROR(INDEX('[1]Sales per type juli'!$D$10:$BA$51,MATCH($C36,'[1]Sales per type juli'!$B$10:$B$51,0),MATCH("X Fold5",'[1]Sales per type juli'!$D$8:$BA$8,0)),0)</f>
        <v>0</v>
      </c>
      <c r="ED36" s="143">
        <f t="shared" si="42"/>
        <v>0</v>
      </c>
      <c r="EE36" s="143">
        <v>0</v>
      </c>
      <c r="EF36" s="143" cm="1">
        <f t="array" ref="EF36">IFERROR(INDEX('[1]Sales per type juli'!$D$10:$BA$51,MATCH($C36,'[1]Sales per type juli'!$B$10:$B$51,0),MATCH("X Fold5",'[1]Sales per type juli'!$D$8:$BA$8,0)+1),0)</f>
        <v>0</v>
      </c>
      <c r="EG36" s="143">
        <f t="shared" si="43"/>
        <v>0</v>
      </c>
      <c r="EH36" s="143">
        <v>0</v>
      </c>
      <c r="EI36" s="143">
        <f>IFERROR(INDEX('[1]Sales per type juli'!$D$10:$BA$51,MATCH($C36,'[1]Sales per type juli'!$B$10:$B$51,0),MATCH("IQOO 15 Demo",'[1]Sales per type juli'!$D$8:$BA$8,0)),0)</f>
        <v>0</v>
      </c>
      <c r="EJ36" s="143">
        <f t="shared" si="44"/>
        <v>0</v>
      </c>
      <c r="EK36" s="143">
        <v>0</v>
      </c>
      <c r="EL36" s="143" cm="1">
        <f t="array" ref="EL36">IFERROR(INDEX('[1]Sales per type juli'!$D$10:$BA$51,MATCH($C36,'[1]Sales per type juli'!$B$10:$B$51,0),MATCH("IQOO 15 Demo",'[1]Sales per type juli'!$D$8:$BA$8,0)+1),0)</f>
        <v>0</v>
      </c>
      <c r="EM36" s="143">
        <f t="shared" si="45"/>
        <v>0</v>
      </c>
      <c r="EN36" s="143">
        <v>0</v>
      </c>
      <c r="EO36" s="143">
        <f>IFERROR(INDEX('[1]Sales per type juli'!$D$10:$BA$51,MATCH($C36,'[1]Sales per type juli'!$B$10:$B$51,0),MATCH("X300 PRO",'[1]Sales per type juli'!$D$8:$BA$8,0)),0)</f>
        <v>0</v>
      </c>
      <c r="EP36" s="143">
        <f t="shared" si="46"/>
        <v>0</v>
      </c>
      <c r="EQ36" s="143">
        <v>0</v>
      </c>
      <c r="ER36" s="143" cm="1">
        <f t="array" ref="ER36">IFERROR(INDEX('[1]Sales per type juli'!$D$10:$BA$51,MATCH($C36,'[1]Sales per type juli'!$B$10:$B$51,0),MATCH("X300 PRO",'[1]Sales per type juli'!$D$8:$BA$8,0)+1),0)</f>
        <v>0</v>
      </c>
      <c r="ES36" s="143">
        <f t="shared" si="47"/>
        <v>0</v>
      </c>
      <c r="ET36" s="143">
        <v>0</v>
      </c>
      <c r="EU36" s="143">
        <f>IFERROR(INDEX('[1]Sales per type juli'!$D$10:$BA$51,MATCH($C36,'[1]Sales per type juli'!$B$10:$B$51,0),MATCH("X300 ",'[1]Sales per type juli'!$D$8:$BA$8,0)),0)</f>
        <v>0</v>
      </c>
      <c r="EV36" s="143">
        <f t="shared" si="48"/>
        <v>0</v>
      </c>
      <c r="EW36" s="143">
        <v>0</v>
      </c>
      <c r="EX36" s="143" cm="1">
        <f t="array" ref="EX36">IFERROR(INDEX('[1]Sales per type juli'!$D$10:$BA$51,MATCH($C36,'[1]Sales per type juli'!$B$10:$B$51,0),MATCH("X300 ",'[1]Sales per type juli'!$D$8:$BA$8,0)+1),0)</f>
        <v>0</v>
      </c>
      <c r="EY36" s="143">
        <f t="shared" si="49"/>
        <v>0</v>
      </c>
      <c r="EZ36" s="143">
        <f t="shared" si="50"/>
        <v>19</v>
      </c>
      <c r="FA36" s="143">
        <f t="shared" si="50"/>
        <v>25</v>
      </c>
      <c r="FB36" s="143">
        <f t="shared" si="51"/>
        <v>-6</v>
      </c>
      <c r="FC36" s="143">
        <f t="shared" si="52"/>
        <v>78381000</v>
      </c>
      <c r="FD36" s="143">
        <f t="shared" si="52"/>
        <v>156575000</v>
      </c>
      <c r="FE36" s="143">
        <f t="shared" si="53"/>
        <v>-78194000</v>
      </c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</row>
    <row r="37" spans="1:208" ht="16" x14ac:dyDescent="0.2">
      <c r="A37" s="141">
        <f>'[1]ACHIEVEMENT STORE'!A37</f>
        <v>33</v>
      </c>
      <c r="B37" s="142" t="str">
        <f>'[1]ACHIEVEMENT STORE'!B37</f>
        <v>619-万隆市区BDG KOTA</v>
      </c>
      <c r="C37" s="141">
        <f>'[1]ACHIEVEMENT STORE'!C37</f>
        <v>6190701</v>
      </c>
      <c r="D37" s="142" t="str">
        <f>'[1]ACHIEVEMENT STORE'!D37</f>
        <v>6190701-VIVO STORE UG</v>
      </c>
      <c r="E37" s="142" t="str">
        <f>'[1]ACHIEVEMENT STORE'!E37</f>
        <v>EKO PURWANTO</v>
      </c>
      <c r="F37" s="143">
        <f>IFERROR(INDEX('[1]SALES PERTYPE'!$D$10:$D$52,MATCH($C37,'[1]SALES PERTYPE'!$B$10:$B$52,0)),0)</f>
        <v>5</v>
      </c>
      <c r="G37" s="143">
        <f>IFERROR(INDEX('[1]Sales per type juli'!$D$10:$BA$51,MATCH($C37,'[1]Sales per type juli'!$B$10:$B$51,0),MATCH("Y05",'[1]Sales per type juli'!$D$8:$BA$8,0)),0)</f>
        <v>19</v>
      </c>
      <c r="H37" s="143">
        <f t="shared" si="0"/>
        <v>-14</v>
      </c>
      <c r="I37" s="143">
        <f>IFERROR(INDEX('[1]SALES PERTYPE'!$E$10:$E$52,MATCH($C37,'[1]SALES PERTYPE'!$B$10:$B$52,0)),0)</f>
        <v>11795000</v>
      </c>
      <c r="J37" s="143" cm="1">
        <f t="array" ref="J37">IFERROR(INDEX('[1]Sales per type juli'!$D$10:$BA$51,MATCH($C37,'[1]Sales per type juli'!$B$10:$B$51,0),MATCH("Y05",'[1]Sales per type juli'!$D$8:$BA$8,0)+1),0)</f>
        <v>44681000</v>
      </c>
      <c r="K37" s="143">
        <f t="shared" si="1"/>
        <v>-32886000</v>
      </c>
      <c r="L37" s="143">
        <f>IFERROR(INDEX('[1]SALES PERTYPE'!$F$10:$F$52,MATCH($C37,'[1]SALES PERTYPE'!$B$10:$B$52,0)),0)</f>
        <v>10</v>
      </c>
      <c r="M37" s="143">
        <f>IFERROR(INDEX('[1]Sales per type juli'!$D$10:$BA$51,MATCH($C37,'[1]Sales per type juli'!$B$10:$B$51,0),MATCH("Y11d",'[1]Sales per type juli'!$D$8:$BA$8,0)),0)</f>
        <v>6</v>
      </c>
      <c r="N37" s="143">
        <f t="shared" si="2"/>
        <v>4</v>
      </c>
      <c r="O37" s="143">
        <f>IFERROR(INDEX('[1]SALES PERTYPE'!$G$10:$G$52,MATCH($C37,'[1]SALES PERTYPE'!$B$10:$B$52,0)),0)</f>
        <v>25990000</v>
      </c>
      <c r="P37" s="143" cm="1">
        <f t="array" ref="P37">IFERROR(INDEX('[1]Sales per type juli'!$D$10:$BA$51,MATCH($C37,'[1]Sales per type juli'!$B$10:$B$51,0),MATCH("Y11d",'[1]Sales per type juli'!$D$8:$BA$8,0)+1),0)</f>
        <v>15594000</v>
      </c>
      <c r="Q37" s="143">
        <f t="shared" si="3"/>
        <v>10396000</v>
      </c>
      <c r="R37" s="143">
        <f>IFERROR(INDEX('[1]SALES PERTYPE'!$H$10:$H$52,MATCH($C37,'[1]SALES PERTYPE'!$B$10:$B$52,0)),0)</f>
        <v>0</v>
      </c>
      <c r="S37" s="143">
        <f>IFERROR(INDEX('[1]Sales per type juli'!$D$10:$BA$51,MATCH($C37,'[1]Sales per type juli'!$B$10:$B$51,0),MATCH("Watch GT 2",'[1]Sales per type juli'!$D$8:$BA$8,0)),0)</f>
        <v>0</v>
      </c>
      <c r="T37" s="143">
        <f t="shared" si="4"/>
        <v>0</v>
      </c>
      <c r="U37" s="143">
        <f>IFERROR(INDEX('[1]SALES PERTYPE'!$I$10:$I$52,MATCH($C37,'[1]SALES PERTYPE'!$B$10:$B$52,0)),0)</f>
        <v>0</v>
      </c>
      <c r="V37" s="143" cm="1">
        <f t="array" ref="V37">IFERROR(INDEX('[1]Sales per type juli'!$D$10:$BA$51,MATCH($C37,'[1]Sales per type juli'!$B$10:$B$51,0),MATCH("Watch GT 2",'[1]Sales per type juli'!$D$8:$BA$8,0)+1),0)</f>
        <v>0</v>
      </c>
      <c r="W37" s="143">
        <f t="shared" si="5"/>
        <v>0</v>
      </c>
      <c r="X37" s="143">
        <f>IFERROR(INDEX('[1]SALES PERTYPE'!$J$10:$J$52,MATCH($C37,'[1]SALES PERTYPE'!$B$10:$B$52,0)),0)</f>
        <v>9</v>
      </c>
      <c r="Y37" s="143">
        <f>IFERROR(INDEX('[1]Sales per type juli'!$D$10:$BA$51,MATCH($C37,'[1]Sales per type juli'!$B$10:$B$51,0),MATCH("Y05e",'[1]Sales per type juli'!$D$8:$BA$8,0)),0)</f>
        <v>0</v>
      </c>
      <c r="Z37" s="143">
        <f t="shared" si="6"/>
        <v>9</v>
      </c>
      <c r="AA37" s="143">
        <f>IFERROR(INDEX('[1]SALES PERTYPE'!$K$10:$K$52,MATCH($C37,'[1]SALES PERTYPE'!$B$10:$B$52,0)),0)</f>
        <v>18891000</v>
      </c>
      <c r="AB37" s="143" cm="1">
        <f t="array" ref="AB37">IFERROR(INDEX('[1]Sales per type juli'!$D$10:$BA$51,MATCH($C37,'[1]Sales per type juli'!$B$10:$B$51,0),MATCH("Y05e",'[1]Sales per type juli'!$D$8:$BA$8,0)+1),0)</f>
        <v>0</v>
      </c>
      <c r="AC37" s="143">
        <f t="shared" si="7"/>
        <v>18891000</v>
      </c>
      <c r="AD37" s="143">
        <f>IFERROR(INDEX('[1]SALES PERTYPE'!$L$10:$L$52,MATCH($C37,'[1]SALES PERTYPE'!$B$10:$B$52,0)),0)</f>
        <v>0</v>
      </c>
      <c r="AE37" s="143">
        <f>IFERROR(INDEX('[1]Sales per type juli'!$D$10:$BA$51,MATCH($C37,'[1]Sales per type juli'!$B$10:$B$51,0),MATCH("V70",'[1]Sales per type juli'!$D$8:$BA$8,0)),0)</f>
        <v>2</v>
      </c>
      <c r="AF37" s="143">
        <f t="shared" si="8"/>
        <v>-2</v>
      </c>
      <c r="AG37" s="143">
        <f>IFERROR(INDEX('[1]SALES PERTYPE'!$M$10:$M$52,MATCH($C37,'[1]SALES PERTYPE'!$B$10:$B$52,0)),0)</f>
        <v>0</v>
      </c>
      <c r="AH37" s="143" cm="1">
        <f t="array" ref="AH37">IFERROR(INDEX('[1]Sales per type juli'!$D$10:$BA$51,MATCH($C37,'[1]Sales per type juli'!$B$10:$B$51,0),MATCH("V70",'[1]Sales per type juli'!$D$8:$BA$8,0)+1),0)</f>
        <v>19998000</v>
      </c>
      <c r="AI37" s="143">
        <f t="shared" si="9"/>
        <v>-19998000</v>
      </c>
      <c r="AJ37" s="143">
        <f>IFERROR(INDEX('[1]SALES PERTYPE'!$N$10:$N$52,MATCH($C37,'[1]SALES PERTYPE'!$B$10:$B$52,0)),0)</f>
        <v>7</v>
      </c>
      <c r="AK37" s="143">
        <f>IFERROR(INDEX('[1]Sales per type juli'!$D$10:$BA$51,MATCH($C37,'[1]Sales per type juli'!$B$10:$B$51,0),MATCH("Y31d Pro",'[1]Sales per type juli'!$D$8:$BA$8,0)),0)</f>
        <v>3</v>
      </c>
      <c r="AL37" s="143">
        <f t="shared" si="10"/>
        <v>4</v>
      </c>
      <c r="AM37" s="143">
        <f>IFERROR(INDEX('[1]SALES PERTYPE'!$O$10:$O$52,MATCH($C37,'[1]SALES PERTYPE'!$B$10:$B$52,0)),0)</f>
        <v>27693000</v>
      </c>
      <c r="AN37" s="143" cm="1">
        <f t="array" ref="AN37">IFERROR(INDEX('[1]Sales per type juli'!$D$10:$BA$51,MATCH($C37,'[1]Sales per type juli'!$B$10:$B$51,0),MATCH("Y31d Pro",'[1]Sales per type juli'!$D$8:$BA$8,0)+1),0)</f>
        <v>12097000</v>
      </c>
      <c r="AO37" s="143">
        <f t="shared" si="11"/>
        <v>15596000</v>
      </c>
      <c r="AP37" s="143">
        <f>IFERROR(INDEX('[1]SALES PERTYPE'!$P$10:$P$52,MATCH($C37,'[1]SALES PERTYPE'!$B$10:$B$52,0)),0)</f>
        <v>1</v>
      </c>
      <c r="AQ37" s="143" cm="1">
        <f t="array" ref="AQ37">IFERROR(INDEX('[1]Sales per type juli'!$D$10:$BA$51,MATCH($C37,'[1]Sales per type juli'!$B$10:$B$51,0),$FG$2),0)</f>
        <v>0</v>
      </c>
      <c r="AR37" s="143">
        <f t="shared" si="12"/>
        <v>1</v>
      </c>
      <c r="AS37" s="143">
        <f>IFERROR(INDEX('[1]SALES PERTYPE'!$Q$10:$Q$52,MATCH($C37,'[1]SALES PERTYPE'!$B$10:$B$52,0)),0)</f>
        <v>3599000</v>
      </c>
      <c r="AT37" s="143" cm="1">
        <f t="array" ref="AT37">IFERROR(INDEX('[1]Sales per type juli'!$D$10:$BA$51,MATCH($C37,'[1]Sales per type juli'!$B$10:$B$51,0),$FG$2+1),0)</f>
        <v>0</v>
      </c>
      <c r="AU37" s="143">
        <f t="shared" si="13"/>
        <v>3599000</v>
      </c>
      <c r="AV37" s="143">
        <f>IFERROR(INDEX('[1]SALES PERTYPE'!$R$10:$R$52,MATCH($C37,'[1]SALES PERTYPE'!$B$10:$B$52,0)),0)</f>
        <v>0</v>
      </c>
      <c r="AW37" s="143">
        <f>IFERROR(INDEX('[1]Sales per type juli'!$D$10:$BA$51,MATCH($C37,'[1]Sales per type juli'!$B$10:$B$51,0),MATCH("Y31d ",'[1]Sales per type juli'!$D$8:$BA$8,0)),0)</f>
        <v>0</v>
      </c>
      <c r="AX37" s="143">
        <f t="shared" si="14"/>
        <v>0</v>
      </c>
      <c r="AY37" s="143">
        <f>IFERROR(INDEX('[1]SALES PERTYPE'!$S$10:$S$52,MATCH($C37,'[1]SALES PERTYPE'!$B$10:$B$52,0)),0)</f>
        <v>0</v>
      </c>
      <c r="AZ37" s="143" cm="1">
        <f t="array" ref="AZ37">IFERROR(INDEX('[1]Sales per type juli'!$D$10:$BA$51,MATCH($C37,'[1]Sales per type juli'!$B$10:$B$51,0),MATCH("Y31d ",'[1]Sales per type juli'!$D$8:$BA$8,0)+1),0)</f>
        <v>0</v>
      </c>
      <c r="BA37" s="143">
        <f t="shared" si="15"/>
        <v>0</v>
      </c>
      <c r="BB37" s="143">
        <f>IFERROR(INDEX('[1]SALES PERTYPE'!$T$10:$T$52,MATCH($C37,'[1]SALES PERTYPE'!$B$10:$B$52,0)),0)</f>
        <v>0</v>
      </c>
      <c r="BC37" s="143">
        <f>IFERROR(INDEX('[1]Sales per type juli'!$D$10:$BA$51,MATCH($C37,'[1]Sales per type juli'!$B$10:$B$51,0),MATCH("V70 FE",'[1]Sales per type juli'!$D$8:$BA$8,0)),0)</f>
        <v>2</v>
      </c>
      <c r="BD37" s="143">
        <f t="shared" si="16"/>
        <v>-2</v>
      </c>
      <c r="BE37" s="143">
        <f>IFERROR(INDEX('[1]SALES PERTYPE'!$U$10:$U$52,MATCH($C37,'[1]SALES PERTYPE'!$B$10:$B$52,0)),0)</f>
        <v>0</v>
      </c>
      <c r="BF37" s="143" cm="1">
        <f t="array" ref="BF37">IFERROR(INDEX('[1]Sales per type juli'!$D$10:$BA$51,MATCH($C37,'[1]Sales per type juli'!$B$10:$B$51,0),MATCH("V70 FE",'[1]Sales per type juli'!$D$8:$BA$8,0)+1),0)</f>
        <v>12998000</v>
      </c>
      <c r="BG37" s="143">
        <f t="shared" si="17"/>
        <v>-12998000</v>
      </c>
      <c r="BH37" s="143">
        <f>IFERROR(INDEX('[1]SALES PERTYPE'!$V$10:$V$52,MATCH($C37,'[1]SALES PERTYPE'!$B$10:$B$52,0)),0)</f>
        <v>0</v>
      </c>
      <c r="BI37" s="143">
        <f>IFERROR(INDEX('[1]Sales per type juli'!$D$10:$BA$51,MATCH($C37,'[1]Sales per type juli'!$B$10:$B$51,0),MATCH("Y31d",'[1]Sales per type juli'!$D$8:$BA$8,0)),0)</f>
        <v>0</v>
      </c>
      <c r="BJ37" s="143">
        <f t="shared" si="18"/>
        <v>0</v>
      </c>
      <c r="BK37" s="143">
        <f>IFERROR(INDEX('[1]SALES PERTYPE'!$W$10:$W$52,MATCH($C37,'[1]SALES PERTYPE'!$B$10:$B$52,0)),0)</f>
        <v>0</v>
      </c>
      <c r="BL37" s="143" cm="1">
        <f t="array" ref="BL37">IFERROR(INDEX('[1]Sales per type juli'!$D$10:$BA$51,MATCH($C37,'[1]Sales per type juli'!$B$10:$B$51,0),MATCH("Y31d",'[1]Sales per type juli'!$D$8:$BA$8,0)+1),0)</f>
        <v>0</v>
      </c>
      <c r="BM37" s="143">
        <f t="shared" si="19"/>
        <v>0</v>
      </c>
      <c r="BN37" s="143">
        <f>IFERROR(INDEX('[1]SALES PERTYPE'!$X$10:$X$52,MATCH($C37,'[1]SALES PERTYPE'!$B$10:$B$52,0)),0)</f>
        <v>0</v>
      </c>
      <c r="BO37" s="143">
        <f>IFERROR(INDEX('[1]Sales per type juli'!$D$10:$BA$51,MATCH($C37,'[1]Sales per type juli'!$B$10:$B$51,0),MATCH("Y500",'[1]Sales per type juli'!$D$8:$BA$8,0)),0)</f>
        <v>0</v>
      </c>
      <c r="BP37" s="143">
        <f t="shared" si="20"/>
        <v>0</v>
      </c>
      <c r="BQ37" s="143">
        <f>IFERROR(INDEX('[1]SALES PERTYPE'!$Y$10:$Y$52,MATCH($C37,'[1]SALES PERTYPE'!$B$10:$B$52,0)),0)</f>
        <v>0</v>
      </c>
      <c r="BR37" s="143" cm="1">
        <f t="array" ref="BR37">IFERROR(INDEX('[1]Sales per type juli'!$D$10:$BA$51,MATCH($C37,'[1]Sales per type juli'!$B$10:$B$51,0),MATCH("Y500",'[1]Sales per type juli'!$D$8:$BA$8,0)+1),0)</f>
        <v>0</v>
      </c>
      <c r="BS37" s="143">
        <f t="shared" si="21"/>
        <v>0</v>
      </c>
      <c r="BT37" s="143">
        <f>IFERROR(INDEX('[1]SALES PERTYPE'!$Z$10:$Z$52,MATCH($C37,'[1]SALES PERTYPE'!$B$10:$B$52,0)),0)</f>
        <v>0</v>
      </c>
      <c r="BU37" s="143">
        <f>IFERROR(INDEX('[1]Sales per type juli'!$D$10:$BA$51,MATCH($C37,'[1]Sales per type juli'!$B$10:$B$51,0),MATCH("IQOO 15R",'[1]Sales per type juli'!$D$8:$BA$8,0)),0)</f>
        <v>0</v>
      </c>
      <c r="BV37" s="143">
        <f t="shared" si="22"/>
        <v>0</v>
      </c>
      <c r="BW37" s="143">
        <f>IFERROR(INDEX('[1]SALES PERTYPE'!$AA$10:$AA$52,MATCH($C37,'[1]SALES PERTYPE'!$B$10:$B$52,0)),0)</f>
        <v>0</v>
      </c>
      <c r="BX37" s="143" cm="1">
        <f t="array" ref="BX37">IFERROR(INDEX('[1]Sales per type juli'!$D$10:$BA$51,MATCH($C37,'[1]Sales per type juli'!$B$10:$B$51,0),MATCH("IQOO 15R",'[1]Sales per type juli'!$D$8:$BA$8,0)+1),0)</f>
        <v>0</v>
      </c>
      <c r="BY37" s="143">
        <f t="shared" si="23"/>
        <v>0</v>
      </c>
      <c r="BZ37" s="143">
        <f>IFERROR(INDEX('[1]SALES PERTYPE'!$AB$10:$AB$52,MATCH($C37,'[1]SALES PERTYPE'!$B$10:$B$52,0)),0)</f>
        <v>1</v>
      </c>
      <c r="CA37" s="143">
        <f>IFERROR(INDEX('[1]Sales per type juli'!$D$10:$BA$51,MATCH($C37,'[1]Sales per type juli'!$B$10:$B$51,0),MATCH("V60 Lite",'[1]Sales per type juli'!$D$8:$BA$8,0)),0)</f>
        <v>1</v>
      </c>
      <c r="CB37" s="143">
        <f t="shared" si="24"/>
        <v>0</v>
      </c>
      <c r="CC37" s="143">
        <f>IFERROR(INDEX('[1]SALES PERTYPE'!$AC$10:$AC$52,MATCH($C37,'[1]SALES PERTYPE'!$B$10:$B$52,0)),0)</f>
        <v>5299000</v>
      </c>
      <c r="CD37" s="143" cm="1">
        <f t="array" ref="CD37">IFERROR(INDEX('[1]Sales per type juli'!$D$10:$BA$51,MATCH($C37,'[1]Sales per type juli'!$B$10:$B$51,0),MATCH("V60 Lite",'[1]Sales per type juli'!$D$8:$BA$8,0)+1),0)</f>
        <v>5299000</v>
      </c>
      <c r="CE37" s="143">
        <f t="shared" si="25"/>
        <v>0</v>
      </c>
      <c r="CF37" s="143">
        <f>IFERROR(INDEX('[1]SALES PERTYPE'!$AD$10:$AD$52,MATCH($C37,'[1]SALES PERTYPE'!$B$10:$B$52,0)),0)</f>
        <v>0</v>
      </c>
      <c r="CG37" s="143">
        <f>IFERROR(INDEX('[1]Sales per type juli'!$D$10:$BA$51,MATCH($C37,'[1]Sales per type juli'!$B$10:$B$51,0),MATCH("X300 Ultra",'[1]Sales per type juli'!$D$8:$BA$8,0)),0)</f>
        <v>0</v>
      </c>
      <c r="CH37" s="143">
        <f t="shared" si="26"/>
        <v>0</v>
      </c>
      <c r="CI37" s="143">
        <f>IFERROR(INDEX('[1]SALES PERTYPE'!$AE$10:$AE$52,MATCH($C37,'[1]SALES PERTYPE'!$B$10:$B$52,0)),0)</f>
        <v>0</v>
      </c>
      <c r="CJ37" s="143" cm="1">
        <f t="array" ref="CJ37">IFERROR(INDEX('[1]Sales per type juli'!$D$10:$BA$51,MATCH($C37,'[1]Sales per type juli'!$B$10:$B$51,0),MATCH("X300 Ultra",'[1]Sales per type juli'!$D$8:$BA$8,0)+1),0)</f>
        <v>0</v>
      </c>
      <c r="CK37" s="143">
        <f t="shared" si="27"/>
        <v>0</v>
      </c>
      <c r="CL37" s="143">
        <f>IFERROR(INDEX('[1]SALES PERTYPE'!$AF$10:$AF$52,MATCH($C37,'[1]SALES PERTYPE'!$B$10:$B$52,0)),0)</f>
        <v>0</v>
      </c>
      <c r="CM37" s="143">
        <f>IFERROR(INDEX('[1]Sales per type juli'!$D$10:$BA$51,MATCH($C37,'[1]Sales per type juli'!$B$10:$B$51,0),MATCH("IQOO 15",'[1]Sales per type juli'!$D$8:$BA$8,0)),0)</f>
        <v>1</v>
      </c>
      <c r="CN37" s="143">
        <f t="shared" si="28"/>
        <v>-1</v>
      </c>
      <c r="CO37" s="143">
        <f>IFERROR(INDEX('[1]SALES PERTYPE'!$AG$10:$AG$52,MATCH($C37,'[1]SALES PERTYPE'!$B$10:$B$52,0)),0)</f>
        <v>0</v>
      </c>
      <c r="CP37" s="143" cm="1">
        <f t="array" ref="CP37">IFERROR(INDEX('[1]Sales per type juli'!$D$10:$BA$51,MATCH($C37,'[1]Sales per type juli'!$B$10:$B$51,0),MATCH("IQOO 15",'[1]Sales per type juli'!$D$8:$BA$8,0)+1),0)</f>
        <v>13999000</v>
      </c>
      <c r="CQ37" s="143">
        <f t="shared" si="29"/>
        <v>-13999000</v>
      </c>
      <c r="CR37" s="143">
        <f>IFERROR(INDEX('[1]SALES PERTYPE'!$AH$10:$AH$52,MATCH($C37,'[1]SALES PERTYPE'!$B$10:$B$52,0)),0)</f>
        <v>1</v>
      </c>
      <c r="CS37" s="143">
        <f>IFERROR(INDEX('[1]Sales per type juli'!$D$10:$BA$51,MATCH($C37,'[1]Sales per type juli'!$B$10:$B$51,0),MATCH("IQOO Z11x",'[1]Sales per type juli'!$D$8:$BA$8,0)),0)</f>
        <v>2</v>
      </c>
      <c r="CT37" s="143">
        <f t="shared" si="30"/>
        <v>-1</v>
      </c>
      <c r="CU37" s="143">
        <f>IFERROR(INDEX('[1]SALES PERTYPE'!$AI$10:$AI$52,MATCH($C37,'[1]SALES PERTYPE'!$B$10:$B$52,0)),0)</f>
        <v>5699000</v>
      </c>
      <c r="CV37" s="143" cm="1">
        <f t="array" ref="CV37">IFERROR(INDEX('[1]Sales per type juli'!$D$10:$BA$51,MATCH($C37,'[1]Sales per type juli'!$B$10:$B$51,0),MATCH("IQOO Z11x",'[1]Sales per type juli'!$D$8:$BA$8,0)+1),0)</f>
        <v>9598000</v>
      </c>
      <c r="CW37" s="143">
        <f t="shared" si="31"/>
        <v>-3899000</v>
      </c>
      <c r="CX37" s="143">
        <f>IFERROR(INDEX('[1]SALES PERTYPE'!$AJ$10:$AJ$52,MATCH($C37,'[1]SALES PERTYPE'!$B$10:$B$52,0)),0)</f>
        <v>1</v>
      </c>
      <c r="CY37" s="143">
        <f>IFERROR(INDEX('[1]Sales per type juli'!$D$10:$BA$51,MATCH($C37,'[1]Sales per type juli'!$B$10:$B$51,0),MATCH("IQOO Z11",'[1]Sales per type juli'!$D$8:$BA$8,0)),0)</f>
        <v>0</v>
      </c>
      <c r="CZ37" s="143">
        <f t="shared" si="32"/>
        <v>1</v>
      </c>
      <c r="DA37" s="143">
        <f>IFERROR(INDEX('[1]SALES PERTYPE'!$AK$10:$AK$52,MATCH($C37,'[1]SALES PERTYPE'!$B$10:$B$52,0)),0)</f>
        <v>6899000</v>
      </c>
      <c r="DB37" s="143" cm="1">
        <f t="array" ref="DB37">IFERROR(INDEX('[1]Sales per type juli'!$D$10:$BA$51,MATCH($C37,'[1]Sales per type juli'!$B$10:$B$51,0),MATCH("IQOO Z11",'[1]Sales per type juli'!$D$8:$BA$8,0)+1),0)</f>
        <v>0</v>
      </c>
      <c r="DC37" s="143">
        <f t="shared" si="33"/>
        <v>6899000</v>
      </c>
      <c r="DD37" s="143">
        <v>0</v>
      </c>
      <c r="DE37" s="143">
        <f>IFERROR(INDEX('[1]Sales per type juli'!$D$10:$BA$51,MATCH($C37,'[1]Sales per type juli'!$B$10:$B$51,0),MATCH("WATCH 3",'[1]Sales per type juli'!$D$8:$BA$8,0)),0)</f>
        <v>0</v>
      </c>
      <c r="DF37" s="143">
        <f t="shared" si="34"/>
        <v>0</v>
      </c>
      <c r="DG37" s="143">
        <v>0</v>
      </c>
      <c r="DH37" s="143" cm="1">
        <f t="array" ref="DH37">IFERROR(INDEX('[1]Sales per type juli'!$D$10:$BA$51,MATCH($C37,'[1]Sales per type juli'!$B$10:$B$51,0),MATCH("WATCH 3",'[1]Sales per type juli'!$D$8:$BA$8,0)+1),0)</f>
        <v>0</v>
      </c>
      <c r="DI37" s="143">
        <f t="shared" si="35"/>
        <v>0</v>
      </c>
      <c r="DJ37" s="143">
        <v>0</v>
      </c>
      <c r="DK37" s="143">
        <f>IFERROR(INDEX('[1]Sales per type juli'!$D$10:$BA$51,MATCH($C37,'[1]Sales per type juli'!$B$10:$B$51,0),MATCH("X300 Demo",'[1]Sales per type juli'!$D$8:$BA$8,0)),0)</f>
        <v>4</v>
      </c>
      <c r="DL37" s="143">
        <f t="shared" si="36"/>
        <v>-4</v>
      </c>
      <c r="DM37" s="143">
        <v>0</v>
      </c>
      <c r="DN37" s="143" cm="1">
        <f t="array" ref="DN37">IFERROR(INDEX('[1]Sales per type juli'!$D$10:$BA$51,MATCH($C37,'[1]Sales per type juli'!$B$10:$B$51,0),MATCH("X300 Demo",'[1]Sales per type juli'!$D$8:$BA$8,0)+1),0)</f>
        <v>63996000</v>
      </c>
      <c r="DO37" s="143">
        <f t="shared" si="37"/>
        <v>-63996000</v>
      </c>
      <c r="DP37" s="143">
        <v>0</v>
      </c>
      <c r="DQ37" s="143">
        <f>IFERROR(INDEX('[1]Sales per type juli'!$D$10:$BA$51,MATCH($C37,'[1]Sales per type juli'!$B$10:$B$51,0),MATCH("X300 Pro Demo",'[1]Sales per type juli'!$D$8:$BA$8,0)),0)</f>
        <v>2</v>
      </c>
      <c r="DR37" s="143">
        <f t="shared" si="38"/>
        <v>-2</v>
      </c>
      <c r="DS37" s="143">
        <v>0</v>
      </c>
      <c r="DT37" s="143" cm="1">
        <f t="array" ref="DT37">IFERROR(INDEX('[1]Sales per type juli'!$D$10:$BA$51,MATCH($C37,'[1]Sales per type juli'!$B$10:$B$51,0),MATCH("X300 Pro Demo",'[1]Sales per type juli'!$D$8:$BA$8,0)+1),0)</f>
        <v>37998000</v>
      </c>
      <c r="DU37" s="143">
        <f t="shared" si="39"/>
        <v>-37998000</v>
      </c>
      <c r="DV37" s="143">
        <v>0</v>
      </c>
      <c r="DW37" s="143">
        <f>IFERROR(INDEX('[1]Sales per type juli'!$D$10:$BA$51,MATCH($C37,'[1]Sales per type juli'!$B$10:$B$51,0),MATCH("X Fold5 DEMO",'[1]Sales per type juli'!$D$8:$BA$8,0)),0)</f>
        <v>0</v>
      </c>
      <c r="DX37" s="143">
        <f t="shared" si="40"/>
        <v>0</v>
      </c>
      <c r="DY37" s="143">
        <v>0</v>
      </c>
      <c r="DZ37" s="143" cm="1">
        <f t="array" ref="DZ37">IFERROR(INDEX('[1]Sales per type juli'!$D$10:$BA$51,MATCH($C37,'[1]Sales per type juli'!$B$10:$B$51,0),MATCH("X Fold5 DEMO",'[1]Sales per type juli'!$D$8:$BA$8,0)+1),0)</f>
        <v>0</v>
      </c>
      <c r="EA37" s="143">
        <f t="shared" si="41"/>
        <v>0</v>
      </c>
      <c r="EB37" s="143">
        <v>0</v>
      </c>
      <c r="EC37" s="143">
        <f>IFERROR(INDEX('[1]Sales per type juli'!$D$10:$BA$51,MATCH($C37,'[1]Sales per type juli'!$B$10:$B$51,0),MATCH("X Fold5",'[1]Sales per type juli'!$D$8:$BA$8,0)),0)</f>
        <v>0</v>
      </c>
      <c r="ED37" s="143">
        <f t="shared" si="42"/>
        <v>0</v>
      </c>
      <c r="EE37" s="143">
        <v>0</v>
      </c>
      <c r="EF37" s="143" cm="1">
        <f t="array" ref="EF37">IFERROR(INDEX('[1]Sales per type juli'!$D$10:$BA$51,MATCH($C37,'[1]Sales per type juli'!$B$10:$B$51,0),MATCH("X Fold5",'[1]Sales per type juli'!$D$8:$BA$8,0)+1),0)</f>
        <v>0</v>
      </c>
      <c r="EG37" s="143">
        <f t="shared" si="43"/>
        <v>0</v>
      </c>
      <c r="EH37" s="143">
        <v>0</v>
      </c>
      <c r="EI37" s="143">
        <f>IFERROR(INDEX('[1]Sales per type juli'!$D$10:$BA$51,MATCH($C37,'[1]Sales per type juli'!$B$10:$B$51,0),MATCH("IQOO 15 Demo",'[1]Sales per type juli'!$D$8:$BA$8,0)),0)</f>
        <v>3</v>
      </c>
      <c r="EJ37" s="143">
        <f t="shared" si="44"/>
        <v>-3</v>
      </c>
      <c r="EK37" s="143">
        <v>0</v>
      </c>
      <c r="EL37" s="143" cm="1">
        <f t="array" ref="EL37">IFERROR(INDEX('[1]Sales per type juli'!$D$10:$BA$51,MATCH($C37,'[1]Sales per type juli'!$B$10:$B$51,0),MATCH("IQOO 15 Demo",'[1]Sales per type juli'!$D$8:$BA$8,0)+1),0)</f>
        <v>41997000</v>
      </c>
      <c r="EM37" s="143">
        <f t="shared" si="45"/>
        <v>-41997000</v>
      </c>
      <c r="EN37" s="143">
        <v>0</v>
      </c>
      <c r="EO37" s="143">
        <f>IFERROR(INDEX('[1]Sales per type juli'!$D$10:$BA$51,MATCH($C37,'[1]Sales per type juli'!$B$10:$B$51,0),MATCH("X300 PRO",'[1]Sales per type juli'!$D$8:$BA$8,0)),0)</f>
        <v>0</v>
      </c>
      <c r="EP37" s="143">
        <f t="shared" si="46"/>
        <v>0</v>
      </c>
      <c r="EQ37" s="143">
        <v>0</v>
      </c>
      <c r="ER37" s="143" cm="1">
        <f t="array" ref="ER37">IFERROR(INDEX('[1]Sales per type juli'!$D$10:$BA$51,MATCH($C37,'[1]Sales per type juli'!$B$10:$B$51,0),MATCH("X300 PRO",'[1]Sales per type juli'!$D$8:$BA$8,0)+1),0)</f>
        <v>0</v>
      </c>
      <c r="ES37" s="143">
        <f t="shared" si="47"/>
        <v>0</v>
      </c>
      <c r="ET37" s="143">
        <v>0</v>
      </c>
      <c r="EU37" s="143">
        <f>IFERROR(INDEX('[1]Sales per type juli'!$D$10:$BA$51,MATCH($C37,'[1]Sales per type juli'!$B$10:$B$51,0),MATCH("X300 ",'[1]Sales per type juli'!$D$8:$BA$8,0)),0)</f>
        <v>0</v>
      </c>
      <c r="EV37" s="143">
        <f t="shared" si="48"/>
        <v>0</v>
      </c>
      <c r="EW37" s="143">
        <v>0</v>
      </c>
      <c r="EX37" s="143" cm="1">
        <f t="array" ref="EX37">IFERROR(INDEX('[1]Sales per type juli'!$D$10:$BA$51,MATCH($C37,'[1]Sales per type juli'!$B$10:$B$51,0),MATCH("X300 ",'[1]Sales per type juli'!$D$8:$BA$8,0)+1),0)</f>
        <v>0</v>
      </c>
      <c r="EY37" s="143">
        <f t="shared" si="49"/>
        <v>0</v>
      </c>
      <c r="EZ37" s="143">
        <f t="shared" si="50"/>
        <v>35</v>
      </c>
      <c r="FA37" s="143">
        <f t="shared" si="50"/>
        <v>45</v>
      </c>
      <c r="FB37" s="143">
        <f t="shared" si="51"/>
        <v>-10</v>
      </c>
      <c r="FC37" s="143">
        <f t="shared" si="52"/>
        <v>105865000</v>
      </c>
      <c r="FD37" s="143">
        <f t="shared" si="52"/>
        <v>278255000</v>
      </c>
      <c r="FE37" s="143">
        <f t="shared" si="53"/>
        <v>-172390000</v>
      </c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</row>
    <row r="38" spans="1:208" ht="16" x14ac:dyDescent="0.2">
      <c r="A38" s="144">
        <f>'[1]ACHIEVEMENT STORE'!A38</f>
        <v>34</v>
      </c>
      <c r="B38" s="145" t="str">
        <f>'[1]ACHIEVEMENT STORE'!B38</f>
        <v>619-万隆市区BDG KOTA</v>
      </c>
      <c r="C38" s="144">
        <f>'[1]ACHIEVEMENT STORE'!C38</f>
        <v>6190706</v>
      </c>
      <c r="D38" s="145" t="str">
        <f>'[1]ACHIEVEMENT STORE'!D38</f>
        <v>A300102-VIVO STORE 4 BEC</v>
      </c>
      <c r="E38" s="145" t="str">
        <f>'[1]ACHIEVEMENT STORE'!E38</f>
        <v>EKO PURWANTO</v>
      </c>
      <c r="F38" s="143">
        <f>IFERROR(INDEX('[1]SALES PERTYPE'!$D$10:$D$52,MATCH($C38,'[1]SALES PERTYPE'!$B$10:$B$52,0)),0)</f>
        <v>17</v>
      </c>
      <c r="G38" s="143">
        <f>IFERROR(INDEX('[1]Sales per type juli'!$D$10:$BA$51,MATCH($C38,'[1]Sales per type juli'!$B$10:$B$51,0),MATCH("Y05",'[1]Sales per type juli'!$D$8:$BA$8,0)),0)</f>
        <v>34</v>
      </c>
      <c r="H38" s="143">
        <f t="shared" si="0"/>
        <v>-17</v>
      </c>
      <c r="I38" s="143">
        <f>IFERROR(INDEX('[1]SALES PERTYPE'!$E$10:$E$52,MATCH($C38,'[1]SALES PERTYPE'!$B$10:$B$52,0)),0)</f>
        <v>41783000</v>
      </c>
      <c r="J38" s="143" cm="1">
        <f t="array" ref="J38">IFERROR(INDEX('[1]Sales per type juli'!$D$10:$BA$51,MATCH($C38,'[1]Sales per type juli'!$B$10:$B$51,0),MATCH("Y05",'[1]Sales per type juli'!$D$8:$BA$8,0)+1),0)</f>
        <v>75166000</v>
      </c>
      <c r="K38" s="143">
        <f t="shared" si="1"/>
        <v>-33383000</v>
      </c>
      <c r="L38" s="143">
        <f>IFERROR(INDEX('[1]SALES PERTYPE'!$F$10:$F$52,MATCH($C38,'[1]SALES PERTYPE'!$B$10:$B$52,0)),0)</f>
        <v>29</v>
      </c>
      <c r="M38" s="143">
        <f>IFERROR(INDEX('[1]Sales per type juli'!$D$10:$BA$51,MATCH($C38,'[1]Sales per type juli'!$B$10:$B$51,0),MATCH("Y11d",'[1]Sales per type juli'!$D$8:$BA$8,0)),0)</f>
        <v>21</v>
      </c>
      <c r="N38" s="143">
        <f t="shared" si="2"/>
        <v>8</v>
      </c>
      <c r="O38" s="143">
        <f>IFERROR(INDEX('[1]SALES PERTYPE'!$G$10:$G$52,MATCH($C38,'[1]SALES PERTYPE'!$B$10:$B$52,0)),0)</f>
        <v>76371000</v>
      </c>
      <c r="P38" s="143" cm="1">
        <f t="array" ref="P38">IFERROR(INDEX('[1]Sales per type juli'!$D$10:$BA$51,MATCH($C38,'[1]Sales per type juli'!$B$10:$B$51,0),MATCH("Y11d",'[1]Sales per type juli'!$D$8:$BA$8,0)+1),0)</f>
        <v>55979000</v>
      </c>
      <c r="Q38" s="143">
        <f t="shared" si="3"/>
        <v>20392000</v>
      </c>
      <c r="R38" s="143">
        <f>IFERROR(INDEX('[1]SALES PERTYPE'!$H$10:$H$52,MATCH($C38,'[1]SALES PERTYPE'!$B$10:$B$52,0)),0)</f>
        <v>0</v>
      </c>
      <c r="S38" s="143">
        <f>IFERROR(INDEX('[1]Sales per type juli'!$D$10:$BA$51,MATCH($C38,'[1]Sales per type juli'!$B$10:$B$51,0),MATCH("Watch GT 2",'[1]Sales per type juli'!$D$8:$BA$8,0)),0)</f>
        <v>1</v>
      </c>
      <c r="T38" s="143">
        <f t="shared" si="4"/>
        <v>-1</v>
      </c>
      <c r="U38" s="143">
        <f>IFERROR(INDEX('[1]SALES PERTYPE'!$I$10:$I$52,MATCH($C38,'[1]SALES PERTYPE'!$B$10:$B$52,0)),0)</f>
        <v>0</v>
      </c>
      <c r="V38" s="143" cm="1">
        <f t="array" ref="V38">IFERROR(INDEX('[1]Sales per type juli'!$D$10:$BA$51,MATCH($C38,'[1]Sales per type juli'!$B$10:$B$51,0),MATCH("Watch GT 2",'[1]Sales per type juli'!$D$8:$BA$8,0)+1),0)</f>
        <v>1799000</v>
      </c>
      <c r="W38" s="143">
        <f t="shared" si="5"/>
        <v>-1799000</v>
      </c>
      <c r="X38" s="143">
        <f>IFERROR(INDEX('[1]SALES PERTYPE'!$J$10:$J$52,MATCH($C38,'[1]SALES PERTYPE'!$B$10:$B$52,0)),0)</f>
        <v>10</v>
      </c>
      <c r="Y38" s="143">
        <f>IFERROR(INDEX('[1]Sales per type juli'!$D$10:$BA$51,MATCH($C38,'[1]Sales per type juli'!$B$10:$B$51,0),MATCH("Y05e",'[1]Sales per type juli'!$D$8:$BA$8,0)),0)</f>
        <v>0</v>
      </c>
      <c r="Z38" s="143">
        <f t="shared" si="6"/>
        <v>10</v>
      </c>
      <c r="AA38" s="143">
        <f>IFERROR(INDEX('[1]SALES PERTYPE'!$K$10:$K$52,MATCH($C38,'[1]SALES PERTYPE'!$B$10:$B$52,0)),0)</f>
        <v>20990000</v>
      </c>
      <c r="AB38" s="143" cm="1">
        <f t="array" ref="AB38">IFERROR(INDEX('[1]Sales per type juli'!$D$10:$BA$51,MATCH($C38,'[1]Sales per type juli'!$B$10:$B$51,0),MATCH("Y05e",'[1]Sales per type juli'!$D$8:$BA$8,0)+1),0)</f>
        <v>0</v>
      </c>
      <c r="AC38" s="143">
        <f t="shared" si="7"/>
        <v>20990000</v>
      </c>
      <c r="AD38" s="143">
        <f>IFERROR(INDEX('[1]SALES PERTYPE'!$L$10:$L$52,MATCH($C38,'[1]SALES PERTYPE'!$B$10:$B$52,0)),0)</f>
        <v>2</v>
      </c>
      <c r="AE38" s="143">
        <f>IFERROR(INDEX('[1]Sales per type juli'!$D$10:$BA$51,MATCH($C38,'[1]Sales per type juli'!$B$10:$B$51,0),MATCH("V70",'[1]Sales per type juli'!$D$8:$BA$8,0)),0)</f>
        <v>4</v>
      </c>
      <c r="AF38" s="143">
        <f t="shared" si="8"/>
        <v>-2</v>
      </c>
      <c r="AG38" s="143">
        <f>IFERROR(INDEX('[1]SALES PERTYPE'!$M$10:$M$52,MATCH($C38,'[1]SALES PERTYPE'!$B$10:$B$52,0)),0)</f>
        <v>19998000</v>
      </c>
      <c r="AH38" s="143" cm="1">
        <f t="array" ref="AH38">IFERROR(INDEX('[1]Sales per type juli'!$D$10:$BA$51,MATCH($C38,'[1]Sales per type juli'!$B$10:$B$51,0),MATCH("V70",'[1]Sales per type juli'!$D$8:$BA$8,0)+1),0)</f>
        <v>37996000</v>
      </c>
      <c r="AI38" s="143">
        <f t="shared" si="9"/>
        <v>-17998000</v>
      </c>
      <c r="AJ38" s="143">
        <f>IFERROR(INDEX('[1]SALES PERTYPE'!$N$10:$N$52,MATCH($C38,'[1]SALES PERTYPE'!$B$10:$B$52,0)),0)</f>
        <v>21</v>
      </c>
      <c r="AK38" s="143">
        <f>IFERROR(INDEX('[1]Sales per type juli'!$D$10:$BA$51,MATCH($C38,'[1]Sales per type juli'!$B$10:$B$51,0),MATCH("Y31d Pro",'[1]Sales per type juli'!$D$8:$BA$8,0)),0)</f>
        <v>12</v>
      </c>
      <c r="AL38" s="143">
        <f t="shared" si="10"/>
        <v>9</v>
      </c>
      <c r="AM38" s="143">
        <f>IFERROR(INDEX('[1]SALES PERTYPE'!$O$10:$O$52,MATCH($C38,'[1]SALES PERTYPE'!$B$10:$B$52,0)),0)</f>
        <v>97479000</v>
      </c>
      <c r="AN38" s="143" cm="1">
        <f t="array" ref="AN38">IFERROR(INDEX('[1]Sales per type juli'!$D$10:$BA$51,MATCH($C38,'[1]Sales per type juli'!$B$10:$B$51,0),MATCH("Y31d Pro",'[1]Sales per type juli'!$D$8:$BA$8,0)+1),0)</f>
        <v>52588000</v>
      </c>
      <c r="AO38" s="143">
        <f t="shared" si="11"/>
        <v>44891000</v>
      </c>
      <c r="AP38" s="143">
        <f>IFERROR(INDEX('[1]SALES PERTYPE'!$P$10:$P$52,MATCH($C38,'[1]SALES PERTYPE'!$B$10:$B$52,0)),0)</f>
        <v>1</v>
      </c>
      <c r="AQ38" s="143" cm="1">
        <f t="array" ref="AQ38">IFERROR(INDEX('[1]Sales per type juli'!$D$10:$BA$51,MATCH($C38,'[1]Sales per type juli'!$B$10:$B$51,0),$FG$2),0)</f>
        <v>0</v>
      </c>
      <c r="AR38" s="143">
        <f t="shared" si="12"/>
        <v>1</v>
      </c>
      <c r="AS38" s="143">
        <f>IFERROR(INDEX('[1]SALES PERTYPE'!$Q$10:$Q$52,MATCH($C38,'[1]SALES PERTYPE'!$B$10:$B$52,0)),0)</f>
        <v>3599000</v>
      </c>
      <c r="AT38" s="143" cm="1">
        <f t="array" ref="AT38">IFERROR(INDEX('[1]Sales per type juli'!$D$10:$BA$51,MATCH($C38,'[1]Sales per type juli'!$B$10:$B$51,0),$FG$2+1),0)</f>
        <v>0</v>
      </c>
      <c r="AU38" s="143">
        <f t="shared" si="13"/>
        <v>3599000</v>
      </c>
      <c r="AV38" s="143">
        <f>IFERROR(INDEX('[1]SALES PERTYPE'!$R$10:$R$52,MATCH($C38,'[1]SALES PERTYPE'!$B$10:$B$52,0)),0)</f>
        <v>0</v>
      </c>
      <c r="AW38" s="143">
        <f>IFERROR(INDEX('[1]Sales per type juli'!$D$10:$BA$51,MATCH($C38,'[1]Sales per type juli'!$B$10:$B$51,0),MATCH("Y31d ",'[1]Sales per type juli'!$D$8:$BA$8,0)),0)</f>
        <v>2</v>
      </c>
      <c r="AX38" s="143">
        <f t="shared" si="14"/>
        <v>-2</v>
      </c>
      <c r="AY38" s="143">
        <f>IFERROR(INDEX('[1]SALES PERTYPE'!$S$10:$S$52,MATCH($C38,'[1]SALES PERTYPE'!$B$10:$B$52,0)),0)</f>
        <v>0</v>
      </c>
      <c r="AZ38" s="143" cm="1">
        <f t="array" ref="AZ38">IFERROR(INDEX('[1]Sales per type juli'!$D$10:$BA$51,MATCH($C38,'[1]Sales per type juli'!$B$10:$B$51,0),MATCH("Y31d ",'[1]Sales per type juli'!$D$8:$BA$8,0)+1),0)</f>
        <v>7198000</v>
      </c>
      <c r="BA38" s="143">
        <f t="shared" si="15"/>
        <v>-7198000</v>
      </c>
      <c r="BB38" s="143">
        <f>IFERROR(INDEX('[1]SALES PERTYPE'!$T$10:$T$52,MATCH($C38,'[1]SALES PERTYPE'!$B$10:$B$52,0)),0)</f>
        <v>4</v>
      </c>
      <c r="BC38" s="143">
        <f>IFERROR(INDEX('[1]Sales per type juli'!$D$10:$BA$51,MATCH($C38,'[1]Sales per type juli'!$B$10:$B$51,0),MATCH("V70 FE",'[1]Sales per type juli'!$D$8:$BA$8,0)),0)</f>
        <v>10</v>
      </c>
      <c r="BD38" s="143">
        <f t="shared" si="16"/>
        <v>-6</v>
      </c>
      <c r="BE38" s="143">
        <f>IFERROR(INDEX('[1]SALES PERTYPE'!$U$10:$U$52,MATCH($C38,'[1]SALES PERTYPE'!$B$10:$B$52,0)),0)</f>
        <v>30396000</v>
      </c>
      <c r="BF38" s="143" cm="1">
        <f t="array" ref="BF38">IFERROR(INDEX('[1]Sales per type juli'!$D$10:$BA$51,MATCH($C38,'[1]Sales per type juli'!$B$10:$B$51,0),MATCH("V70 FE",'[1]Sales per type juli'!$D$8:$BA$8,0)+1),0)</f>
        <v>67090000</v>
      </c>
      <c r="BG38" s="143">
        <f t="shared" si="17"/>
        <v>-36694000</v>
      </c>
      <c r="BH38" s="143">
        <f>IFERROR(INDEX('[1]SALES PERTYPE'!$V$10:$V$52,MATCH($C38,'[1]SALES PERTYPE'!$B$10:$B$52,0)),0)</f>
        <v>0</v>
      </c>
      <c r="BI38" s="143">
        <f>IFERROR(INDEX('[1]Sales per type juli'!$D$10:$BA$51,MATCH($C38,'[1]Sales per type juli'!$B$10:$B$51,0),MATCH("Y31d",'[1]Sales per type juli'!$D$8:$BA$8,0)),0)</f>
        <v>3</v>
      </c>
      <c r="BJ38" s="143">
        <f t="shared" si="18"/>
        <v>-3</v>
      </c>
      <c r="BK38" s="143">
        <f>IFERROR(INDEX('[1]SALES PERTYPE'!$W$10:$W$52,MATCH($C38,'[1]SALES PERTYPE'!$B$10:$B$52,0)),0)</f>
        <v>0</v>
      </c>
      <c r="BL38" s="143" cm="1">
        <f t="array" ref="BL38">IFERROR(INDEX('[1]Sales per type juli'!$D$10:$BA$51,MATCH($C38,'[1]Sales per type juli'!$B$10:$B$51,0),MATCH("Y31d",'[1]Sales per type juli'!$D$8:$BA$8,0)+1),0)</f>
        <v>10797000</v>
      </c>
      <c r="BM38" s="143">
        <f t="shared" si="19"/>
        <v>-10797000</v>
      </c>
      <c r="BN38" s="143">
        <f>IFERROR(INDEX('[1]SALES PERTYPE'!$X$10:$X$52,MATCH($C38,'[1]SALES PERTYPE'!$B$10:$B$52,0)),0)</f>
        <v>5</v>
      </c>
      <c r="BO38" s="143">
        <f>IFERROR(INDEX('[1]Sales per type juli'!$D$10:$BA$51,MATCH($C38,'[1]Sales per type juli'!$B$10:$B$51,0),MATCH("Y500",'[1]Sales per type juli'!$D$8:$BA$8,0)),0)</f>
        <v>1</v>
      </c>
      <c r="BP38" s="143">
        <f t="shared" si="20"/>
        <v>4</v>
      </c>
      <c r="BQ38" s="143">
        <f>IFERROR(INDEX('[1]SALES PERTYPE'!$Y$10:$Y$52,MATCH($C38,'[1]SALES PERTYPE'!$B$10:$B$52,0)),0)</f>
        <v>28295000</v>
      </c>
      <c r="BR38" s="143" cm="1">
        <f t="array" ref="BR38">IFERROR(INDEX('[1]Sales per type juli'!$D$10:$BA$51,MATCH($C38,'[1]Sales per type juli'!$B$10:$B$51,0),MATCH("Y500",'[1]Sales per type juli'!$D$8:$BA$8,0)+1),0)</f>
        <v>5499000</v>
      </c>
      <c r="BS38" s="143">
        <f t="shared" si="21"/>
        <v>22796000</v>
      </c>
      <c r="BT38" s="143">
        <f>IFERROR(INDEX('[1]SALES PERTYPE'!$Z$10:$Z$52,MATCH($C38,'[1]SALES PERTYPE'!$B$10:$B$52,0)),0)</f>
        <v>1</v>
      </c>
      <c r="BU38" s="143">
        <f>IFERROR(INDEX('[1]Sales per type juli'!$D$10:$BA$51,MATCH($C38,'[1]Sales per type juli'!$B$10:$B$51,0),MATCH("IQOO 15R",'[1]Sales per type juli'!$D$8:$BA$8,0)),0)</f>
        <v>2</v>
      </c>
      <c r="BV38" s="143">
        <f t="shared" si="22"/>
        <v>-1</v>
      </c>
      <c r="BW38" s="143">
        <f>IFERROR(INDEX('[1]SALES PERTYPE'!$AA$10:$AA$52,MATCH($C38,'[1]SALES PERTYPE'!$B$10:$B$52,0)),0)</f>
        <v>11999000</v>
      </c>
      <c r="BX38" s="143" cm="1">
        <f t="array" ref="BX38">IFERROR(INDEX('[1]Sales per type juli'!$D$10:$BA$51,MATCH($C38,'[1]Sales per type juli'!$B$10:$B$51,0),MATCH("IQOO 15R",'[1]Sales per type juli'!$D$8:$BA$8,0)+1),0)</f>
        <v>21298000</v>
      </c>
      <c r="BY38" s="143">
        <f t="shared" si="23"/>
        <v>-9299000</v>
      </c>
      <c r="BZ38" s="143">
        <f>IFERROR(INDEX('[1]SALES PERTYPE'!$AB$10:$AB$52,MATCH($C38,'[1]SALES PERTYPE'!$B$10:$B$52,0)),0)</f>
        <v>2</v>
      </c>
      <c r="CA38" s="143">
        <f>IFERROR(INDEX('[1]Sales per type juli'!$D$10:$BA$51,MATCH($C38,'[1]Sales per type juli'!$B$10:$B$51,0),MATCH("V60 Lite",'[1]Sales per type juli'!$D$8:$BA$8,0)),0)</f>
        <v>1</v>
      </c>
      <c r="CB38" s="143">
        <f t="shared" si="24"/>
        <v>1</v>
      </c>
      <c r="CC38" s="143">
        <f>IFERROR(INDEX('[1]SALES PERTYPE'!$AC$10:$AC$52,MATCH($C38,'[1]SALES PERTYPE'!$B$10:$B$52,0)),0)</f>
        <v>11198000</v>
      </c>
      <c r="CD38" s="143" cm="1">
        <f t="array" ref="CD38">IFERROR(INDEX('[1]Sales per type juli'!$D$10:$BA$51,MATCH($C38,'[1]Sales per type juli'!$B$10:$B$51,0),MATCH("V60 Lite",'[1]Sales per type juli'!$D$8:$BA$8,0)+1),0)</f>
        <v>5299000</v>
      </c>
      <c r="CE38" s="143">
        <f t="shared" si="25"/>
        <v>5899000</v>
      </c>
      <c r="CF38" s="143">
        <f>IFERROR(INDEX('[1]SALES PERTYPE'!$AD$10:$AD$52,MATCH($C38,'[1]SALES PERTYPE'!$B$10:$B$52,0)),0)</f>
        <v>3</v>
      </c>
      <c r="CG38" s="143">
        <f>IFERROR(INDEX('[1]Sales per type juli'!$D$10:$BA$51,MATCH($C38,'[1]Sales per type juli'!$B$10:$B$51,0),MATCH("X300 Ultra",'[1]Sales per type juli'!$D$8:$BA$8,0)),0)</f>
        <v>0</v>
      </c>
      <c r="CH38" s="143">
        <f t="shared" si="26"/>
        <v>3</v>
      </c>
      <c r="CI38" s="143">
        <f>IFERROR(INDEX('[1]SALES PERTYPE'!$AE$10:$AE$52,MATCH($C38,'[1]SALES PERTYPE'!$B$10:$B$52,0)),0)</f>
        <v>77997000</v>
      </c>
      <c r="CJ38" s="143" cm="1">
        <f t="array" ref="CJ38">IFERROR(INDEX('[1]Sales per type juli'!$D$10:$BA$51,MATCH($C38,'[1]Sales per type juli'!$B$10:$B$51,0),MATCH("X300 Ultra",'[1]Sales per type juli'!$D$8:$BA$8,0)+1),0)</f>
        <v>0</v>
      </c>
      <c r="CK38" s="143">
        <f t="shared" si="27"/>
        <v>77997000</v>
      </c>
      <c r="CL38" s="143">
        <f>IFERROR(INDEX('[1]SALES PERTYPE'!$AF$10:$AF$52,MATCH($C38,'[1]SALES PERTYPE'!$B$10:$B$52,0)),0)</f>
        <v>0</v>
      </c>
      <c r="CM38" s="143">
        <f>IFERROR(INDEX('[1]Sales per type juli'!$D$10:$BA$51,MATCH($C38,'[1]Sales per type juli'!$B$10:$B$51,0),MATCH("IQOO 15",'[1]Sales per type juli'!$D$8:$BA$8,0)),0)</f>
        <v>0</v>
      </c>
      <c r="CN38" s="143">
        <f t="shared" si="28"/>
        <v>0</v>
      </c>
      <c r="CO38" s="143">
        <f>IFERROR(INDEX('[1]SALES PERTYPE'!$AG$10:$AG$52,MATCH($C38,'[1]SALES PERTYPE'!$B$10:$B$52,0)),0)</f>
        <v>0</v>
      </c>
      <c r="CP38" s="143" cm="1">
        <f t="array" ref="CP38">IFERROR(INDEX('[1]Sales per type juli'!$D$10:$BA$51,MATCH($C38,'[1]Sales per type juli'!$B$10:$B$51,0),MATCH("IQOO 15",'[1]Sales per type juli'!$D$8:$BA$8,0)+1),0)</f>
        <v>0</v>
      </c>
      <c r="CQ38" s="143">
        <f t="shared" si="29"/>
        <v>0</v>
      </c>
      <c r="CR38" s="143">
        <f>IFERROR(INDEX('[1]SALES PERTYPE'!$AH$10:$AH$52,MATCH($C38,'[1]SALES PERTYPE'!$B$10:$B$52,0)),0)</f>
        <v>2</v>
      </c>
      <c r="CS38" s="143">
        <f>IFERROR(INDEX('[1]Sales per type juli'!$D$10:$BA$51,MATCH($C38,'[1]Sales per type juli'!$B$10:$B$51,0),MATCH("IQOO Z11x",'[1]Sales per type juli'!$D$8:$BA$8,0)),0)</f>
        <v>2</v>
      </c>
      <c r="CT38" s="143">
        <f t="shared" si="30"/>
        <v>0</v>
      </c>
      <c r="CU38" s="143">
        <f>IFERROR(INDEX('[1]SALES PERTYPE'!$AI$10:$AI$52,MATCH($C38,'[1]SALES PERTYPE'!$B$10:$B$52,0)),0)</f>
        <v>11398000</v>
      </c>
      <c r="CV38" s="143" cm="1">
        <f t="array" ref="CV38">IFERROR(INDEX('[1]Sales per type juli'!$D$10:$BA$51,MATCH($C38,'[1]Sales per type juli'!$B$10:$B$51,0),MATCH("IQOO Z11x",'[1]Sales per type juli'!$D$8:$BA$8,0)+1),0)</f>
        <v>9598000</v>
      </c>
      <c r="CW38" s="143">
        <f t="shared" si="31"/>
        <v>1800000</v>
      </c>
      <c r="CX38" s="143">
        <f>IFERROR(INDEX('[1]SALES PERTYPE'!$AJ$10:$AJ$52,MATCH($C38,'[1]SALES PERTYPE'!$B$10:$B$52,0)),0)</f>
        <v>3</v>
      </c>
      <c r="CY38" s="143">
        <f>IFERROR(INDEX('[1]Sales per type juli'!$D$10:$BA$51,MATCH($C38,'[1]Sales per type juli'!$B$10:$B$51,0),MATCH("IQOO Z11",'[1]Sales per type juli'!$D$8:$BA$8,0)),0)</f>
        <v>0</v>
      </c>
      <c r="CZ38" s="143">
        <f t="shared" si="32"/>
        <v>3</v>
      </c>
      <c r="DA38" s="143">
        <f>IFERROR(INDEX('[1]SALES PERTYPE'!$AK$10:$AK$52,MATCH($C38,'[1]SALES PERTYPE'!$B$10:$B$52,0)),0)</f>
        <v>20697000</v>
      </c>
      <c r="DB38" s="143" cm="1">
        <f t="array" ref="DB38">IFERROR(INDEX('[1]Sales per type juli'!$D$10:$BA$51,MATCH($C38,'[1]Sales per type juli'!$B$10:$B$51,0),MATCH("IQOO Z11",'[1]Sales per type juli'!$D$8:$BA$8,0)+1),0)</f>
        <v>0</v>
      </c>
      <c r="DC38" s="143">
        <f t="shared" si="33"/>
        <v>20697000</v>
      </c>
      <c r="DD38" s="143">
        <v>0</v>
      </c>
      <c r="DE38" s="143">
        <f>IFERROR(INDEX('[1]Sales per type juli'!$D$10:$BA$51,MATCH($C38,'[1]Sales per type juli'!$B$10:$B$51,0),MATCH("WATCH 3",'[1]Sales per type juli'!$D$8:$BA$8,0)),0)</f>
        <v>0</v>
      </c>
      <c r="DF38" s="143">
        <f t="shared" si="34"/>
        <v>0</v>
      </c>
      <c r="DG38" s="143">
        <v>0</v>
      </c>
      <c r="DH38" s="143" cm="1">
        <f t="array" ref="DH38">IFERROR(INDEX('[1]Sales per type juli'!$D$10:$BA$51,MATCH($C38,'[1]Sales per type juli'!$B$10:$B$51,0),MATCH("WATCH 3",'[1]Sales per type juli'!$D$8:$BA$8,0)+1),0)</f>
        <v>0</v>
      </c>
      <c r="DI38" s="143">
        <f t="shared" si="35"/>
        <v>0</v>
      </c>
      <c r="DJ38" s="143">
        <v>0</v>
      </c>
      <c r="DK38" s="143">
        <f>IFERROR(INDEX('[1]Sales per type juli'!$D$10:$BA$51,MATCH($C38,'[1]Sales per type juli'!$B$10:$B$51,0),MATCH("X300 Demo",'[1]Sales per type juli'!$D$8:$BA$8,0)),0)</f>
        <v>0</v>
      </c>
      <c r="DL38" s="143">
        <f t="shared" si="36"/>
        <v>0</v>
      </c>
      <c r="DM38" s="143">
        <v>0</v>
      </c>
      <c r="DN38" s="143" cm="1">
        <f t="array" ref="DN38">IFERROR(INDEX('[1]Sales per type juli'!$D$10:$BA$51,MATCH($C38,'[1]Sales per type juli'!$B$10:$B$51,0),MATCH("X300 Demo",'[1]Sales per type juli'!$D$8:$BA$8,0)+1),0)</f>
        <v>0</v>
      </c>
      <c r="DO38" s="143">
        <f t="shared" si="37"/>
        <v>0</v>
      </c>
      <c r="DP38" s="143">
        <v>0</v>
      </c>
      <c r="DQ38" s="143">
        <f>IFERROR(INDEX('[1]Sales per type juli'!$D$10:$BA$51,MATCH($C38,'[1]Sales per type juli'!$B$10:$B$51,0),MATCH("X300 Pro Demo",'[1]Sales per type juli'!$D$8:$BA$8,0)),0)</f>
        <v>0</v>
      </c>
      <c r="DR38" s="143">
        <f t="shared" si="38"/>
        <v>0</v>
      </c>
      <c r="DS38" s="143">
        <v>0</v>
      </c>
      <c r="DT38" s="143" cm="1">
        <f t="array" ref="DT38">IFERROR(INDEX('[1]Sales per type juli'!$D$10:$BA$51,MATCH($C38,'[1]Sales per type juli'!$B$10:$B$51,0),MATCH("X300 Pro Demo",'[1]Sales per type juli'!$D$8:$BA$8,0)+1),0)</f>
        <v>0</v>
      </c>
      <c r="DU38" s="143">
        <f t="shared" si="39"/>
        <v>0</v>
      </c>
      <c r="DV38" s="143">
        <v>0</v>
      </c>
      <c r="DW38" s="143">
        <f>IFERROR(INDEX('[1]Sales per type juli'!$D$10:$BA$51,MATCH($C38,'[1]Sales per type juli'!$B$10:$B$51,0),MATCH("X Fold5 DEMO",'[1]Sales per type juli'!$D$8:$BA$8,0)),0)</f>
        <v>0</v>
      </c>
      <c r="DX38" s="143">
        <f t="shared" si="40"/>
        <v>0</v>
      </c>
      <c r="DY38" s="143">
        <v>0</v>
      </c>
      <c r="DZ38" s="143" cm="1">
        <f t="array" ref="DZ38">IFERROR(INDEX('[1]Sales per type juli'!$D$10:$BA$51,MATCH($C38,'[1]Sales per type juli'!$B$10:$B$51,0),MATCH("X Fold5 DEMO",'[1]Sales per type juli'!$D$8:$BA$8,0)+1),0)</f>
        <v>0</v>
      </c>
      <c r="EA38" s="143">
        <f t="shared" si="41"/>
        <v>0</v>
      </c>
      <c r="EB38" s="143">
        <v>0</v>
      </c>
      <c r="EC38" s="143">
        <f>IFERROR(INDEX('[1]Sales per type juli'!$D$10:$BA$51,MATCH($C38,'[1]Sales per type juli'!$B$10:$B$51,0),MATCH("X Fold5",'[1]Sales per type juli'!$D$8:$BA$8,0)),0)</f>
        <v>0</v>
      </c>
      <c r="ED38" s="143">
        <f t="shared" si="42"/>
        <v>0</v>
      </c>
      <c r="EE38" s="143">
        <v>0</v>
      </c>
      <c r="EF38" s="143" cm="1">
        <f t="array" ref="EF38">IFERROR(INDEX('[1]Sales per type juli'!$D$10:$BA$51,MATCH($C38,'[1]Sales per type juli'!$B$10:$B$51,0),MATCH("X Fold5",'[1]Sales per type juli'!$D$8:$BA$8,0)+1),0)</f>
        <v>0</v>
      </c>
      <c r="EG38" s="143">
        <f t="shared" si="43"/>
        <v>0</v>
      </c>
      <c r="EH38" s="143">
        <v>0</v>
      </c>
      <c r="EI38" s="143">
        <f>IFERROR(INDEX('[1]Sales per type juli'!$D$10:$BA$51,MATCH($C38,'[1]Sales per type juli'!$B$10:$B$51,0),MATCH("IQOO 15 Demo",'[1]Sales per type juli'!$D$8:$BA$8,0)),0)</f>
        <v>0</v>
      </c>
      <c r="EJ38" s="143">
        <f t="shared" si="44"/>
        <v>0</v>
      </c>
      <c r="EK38" s="143">
        <v>0</v>
      </c>
      <c r="EL38" s="143" cm="1">
        <f t="array" ref="EL38">IFERROR(INDEX('[1]Sales per type juli'!$D$10:$BA$51,MATCH($C38,'[1]Sales per type juli'!$B$10:$B$51,0),MATCH("IQOO 15 Demo",'[1]Sales per type juli'!$D$8:$BA$8,0)+1),0)</f>
        <v>0</v>
      </c>
      <c r="EM38" s="143">
        <f t="shared" si="45"/>
        <v>0</v>
      </c>
      <c r="EN38" s="143">
        <v>0</v>
      </c>
      <c r="EO38" s="143">
        <f>IFERROR(INDEX('[1]Sales per type juli'!$D$10:$BA$51,MATCH($C38,'[1]Sales per type juli'!$B$10:$B$51,0),MATCH("X300 PRO",'[1]Sales per type juli'!$D$8:$BA$8,0)),0)</f>
        <v>0</v>
      </c>
      <c r="EP38" s="143">
        <f t="shared" si="46"/>
        <v>0</v>
      </c>
      <c r="EQ38" s="143">
        <v>0</v>
      </c>
      <c r="ER38" s="143" cm="1">
        <f t="array" ref="ER38">IFERROR(INDEX('[1]Sales per type juli'!$D$10:$BA$51,MATCH($C38,'[1]Sales per type juli'!$B$10:$B$51,0),MATCH("X300 PRO",'[1]Sales per type juli'!$D$8:$BA$8,0)+1),0)</f>
        <v>0</v>
      </c>
      <c r="ES38" s="143">
        <f t="shared" si="47"/>
        <v>0</v>
      </c>
      <c r="ET38" s="143">
        <v>0</v>
      </c>
      <c r="EU38" s="143">
        <f>IFERROR(INDEX('[1]Sales per type juli'!$D$10:$BA$51,MATCH($C38,'[1]Sales per type juli'!$B$10:$B$51,0),MATCH("X300 ",'[1]Sales per type juli'!$D$8:$BA$8,0)),0)</f>
        <v>0</v>
      </c>
      <c r="EV38" s="143">
        <f t="shared" si="48"/>
        <v>0</v>
      </c>
      <c r="EW38" s="143">
        <v>0</v>
      </c>
      <c r="EX38" s="143" cm="1">
        <f t="array" ref="EX38">IFERROR(INDEX('[1]Sales per type juli'!$D$10:$BA$51,MATCH($C38,'[1]Sales per type juli'!$B$10:$B$51,0),MATCH("X300 ",'[1]Sales per type juli'!$D$8:$BA$8,0)+1),0)</f>
        <v>0</v>
      </c>
      <c r="EY38" s="143">
        <f t="shared" si="49"/>
        <v>0</v>
      </c>
      <c r="EZ38" s="143">
        <f t="shared" si="50"/>
        <v>100</v>
      </c>
      <c r="FA38" s="143">
        <f t="shared" si="50"/>
        <v>93</v>
      </c>
      <c r="FB38" s="143">
        <f t="shared" si="51"/>
        <v>7</v>
      </c>
      <c r="FC38" s="143">
        <f t="shared" si="52"/>
        <v>452200000</v>
      </c>
      <c r="FD38" s="143">
        <f t="shared" si="52"/>
        <v>350307000</v>
      </c>
      <c r="FE38" s="143">
        <f t="shared" si="53"/>
        <v>101893000</v>
      </c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</row>
    <row r="39" spans="1:208" ht="16" x14ac:dyDescent="0.2">
      <c r="A39" s="141">
        <f>'[1]ACHIEVEMENT STORE'!A39</f>
        <v>35</v>
      </c>
      <c r="B39" s="142" t="str">
        <f>'[1]ACHIEVEMENT STORE'!B39</f>
        <v>619-万隆市区BDG KOTA</v>
      </c>
      <c r="C39" s="141">
        <f>'[1]ACHIEVEMENT STORE'!C39</f>
        <v>6190705</v>
      </c>
      <c r="D39" s="142" t="str">
        <f>'[1]ACHIEVEMENT STORE'!D39</f>
        <v>A300105-VIVO STORE LG F20</v>
      </c>
      <c r="E39" s="142" t="str">
        <f>'[1]ACHIEVEMENT STORE'!E39</f>
        <v>EKO PURWANTO</v>
      </c>
      <c r="F39" s="143">
        <f>IFERROR(INDEX('[1]SALES PERTYPE'!$D$10:$D$52,MATCH($C39,'[1]SALES PERTYPE'!$B$10:$B$52,0)),0)</f>
        <v>4</v>
      </c>
      <c r="G39" s="143">
        <f>IFERROR(INDEX('[1]Sales per type juli'!$D$10:$BA$51,MATCH($C39,'[1]Sales per type juli'!$B$10:$B$51,0),MATCH("Y05",'[1]Sales per type juli'!$D$8:$BA$8,0)),0)</f>
        <v>16</v>
      </c>
      <c r="H39" s="143">
        <f t="shared" si="0"/>
        <v>-12</v>
      </c>
      <c r="I39" s="143">
        <f>IFERROR(INDEX('[1]SALES PERTYPE'!$E$10:$E$52,MATCH($C39,'[1]SALES PERTYPE'!$B$10:$B$52,0)),0)</f>
        <v>9796000</v>
      </c>
      <c r="J39" s="143" cm="1">
        <f t="array" ref="J39">IFERROR(INDEX('[1]Sales per type juli'!$D$10:$BA$51,MATCH($C39,'[1]Sales per type juli'!$B$10:$B$51,0),MATCH("Y05",'[1]Sales per type juli'!$D$8:$BA$8,0)+1),0)</f>
        <v>35584000</v>
      </c>
      <c r="K39" s="143">
        <f t="shared" si="1"/>
        <v>-25788000</v>
      </c>
      <c r="L39" s="143">
        <f>IFERROR(INDEX('[1]SALES PERTYPE'!$F$10:$F$52,MATCH($C39,'[1]SALES PERTYPE'!$B$10:$B$52,0)),0)</f>
        <v>8</v>
      </c>
      <c r="M39" s="143">
        <f>IFERROR(INDEX('[1]Sales per type juli'!$D$10:$BA$51,MATCH($C39,'[1]Sales per type juli'!$B$10:$B$51,0),MATCH("Y11d",'[1]Sales per type juli'!$D$8:$BA$8,0)),0)</f>
        <v>13</v>
      </c>
      <c r="N39" s="143">
        <f t="shared" si="2"/>
        <v>-5</v>
      </c>
      <c r="O39" s="143">
        <f>IFERROR(INDEX('[1]SALES PERTYPE'!$G$10:$G$52,MATCH($C39,'[1]SALES PERTYPE'!$B$10:$B$52,0)),0)</f>
        <v>19992000</v>
      </c>
      <c r="P39" s="143" cm="1">
        <f t="array" ref="P39">IFERROR(INDEX('[1]Sales per type juli'!$D$10:$BA$51,MATCH($C39,'[1]Sales per type juli'!$B$10:$B$51,0),MATCH("Y11d",'[1]Sales per type juli'!$D$8:$BA$8,0)+1),0)</f>
        <v>33587000</v>
      </c>
      <c r="Q39" s="143">
        <f t="shared" si="3"/>
        <v>-13595000</v>
      </c>
      <c r="R39" s="143">
        <f>IFERROR(INDEX('[1]SALES PERTYPE'!$H$10:$H$52,MATCH($C39,'[1]SALES PERTYPE'!$B$10:$B$52,0)),0)</f>
        <v>0</v>
      </c>
      <c r="S39" s="143">
        <f>IFERROR(INDEX('[1]Sales per type juli'!$D$10:$BA$51,MATCH($C39,'[1]Sales per type juli'!$B$10:$B$51,0),MATCH("Watch GT 2",'[1]Sales per type juli'!$D$8:$BA$8,0)),0)</f>
        <v>0</v>
      </c>
      <c r="T39" s="143">
        <f t="shared" si="4"/>
        <v>0</v>
      </c>
      <c r="U39" s="143">
        <f>IFERROR(INDEX('[1]SALES PERTYPE'!$I$10:$I$52,MATCH($C39,'[1]SALES PERTYPE'!$B$10:$B$52,0)),0)</f>
        <v>0</v>
      </c>
      <c r="V39" s="143" cm="1">
        <f t="array" ref="V39">IFERROR(INDEX('[1]Sales per type juli'!$D$10:$BA$51,MATCH($C39,'[1]Sales per type juli'!$B$10:$B$51,0),MATCH("Watch GT 2",'[1]Sales per type juli'!$D$8:$BA$8,0)+1),0)</f>
        <v>0</v>
      </c>
      <c r="W39" s="143">
        <f t="shared" si="5"/>
        <v>0</v>
      </c>
      <c r="X39" s="143">
        <f>IFERROR(INDEX('[1]SALES PERTYPE'!$J$10:$J$52,MATCH($C39,'[1]SALES PERTYPE'!$B$10:$B$52,0)),0)</f>
        <v>2</v>
      </c>
      <c r="Y39" s="143">
        <f>IFERROR(INDEX('[1]Sales per type juli'!$D$10:$BA$51,MATCH($C39,'[1]Sales per type juli'!$B$10:$B$51,0),MATCH("Y05e",'[1]Sales per type juli'!$D$8:$BA$8,0)),0)</f>
        <v>0</v>
      </c>
      <c r="Z39" s="143">
        <f t="shared" si="6"/>
        <v>2</v>
      </c>
      <c r="AA39" s="143">
        <f>IFERROR(INDEX('[1]SALES PERTYPE'!$K$10:$K$52,MATCH($C39,'[1]SALES PERTYPE'!$B$10:$B$52,0)),0)</f>
        <v>4198000</v>
      </c>
      <c r="AB39" s="143" cm="1">
        <f t="array" ref="AB39">IFERROR(INDEX('[1]Sales per type juli'!$D$10:$BA$51,MATCH($C39,'[1]Sales per type juli'!$B$10:$B$51,0),MATCH("Y05e",'[1]Sales per type juli'!$D$8:$BA$8,0)+1),0)</f>
        <v>0</v>
      </c>
      <c r="AC39" s="143">
        <f t="shared" si="7"/>
        <v>4198000</v>
      </c>
      <c r="AD39" s="143">
        <f>IFERROR(INDEX('[1]SALES PERTYPE'!$L$10:$L$52,MATCH($C39,'[1]SALES PERTYPE'!$B$10:$B$52,0)),0)</f>
        <v>0</v>
      </c>
      <c r="AE39" s="143">
        <f>IFERROR(INDEX('[1]Sales per type juli'!$D$10:$BA$51,MATCH($C39,'[1]Sales per type juli'!$B$10:$B$51,0),MATCH("V70",'[1]Sales per type juli'!$D$8:$BA$8,0)),0)</f>
        <v>3</v>
      </c>
      <c r="AF39" s="143">
        <f t="shared" si="8"/>
        <v>-3</v>
      </c>
      <c r="AG39" s="143">
        <f>IFERROR(INDEX('[1]SALES PERTYPE'!$M$10:$M$52,MATCH($C39,'[1]SALES PERTYPE'!$B$10:$B$52,0)),0)</f>
        <v>0</v>
      </c>
      <c r="AH39" s="143" cm="1">
        <f t="array" ref="AH39">IFERROR(INDEX('[1]Sales per type juli'!$D$10:$BA$51,MATCH($C39,'[1]Sales per type juli'!$B$10:$B$51,0),MATCH("V70",'[1]Sales per type juli'!$D$8:$BA$8,0)+1),0)</f>
        <v>30997000</v>
      </c>
      <c r="AI39" s="143">
        <f t="shared" si="9"/>
        <v>-30997000</v>
      </c>
      <c r="AJ39" s="143">
        <f>IFERROR(INDEX('[1]SALES PERTYPE'!$N$10:$N$52,MATCH($C39,'[1]SALES PERTYPE'!$B$10:$B$52,0)),0)</f>
        <v>8</v>
      </c>
      <c r="AK39" s="143">
        <f>IFERROR(INDEX('[1]Sales per type juli'!$D$10:$BA$51,MATCH($C39,'[1]Sales per type juli'!$B$10:$B$51,0),MATCH("Y31d Pro",'[1]Sales per type juli'!$D$8:$BA$8,0)),0)</f>
        <v>4</v>
      </c>
      <c r="AL39" s="143">
        <f t="shared" si="10"/>
        <v>4</v>
      </c>
      <c r="AM39" s="143">
        <f>IFERROR(INDEX('[1]SALES PERTYPE'!$O$10:$O$52,MATCH($C39,'[1]SALES PERTYPE'!$B$10:$B$52,0)),0)</f>
        <v>33792000</v>
      </c>
      <c r="AN39" s="143" cm="1">
        <f t="array" ref="AN39">IFERROR(INDEX('[1]Sales per type juli'!$D$10:$BA$51,MATCH($C39,'[1]Sales per type juli'!$B$10:$B$51,0),MATCH("Y31d Pro",'[1]Sales per type juli'!$D$8:$BA$8,0)+1),0)</f>
        <v>17196000</v>
      </c>
      <c r="AO39" s="143">
        <f t="shared" si="11"/>
        <v>16596000</v>
      </c>
      <c r="AP39" s="143">
        <f>IFERROR(INDEX('[1]SALES PERTYPE'!$P$10:$P$52,MATCH($C39,'[1]SALES PERTYPE'!$B$10:$B$52,0)),0)</f>
        <v>1</v>
      </c>
      <c r="AQ39" s="143" cm="1">
        <f t="array" ref="AQ39">IFERROR(INDEX('[1]Sales per type juli'!$D$10:$BA$51,MATCH($C39,'[1]Sales per type juli'!$B$10:$B$51,0),$FG$2),0)</f>
        <v>0</v>
      </c>
      <c r="AR39" s="143">
        <f t="shared" si="12"/>
        <v>1</v>
      </c>
      <c r="AS39" s="143">
        <f>IFERROR(INDEX('[1]SALES PERTYPE'!$Q$10:$Q$52,MATCH($C39,'[1]SALES PERTYPE'!$B$10:$B$52,0)),0)</f>
        <v>3599000</v>
      </c>
      <c r="AT39" s="143" cm="1">
        <f t="array" ref="AT39">IFERROR(INDEX('[1]Sales per type juli'!$D$10:$BA$51,MATCH($C39,'[1]Sales per type juli'!$B$10:$B$51,0),$FG$2+1),0)</f>
        <v>0</v>
      </c>
      <c r="AU39" s="143">
        <f t="shared" si="13"/>
        <v>3599000</v>
      </c>
      <c r="AV39" s="143">
        <f>IFERROR(INDEX('[1]SALES PERTYPE'!$R$10:$R$52,MATCH($C39,'[1]SALES PERTYPE'!$B$10:$B$52,0)),0)</f>
        <v>0</v>
      </c>
      <c r="AW39" s="143">
        <f>IFERROR(INDEX('[1]Sales per type juli'!$D$10:$BA$51,MATCH($C39,'[1]Sales per type juli'!$B$10:$B$51,0),MATCH("Y31d ",'[1]Sales per type juli'!$D$8:$BA$8,0)),0)</f>
        <v>1</v>
      </c>
      <c r="AX39" s="143">
        <f t="shared" si="14"/>
        <v>-1</v>
      </c>
      <c r="AY39" s="143">
        <f>IFERROR(INDEX('[1]SALES PERTYPE'!$S$10:$S$52,MATCH($C39,'[1]SALES PERTYPE'!$B$10:$B$52,0)),0)</f>
        <v>0</v>
      </c>
      <c r="AZ39" s="143" cm="1">
        <f t="array" ref="AZ39">IFERROR(INDEX('[1]Sales per type juli'!$D$10:$BA$51,MATCH($C39,'[1]Sales per type juli'!$B$10:$B$51,0),MATCH("Y31d ",'[1]Sales per type juli'!$D$8:$BA$8,0)+1),0)</f>
        <v>3599000</v>
      </c>
      <c r="BA39" s="143">
        <f t="shared" si="15"/>
        <v>-3599000</v>
      </c>
      <c r="BB39" s="143">
        <f>IFERROR(INDEX('[1]SALES PERTYPE'!$T$10:$T$52,MATCH($C39,'[1]SALES PERTYPE'!$B$10:$B$52,0)),0)</f>
        <v>0</v>
      </c>
      <c r="BC39" s="143">
        <f>IFERROR(INDEX('[1]Sales per type juli'!$D$10:$BA$51,MATCH($C39,'[1]Sales per type juli'!$B$10:$B$51,0),MATCH("V70 FE",'[1]Sales per type juli'!$D$8:$BA$8,0)),0)</f>
        <v>7</v>
      </c>
      <c r="BD39" s="143">
        <f t="shared" si="16"/>
        <v>-7</v>
      </c>
      <c r="BE39" s="143">
        <f>IFERROR(INDEX('[1]SALES PERTYPE'!$U$10:$U$52,MATCH($C39,'[1]SALES PERTYPE'!$B$10:$B$52,0)),0)</f>
        <v>0</v>
      </c>
      <c r="BF39" s="143" cm="1">
        <f t="array" ref="BF39">IFERROR(INDEX('[1]Sales per type juli'!$D$10:$BA$51,MATCH($C39,'[1]Sales per type juli'!$B$10:$B$51,0),MATCH("V70 FE",'[1]Sales per type juli'!$D$8:$BA$8,0)+1),0)</f>
        <v>48293000</v>
      </c>
      <c r="BG39" s="143">
        <f t="shared" si="17"/>
        <v>-48293000</v>
      </c>
      <c r="BH39" s="143">
        <f>IFERROR(INDEX('[1]SALES PERTYPE'!$V$10:$V$52,MATCH($C39,'[1]SALES PERTYPE'!$B$10:$B$52,0)),0)</f>
        <v>0</v>
      </c>
      <c r="BI39" s="143">
        <f>IFERROR(INDEX('[1]Sales per type juli'!$D$10:$BA$51,MATCH($C39,'[1]Sales per type juli'!$B$10:$B$51,0),MATCH("Y31d",'[1]Sales per type juli'!$D$8:$BA$8,0)),0)</f>
        <v>0</v>
      </c>
      <c r="BJ39" s="143">
        <f t="shared" si="18"/>
        <v>0</v>
      </c>
      <c r="BK39" s="143">
        <f>IFERROR(INDEX('[1]SALES PERTYPE'!$W$10:$W$52,MATCH($C39,'[1]SALES PERTYPE'!$B$10:$B$52,0)),0)</f>
        <v>0</v>
      </c>
      <c r="BL39" s="143" cm="1">
        <f t="array" ref="BL39">IFERROR(INDEX('[1]Sales per type juli'!$D$10:$BA$51,MATCH($C39,'[1]Sales per type juli'!$B$10:$B$51,0),MATCH("Y31d",'[1]Sales per type juli'!$D$8:$BA$8,0)+1),0)</f>
        <v>0</v>
      </c>
      <c r="BM39" s="143">
        <f t="shared" si="19"/>
        <v>0</v>
      </c>
      <c r="BN39" s="143">
        <f>IFERROR(INDEX('[1]SALES PERTYPE'!$X$10:$X$52,MATCH($C39,'[1]SALES PERTYPE'!$B$10:$B$52,0)),0)</f>
        <v>0</v>
      </c>
      <c r="BO39" s="143">
        <f>IFERROR(INDEX('[1]Sales per type juli'!$D$10:$BA$51,MATCH($C39,'[1]Sales per type juli'!$B$10:$B$51,0),MATCH("Y500",'[1]Sales per type juli'!$D$8:$BA$8,0)),0)</f>
        <v>0</v>
      </c>
      <c r="BP39" s="143">
        <f t="shared" si="20"/>
        <v>0</v>
      </c>
      <c r="BQ39" s="143">
        <f>IFERROR(INDEX('[1]SALES PERTYPE'!$Y$10:$Y$52,MATCH($C39,'[1]SALES PERTYPE'!$B$10:$B$52,0)),0)</f>
        <v>0</v>
      </c>
      <c r="BR39" s="143" cm="1">
        <f t="array" ref="BR39">IFERROR(INDEX('[1]Sales per type juli'!$D$10:$BA$51,MATCH($C39,'[1]Sales per type juli'!$B$10:$B$51,0),MATCH("Y500",'[1]Sales per type juli'!$D$8:$BA$8,0)+1),0)</f>
        <v>0</v>
      </c>
      <c r="BS39" s="143">
        <f t="shared" si="21"/>
        <v>0</v>
      </c>
      <c r="BT39" s="143">
        <f>IFERROR(INDEX('[1]SALES PERTYPE'!$Z$10:$Z$52,MATCH($C39,'[1]SALES PERTYPE'!$B$10:$B$52,0)),0)</f>
        <v>1</v>
      </c>
      <c r="BU39" s="143">
        <f>IFERROR(INDEX('[1]Sales per type juli'!$D$10:$BA$51,MATCH($C39,'[1]Sales per type juli'!$B$10:$B$51,0),MATCH("IQOO 15R",'[1]Sales per type juli'!$D$8:$BA$8,0)),0)</f>
        <v>1</v>
      </c>
      <c r="BV39" s="143">
        <f t="shared" si="22"/>
        <v>0</v>
      </c>
      <c r="BW39" s="143">
        <f>IFERROR(INDEX('[1]SALES PERTYPE'!$AA$10:$AA$52,MATCH($C39,'[1]SALES PERTYPE'!$B$10:$B$52,0)),0)</f>
        <v>11999000</v>
      </c>
      <c r="BX39" s="143" cm="1">
        <f t="array" ref="BX39">IFERROR(INDEX('[1]Sales per type juli'!$D$10:$BA$51,MATCH($C39,'[1]Sales per type juli'!$B$10:$B$51,0),MATCH("IQOO 15R",'[1]Sales per type juli'!$D$8:$BA$8,0)+1),0)</f>
        <v>9899000</v>
      </c>
      <c r="BY39" s="143">
        <f t="shared" si="23"/>
        <v>2100000</v>
      </c>
      <c r="BZ39" s="143">
        <f>IFERROR(INDEX('[1]SALES PERTYPE'!$AB$10:$AB$52,MATCH($C39,'[1]SALES PERTYPE'!$B$10:$B$52,0)),0)</f>
        <v>0</v>
      </c>
      <c r="CA39" s="143">
        <f>IFERROR(INDEX('[1]Sales per type juli'!$D$10:$BA$51,MATCH($C39,'[1]Sales per type juli'!$B$10:$B$51,0),MATCH("V60 Lite",'[1]Sales per type juli'!$D$8:$BA$8,0)),0)</f>
        <v>1</v>
      </c>
      <c r="CB39" s="143">
        <f t="shared" si="24"/>
        <v>-1</v>
      </c>
      <c r="CC39" s="143">
        <f>IFERROR(INDEX('[1]SALES PERTYPE'!$AC$10:$AC$52,MATCH($C39,'[1]SALES PERTYPE'!$B$10:$B$52,0)),0)</f>
        <v>0</v>
      </c>
      <c r="CD39" s="143" cm="1">
        <f t="array" ref="CD39">IFERROR(INDEX('[1]Sales per type juli'!$D$10:$BA$51,MATCH($C39,'[1]Sales per type juli'!$B$10:$B$51,0),MATCH("V60 Lite",'[1]Sales per type juli'!$D$8:$BA$8,0)+1),0)</f>
        <v>5299000</v>
      </c>
      <c r="CE39" s="143">
        <f t="shared" si="25"/>
        <v>-5299000</v>
      </c>
      <c r="CF39" s="143">
        <f>IFERROR(INDEX('[1]SALES PERTYPE'!$AD$10:$AD$52,MATCH($C39,'[1]SALES PERTYPE'!$B$10:$B$52,0)),0)</f>
        <v>0</v>
      </c>
      <c r="CG39" s="143">
        <f>IFERROR(INDEX('[1]Sales per type juli'!$D$10:$BA$51,MATCH($C39,'[1]Sales per type juli'!$B$10:$B$51,0),MATCH("X300 Ultra",'[1]Sales per type juli'!$D$8:$BA$8,0)),0)</f>
        <v>0</v>
      </c>
      <c r="CH39" s="143">
        <f t="shared" si="26"/>
        <v>0</v>
      </c>
      <c r="CI39" s="143">
        <f>IFERROR(INDEX('[1]SALES PERTYPE'!$AE$10:$AE$52,MATCH($C39,'[1]SALES PERTYPE'!$B$10:$B$52,0)),0)</f>
        <v>0</v>
      </c>
      <c r="CJ39" s="143" cm="1">
        <f t="array" ref="CJ39">IFERROR(INDEX('[1]Sales per type juli'!$D$10:$BA$51,MATCH($C39,'[1]Sales per type juli'!$B$10:$B$51,0),MATCH("X300 Ultra",'[1]Sales per type juli'!$D$8:$BA$8,0)+1),0)</f>
        <v>0</v>
      </c>
      <c r="CK39" s="143">
        <f t="shared" si="27"/>
        <v>0</v>
      </c>
      <c r="CL39" s="143">
        <f>IFERROR(INDEX('[1]SALES PERTYPE'!$AF$10:$AF$52,MATCH($C39,'[1]SALES PERTYPE'!$B$10:$B$52,0)),0)</f>
        <v>0</v>
      </c>
      <c r="CM39" s="143">
        <f>IFERROR(INDEX('[1]Sales per type juli'!$D$10:$BA$51,MATCH($C39,'[1]Sales per type juli'!$B$10:$B$51,0),MATCH("IQOO 15",'[1]Sales per type juli'!$D$8:$BA$8,0)),0)</f>
        <v>0</v>
      </c>
      <c r="CN39" s="143">
        <f t="shared" si="28"/>
        <v>0</v>
      </c>
      <c r="CO39" s="143">
        <f>IFERROR(INDEX('[1]SALES PERTYPE'!$AG$10:$AG$52,MATCH($C39,'[1]SALES PERTYPE'!$B$10:$B$52,0)),0)</f>
        <v>0</v>
      </c>
      <c r="CP39" s="143" cm="1">
        <f t="array" ref="CP39">IFERROR(INDEX('[1]Sales per type juli'!$D$10:$BA$51,MATCH($C39,'[1]Sales per type juli'!$B$10:$B$51,0),MATCH("IQOO 15",'[1]Sales per type juli'!$D$8:$BA$8,0)+1),0)</f>
        <v>0</v>
      </c>
      <c r="CQ39" s="143">
        <f t="shared" si="29"/>
        <v>0</v>
      </c>
      <c r="CR39" s="143">
        <f>IFERROR(INDEX('[1]SALES PERTYPE'!$AH$10:$AH$52,MATCH($C39,'[1]SALES PERTYPE'!$B$10:$B$52,0)),0)</f>
        <v>0</v>
      </c>
      <c r="CS39" s="143">
        <f>IFERROR(INDEX('[1]Sales per type juli'!$D$10:$BA$51,MATCH($C39,'[1]Sales per type juli'!$B$10:$B$51,0),MATCH("IQOO Z11x",'[1]Sales per type juli'!$D$8:$BA$8,0)),0)</f>
        <v>0</v>
      </c>
      <c r="CT39" s="143">
        <f t="shared" si="30"/>
        <v>0</v>
      </c>
      <c r="CU39" s="143">
        <f>IFERROR(INDEX('[1]SALES PERTYPE'!$AI$10:$AI$52,MATCH($C39,'[1]SALES PERTYPE'!$B$10:$B$52,0)),0)</f>
        <v>0</v>
      </c>
      <c r="CV39" s="143" cm="1">
        <f t="array" ref="CV39">IFERROR(INDEX('[1]Sales per type juli'!$D$10:$BA$51,MATCH($C39,'[1]Sales per type juli'!$B$10:$B$51,0),MATCH("IQOO Z11x",'[1]Sales per type juli'!$D$8:$BA$8,0)+1),0)</f>
        <v>0</v>
      </c>
      <c r="CW39" s="143">
        <f t="shared" si="31"/>
        <v>0</v>
      </c>
      <c r="CX39" s="143">
        <f>IFERROR(INDEX('[1]SALES PERTYPE'!$AJ$10:$AJ$52,MATCH($C39,'[1]SALES PERTYPE'!$B$10:$B$52,0)),0)</f>
        <v>0</v>
      </c>
      <c r="CY39" s="143">
        <f>IFERROR(INDEX('[1]Sales per type juli'!$D$10:$BA$51,MATCH($C39,'[1]Sales per type juli'!$B$10:$B$51,0),MATCH("IQOO Z11",'[1]Sales per type juli'!$D$8:$BA$8,0)),0)</f>
        <v>4</v>
      </c>
      <c r="CZ39" s="143">
        <f t="shared" si="32"/>
        <v>-4</v>
      </c>
      <c r="DA39" s="143">
        <f>IFERROR(INDEX('[1]SALES PERTYPE'!$AK$10:$AK$52,MATCH($C39,'[1]SALES PERTYPE'!$B$10:$B$52,0)),0)</f>
        <v>0</v>
      </c>
      <c r="DB39" s="143" cm="1">
        <f t="array" ref="DB39">IFERROR(INDEX('[1]Sales per type juli'!$D$10:$BA$51,MATCH($C39,'[1]Sales per type juli'!$B$10:$B$51,0),MATCH("IQOO Z11",'[1]Sales per type juli'!$D$8:$BA$8,0)+1),0)</f>
        <v>26096000</v>
      </c>
      <c r="DC39" s="143">
        <f t="shared" si="33"/>
        <v>-26096000</v>
      </c>
      <c r="DD39" s="143">
        <v>0</v>
      </c>
      <c r="DE39" s="143">
        <f>IFERROR(INDEX('[1]Sales per type juli'!$D$10:$BA$51,MATCH($C39,'[1]Sales per type juli'!$B$10:$B$51,0),MATCH("WATCH 3",'[1]Sales per type juli'!$D$8:$BA$8,0)),0)</f>
        <v>0</v>
      </c>
      <c r="DF39" s="143">
        <f t="shared" si="34"/>
        <v>0</v>
      </c>
      <c r="DG39" s="143">
        <v>0</v>
      </c>
      <c r="DH39" s="143" cm="1">
        <f t="array" ref="DH39">IFERROR(INDEX('[1]Sales per type juli'!$D$10:$BA$51,MATCH($C39,'[1]Sales per type juli'!$B$10:$B$51,0),MATCH("WATCH 3",'[1]Sales per type juli'!$D$8:$BA$8,0)+1),0)</f>
        <v>0</v>
      </c>
      <c r="DI39" s="143">
        <f t="shared" si="35"/>
        <v>0</v>
      </c>
      <c r="DJ39" s="143">
        <v>0</v>
      </c>
      <c r="DK39" s="143">
        <f>IFERROR(INDEX('[1]Sales per type juli'!$D$10:$BA$51,MATCH($C39,'[1]Sales per type juli'!$B$10:$B$51,0),MATCH("X300 Demo",'[1]Sales per type juli'!$D$8:$BA$8,0)),0)</f>
        <v>0</v>
      </c>
      <c r="DL39" s="143">
        <f t="shared" si="36"/>
        <v>0</v>
      </c>
      <c r="DM39" s="143">
        <v>0</v>
      </c>
      <c r="DN39" s="143" cm="1">
        <f t="array" ref="DN39">IFERROR(INDEX('[1]Sales per type juli'!$D$10:$BA$51,MATCH($C39,'[1]Sales per type juli'!$B$10:$B$51,0),MATCH("X300 Demo",'[1]Sales per type juli'!$D$8:$BA$8,0)+1),0)</f>
        <v>0</v>
      </c>
      <c r="DO39" s="143">
        <f t="shared" si="37"/>
        <v>0</v>
      </c>
      <c r="DP39" s="143">
        <v>0</v>
      </c>
      <c r="DQ39" s="143">
        <f>IFERROR(INDEX('[1]Sales per type juli'!$D$10:$BA$51,MATCH($C39,'[1]Sales per type juli'!$B$10:$B$51,0),MATCH("X300 Pro Demo",'[1]Sales per type juli'!$D$8:$BA$8,0)),0)</f>
        <v>0</v>
      </c>
      <c r="DR39" s="143">
        <f t="shared" si="38"/>
        <v>0</v>
      </c>
      <c r="DS39" s="143">
        <v>0</v>
      </c>
      <c r="DT39" s="143" cm="1">
        <f t="array" ref="DT39">IFERROR(INDEX('[1]Sales per type juli'!$D$10:$BA$51,MATCH($C39,'[1]Sales per type juli'!$B$10:$B$51,0),MATCH("X300 Pro Demo",'[1]Sales per type juli'!$D$8:$BA$8,0)+1),0)</f>
        <v>0</v>
      </c>
      <c r="DU39" s="143">
        <f t="shared" si="39"/>
        <v>0</v>
      </c>
      <c r="DV39" s="143">
        <v>0</v>
      </c>
      <c r="DW39" s="143">
        <f>IFERROR(INDEX('[1]Sales per type juli'!$D$10:$BA$51,MATCH($C39,'[1]Sales per type juli'!$B$10:$B$51,0),MATCH("X Fold5 DEMO",'[1]Sales per type juli'!$D$8:$BA$8,0)),0)</f>
        <v>0</v>
      </c>
      <c r="DX39" s="143">
        <f t="shared" si="40"/>
        <v>0</v>
      </c>
      <c r="DY39" s="143">
        <v>0</v>
      </c>
      <c r="DZ39" s="143" cm="1">
        <f t="array" ref="DZ39">IFERROR(INDEX('[1]Sales per type juli'!$D$10:$BA$51,MATCH($C39,'[1]Sales per type juli'!$B$10:$B$51,0),MATCH("X Fold5 DEMO",'[1]Sales per type juli'!$D$8:$BA$8,0)+1),0)</f>
        <v>0</v>
      </c>
      <c r="EA39" s="143">
        <f t="shared" si="41"/>
        <v>0</v>
      </c>
      <c r="EB39" s="143">
        <v>0</v>
      </c>
      <c r="EC39" s="143">
        <f>IFERROR(INDEX('[1]Sales per type juli'!$D$10:$BA$51,MATCH($C39,'[1]Sales per type juli'!$B$10:$B$51,0),MATCH("X Fold5",'[1]Sales per type juli'!$D$8:$BA$8,0)),0)</f>
        <v>0</v>
      </c>
      <c r="ED39" s="143">
        <f t="shared" si="42"/>
        <v>0</v>
      </c>
      <c r="EE39" s="143">
        <v>0</v>
      </c>
      <c r="EF39" s="143" cm="1">
        <f t="array" ref="EF39">IFERROR(INDEX('[1]Sales per type juli'!$D$10:$BA$51,MATCH($C39,'[1]Sales per type juli'!$B$10:$B$51,0),MATCH("X Fold5",'[1]Sales per type juli'!$D$8:$BA$8,0)+1),0)</f>
        <v>0</v>
      </c>
      <c r="EG39" s="143">
        <f t="shared" si="43"/>
        <v>0</v>
      </c>
      <c r="EH39" s="143">
        <v>0</v>
      </c>
      <c r="EI39" s="143">
        <f>IFERROR(INDEX('[1]Sales per type juli'!$D$10:$BA$51,MATCH($C39,'[1]Sales per type juli'!$B$10:$B$51,0),MATCH("IQOO 15 Demo",'[1]Sales per type juli'!$D$8:$BA$8,0)),0)</f>
        <v>0</v>
      </c>
      <c r="EJ39" s="143">
        <f t="shared" si="44"/>
        <v>0</v>
      </c>
      <c r="EK39" s="143">
        <v>0</v>
      </c>
      <c r="EL39" s="143" cm="1">
        <f t="array" ref="EL39">IFERROR(INDEX('[1]Sales per type juli'!$D$10:$BA$51,MATCH($C39,'[1]Sales per type juli'!$B$10:$B$51,0),MATCH("IQOO 15 Demo",'[1]Sales per type juli'!$D$8:$BA$8,0)+1),0)</f>
        <v>0</v>
      </c>
      <c r="EM39" s="143">
        <f t="shared" si="45"/>
        <v>0</v>
      </c>
      <c r="EN39" s="143">
        <v>0</v>
      </c>
      <c r="EO39" s="143">
        <f>IFERROR(INDEX('[1]Sales per type juli'!$D$10:$BA$51,MATCH($C39,'[1]Sales per type juli'!$B$10:$B$51,0),MATCH("X300 PRO",'[1]Sales per type juli'!$D$8:$BA$8,0)),0)</f>
        <v>0</v>
      </c>
      <c r="EP39" s="143">
        <f t="shared" si="46"/>
        <v>0</v>
      </c>
      <c r="EQ39" s="143">
        <v>0</v>
      </c>
      <c r="ER39" s="143" cm="1">
        <f t="array" ref="ER39">IFERROR(INDEX('[1]Sales per type juli'!$D$10:$BA$51,MATCH($C39,'[1]Sales per type juli'!$B$10:$B$51,0),MATCH("X300 PRO",'[1]Sales per type juli'!$D$8:$BA$8,0)+1),0)</f>
        <v>0</v>
      </c>
      <c r="ES39" s="143">
        <f t="shared" si="47"/>
        <v>0</v>
      </c>
      <c r="ET39" s="143">
        <v>0</v>
      </c>
      <c r="EU39" s="143">
        <f>IFERROR(INDEX('[1]Sales per type juli'!$D$10:$BA$51,MATCH($C39,'[1]Sales per type juli'!$B$10:$B$51,0),MATCH("X300 ",'[1]Sales per type juli'!$D$8:$BA$8,0)),0)</f>
        <v>0</v>
      </c>
      <c r="EV39" s="143">
        <f t="shared" si="48"/>
        <v>0</v>
      </c>
      <c r="EW39" s="143">
        <v>0</v>
      </c>
      <c r="EX39" s="143" cm="1">
        <f t="array" ref="EX39">IFERROR(INDEX('[1]Sales per type juli'!$D$10:$BA$51,MATCH($C39,'[1]Sales per type juli'!$B$10:$B$51,0),MATCH("X300 ",'[1]Sales per type juli'!$D$8:$BA$8,0)+1),0)</f>
        <v>0</v>
      </c>
      <c r="EY39" s="143">
        <f t="shared" si="49"/>
        <v>0</v>
      </c>
      <c r="EZ39" s="143">
        <f t="shared" si="50"/>
        <v>24</v>
      </c>
      <c r="FA39" s="143">
        <f t="shared" si="50"/>
        <v>50</v>
      </c>
      <c r="FB39" s="143">
        <f t="shared" si="51"/>
        <v>-26</v>
      </c>
      <c r="FC39" s="143">
        <f t="shared" si="52"/>
        <v>83376000</v>
      </c>
      <c r="FD39" s="143">
        <f t="shared" si="52"/>
        <v>210550000</v>
      </c>
      <c r="FE39" s="143">
        <f t="shared" si="53"/>
        <v>-127174000</v>
      </c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</row>
    <row r="40" spans="1:208" ht="16" x14ac:dyDescent="0.2">
      <c r="A40" s="144">
        <f>'[1]ACHIEVEMENT STORE'!A40</f>
        <v>36</v>
      </c>
      <c r="B40" s="145" t="str">
        <f>'[1]ACHIEVEMENT STORE'!B40</f>
        <v>619-万隆市区BDG KOTA</v>
      </c>
      <c r="C40" s="144">
        <f>'[1]ACHIEVEMENT STORE'!C40</f>
        <v>6190704</v>
      </c>
      <c r="D40" s="145" t="str">
        <f>'[1]ACHIEVEMENT STORE'!D40</f>
        <v>A300201-VIVO STORE 1 BEC</v>
      </c>
      <c r="E40" s="145" t="str">
        <f>'[1]ACHIEVEMENT STORE'!E40</f>
        <v>NENG TOTOH</v>
      </c>
      <c r="F40" s="143">
        <f>IFERROR(INDEX('[1]SALES PERTYPE'!$D$10:$D$52,MATCH($C40,'[1]SALES PERTYPE'!$B$10:$B$52,0)),0)</f>
        <v>10</v>
      </c>
      <c r="G40" s="143">
        <f>IFERROR(INDEX('[1]Sales per type juli'!$D$10:$BA$51,MATCH($C40,'[1]Sales per type juli'!$B$10:$B$51,0),MATCH("Y05",'[1]Sales per type juli'!$D$8:$BA$8,0)),0)</f>
        <v>40</v>
      </c>
      <c r="H40" s="143">
        <f t="shared" si="0"/>
        <v>-30</v>
      </c>
      <c r="I40" s="143">
        <f>IFERROR(INDEX('[1]SALES PERTYPE'!$E$10:$E$52,MATCH($C40,'[1]SALES PERTYPE'!$B$10:$B$52,0)),0)</f>
        <v>24490000</v>
      </c>
      <c r="J40" s="143" cm="1">
        <f t="array" ref="J40">IFERROR(INDEX('[1]Sales per type juli'!$D$10:$BA$51,MATCH($C40,'[1]Sales per type juli'!$B$10:$B$51,0),MATCH("Y05",'[1]Sales per type juli'!$D$8:$BA$8,0)+1),0)</f>
        <v>88960000</v>
      </c>
      <c r="K40" s="143">
        <f t="shared" si="1"/>
        <v>-64470000</v>
      </c>
      <c r="L40" s="143">
        <f>IFERROR(INDEX('[1]SALES PERTYPE'!$F$10:$F$52,MATCH($C40,'[1]SALES PERTYPE'!$B$10:$B$52,0)),0)</f>
        <v>15</v>
      </c>
      <c r="M40" s="143">
        <f>IFERROR(INDEX('[1]Sales per type juli'!$D$10:$BA$51,MATCH($C40,'[1]Sales per type juli'!$B$10:$B$51,0),MATCH("Y11d",'[1]Sales per type juli'!$D$8:$BA$8,0)),0)</f>
        <v>19</v>
      </c>
      <c r="N40" s="143">
        <f t="shared" si="2"/>
        <v>-4</v>
      </c>
      <c r="O40" s="143">
        <f>IFERROR(INDEX('[1]SALES PERTYPE'!$G$10:$G$52,MATCH($C40,'[1]SALES PERTYPE'!$B$10:$B$52,0)),0)</f>
        <v>37585000</v>
      </c>
      <c r="P40" s="143" cm="1">
        <f t="array" ref="P40">IFERROR(INDEX('[1]Sales per type juli'!$D$10:$BA$51,MATCH($C40,'[1]Sales per type juli'!$B$10:$B$51,0),MATCH("Y11d",'[1]Sales per type juli'!$D$8:$BA$8,0)+1),0)</f>
        <v>51181000</v>
      </c>
      <c r="Q40" s="143">
        <f t="shared" si="3"/>
        <v>-13596000</v>
      </c>
      <c r="R40" s="143">
        <f>IFERROR(INDEX('[1]SALES PERTYPE'!$H$10:$H$52,MATCH($C40,'[1]SALES PERTYPE'!$B$10:$B$52,0)),0)</f>
        <v>0</v>
      </c>
      <c r="S40" s="143">
        <f>IFERROR(INDEX('[1]Sales per type juli'!$D$10:$BA$51,MATCH($C40,'[1]Sales per type juli'!$B$10:$B$51,0),MATCH("Watch GT 2",'[1]Sales per type juli'!$D$8:$BA$8,0)),0)</f>
        <v>0</v>
      </c>
      <c r="T40" s="143">
        <f t="shared" si="4"/>
        <v>0</v>
      </c>
      <c r="U40" s="143">
        <f>IFERROR(INDEX('[1]SALES PERTYPE'!$I$10:$I$52,MATCH($C40,'[1]SALES PERTYPE'!$B$10:$B$52,0)),0)</f>
        <v>0</v>
      </c>
      <c r="V40" s="143" cm="1">
        <f t="array" ref="V40">IFERROR(INDEX('[1]Sales per type juli'!$D$10:$BA$51,MATCH($C40,'[1]Sales per type juli'!$B$10:$B$51,0),MATCH("Watch GT 2",'[1]Sales per type juli'!$D$8:$BA$8,0)+1),0)</f>
        <v>0</v>
      </c>
      <c r="W40" s="143">
        <f t="shared" si="5"/>
        <v>0</v>
      </c>
      <c r="X40" s="143">
        <f>IFERROR(INDEX('[1]SALES PERTYPE'!$J$10:$J$52,MATCH($C40,'[1]SALES PERTYPE'!$B$10:$B$52,0)),0)</f>
        <v>24</v>
      </c>
      <c r="Y40" s="143">
        <f>IFERROR(INDEX('[1]Sales per type juli'!$D$10:$BA$51,MATCH($C40,'[1]Sales per type juli'!$B$10:$B$51,0),MATCH("Y05e",'[1]Sales per type juli'!$D$8:$BA$8,0)),0)</f>
        <v>0</v>
      </c>
      <c r="Z40" s="143">
        <f t="shared" si="6"/>
        <v>24</v>
      </c>
      <c r="AA40" s="143">
        <f>IFERROR(INDEX('[1]SALES PERTYPE'!$K$10:$K$52,MATCH($C40,'[1]SALES PERTYPE'!$B$10:$B$52,0)),0)</f>
        <v>50376000</v>
      </c>
      <c r="AB40" s="143" cm="1">
        <f t="array" ref="AB40">IFERROR(INDEX('[1]Sales per type juli'!$D$10:$BA$51,MATCH($C40,'[1]Sales per type juli'!$B$10:$B$51,0),MATCH("Y05e",'[1]Sales per type juli'!$D$8:$BA$8,0)+1),0)</f>
        <v>0</v>
      </c>
      <c r="AC40" s="143">
        <f t="shared" si="7"/>
        <v>50376000</v>
      </c>
      <c r="AD40" s="143">
        <f>IFERROR(INDEX('[1]SALES PERTYPE'!$L$10:$L$52,MATCH($C40,'[1]SALES PERTYPE'!$B$10:$B$52,0)),0)</f>
        <v>3</v>
      </c>
      <c r="AE40" s="143">
        <f>IFERROR(INDEX('[1]Sales per type juli'!$D$10:$BA$51,MATCH($C40,'[1]Sales per type juli'!$B$10:$B$51,0),MATCH("V70",'[1]Sales per type juli'!$D$8:$BA$8,0)),0)</f>
        <v>6</v>
      </c>
      <c r="AF40" s="143">
        <f t="shared" si="8"/>
        <v>-3</v>
      </c>
      <c r="AG40" s="143">
        <f>IFERROR(INDEX('[1]SALES PERTYPE'!$M$10:$M$52,MATCH($C40,'[1]SALES PERTYPE'!$B$10:$B$52,0)),0)</f>
        <v>28997000</v>
      </c>
      <c r="AH40" s="143" cm="1">
        <f t="array" ref="AH40">IFERROR(INDEX('[1]Sales per type juli'!$D$10:$BA$51,MATCH($C40,'[1]Sales per type juli'!$B$10:$B$51,0),MATCH("V70",'[1]Sales per type juli'!$D$8:$BA$8,0)+1),0)</f>
        <v>55994000</v>
      </c>
      <c r="AI40" s="143">
        <f t="shared" si="9"/>
        <v>-26997000</v>
      </c>
      <c r="AJ40" s="143">
        <f>IFERROR(INDEX('[1]SALES PERTYPE'!$N$10:$N$52,MATCH($C40,'[1]SALES PERTYPE'!$B$10:$B$52,0)),0)</f>
        <v>14</v>
      </c>
      <c r="AK40" s="143">
        <f>IFERROR(INDEX('[1]Sales per type juli'!$D$10:$BA$51,MATCH($C40,'[1]Sales per type juli'!$B$10:$B$51,0),MATCH("Y31d Pro",'[1]Sales per type juli'!$D$8:$BA$8,0)),0)</f>
        <v>12</v>
      </c>
      <c r="AL40" s="143">
        <f t="shared" si="10"/>
        <v>2</v>
      </c>
      <c r="AM40" s="143">
        <f>IFERROR(INDEX('[1]SALES PERTYPE'!$O$10:$O$52,MATCH($C40,'[1]SALES PERTYPE'!$B$10:$B$52,0)),0)</f>
        <v>66186000</v>
      </c>
      <c r="AN40" s="143" cm="1">
        <f t="array" ref="AN40">IFERROR(INDEX('[1]Sales per type juli'!$D$10:$BA$51,MATCH($C40,'[1]Sales per type juli'!$B$10:$B$51,0),MATCH("Y31d Pro",'[1]Sales per type juli'!$D$8:$BA$8,0)+1),0)</f>
        <v>51588000</v>
      </c>
      <c r="AO40" s="143">
        <f t="shared" si="11"/>
        <v>14598000</v>
      </c>
      <c r="AP40" s="143">
        <f>IFERROR(INDEX('[1]SALES PERTYPE'!$P$10:$P$52,MATCH($C40,'[1]SALES PERTYPE'!$B$10:$B$52,0)),0)</f>
        <v>1</v>
      </c>
      <c r="AQ40" s="143" cm="1">
        <f t="array" ref="AQ40">IFERROR(INDEX('[1]Sales per type juli'!$D$10:$BA$51,MATCH($C40,'[1]Sales per type juli'!$B$10:$B$51,0),$FG$2),0)</f>
        <v>0</v>
      </c>
      <c r="AR40" s="143">
        <f t="shared" si="12"/>
        <v>1</v>
      </c>
      <c r="AS40" s="143">
        <f>IFERROR(INDEX('[1]SALES PERTYPE'!$Q$10:$Q$52,MATCH($C40,'[1]SALES PERTYPE'!$B$10:$B$52,0)),0)</f>
        <v>3599000</v>
      </c>
      <c r="AT40" s="143" cm="1">
        <f t="array" ref="AT40">IFERROR(INDEX('[1]Sales per type juli'!$D$10:$BA$51,MATCH($C40,'[1]Sales per type juli'!$B$10:$B$51,0),$FG$2+1),0)</f>
        <v>0</v>
      </c>
      <c r="AU40" s="143">
        <f t="shared" si="13"/>
        <v>3599000</v>
      </c>
      <c r="AV40" s="143">
        <f>IFERROR(INDEX('[1]SALES PERTYPE'!$R$10:$R$52,MATCH($C40,'[1]SALES PERTYPE'!$B$10:$B$52,0)),0)</f>
        <v>1</v>
      </c>
      <c r="AW40" s="143">
        <f>IFERROR(INDEX('[1]Sales per type juli'!$D$10:$BA$51,MATCH($C40,'[1]Sales per type juli'!$B$10:$B$51,0),MATCH("Y31d ",'[1]Sales per type juli'!$D$8:$BA$8,0)),0)</f>
        <v>0</v>
      </c>
      <c r="AX40" s="143">
        <f t="shared" si="14"/>
        <v>1</v>
      </c>
      <c r="AY40" s="143">
        <f>IFERROR(INDEX('[1]SALES PERTYPE'!$S$10:$S$52,MATCH($C40,'[1]SALES PERTYPE'!$B$10:$B$52,0)),0)</f>
        <v>3599000</v>
      </c>
      <c r="AZ40" s="143" cm="1">
        <f t="array" ref="AZ40">IFERROR(INDEX('[1]Sales per type juli'!$D$10:$BA$51,MATCH($C40,'[1]Sales per type juli'!$B$10:$B$51,0),MATCH("Y31d ",'[1]Sales per type juli'!$D$8:$BA$8,0)+1),0)</f>
        <v>0</v>
      </c>
      <c r="BA40" s="143">
        <f t="shared" si="15"/>
        <v>3599000</v>
      </c>
      <c r="BB40" s="143">
        <f>IFERROR(INDEX('[1]SALES PERTYPE'!$T$10:$T$52,MATCH($C40,'[1]SALES PERTYPE'!$B$10:$B$52,0)),0)</f>
        <v>5</v>
      </c>
      <c r="BC40" s="143">
        <f>IFERROR(INDEX('[1]Sales per type juli'!$D$10:$BA$51,MATCH($C40,'[1]Sales per type juli'!$B$10:$B$51,0),MATCH("V70 FE",'[1]Sales per type juli'!$D$8:$BA$8,0)),0)</f>
        <v>8</v>
      </c>
      <c r="BD40" s="143">
        <f t="shared" si="16"/>
        <v>-3</v>
      </c>
      <c r="BE40" s="143">
        <f>IFERROR(INDEX('[1]SALES PERTYPE'!$U$10:$U$52,MATCH($C40,'[1]SALES PERTYPE'!$B$10:$B$52,0)),0)</f>
        <v>36895000</v>
      </c>
      <c r="BF40" s="143" cm="1">
        <f t="array" ref="BF40">IFERROR(INDEX('[1]Sales per type juli'!$D$10:$BA$51,MATCH($C40,'[1]Sales per type juli'!$B$10:$B$51,0),MATCH("V70 FE",'[1]Sales per type juli'!$D$8:$BA$8,0)+1),0)</f>
        <v>55492000</v>
      </c>
      <c r="BG40" s="143">
        <f t="shared" si="17"/>
        <v>-18597000</v>
      </c>
      <c r="BH40" s="143">
        <f>IFERROR(INDEX('[1]SALES PERTYPE'!$V$10:$V$52,MATCH($C40,'[1]SALES PERTYPE'!$B$10:$B$52,0)),0)</f>
        <v>2</v>
      </c>
      <c r="BI40" s="143">
        <f>IFERROR(INDEX('[1]Sales per type juli'!$D$10:$BA$51,MATCH($C40,'[1]Sales per type juli'!$B$10:$B$51,0),MATCH("Y31d",'[1]Sales per type juli'!$D$8:$BA$8,0)),0)</f>
        <v>1</v>
      </c>
      <c r="BJ40" s="143">
        <f t="shared" si="18"/>
        <v>1</v>
      </c>
      <c r="BK40" s="143">
        <f>IFERROR(INDEX('[1]SALES PERTYPE'!$W$10:$W$52,MATCH($C40,'[1]SALES PERTYPE'!$B$10:$B$52,0)),0)</f>
        <v>7198000</v>
      </c>
      <c r="BL40" s="143" cm="1">
        <f t="array" ref="BL40">IFERROR(INDEX('[1]Sales per type juli'!$D$10:$BA$51,MATCH($C40,'[1]Sales per type juli'!$B$10:$B$51,0),MATCH("Y31d",'[1]Sales per type juli'!$D$8:$BA$8,0)+1),0)</f>
        <v>3599000</v>
      </c>
      <c r="BM40" s="143">
        <f t="shared" si="19"/>
        <v>3599000</v>
      </c>
      <c r="BN40" s="143">
        <f>IFERROR(INDEX('[1]SALES PERTYPE'!$X$10:$X$52,MATCH($C40,'[1]SALES PERTYPE'!$B$10:$B$52,0)),0)</f>
        <v>2</v>
      </c>
      <c r="BO40" s="143">
        <f>IFERROR(INDEX('[1]Sales per type juli'!$D$10:$BA$51,MATCH($C40,'[1]Sales per type juli'!$B$10:$B$51,0),MATCH("Y500",'[1]Sales per type juli'!$D$8:$BA$8,0)),0)</f>
        <v>1</v>
      </c>
      <c r="BP40" s="143">
        <f t="shared" si="20"/>
        <v>1</v>
      </c>
      <c r="BQ40" s="143">
        <f>IFERROR(INDEX('[1]SALES PERTYPE'!$Y$10:$Y$52,MATCH($C40,'[1]SALES PERTYPE'!$B$10:$B$52,0)),0)</f>
        <v>11798000</v>
      </c>
      <c r="BR40" s="143" cm="1">
        <f t="array" ref="BR40">IFERROR(INDEX('[1]Sales per type juli'!$D$10:$BA$51,MATCH($C40,'[1]Sales per type juli'!$B$10:$B$51,0),MATCH("Y500",'[1]Sales per type juli'!$D$8:$BA$8,0)+1),0)</f>
        <v>5499000</v>
      </c>
      <c r="BS40" s="143">
        <f t="shared" si="21"/>
        <v>6299000</v>
      </c>
      <c r="BT40" s="143">
        <f>IFERROR(INDEX('[1]SALES PERTYPE'!$Z$10:$Z$52,MATCH($C40,'[1]SALES PERTYPE'!$B$10:$B$52,0)),0)</f>
        <v>2</v>
      </c>
      <c r="BU40" s="143">
        <f>IFERROR(INDEX('[1]Sales per type juli'!$D$10:$BA$51,MATCH($C40,'[1]Sales per type juli'!$B$10:$B$51,0),MATCH("IQOO 15R",'[1]Sales per type juli'!$D$8:$BA$8,0)),0)</f>
        <v>0</v>
      </c>
      <c r="BV40" s="143">
        <f t="shared" si="22"/>
        <v>2</v>
      </c>
      <c r="BW40" s="143">
        <f>IFERROR(INDEX('[1]SALES PERTYPE'!$AA$10:$AA$52,MATCH($C40,'[1]SALES PERTYPE'!$B$10:$B$52,0)),0)</f>
        <v>23998000</v>
      </c>
      <c r="BX40" s="143" cm="1">
        <f t="array" ref="BX40">IFERROR(INDEX('[1]Sales per type juli'!$D$10:$BA$51,MATCH($C40,'[1]Sales per type juli'!$B$10:$B$51,0),MATCH("IQOO 15R",'[1]Sales per type juli'!$D$8:$BA$8,0)+1),0)</f>
        <v>0</v>
      </c>
      <c r="BY40" s="143">
        <f t="shared" si="23"/>
        <v>23998000</v>
      </c>
      <c r="BZ40" s="143">
        <f>IFERROR(INDEX('[1]SALES PERTYPE'!$AB$10:$AB$52,MATCH($C40,'[1]SALES PERTYPE'!$B$10:$B$52,0)),0)</f>
        <v>2</v>
      </c>
      <c r="CA40" s="143">
        <f>IFERROR(INDEX('[1]Sales per type juli'!$D$10:$BA$51,MATCH($C40,'[1]Sales per type juli'!$B$10:$B$51,0),MATCH("V60 Lite",'[1]Sales per type juli'!$D$8:$BA$8,0)),0)</f>
        <v>1</v>
      </c>
      <c r="CB40" s="143">
        <f t="shared" si="24"/>
        <v>1</v>
      </c>
      <c r="CC40" s="143">
        <f>IFERROR(INDEX('[1]SALES PERTYPE'!$AC$10:$AC$52,MATCH($C40,'[1]SALES PERTYPE'!$B$10:$B$52,0)),0)</f>
        <v>11798000</v>
      </c>
      <c r="CD40" s="143" cm="1">
        <f t="array" ref="CD40">IFERROR(INDEX('[1]Sales per type juli'!$D$10:$BA$51,MATCH($C40,'[1]Sales per type juli'!$B$10:$B$51,0),MATCH("V60 Lite",'[1]Sales per type juli'!$D$8:$BA$8,0)+1),0)</f>
        <v>5299000</v>
      </c>
      <c r="CE40" s="143">
        <f t="shared" si="25"/>
        <v>6499000</v>
      </c>
      <c r="CF40" s="143">
        <f>IFERROR(INDEX('[1]SALES PERTYPE'!$AD$10:$AD$52,MATCH($C40,'[1]SALES PERTYPE'!$B$10:$B$52,0)),0)</f>
        <v>1</v>
      </c>
      <c r="CG40" s="143">
        <f>IFERROR(INDEX('[1]Sales per type juli'!$D$10:$BA$51,MATCH($C40,'[1]Sales per type juli'!$B$10:$B$51,0),MATCH("X300 Ultra",'[1]Sales per type juli'!$D$8:$BA$8,0)),0)</f>
        <v>0</v>
      </c>
      <c r="CH40" s="143">
        <f t="shared" si="26"/>
        <v>1</v>
      </c>
      <c r="CI40" s="143">
        <f>IFERROR(INDEX('[1]SALES PERTYPE'!$AE$10:$AE$52,MATCH($C40,'[1]SALES PERTYPE'!$B$10:$B$52,0)),0)</f>
        <v>25999000</v>
      </c>
      <c r="CJ40" s="143" cm="1">
        <f t="array" ref="CJ40">IFERROR(INDEX('[1]Sales per type juli'!$D$10:$BA$51,MATCH($C40,'[1]Sales per type juli'!$B$10:$B$51,0),MATCH("X300 Ultra",'[1]Sales per type juli'!$D$8:$BA$8,0)+1),0)</f>
        <v>0</v>
      </c>
      <c r="CK40" s="143">
        <f t="shared" si="27"/>
        <v>25999000</v>
      </c>
      <c r="CL40" s="143">
        <f>IFERROR(INDEX('[1]SALES PERTYPE'!$AF$10:$AF$52,MATCH($C40,'[1]SALES PERTYPE'!$B$10:$B$52,0)),0)</f>
        <v>0</v>
      </c>
      <c r="CM40" s="143">
        <f>IFERROR(INDEX('[1]Sales per type juli'!$D$10:$BA$51,MATCH($C40,'[1]Sales per type juli'!$B$10:$B$51,0),MATCH("IQOO 15",'[1]Sales per type juli'!$D$8:$BA$8,0)),0)</f>
        <v>0</v>
      </c>
      <c r="CN40" s="143">
        <f t="shared" si="28"/>
        <v>0</v>
      </c>
      <c r="CO40" s="143">
        <f>IFERROR(INDEX('[1]SALES PERTYPE'!$AG$10:$AG$52,MATCH($C40,'[1]SALES PERTYPE'!$B$10:$B$52,0)),0)</f>
        <v>0</v>
      </c>
      <c r="CP40" s="143" cm="1">
        <f t="array" ref="CP40">IFERROR(INDEX('[1]Sales per type juli'!$D$10:$BA$51,MATCH($C40,'[1]Sales per type juli'!$B$10:$B$51,0),MATCH("IQOO 15",'[1]Sales per type juli'!$D$8:$BA$8,0)+1),0)</f>
        <v>0</v>
      </c>
      <c r="CQ40" s="143">
        <f t="shared" si="29"/>
        <v>0</v>
      </c>
      <c r="CR40" s="143">
        <f>IFERROR(INDEX('[1]SALES PERTYPE'!$AH$10:$AH$52,MATCH($C40,'[1]SALES PERTYPE'!$B$10:$B$52,0)),0)</f>
        <v>1</v>
      </c>
      <c r="CS40" s="143">
        <f>IFERROR(INDEX('[1]Sales per type juli'!$D$10:$BA$51,MATCH($C40,'[1]Sales per type juli'!$B$10:$B$51,0),MATCH("IQOO Z11x",'[1]Sales per type juli'!$D$8:$BA$8,0)),0)</f>
        <v>4</v>
      </c>
      <c r="CT40" s="143">
        <f t="shared" si="30"/>
        <v>-3</v>
      </c>
      <c r="CU40" s="143">
        <f>IFERROR(INDEX('[1]SALES PERTYPE'!$AI$10:$AI$52,MATCH($C40,'[1]SALES PERTYPE'!$B$10:$B$52,0)),0)</f>
        <v>5699000</v>
      </c>
      <c r="CV40" s="143" cm="1">
        <f t="array" ref="CV40">IFERROR(INDEX('[1]Sales per type juli'!$D$10:$BA$51,MATCH($C40,'[1]Sales per type juli'!$B$10:$B$51,0),MATCH("IQOO Z11x",'[1]Sales per type juli'!$D$8:$BA$8,0)+1),0)</f>
        <v>19996000</v>
      </c>
      <c r="CW40" s="143">
        <f t="shared" si="31"/>
        <v>-14297000</v>
      </c>
      <c r="CX40" s="143">
        <f>IFERROR(INDEX('[1]SALES PERTYPE'!$AJ$10:$AJ$52,MATCH($C40,'[1]SALES PERTYPE'!$B$10:$B$52,0)),0)</f>
        <v>0</v>
      </c>
      <c r="CY40" s="143">
        <f>IFERROR(INDEX('[1]Sales per type juli'!$D$10:$BA$51,MATCH($C40,'[1]Sales per type juli'!$B$10:$B$51,0),MATCH("IQOO Z11",'[1]Sales per type juli'!$D$8:$BA$8,0)),0)</f>
        <v>3</v>
      </c>
      <c r="CZ40" s="143">
        <f t="shared" si="32"/>
        <v>-3</v>
      </c>
      <c r="DA40" s="143">
        <f>IFERROR(INDEX('[1]SALES PERTYPE'!$AK$10:$AK$52,MATCH($C40,'[1]SALES PERTYPE'!$B$10:$B$52,0)),0)</f>
        <v>0</v>
      </c>
      <c r="DB40" s="143" cm="1">
        <f t="array" ref="DB40">IFERROR(INDEX('[1]Sales per type juli'!$D$10:$BA$51,MATCH($C40,'[1]Sales per type juli'!$B$10:$B$51,0),MATCH("IQOO Z11",'[1]Sales per type juli'!$D$8:$BA$8,0)+1),0)</f>
        <v>17097000</v>
      </c>
      <c r="DC40" s="143">
        <f t="shared" si="33"/>
        <v>-17097000</v>
      </c>
      <c r="DD40" s="143">
        <v>0</v>
      </c>
      <c r="DE40" s="143">
        <f>IFERROR(INDEX('[1]Sales per type juli'!$D$10:$BA$51,MATCH($C40,'[1]Sales per type juli'!$B$10:$B$51,0),MATCH("WATCH 3",'[1]Sales per type juli'!$D$8:$BA$8,0)),0)</f>
        <v>0</v>
      </c>
      <c r="DF40" s="143">
        <f t="shared" si="34"/>
        <v>0</v>
      </c>
      <c r="DG40" s="143">
        <v>0</v>
      </c>
      <c r="DH40" s="143" cm="1">
        <f t="array" ref="DH40">IFERROR(INDEX('[1]Sales per type juli'!$D$10:$BA$51,MATCH($C40,'[1]Sales per type juli'!$B$10:$B$51,0),MATCH("WATCH 3",'[1]Sales per type juli'!$D$8:$BA$8,0)+1),0)</f>
        <v>0</v>
      </c>
      <c r="DI40" s="143">
        <f t="shared" si="35"/>
        <v>0</v>
      </c>
      <c r="DJ40" s="143">
        <v>0</v>
      </c>
      <c r="DK40" s="143">
        <f>IFERROR(INDEX('[1]Sales per type juli'!$D$10:$BA$51,MATCH($C40,'[1]Sales per type juli'!$B$10:$B$51,0),MATCH("X300 Demo",'[1]Sales per type juli'!$D$8:$BA$8,0)),0)</f>
        <v>0</v>
      </c>
      <c r="DL40" s="143">
        <f t="shared" si="36"/>
        <v>0</v>
      </c>
      <c r="DM40" s="143">
        <v>0</v>
      </c>
      <c r="DN40" s="143" cm="1">
        <f t="array" ref="DN40">IFERROR(INDEX('[1]Sales per type juli'!$D$10:$BA$51,MATCH($C40,'[1]Sales per type juli'!$B$10:$B$51,0),MATCH("X300 Demo",'[1]Sales per type juli'!$D$8:$BA$8,0)+1),0)</f>
        <v>0</v>
      </c>
      <c r="DO40" s="143">
        <f t="shared" si="37"/>
        <v>0</v>
      </c>
      <c r="DP40" s="143">
        <v>0</v>
      </c>
      <c r="DQ40" s="143">
        <f>IFERROR(INDEX('[1]Sales per type juli'!$D$10:$BA$51,MATCH($C40,'[1]Sales per type juli'!$B$10:$B$51,0),MATCH("X300 Pro Demo",'[1]Sales per type juli'!$D$8:$BA$8,0)),0)</f>
        <v>0</v>
      </c>
      <c r="DR40" s="143">
        <f t="shared" si="38"/>
        <v>0</v>
      </c>
      <c r="DS40" s="143">
        <v>0</v>
      </c>
      <c r="DT40" s="143" cm="1">
        <f t="array" ref="DT40">IFERROR(INDEX('[1]Sales per type juli'!$D$10:$BA$51,MATCH($C40,'[1]Sales per type juli'!$B$10:$B$51,0),MATCH("X300 Pro Demo",'[1]Sales per type juli'!$D$8:$BA$8,0)+1),0)</f>
        <v>0</v>
      </c>
      <c r="DU40" s="143">
        <f t="shared" si="39"/>
        <v>0</v>
      </c>
      <c r="DV40" s="143">
        <v>0</v>
      </c>
      <c r="DW40" s="143">
        <f>IFERROR(INDEX('[1]Sales per type juli'!$D$10:$BA$51,MATCH($C40,'[1]Sales per type juli'!$B$10:$B$51,0),MATCH("X Fold5 DEMO",'[1]Sales per type juli'!$D$8:$BA$8,0)),0)</f>
        <v>0</v>
      </c>
      <c r="DX40" s="143">
        <f t="shared" si="40"/>
        <v>0</v>
      </c>
      <c r="DY40" s="143">
        <v>0</v>
      </c>
      <c r="DZ40" s="143" cm="1">
        <f t="array" ref="DZ40">IFERROR(INDEX('[1]Sales per type juli'!$D$10:$BA$51,MATCH($C40,'[1]Sales per type juli'!$B$10:$B$51,0),MATCH("X Fold5 DEMO",'[1]Sales per type juli'!$D$8:$BA$8,0)+1),0)</f>
        <v>0</v>
      </c>
      <c r="EA40" s="143">
        <f t="shared" si="41"/>
        <v>0</v>
      </c>
      <c r="EB40" s="143">
        <v>0</v>
      </c>
      <c r="EC40" s="143">
        <f>IFERROR(INDEX('[1]Sales per type juli'!$D$10:$BA$51,MATCH($C40,'[1]Sales per type juli'!$B$10:$B$51,0),MATCH("X Fold5",'[1]Sales per type juli'!$D$8:$BA$8,0)),0)</f>
        <v>0</v>
      </c>
      <c r="ED40" s="143">
        <f t="shared" si="42"/>
        <v>0</v>
      </c>
      <c r="EE40" s="143">
        <v>0</v>
      </c>
      <c r="EF40" s="143" cm="1">
        <f t="array" ref="EF40">IFERROR(INDEX('[1]Sales per type juli'!$D$10:$BA$51,MATCH($C40,'[1]Sales per type juli'!$B$10:$B$51,0),MATCH("X Fold5",'[1]Sales per type juli'!$D$8:$BA$8,0)+1),0)</f>
        <v>0</v>
      </c>
      <c r="EG40" s="143">
        <f t="shared" si="43"/>
        <v>0</v>
      </c>
      <c r="EH40" s="143">
        <v>0</v>
      </c>
      <c r="EI40" s="143">
        <f>IFERROR(INDEX('[1]Sales per type juli'!$D$10:$BA$51,MATCH($C40,'[1]Sales per type juli'!$B$10:$B$51,0),MATCH("IQOO 15 Demo",'[1]Sales per type juli'!$D$8:$BA$8,0)),0)</f>
        <v>0</v>
      </c>
      <c r="EJ40" s="143">
        <f t="shared" si="44"/>
        <v>0</v>
      </c>
      <c r="EK40" s="143">
        <v>0</v>
      </c>
      <c r="EL40" s="143" cm="1">
        <f t="array" ref="EL40">IFERROR(INDEX('[1]Sales per type juli'!$D$10:$BA$51,MATCH($C40,'[1]Sales per type juli'!$B$10:$B$51,0),MATCH("IQOO 15 Demo",'[1]Sales per type juli'!$D$8:$BA$8,0)+1),0)</f>
        <v>0</v>
      </c>
      <c r="EM40" s="143">
        <f t="shared" si="45"/>
        <v>0</v>
      </c>
      <c r="EN40" s="143">
        <v>0</v>
      </c>
      <c r="EO40" s="143">
        <f>IFERROR(INDEX('[1]Sales per type juli'!$D$10:$BA$51,MATCH($C40,'[1]Sales per type juli'!$B$10:$B$51,0),MATCH("X300 PRO",'[1]Sales per type juli'!$D$8:$BA$8,0)),0)</f>
        <v>0</v>
      </c>
      <c r="EP40" s="143">
        <f t="shared" si="46"/>
        <v>0</v>
      </c>
      <c r="EQ40" s="143">
        <v>0</v>
      </c>
      <c r="ER40" s="143" cm="1">
        <f t="array" ref="ER40">IFERROR(INDEX('[1]Sales per type juli'!$D$10:$BA$51,MATCH($C40,'[1]Sales per type juli'!$B$10:$B$51,0),MATCH("X300 PRO",'[1]Sales per type juli'!$D$8:$BA$8,0)+1),0)</f>
        <v>0</v>
      </c>
      <c r="ES40" s="143">
        <f t="shared" si="47"/>
        <v>0</v>
      </c>
      <c r="ET40" s="143">
        <v>0</v>
      </c>
      <c r="EU40" s="143">
        <f>IFERROR(INDEX('[1]Sales per type juli'!$D$10:$BA$51,MATCH($C40,'[1]Sales per type juli'!$B$10:$B$51,0),MATCH("X300 ",'[1]Sales per type juli'!$D$8:$BA$8,0)),0)</f>
        <v>0</v>
      </c>
      <c r="EV40" s="143">
        <f t="shared" si="48"/>
        <v>0</v>
      </c>
      <c r="EW40" s="143">
        <v>0</v>
      </c>
      <c r="EX40" s="143" cm="1">
        <f t="array" ref="EX40">IFERROR(INDEX('[1]Sales per type juli'!$D$10:$BA$51,MATCH($C40,'[1]Sales per type juli'!$B$10:$B$51,0),MATCH("X300 ",'[1]Sales per type juli'!$D$8:$BA$8,0)+1),0)</f>
        <v>0</v>
      </c>
      <c r="EY40" s="143">
        <f t="shared" si="49"/>
        <v>0</v>
      </c>
      <c r="EZ40" s="143">
        <f t="shared" si="50"/>
        <v>83</v>
      </c>
      <c r="FA40" s="143">
        <f t="shared" si="50"/>
        <v>95</v>
      </c>
      <c r="FB40" s="143">
        <f t="shared" si="51"/>
        <v>-12</v>
      </c>
      <c r="FC40" s="143">
        <f t="shared" si="52"/>
        <v>338217000</v>
      </c>
      <c r="FD40" s="143">
        <f t="shared" si="52"/>
        <v>354705000</v>
      </c>
      <c r="FE40" s="143">
        <f t="shared" si="53"/>
        <v>-16488000</v>
      </c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</row>
    <row r="41" spans="1:208" ht="16" x14ac:dyDescent="0.2">
      <c r="A41" s="141">
        <f>'[1]ACHIEVEMENT STORE'!A41</f>
        <v>37</v>
      </c>
      <c r="B41" s="142" t="str">
        <f>'[1]ACHIEVEMENT STORE'!B41</f>
        <v>619-万隆市区BDG KOTA</v>
      </c>
      <c r="C41" s="141">
        <f>'[1]ACHIEVEMENT STORE'!C41</f>
        <v>6190707</v>
      </c>
      <c r="D41" s="142" t="str">
        <f>'[1]ACHIEVEMENT STORE'!D41</f>
        <v>A300202-VIVO STORE LU</v>
      </c>
      <c r="E41" s="142" t="str">
        <f>'[1]ACHIEVEMENT STORE'!E41</f>
        <v>NENG TOTOH</v>
      </c>
      <c r="F41" s="143">
        <f>IFERROR(INDEX('[1]SALES PERTYPE'!$D$10:$D$52,MATCH($C41,'[1]SALES PERTYPE'!$B$10:$B$52,0)),0)</f>
        <v>26</v>
      </c>
      <c r="G41" s="143">
        <f>IFERROR(INDEX('[1]Sales per type juli'!$D$10:$BA$51,MATCH($C41,'[1]Sales per type juli'!$B$10:$B$51,0),MATCH("Y05",'[1]Sales per type juli'!$D$8:$BA$8,0)),0)</f>
        <v>42</v>
      </c>
      <c r="H41" s="143">
        <f t="shared" si="0"/>
        <v>-16</v>
      </c>
      <c r="I41" s="143">
        <f>IFERROR(INDEX('[1]SALES PERTYPE'!$E$10:$E$52,MATCH($C41,'[1]SALES PERTYPE'!$B$10:$B$52,0)),0)</f>
        <v>63974000</v>
      </c>
      <c r="J41" s="143" cm="1">
        <f t="array" ref="J41">IFERROR(INDEX('[1]Sales per type juli'!$D$10:$BA$51,MATCH($C41,'[1]Sales per type juli'!$B$10:$B$51,0),MATCH("Y05",'[1]Sales per type juli'!$D$8:$BA$8,0)+1),0)</f>
        <v>92758000</v>
      </c>
      <c r="K41" s="143">
        <f t="shared" si="1"/>
        <v>-28784000</v>
      </c>
      <c r="L41" s="143">
        <f>IFERROR(INDEX('[1]SALES PERTYPE'!$F$10:$F$52,MATCH($C41,'[1]SALES PERTYPE'!$B$10:$B$52,0)),0)</f>
        <v>22</v>
      </c>
      <c r="M41" s="143">
        <f>IFERROR(INDEX('[1]Sales per type juli'!$D$10:$BA$51,MATCH($C41,'[1]Sales per type juli'!$B$10:$B$51,0),MATCH("Y11d",'[1]Sales per type juli'!$D$8:$BA$8,0)),0)</f>
        <v>20</v>
      </c>
      <c r="N41" s="143">
        <f t="shared" si="2"/>
        <v>2</v>
      </c>
      <c r="O41" s="143">
        <f>IFERROR(INDEX('[1]SALES PERTYPE'!$G$10:$G$52,MATCH($C41,'[1]SALES PERTYPE'!$B$10:$B$52,0)),0)</f>
        <v>59178000</v>
      </c>
      <c r="P41" s="143" cm="1">
        <f t="array" ref="P41">IFERROR(INDEX('[1]Sales per type juli'!$D$10:$BA$51,MATCH($C41,'[1]Sales per type juli'!$B$10:$B$51,0),MATCH("Y11d",'[1]Sales per type juli'!$D$8:$BA$8,0)+1),0)</f>
        <v>54780000</v>
      </c>
      <c r="Q41" s="143">
        <f t="shared" si="3"/>
        <v>4398000</v>
      </c>
      <c r="R41" s="143">
        <f>IFERROR(INDEX('[1]SALES PERTYPE'!$H$10:$H$52,MATCH($C41,'[1]SALES PERTYPE'!$B$10:$B$52,0)),0)</f>
        <v>0</v>
      </c>
      <c r="S41" s="143">
        <f>IFERROR(INDEX('[1]Sales per type juli'!$D$10:$BA$51,MATCH($C41,'[1]Sales per type juli'!$B$10:$B$51,0),MATCH("Watch GT 2",'[1]Sales per type juli'!$D$8:$BA$8,0)),0)</f>
        <v>0</v>
      </c>
      <c r="T41" s="143">
        <f t="shared" si="4"/>
        <v>0</v>
      </c>
      <c r="U41" s="143">
        <f>IFERROR(INDEX('[1]SALES PERTYPE'!$I$10:$I$52,MATCH($C41,'[1]SALES PERTYPE'!$B$10:$B$52,0)),0)</f>
        <v>0</v>
      </c>
      <c r="V41" s="143" cm="1">
        <f t="array" ref="V41">IFERROR(INDEX('[1]Sales per type juli'!$D$10:$BA$51,MATCH($C41,'[1]Sales per type juli'!$B$10:$B$51,0),MATCH("Watch GT 2",'[1]Sales per type juli'!$D$8:$BA$8,0)+1),0)</f>
        <v>0</v>
      </c>
      <c r="W41" s="143">
        <f t="shared" si="5"/>
        <v>0</v>
      </c>
      <c r="X41" s="143">
        <f>IFERROR(INDEX('[1]SALES PERTYPE'!$J$10:$J$52,MATCH($C41,'[1]SALES PERTYPE'!$B$10:$B$52,0)),0)</f>
        <v>10</v>
      </c>
      <c r="Y41" s="143">
        <f>IFERROR(INDEX('[1]Sales per type juli'!$D$10:$BA$51,MATCH($C41,'[1]Sales per type juli'!$B$10:$B$51,0),MATCH("Y05e",'[1]Sales per type juli'!$D$8:$BA$8,0)),0)</f>
        <v>0</v>
      </c>
      <c r="Z41" s="143">
        <f t="shared" si="6"/>
        <v>10</v>
      </c>
      <c r="AA41" s="143">
        <f>IFERROR(INDEX('[1]SALES PERTYPE'!$K$10:$K$52,MATCH($C41,'[1]SALES PERTYPE'!$B$10:$B$52,0)),0)</f>
        <v>20990000</v>
      </c>
      <c r="AB41" s="143" cm="1">
        <f t="array" ref="AB41">IFERROR(INDEX('[1]Sales per type juli'!$D$10:$BA$51,MATCH($C41,'[1]Sales per type juli'!$B$10:$B$51,0),MATCH("Y05e",'[1]Sales per type juli'!$D$8:$BA$8,0)+1),0)</f>
        <v>0</v>
      </c>
      <c r="AC41" s="143">
        <f t="shared" si="7"/>
        <v>20990000</v>
      </c>
      <c r="AD41" s="143">
        <f>IFERROR(INDEX('[1]SALES PERTYPE'!$L$10:$L$52,MATCH($C41,'[1]SALES PERTYPE'!$B$10:$B$52,0)),0)</f>
        <v>2</v>
      </c>
      <c r="AE41" s="143">
        <f>IFERROR(INDEX('[1]Sales per type juli'!$D$10:$BA$51,MATCH($C41,'[1]Sales per type juli'!$B$10:$B$51,0),MATCH("V70",'[1]Sales per type juli'!$D$8:$BA$8,0)),0)</f>
        <v>6</v>
      </c>
      <c r="AF41" s="143">
        <f t="shared" si="8"/>
        <v>-4</v>
      </c>
      <c r="AG41" s="143">
        <f>IFERROR(INDEX('[1]SALES PERTYPE'!$M$10:$M$52,MATCH($C41,'[1]SALES PERTYPE'!$B$10:$B$52,0)),0)</f>
        <v>19998000</v>
      </c>
      <c r="AH41" s="143" cm="1">
        <f t="array" ref="AH41">IFERROR(INDEX('[1]Sales per type juli'!$D$10:$BA$51,MATCH($C41,'[1]Sales per type juli'!$B$10:$B$51,0),MATCH("V70",'[1]Sales per type juli'!$D$8:$BA$8,0)+1),0)</f>
        <v>57994000</v>
      </c>
      <c r="AI41" s="143">
        <f t="shared" si="9"/>
        <v>-37996000</v>
      </c>
      <c r="AJ41" s="143">
        <f>IFERROR(INDEX('[1]SALES PERTYPE'!$N$10:$N$52,MATCH($C41,'[1]SALES PERTYPE'!$B$10:$B$52,0)),0)</f>
        <v>13</v>
      </c>
      <c r="AK41" s="143">
        <f>IFERROR(INDEX('[1]Sales per type juli'!$D$10:$BA$51,MATCH($C41,'[1]Sales per type juli'!$B$10:$B$51,0),MATCH("Y31d Pro",'[1]Sales per type juli'!$D$8:$BA$8,0)),0)</f>
        <v>9</v>
      </c>
      <c r="AL41" s="143">
        <f t="shared" si="10"/>
        <v>4</v>
      </c>
      <c r="AM41" s="143">
        <f>IFERROR(INDEX('[1]SALES PERTYPE'!$O$10:$O$52,MATCH($C41,'[1]SALES PERTYPE'!$B$10:$B$52,0)),0)</f>
        <v>60887000</v>
      </c>
      <c r="AN41" s="143" cm="1">
        <f t="array" ref="AN41">IFERROR(INDEX('[1]Sales per type juli'!$D$10:$BA$51,MATCH($C41,'[1]Sales per type juli'!$B$10:$B$51,0),MATCH("Y31d Pro",'[1]Sales per type juli'!$D$8:$BA$8,0)+1),0)</f>
        <v>42691000</v>
      </c>
      <c r="AO41" s="143">
        <f t="shared" si="11"/>
        <v>18196000</v>
      </c>
      <c r="AP41" s="143">
        <f>IFERROR(INDEX('[1]SALES PERTYPE'!$P$10:$P$52,MATCH($C41,'[1]SALES PERTYPE'!$B$10:$B$52,0)),0)</f>
        <v>0</v>
      </c>
      <c r="AQ41" s="143" cm="1">
        <f t="array" ref="AQ41">IFERROR(INDEX('[1]Sales per type juli'!$D$10:$BA$51,MATCH($C41,'[1]Sales per type juli'!$B$10:$B$51,0),$FG$2),0)</f>
        <v>0</v>
      </c>
      <c r="AR41" s="143">
        <f t="shared" si="12"/>
        <v>0</v>
      </c>
      <c r="AS41" s="143">
        <f>IFERROR(INDEX('[1]SALES PERTYPE'!$Q$10:$Q$52,MATCH($C41,'[1]SALES PERTYPE'!$B$10:$B$52,0)),0)</f>
        <v>0</v>
      </c>
      <c r="AT41" s="143" cm="1">
        <f t="array" ref="AT41">IFERROR(INDEX('[1]Sales per type juli'!$D$10:$BA$51,MATCH($C41,'[1]Sales per type juli'!$B$10:$B$51,0),$FG$2+1),0)</f>
        <v>0</v>
      </c>
      <c r="AU41" s="143">
        <f t="shared" si="13"/>
        <v>0</v>
      </c>
      <c r="AV41" s="143">
        <f>IFERROR(INDEX('[1]SALES PERTYPE'!$R$10:$R$52,MATCH($C41,'[1]SALES PERTYPE'!$B$10:$B$52,0)),0)</f>
        <v>0</v>
      </c>
      <c r="AW41" s="143">
        <f>IFERROR(INDEX('[1]Sales per type juli'!$D$10:$BA$51,MATCH($C41,'[1]Sales per type juli'!$B$10:$B$51,0),MATCH("Y31d ",'[1]Sales per type juli'!$D$8:$BA$8,0)),0)</f>
        <v>2</v>
      </c>
      <c r="AX41" s="143">
        <f t="shared" si="14"/>
        <v>-2</v>
      </c>
      <c r="AY41" s="143">
        <f>IFERROR(INDEX('[1]SALES PERTYPE'!$S$10:$S$52,MATCH($C41,'[1]SALES PERTYPE'!$B$10:$B$52,0)),0)</f>
        <v>0</v>
      </c>
      <c r="AZ41" s="143" cm="1">
        <f t="array" ref="AZ41">IFERROR(INDEX('[1]Sales per type juli'!$D$10:$BA$51,MATCH($C41,'[1]Sales per type juli'!$B$10:$B$51,0),MATCH("Y31d ",'[1]Sales per type juli'!$D$8:$BA$8,0)+1),0)</f>
        <v>7198000</v>
      </c>
      <c r="BA41" s="143">
        <f t="shared" si="15"/>
        <v>-7198000</v>
      </c>
      <c r="BB41" s="143">
        <f>IFERROR(INDEX('[1]SALES PERTYPE'!$T$10:$T$52,MATCH($C41,'[1]SALES PERTYPE'!$B$10:$B$52,0)),0)</f>
        <v>2</v>
      </c>
      <c r="BC41" s="143">
        <f>IFERROR(INDEX('[1]Sales per type juli'!$D$10:$BA$51,MATCH($C41,'[1]Sales per type juli'!$B$10:$B$51,0),MATCH("V70 FE",'[1]Sales per type juli'!$D$8:$BA$8,0)),0)</f>
        <v>15</v>
      </c>
      <c r="BD41" s="143">
        <f t="shared" si="16"/>
        <v>-13</v>
      </c>
      <c r="BE41" s="143">
        <f>IFERROR(INDEX('[1]SALES PERTYPE'!$U$10:$U$52,MATCH($C41,'[1]SALES PERTYPE'!$B$10:$B$52,0)),0)</f>
        <v>15998000</v>
      </c>
      <c r="BF41" s="143" cm="1">
        <f t="array" ref="BF41">IFERROR(INDEX('[1]Sales per type juli'!$D$10:$BA$51,MATCH($C41,'[1]Sales per type juli'!$B$10:$B$51,0),MATCH("V70 FE",'[1]Sales per type juli'!$D$8:$BA$8,0)+1),0)</f>
        <v>100285000</v>
      </c>
      <c r="BG41" s="143">
        <f t="shared" si="17"/>
        <v>-84287000</v>
      </c>
      <c r="BH41" s="143">
        <f>IFERROR(INDEX('[1]SALES PERTYPE'!$V$10:$V$52,MATCH($C41,'[1]SALES PERTYPE'!$B$10:$B$52,0)),0)</f>
        <v>1</v>
      </c>
      <c r="BI41" s="143">
        <f>IFERROR(INDEX('[1]Sales per type juli'!$D$10:$BA$51,MATCH($C41,'[1]Sales per type juli'!$B$10:$B$51,0),MATCH("Y31d",'[1]Sales per type juli'!$D$8:$BA$8,0)),0)</f>
        <v>2</v>
      </c>
      <c r="BJ41" s="143">
        <f t="shared" si="18"/>
        <v>-1</v>
      </c>
      <c r="BK41" s="143">
        <f>IFERROR(INDEX('[1]SALES PERTYPE'!$W$10:$W$52,MATCH($C41,'[1]SALES PERTYPE'!$B$10:$B$52,0)),0)</f>
        <v>3599000</v>
      </c>
      <c r="BL41" s="143" cm="1">
        <f t="array" ref="BL41">IFERROR(INDEX('[1]Sales per type juli'!$D$10:$BA$51,MATCH($C41,'[1]Sales per type juli'!$B$10:$B$51,0),MATCH("Y31d",'[1]Sales per type juli'!$D$8:$BA$8,0)+1),0)</f>
        <v>7198000</v>
      </c>
      <c r="BM41" s="143">
        <f t="shared" si="19"/>
        <v>-3599000</v>
      </c>
      <c r="BN41" s="143">
        <f>IFERROR(INDEX('[1]SALES PERTYPE'!$X$10:$X$52,MATCH($C41,'[1]SALES PERTYPE'!$B$10:$B$52,0)),0)</f>
        <v>1</v>
      </c>
      <c r="BO41" s="143">
        <f>IFERROR(INDEX('[1]Sales per type juli'!$D$10:$BA$51,MATCH($C41,'[1]Sales per type juli'!$B$10:$B$51,0),MATCH("Y500",'[1]Sales per type juli'!$D$8:$BA$8,0)),0)</f>
        <v>2</v>
      </c>
      <c r="BP41" s="143">
        <f t="shared" si="20"/>
        <v>-1</v>
      </c>
      <c r="BQ41" s="143">
        <f>IFERROR(INDEX('[1]SALES PERTYPE'!$Y$10:$Y$52,MATCH($C41,'[1]SALES PERTYPE'!$B$10:$B$52,0)),0)</f>
        <v>5499000</v>
      </c>
      <c r="BR41" s="143" cm="1">
        <f t="array" ref="BR41">IFERROR(INDEX('[1]Sales per type juli'!$D$10:$BA$51,MATCH($C41,'[1]Sales per type juli'!$B$10:$B$51,0),MATCH("Y500",'[1]Sales per type juli'!$D$8:$BA$8,0)+1),0)</f>
        <v>10998000</v>
      </c>
      <c r="BS41" s="143">
        <f t="shared" si="21"/>
        <v>-5499000</v>
      </c>
      <c r="BT41" s="143">
        <f>IFERROR(INDEX('[1]SALES PERTYPE'!$Z$10:$Z$52,MATCH($C41,'[1]SALES PERTYPE'!$B$10:$B$52,0)),0)</f>
        <v>2</v>
      </c>
      <c r="BU41" s="143">
        <f>IFERROR(INDEX('[1]Sales per type juli'!$D$10:$BA$51,MATCH($C41,'[1]Sales per type juli'!$B$10:$B$51,0),MATCH("IQOO 15R",'[1]Sales per type juli'!$D$8:$BA$8,0)),0)</f>
        <v>1</v>
      </c>
      <c r="BV41" s="143">
        <f t="shared" si="22"/>
        <v>1</v>
      </c>
      <c r="BW41" s="143">
        <f>IFERROR(INDEX('[1]SALES PERTYPE'!$AA$10:$AA$52,MATCH($C41,'[1]SALES PERTYPE'!$B$10:$B$52,0)),0)</f>
        <v>23998000</v>
      </c>
      <c r="BX41" s="143" cm="1">
        <f t="array" ref="BX41">IFERROR(INDEX('[1]Sales per type juli'!$D$10:$BA$51,MATCH($C41,'[1]Sales per type juli'!$B$10:$B$51,0),MATCH("IQOO 15R",'[1]Sales per type juli'!$D$8:$BA$8,0)+1),0)</f>
        <v>9899000</v>
      </c>
      <c r="BY41" s="143">
        <f t="shared" si="23"/>
        <v>14099000</v>
      </c>
      <c r="BZ41" s="143">
        <f>IFERROR(INDEX('[1]SALES PERTYPE'!$AB$10:$AB$52,MATCH($C41,'[1]SALES PERTYPE'!$B$10:$B$52,0)),0)</f>
        <v>4</v>
      </c>
      <c r="CA41" s="143">
        <f>IFERROR(INDEX('[1]Sales per type juli'!$D$10:$BA$51,MATCH($C41,'[1]Sales per type juli'!$B$10:$B$51,0),MATCH("V60 Lite",'[1]Sales per type juli'!$D$8:$BA$8,0)),0)</f>
        <v>4</v>
      </c>
      <c r="CB41" s="143">
        <f t="shared" si="24"/>
        <v>0</v>
      </c>
      <c r="CC41" s="143">
        <f>IFERROR(INDEX('[1]SALES PERTYPE'!$AC$10:$AC$52,MATCH($C41,'[1]SALES PERTYPE'!$B$10:$B$52,0)),0)</f>
        <v>22996000</v>
      </c>
      <c r="CD41" s="143" cm="1">
        <f t="array" ref="CD41">IFERROR(INDEX('[1]Sales per type juli'!$D$10:$BA$51,MATCH($C41,'[1]Sales per type juli'!$B$10:$B$51,0),MATCH("V60 Lite",'[1]Sales per type juli'!$D$8:$BA$8,0)+1),0)</f>
        <v>21196000</v>
      </c>
      <c r="CE41" s="143">
        <f t="shared" si="25"/>
        <v>1800000</v>
      </c>
      <c r="CF41" s="143">
        <f>IFERROR(INDEX('[1]SALES PERTYPE'!$AD$10:$AD$52,MATCH($C41,'[1]SALES PERTYPE'!$B$10:$B$52,0)),0)</f>
        <v>0</v>
      </c>
      <c r="CG41" s="143">
        <f>IFERROR(INDEX('[1]Sales per type juli'!$D$10:$BA$51,MATCH($C41,'[1]Sales per type juli'!$B$10:$B$51,0),MATCH("X300 Ultra",'[1]Sales per type juli'!$D$8:$BA$8,0)),0)</f>
        <v>0</v>
      </c>
      <c r="CH41" s="143">
        <f t="shared" si="26"/>
        <v>0</v>
      </c>
      <c r="CI41" s="143">
        <f>IFERROR(INDEX('[1]SALES PERTYPE'!$AE$10:$AE$52,MATCH($C41,'[1]SALES PERTYPE'!$B$10:$B$52,0)),0)</f>
        <v>0</v>
      </c>
      <c r="CJ41" s="143" cm="1">
        <f t="array" ref="CJ41">IFERROR(INDEX('[1]Sales per type juli'!$D$10:$BA$51,MATCH($C41,'[1]Sales per type juli'!$B$10:$B$51,0),MATCH("X300 Ultra",'[1]Sales per type juli'!$D$8:$BA$8,0)+1),0)</f>
        <v>0</v>
      </c>
      <c r="CK41" s="143">
        <f t="shared" si="27"/>
        <v>0</v>
      </c>
      <c r="CL41" s="143">
        <f>IFERROR(INDEX('[1]SALES PERTYPE'!$AF$10:$AF$52,MATCH($C41,'[1]SALES PERTYPE'!$B$10:$B$52,0)),0)</f>
        <v>0</v>
      </c>
      <c r="CM41" s="143">
        <f>IFERROR(INDEX('[1]Sales per type juli'!$D$10:$BA$51,MATCH($C41,'[1]Sales per type juli'!$B$10:$B$51,0),MATCH("IQOO 15",'[1]Sales per type juli'!$D$8:$BA$8,0)),0)</f>
        <v>0</v>
      </c>
      <c r="CN41" s="143">
        <f t="shared" si="28"/>
        <v>0</v>
      </c>
      <c r="CO41" s="143">
        <f>IFERROR(INDEX('[1]SALES PERTYPE'!$AG$10:$AG$52,MATCH($C41,'[1]SALES PERTYPE'!$B$10:$B$52,0)),0)</f>
        <v>0</v>
      </c>
      <c r="CP41" s="143" cm="1">
        <f t="array" ref="CP41">IFERROR(INDEX('[1]Sales per type juli'!$D$10:$BA$51,MATCH($C41,'[1]Sales per type juli'!$B$10:$B$51,0),MATCH("IQOO 15",'[1]Sales per type juli'!$D$8:$BA$8,0)+1),0)</f>
        <v>0</v>
      </c>
      <c r="CQ41" s="143">
        <f t="shared" si="29"/>
        <v>0</v>
      </c>
      <c r="CR41" s="143">
        <f>IFERROR(INDEX('[1]SALES PERTYPE'!$AH$10:$AH$52,MATCH($C41,'[1]SALES PERTYPE'!$B$10:$B$52,0)),0)</f>
        <v>1</v>
      </c>
      <c r="CS41" s="143">
        <f>IFERROR(INDEX('[1]Sales per type juli'!$D$10:$BA$51,MATCH($C41,'[1]Sales per type juli'!$B$10:$B$51,0),MATCH("IQOO Z11x",'[1]Sales per type juli'!$D$8:$BA$8,0)),0)</f>
        <v>3</v>
      </c>
      <c r="CT41" s="143">
        <f t="shared" si="30"/>
        <v>-2</v>
      </c>
      <c r="CU41" s="143">
        <f>IFERROR(INDEX('[1]SALES PERTYPE'!$AI$10:$AI$52,MATCH($C41,'[1]SALES PERTYPE'!$B$10:$B$52,0)),0)</f>
        <v>5699000</v>
      </c>
      <c r="CV41" s="143" cm="1">
        <f t="array" ref="CV41">IFERROR(INDEX('[1]Sales per type juli'!$D$10:$BA$51,MATCH($C41,'[1]Sales per type juli'!$B$10:$B$51,0),MATCH("IQOO Z11x",'[1]Sales per type juli'!$D$8:$BA$8,0)+1),0)</f>
        <v>15197000</v>
      </c>
      <c r="CW41" s="143">
        <f t="shared" si="31"/>
        <v>-9498000</v>
      </c>
      <c r="CX41" s="143">
        <f>IFERROR(INDEX('[1]SALES PERTYPE'!$AJ$10:$AJ$52,MATCH($C41,'[1]SALES PERTYPE'!$B$10:$B$52,0)),0)</f>
        <v>4</v>
      </c>
      <c r="CY41" s="143">
        <f>IFERROR(INDEX('[1]Sales per type juli'!$D$10:$BA$51,MATCH($C41,'[1]Sales per type juli'!$B$10:$B$51,0),MATCH("IQOO Z11",'[1]Sales per type juli'!$D$8:$BA$8,0)),0)</f>
        <v>2</v>
      </c>
      <c r="CZ41" s="143">
        <f t="shared" si="32"/>
        <v>2</v>
      </c>
      <c r="DA41" s="143">
        <f>IFERROR(INDEX('[1]SALES PERTYPE'!$AK$10:$AK$52,MATCH($C41,'[1]SALES PERTYPE'!$B$10:$B$52,0)),0)</f>
        <v>27596000</v>
      </c>
      <c r="DB41" s="143" cm="1">
        <f t="array" ref="DB41">IFERROR(INDEX('[1]Sales per type juli'!$D$10:$BA$51,MATCH($C41,'[1]Sales per type juli'!$B$10:$B$51,0),MATCH("IQOO Z11",'[1]Sales per type juli'!$D$8:$BA$8,0)+1),0)</f>
        <v>12398000</v>
      </c>
      <c r="DC41" s="143">
        <f t="shared" si="33"/>
        <v>15198000</v>
      </c>
      <c r="DD41" s="143">
        <v>0</v>
      </c>
      <c r="DE41" s="143">
        <f>IFERROR(INDEX('[1]Sales per type juli'!$D$10:$BA$51,MATCH($C41,'[1]Sales per type juli'!$B$10:$B$51,0),MATCH("WATCH 3",'[1]Sales per type juli'!$D$8:$BA$8,0)),0)</f>
        <v>0</v>
      </c>
      <c r="DF41" s="143">
        <f t="shared" si="34"/>
        <v>0</v>
      </c>
      <c r="DG41" s="143">
        <v>0</v>
      </c>
      <c r="DH41" s="143" cm="1">
        <f t="array" ref="DH41">IFERROR(INDEX('[1]Sales per type juli'!$D$10:$BA$51,MATCH($C41,'[1]Sales per type juli'!$B$10:$B$51,0),MATCH("WATCH 3",'[1]Sales per type juli'!$D$8:$BA$8,0)+1),0)</f>
        <v>0</v>
      </c>
      <c r="DI41" s="143">
        <f t="shared" si="35"/>
        <v>0</v>
      </c>
      <c r="DJ41" s="143">
        <v>0</v>
      </c>
      <c r="DK41" s="143">
        <f>IFERROR(INDEX('[1]Sales per type juli'!$D$10:$BA$51,MATCH($C41,'[1]Sales per type juli'!$B$10:$B$51,0),MATCH("X300 Demo",'[1]Sales per type juli'!$D$8:$BA$8,0)),0)</f>
        <v>3</v>
      </c>
      <c r="DL41" s="143">
        <f t="shared" si="36"/>
        <v>-3</v>
      </c>
      <c r="DM41" s="143">
        <v>0</v>
      </c>
      <c r="DN41" s="143" cm="1">
        <f t="array" ref="DN41">IFERROR(INDEX('[1]Sales per type juli'!$D$10:$BA$51,MATCH($C41,'[1]Sales per type juli'!$B$10:$B$51,0),MATCH("X300 Demo",'[1]Sales per type juli'!$D$8:$BA$8,0)+1),0)</f>
        <v>48997000</v>
      </c>
      <c r="DO41" s="143">
        <f t="shared" si="37"/>
        <v>-48997000</v>
      </c>
      <c r="DP41" s="143">
        <v>0</v>
      </c>
      <c r="DQ41" s="143">
        <f>IFERROR(INDEX('[1]Sales per type juli'!$D$10:$BA$51,MATCH($C41,'[1]Sales per type juli'!$B$10:$B$51,0),MATCH("X300 Pro Demo",'[1]Sales per type juli'!$D$8:$BA$8,0)),0)</f>
        <v>1</v>
      </c>
      <c r="DR41" s="143">
        <f t="shared" si="38"/>
        <v>-1</v>
      </c>
      <c r="DS41" s="143">
        <v>0</v>
      </c>
      <c r="DT41" s="143" cm="1">
        <f t="array" ref="DT41">IFERROR(INDEX('[1]Sales per type juli'!$D$10:$BA$51,MATCH($C41,'[1]Sales per type juli'!$B$10:$B$51,0),MATCH("X300 Pro Demo",'[1]Sales per type juli'!$D$8:$BA$8,0)+1),0)</f>
        <v>18999000</v>
      </c>
      <c r="DU41" s="143">
        <f t="shared" si="39"/>
        <v>-18999000</v>
      </c>
      <c r="DV41" s="143">
        <v>0</v>
      </c>
      <c r="DW41" s="143">
        <f>IFERROR(INDEX('[1]Sales per type juli'!$D$10:$BA$51,MATCH($C41,'[1]Sales per type juli'!$B$10:$B$51,0),MATCH("X Fold5 DEMO",'[1]Sales per type juli'!$D$8:$BA$8,0)),0)</f>
        <v>0</v>
      </c>
      <c r="DX41" s="143">
        <f t="shared" si="40"/>
        <v>0</v>
      </c>
      <c r="DY41" s="143">
        <v>0</v>
      </c>
      <c r="DZ41" s="143" cm="1">
        <f t="array" ref="DZ41">IFERROR(INDEX('[1]Sales per type juli'!$D$10:$BA$51,MATCH($C41,'[1]Sales per type juli'!$B$10:$B$51,0),MATCH("X Fold5 DEMO",'[1]Sales per type juli'!$D$8:$BA$8,0)+1),0)</f>
        <v>0</v>
      </c>
      <c r="EA41" s="143">
        <f t="shared" si="41"/>
        <v>0</v>
      </c>
      <c r="EB41" s="143">
        <v>0</v>
      </c>
      <c r="EC41" s="143">
        <f>IFERROR(INDEX('[1]Sales per type juli'!$D$10:$BA$51,MATCH($C41,'[1]Sales per type juli'!$B$10:$B$51,0),MATCH("X Fold5",'[1]Sales per type juli'!$D$8:$BA$8,0)),0)</f>
        <v>0</v>
      </c>
      <c r="ED41" s="143">
        <f t="shared" si="42"/>
        <v>0</v>
      </c>
      <c r="EE41" s="143">
        <v>0</v>
      </c>
      <c r="EF41" s="143" cm="1">
        <f t="array" ref="EF41">IFERROR(INDEX('[1]Sales per type juli'!$D$10:$BA$51,MATCH($C41,'[1]Sales per type juli'!$B$10:$B$51,0),MATCH("X Fold5",'[1]Sales per type juli'!$D$8:$BA$8,0)+1),0)</f>
        <v>0</v>
      </c>
      <c r="EG41" s="143">
        <f t="shared" si="43"/>
        <v>0</v>
      </c>
      <c r="EH41" s="143">
        <v>0</v>
      </c>
      <c r="EI41" s="143">
        <f>IFERROR(INDEX('[1]Sales per type juli'!$D$10:$BA$51,MATCH($C41,'[1]Sales per type juli'!$B$10:$B$51,0),MATCH("IQOO 15 Demo",'[1]Sales per type juli'!$D$8:$BA$8,0)),0)</f>
        <v>2</v>
      </c>
      <c r="EJ41" s="143">
        <f t="shared" si="44"/>
        <v>-2</v>
      </c>
      <c r="EK41" s="143">
        <v>0</v>
      </c>
      <c r="EL41" s="143" cm="1">
        <f t="array" ref="EL41">IFERROR(INDEX('[1]Sales per type juli'!$D$10:$BA$51,MATCH($C41,'[1]Sales per type juli'!$B$10:$B$51,0),MATCH("IQOO 15 Demo",'[1]Sales per type juli'!$D$8:$BA$8,0)+1),0)</f>
        <v>27998000</v>
      </c>
      <c r="EM41" s="143">
        <f t="shared" si="45"/>
        <v>-27998000</v>
      </c>
      <c r="EN41" s="143">
        <v>0</v>
      </c>
      <c r="EO41" s="143">
        <f>IFERROR(INDEX('[1]Sales per type juli'!$D$10:$BA$51,MATCH($C41,'[1]Sales per type juli'!$B$10:$B$51,0),MATCH("X300 PRO",'[1]Sales per type juli'!$D$8:$BA$8,0)),0)</f>
        <v>0</v>
      </c>
      <c r="EP41" s="143">
        <f t="shared" si="46"/>
        <v>0</v>
      </c>
      <c r="EQ41" s="143">
        <v>0</v>
      </c>
      <c r="ER41" s="143" cm="1">
        <f t="array" ref="ER41">IFERROR(INDEX('[1]Sales per type juli'!$D$10:$BA$51,MATCH($C41,'[1]Sales per type juli'!$B$10:$B$51,0),MATCH("X300 PRO",'[1]Sales per type juli'!$D$8:$BA$8,0)+1),0)</f>
        <v>0</v>
      </c>
      <c r="ES41" s="143">
        <f t="shared" si="47"/>
        <v>0</v>
      </c>
      <c r="ET41" s="143">
        <v>0</v>
      </c>
      <c r="EU41" s="143">
        <f>IFERROR(INDEX('[1]Sales per type juli'!$D$10:$BA$51,MATCH($C41,'[1]Sales per type juli'!$B$10:$B$51,0),MATCH("X300 ",'[1]Sales per type juli'!$D$8:$BA$8,0)),0)</f>
        <v>0</v>
      </c>
      <c r="EV41" s="143">
        <f t="shared" si="48"/>
        <v>0</v>
      </c>
      <c r="EW41" s="143">
        <v>0</v>
      </c>
      <c r="EX41" s="143" cm="1">
        <f t="array" ref="EX41">IFERROR(INDEX('[1]Sales per type juli'!$D$10:$BA$51,MATCH($C41,'[1]Sales per type juli'!$B$10:$B$51,0),MATCH("X300 ",'[1]Sales per type juli'!$D$8:$BA$8,0)+1),0)</f>
        <v>0</v>
      </c>
      <c r="EY41" s="143">
        <f t="shared" si="49"/>
        <v>0</v>
      </c>
      <c r="EZ41" s="143">
        <f t="shared" si="50"/>
        <v>88</v>
      </c>
      <c r="FA41" s="143">
        <f t="shared" si="50"/>
        <v>114</v>
      </c>
      <c r="FB41" s="143">
        <f t="shared" si="51"/>
        <v>-26</v>
      </c>
      <c r="FC41" s="143">
        <f t="shared" si="52"/>
        <v>330412000</v>
      </c>
      <c r="FD41" s="143">
        <f t="shared" si="52"/>
        <v>528586000</v>
      </c>
      <c r="FE41" s="143">
        <f t="shared" si="53"/>
        <v>-198174000</v>
      </c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</row>
    <row r="42" spans="1:208" ht="16" x14ac:dyDescent="0.2">
      <c r="A42" s="144">
        <f>'[1]ACHIEVEMENT STORE'!A42</f>
        <v>38</v>
      </c>
      <c r="B42" s="145" t="str">
        <f>'[1]ACHIEVEMENT STORE'!B42</f>
        <v>619-万隆市区BDG KOTA</v>
      </c>
      <c r="C42" s="144">
        <f>'[1]ACHIEVEMENT STORE'!C42</f>
        <v>6190708</v>
      </c>
      <c r="D42" s="145" t="str">
        <f>'[1]ACHIEVEMENT STORE'!D42</f>
        <v>6190708-BEC SC LGAA07</v>
      </c>
      <c r="E42" s="145" t="str">
        <f>'[1]ACHIEVEMENT STORE'!E42</f>
        <v>NENG TOTOH</v>
      </c>
      <c r="F42" s="143">
        <f>IFERROR(INDEX('[1]SALES PERTYPE'!$D$10:$D$52,MATCH($C42,'[1]SALES PERTYPE'!$B$10:$B$52,0)),0)</f>
        <v>2</v>
      </c>
      <c r="G42" s="143">
        <f>IFERROR(INDEX('[1]Sales per type juli'!$D$10:$BA$51,MATCH($C42,'[1]Sales per type juli'!$B$10:$B$51,0),MATCH("Y05",'[1]Sales per type juli'!$D$8:$BA$8,0)),0)</f>
        <v>3</v>
      </c>
      <c r="H42" s="143">
        <f t="shared" si="0"/>
        <v>-1</v>
      </c>
      <c r="I42" s="143">
        <f>IFERROR(INDEX('[1]SALES PERTYPE'!$E$10:$E$52,MATCH($C42,'[1]SALES PERTYPE'!$B$10:$B$52,0)),0)</f>
        <v>4598000</v>
      </c>
      <c r="J42" s="143" cm="1">
        <f t="array" ref="J42">IFERROR(INDEX('[1]Sales per type juli'!$D$10:$BA$51,MATCH($C42,'[1]Sales per type juli'!$B$10:$B$51,0),MATCH("Y05",'[1]Sales per type juli'!$D$8:$BA$8,0)+1),0)</f>
        <v>6897000</v>
      </c>
      <c r="K42" s="143">
        <f t="shared" si="1"/>
        <v>-2299000</v>
      </c>
      <c r="L42" s="143">
        <f>IFERROR(INDEX('[1]SALES PERTYPE'!$F$10:$F$52,MATCH($C42,'[1]SALES PERTYPE'!$B$10:$B$52,0)),0)</f>
        <v>6</v>
      </c>
      <c r="M42" s="143">
        <f>IFERROR(INDEX('[1]Sales per type juli'!$D$10:$BA$51,MATCH($C42,'[1]Sales per type juli'!$B$10:$B$51,0),MATCH("Y11d",'[1]Sales per type juli'!$D$8:$BA$8,0)),0)</f>
        <v>3</v>
      </c>
      <c r="N42" s="143">
        <f t="shared" si="2"/>
        <v>3</v>
      </c>
      <c r="O42" s="143">
        <f>IFERROR(INDEX('[1]SALES PERTYPE'!$G$10:$G$52,MATCH($C42,'[1]SALES PERTYPE'!$B$10:$B$52,0)),0)</f>
        <v>15994000</v>
      </c>
      <c r="P42" s="143" cm="1">
        <f t="array" ref="P42">IFERROR(INDEX('[1]Sales per type juli'!$D$10:$BA$51,MATCH($C42,'[1]Sales per type juli'!$B$10:$B$51,0),MATCH("Y11d",'[1]Sales per type juli'!$D$8:$BA$8,0)+1),0)</f>
        <v>8397000</v>
      </c>
      <c r="Q42" s="143">
        <f t="shared" si="3"/>
        <v>7597000</v>
      </c>
      <c r="R42" s="143">
        <f>IFERROR(INDEX('[1]SALES PERTYPE'!$H$10:$H$52,MATCH($C42,'[1]SALES PERTYPE'!$B$10:$B$52,0)),0)</f>
        <v>0</v>
      </c>
      <c r="S42" s="143">
        <f>IFERROR(INDEX('[1]Sales per type juli'!$D$10:$BA$51,MATCH($C42,'[1]Sales per type juli'!$B$10:$B$51,0),MATCH("Watch GT 2",'[1]Sales per type juli'!$D$8:$BA$8,0)),0)</f>
        <v>0</v>
      </c>
      <c r="T42" s="143">
        <f t="shared" si="4"/>
        <v>0</v>
      </c>
      <c r="U42" s="143">
        <f>IFERROR(INDEX('[1]SALES PERTYPE'!$I$10:$I$52,MATCH($C42,'[1]SALES PERTYPE'!$B$10:$B$52,0)),0)</f>
        <v>0</v>
      </c>
      <c r="V42" s="143" cm="1">
        <f t="array" ref="V42">IFERROR(INDEX('[1]Sales per type juli'!$D$10:$BA$51,MATCH($C42,'[1]Sales per type juli'!$B$10:$B$51,0),MATCH("Watch GT 2",'[1]Sales per type juli'!$D$8:$BA$8,0)+1),0)</f>
        <v>0</v>
      </c>
      <c r="W42" s="143">
        <f t="shared" si="5"/>
        <v>0</v>
      </c>
      <c r="X42" s="143">
        <f>IFERROR(INDEX('[1]SALES PERTYPE'!$J$10:$J$52,MATCH($C42,'[1]SALES PERTYPE'!$B$10:$B$52,0)),0)</f>
        <v>1</v>
      </c>
      <c r="Y42" s="143">
        <f>IFERROR(INDEX('[1]Sales per type juli'!$D$10:$BA$51,MATCH($C42,'[1]Sales per type juli'!$B$10:$B$51,0),MATCH("Y05e",'[1]Sales per type juli'!$D$8:$BA$8,0)),0)</f>
        <v>0</v>
      </c>
      <c r="Z42" s="143">
        <f t="shared" si="6"/>
        <v>1</v>
      </c>
      <c r="AA42" s="143">
        <f>IFERROR(INDEX('[1]SALES PERTYPE'!$K$10:$K$52,MATCH($C42,'[1]SALES PERTYPE'!$B$10:$B$52,0)),0)</f>
        <v>2099000</v>
      </c>
      <c r="AB42" s="143" cm="1">
        <f t="array" ref="AB42">IFERROR(INDEX('[1]Sales per type juli'!$D$10:$BA$51,MATCH($C42,'[1]Sales per type juli'!$B$10:$B$51,0),MATCH("Y05e",'[1]Sales per type juli'!$D$8:$BA$8,0)+1),0)</f>
        <v>0</v>
      </c>
      <c r="AC42" s="143">
        <f t="shared" si="7"/>
        <v>2099000</v>
      </c>
      <c r="AD42" s="143">
        <f>IFERROR(INDEX('[1]SALES PERTYPE'!$L$10:$L$52,MATCH($C42,'[1]SALES PERTYPE'!$B$10:$B$52,0)),0)</f>
        <v>1</v>
      </c>
      <c r="AE42" s="143">
        <f>IFERROR(INDEX('[1]Sales per type juli'!$D$10:$BA$51,MATCH($C42,'[1]Sales per type juli'!$B$10:$B$51,0),MATCH("V70",'[1]Sales per type juli'!$D$8:$BA$8,0)),0)</f>
        <v>2</v>
      </c>
      <c r="AF42" s="143">
        <f t="shared" si="8"/>
        <v>-1</v>
      </c>
      <c r="AG42" s="143">
        <f>IFERROR(INDEX('[1]SALES PERTYPE'!$M$10:$M$52,MATCH($C42,'[1]SALES PERTYPE'!$B$10:$B$52,0)),0)</f>
        <v>9999000</v>
      </c>
      <c r="AH42" s="143" cm="1">
        <f t="array" ref="AH42">IFERROR(INDEX('[1]Sales per type juli'!$D$10:$BA$51,MATCH($C42,'[1]Sales per type juli'!$B$10:$B$51,0),MATCH("V70",'[1]Sales per type juli'!$D$8:$BA$8,0)+1),0)</f>
        <v>19998000</v>
      </c>
      <c r="AI42" s="143">
        <f t="shared" si="9"/>
        <v>-9999000</v>
      </c>
      <c r="AJ42" s="143">
        <f>IFERROR(INDEX('[1]SALES PERTYPE'!$N$10:$N$52,MATCH($C42,'[1]SALES PERTYPE'!$B$10:$B$52,0)),0)</f>
        <v>2</v>
      </c>
      <c r="AK42" s="143">
        <f>IFERROR(INDEX('[1]Sales per type juli'!$D$10:$BA$51,MATCH($C42,'[1]Sales per type juli'!$B$10:$B$51,0),MATCH("Y31d Pro",'[1]Sales per type juli'!$D$8:$BA$8,0)),0)</f>
        <v>0</v>
      </c>
      <c r="AL42" s="143">
        <f t="shared" si="10"/>
        <v>2</v>
      </c>
      <c r="AM42" s="143">
        <f>IFERROR(INDEX('[1]SALES PERTYPE'!$O$10:$O$52,MATCH($C42,'[1]SALES PERTYPE'!$B$10:$B$52,0)),0)</f>
        <v>8198000</v>
      </c>
      <c r="AN42" s="143" cm="1">
        <f t="array" ref="AN42">IFERROR(INDEX('[1]Sales per type juli'!$D$10:$BA$51,MATCH($C42,'[1]Sales per type juli'!$B$10:$B$51,0),MATCH("Y31d Pro",'[1]Sales per type juli'!$D$8:$BA$8,0)+1),0)</f>
        <v>0</v>
      </c>
      <c r="AO42" s="143">
        <f t="shared" si="11"/>
        <v>8198000</v>
      </c>
      <c r="AP42" s="143">
        <f>IFERROR(INDEX('[1]SALES PERTYPE'!$P$10:$P$52,MATCH($C42,'[1]SALES PERTYPE'!$B$10:$B$52,0)),0)</f>
        <v>0</v>
      </c>
      <c r="AQ42" s="143" cm="1">
        <f t="array" ref="AQ42">IFERROR(INDEX('[1]Sales per type juli'!$D$10:$BA$51,MATCH($C42,'[1]Sales per type juli'!$B$10:$B$51,0),$FG$2),0)</f>
        <v>0</v>
      </c>
      <c r="AR42" s="143">
        <f t="shared" si="12"/>
        <v>0</v>
      </c>
      <c r="AS42" s="143">
        <f>IFERROR(INDEX('[1]SALES PERTYPE'!$Q$10:$Q$52,MATCH($C42,'[1]SALES PERTYPE'!$B$10:$B$52,0)),0)</f>
        <v>0</v>
      </c>
      <c r="AT42" s="143" cm="1">
        <f t="array" ref="AT42">IFERROR(INDEX('[1]Sales per type juli'!$D$10:$BA$51,MATCH($C42,'[1]Sales per type juli'!$B$10:$B$51,0),$FG$2+1),0)</f>
        <v>0</v>
      </c>
      <c r="AU42" s="143">
        <f t="shared" si="13"/>
        <v>0</v>
      </c>
      <c r="AV42" s="143">
        <f>IFERROR(INDEX('[1]SALES PERTYPE'!$R$10:$R$52,MATCH($C42,'[1]SALES PERTYPE'!$B$10:$B$52,0)),0)</f>
        <v>0</v>
      </c>
      <c r="AW42" s="143">
        <f>IFERROR(INDEX('[1]Sales per type juli'!$D$10:$BA$51,MATCH($C42,'[1]Sales per type juli'!$B$10:$B$51,0),MATCH("Y31d ",'[1]Sales per type juli'!$D$8:$BA$8,0)),0)</f>
        <v>0</v>
      </c>
      <c r="AX42" s="143">
        <f t="shared" si="14"/>
        <v>0</v>
      </c>
      <c r="AY42" s="143">
        <f>IFERROR(INDEX('[1]SALES PERTYPE'!$S$10:$S$52,MATCH($C42,'[1]SALES PERTYPE'!$B$10:$B$52,0)),0)</f>
        <v>0</v>
      </c>
      <c r="AZ42" s="143" cm="1">
        <f t="array" ref="AZ42">IFERROR(INDEX('[1]Sales per type juli'!$D$10:$BA$51,MATCH($C42,'[1]Sales per type juli'!$B$10:$B$51,0),MATCH("Y31d ",'[1]Sales per type juli'!$D$8:$BA$8,0)+1),0)</f>
        <v>0</v>
      </c>
      <c r="BA42" s="143">
        <f t="shared" si="15"/>
        <v>0</v>
      </c>
      <c r="BB42" s="143">
        <f>IFERROR(INDEX('[1]SALES PERTYPE'!$T$10:$T$52,MATCH($C42,'[1]SALES PERTYPE'!$B$10:$B$52,0)),0)</f>
        <v>0</v>
      </c>
      <c r="BC42" s="143">
        <f>IFERROR(INDEX('[1]Sales per type juli'!$D$10:$BA$51,MATCH($C42,'[1]Sales per type juli'!$B$10:$B$51,0),MATCH("V70 FE",'[1]Sales per type juli'!$D$8:$BA$8,0)),0)</f>
        <v>0</v>
      </c>
      <c r="BD42" s="143">
        <f t="shared" si="16"/>
        <v>0</v>
      </c>
      <c r="BE42" s="143">
        <f>IFERROR(INDEX('[1]SALES PERTYPE'!$U$10:$U$52,MATCH($C42,'[1]SALES PERTYPE'!$B$10:$B$52,0)),0)</f>
        <v>0</v>
      </c>
      <c r="BF42" s="143" cm="1">
        <f t="array" ref="BF42">IFERROR(INDEX('[1]Sales per type juli'!$D$10:$BA$51,MATCH($C42,'[1]Sales per type juli'!$B$10:$B$51,0),MATCH("V70 FE",'[1]Sales per type juli'!$D$8:$BA$8,0)+1),0)</f>
        <v>0</v>
      </c>
      <c r="BG42" s="143">
        <f t="shared" si="17"/>
        <v>0</v>
      </c>
      <c r="BH42" s="143">
        <f>IFERROR(INDEX('[1]SALES PERTYPE'!$V$10:$V$52,MATCH($C42,'[1]SALES PERTYPE'!$B$10:$B$52,0)),0)</f>
        <v>0</v>
      </c>
      <c r="BI42" s="143">
        <f>IFERROR(INDEX('[1]Sales per type juli'!$D$10:$BA$51,MATCH($C42,'[1]Sales per type juli'!$B$10:$B$51,0),MATCH("Y31d",'[1]Sales per type juli'!$D$8:$BA$8,0)),0)</f>
        <v>0</v>
      </c>
      <c r="BJ42" s="143">
        <f t="shared" si="18"/>
        <v>0</v>
      </c>
      <c r="BK42" s="143">
        <f>IFERROR(INDEX('[1]SALES PERTYPE'!$W$10:$W$52,MATCH($C42,'[1]SALES PERTYPE'!$B$10:$B$52,0)),0)</f>
        <v>0</v>
      </c>
      <c r="BL42" s="143" cm="1">
        <f t="array" ref="BL42">IFERROR(INDEX('[1]Sales per type juli'!$D$10:$BA$51,MATCH($C42,'[1]Sales per type juli'!$B$10:$B$51,0),MATCH("Y31d",'[1]Sales per type juli'!$D$8:$BA$8,0)+1),0)</f>
        <v>0</v>
      </c>
      <c r="BM42" s="143">
        <f t="shared" si="19"/>
        <v>0</v>
      </c>
      <c r="BN42" s="143">
        <f>IFERROR(INDEX('[1]SALES PERTYPE'!$X$10:$X$52,MATCH($C42,'[1]SALES PERTYPE'!$B$10:$B$52,0)),0)</f>
        <v>0</v>
      </c>
      <c r="BO42" s="143">
        <f>IFERROR(INDEX('[1]Sales per type juli'!$D$10:$BA$51,MATCH($C42,'[1]Sales per type juli'!$B$10:$B$51,0),MATCH("Y500",'[1]Sales per type juli'!$D$8:$BA$8,0)),0)</f>
        <v>1</v>
      </c>
      <c r="BP42" s="143">
        <f t="shared" si="20"/>
        <v>-1</v>
      </c>
      <c r="BQ42" s="143">
        <f>IFERROR(INDEX('[1]SALES PERTYPE'!$Y$10:$Y$52,MATCH($C42,'[1]SALES PERTYPE'!$B$10:$B$52,0)),0)</f>
        <v>0</v>
      </c>
      <c r="BR42" s="143" cm="1">
        <f t="array" ref="BR42">IFERROR(INDEX('[1]Sales per type juli'!$D$10:$BA$51,MATCH($C42,'[1]Sales per type juli'!$B$10:$B$51,0),MATCH("Y500",'[1]Sales per type juli'!$D$8:$BA$8,0)+1),0)</f>
        <v>6299000</v>
      </c>
      <c r="BS42" s="143">
        <f t="shared" si="21"/>
        <v>-6299000</v>
      </c>
      <c r="BT42" s="143">
        <f>IFERROR(INDEX('[1]SALES PERTYPE'!$Z$10:$Z$52,MATCH($C42,'[1]SALES PERTYPE'!$B$10:$B$52,0)),0)</f>
        <v>0</v>
      </c>
      <c r="BU42" s="143">
        <f>IFERROR(INDEX('[1]Sales per type juli'!$D$10:$BA$51,MATCH($C42,'[1]Sales per type juli'!$B$10:$B$51,0),MATCH("IQOO 15R",'[1]Sales per type juli'!$D$8:$BA$8,0)),0)</f>
        <v>0</v>
      </c>
      <c r="BV42" s="143">
        <f t="shared" si="22"/>
        <v>0</v>
      </c>
      <c r="BW42" s="143">
        <f>IFERROR(INDEX('[1]SALES PERTYPE'!$AA$10:$AA$52,MATCH($C42,'[1]SALES PERTYPE'!$B$10:$B$52,0)),0)</f>
        <v>0</v>
      </c>
      <c r="BX42" s="143" cm="1">
        <f t="array" ref="BX42">IFERROR(INDEX('[1]Sales per type juli'!$D$10:$BA$51,MATCH($C42,'[1]Sales per type juli'!$B$10:$B$51,0),MATCH("IQOO 15R",'[1]Sales per type juli'!$D$8:$BA$8,0)+1),0)</f>
        <v>0</v>
      </c>
      <c r="BY42" s="143">
        <f t="shared" si="23"/>
        <v>0</v>
      </c>
      <c r="BZ42" s="143">
        <f>IFERROR(INDEX('[1]SALES PERTYPE'!$AB$10:$AB$52,MATCH($C42,'[1]SALES PERTYPE'!$B$10:$B$52,0)),0)</f>
        <v>0</v>
      </c>
      <c r="CA42" s="143">
        <f>IFERROR(INDEX('[1]Sales per type juli'!$D$10:$BA$51,MATCH($C42,'[1]Sales per type juli'!$B$10:$B$51,0),MATCH("V60 Lite",'[1]Sales per type juli'!$D$8:$BA$8,0)),0)</f>
        <v>0</v>
      </c>
      <c r="CB42" s="143">
        <f t="shared" si="24"/>
        <v>0</v>
      </c>
      <c r="CC42" s="143">
        <f>IFERROR(INDEX('[1]SALES PERTYPE'!$AC$10:$AC$52,MATCH($C42,'[1]SALES PERTYPE'!$B$10:$B$52,0)),0)</f>
        <v>0</v>
      </c>
      <c r="CD42" s="143" cm="1">
        <f t="array" ref="CD42">IFERROR(INDEX('[1]Sales per type juli'!$D$10:$BA$51,MATCH($C42,'[1]Sales per type juli'!$B$10:$B$51,0),MATCH("V60 Lite",'[1]Sales per type juli'!$D$8:$BA$8,0)+1),0)</f>
        <v>0</v>
      </c>
      <c r="CE42" s="143">
        <f t="shared" si="25"/>
        <v>0</v>
      </c>
      <c r="CF42" s="143">
        <f>IFERROR(INDEX('[1]SALES PERTYPE'!$AD$10:$AD$52,MATCH($C42,'[1]SALES PERTYPE'!$B$10:$B$52,0)),0)</f>
        <v>0</v>
      </c>
      <c r="CG42" s="143">
        <f>IFERROR(INDEX('[1]Sales per type juli'!$D$10:$BA$51,MATCH($C42,'[1]Sales per type juli'!$B$10:$B$51,0),MATCH("X300 Ultra",'[1]Sales per type juli'!$D$8:$BA$8,0)),0)</f>
        <v>0</v>
      </c>
      <c r="CH42" s="143">
        <f t="shared" si="26"/>
        <v>0</v>
      </c>
      <c r="CI42" s="143">
        <f>IFERROR(INDEX('[1]SALES PERTYPE'!$AE$10:$AE$52,MATCH($C42,'[1]SALES PERTYPE'!$B$10:$B$52,0)),0)</f>
        <v>0</v>
      </c>
      <c r="CJ42" s="143" cm="1">
        <f t="array" ref="CJ42">IFERROR(INDEX('[1]Sales per type juli'!$D$10:$BA$51,MATCH($C42,'[1]Sales per type juli'!$B$10:$B$51,0),MATCH("X300 Ultra",'[1]Sales per type juli'!$D$8:$BA$8,0)+1),0)</f>
        <v>0</v>
      </c>
      <c r="CK42" s="143">
        <f t="shared" si="27"/>
        <v>0</v>
      </c>
      <c r="CL42" s="143">
        <f>IFERROR(INDEX('[1]SALES PERTYPE'!$AF$10:$AF$52,MATCH($C42,'[1]SALES PERTYPE'!$B$10:$B$52,0)),0)</f>
        <v>0</v>
      </c>
      <c r="CM42" s="143">
        <f>IFERROR(INDEX('[1]Sales per type juli'!$D$10:$BA$51,MATCH($C42,'[1]Sales per type juli'!$B$10:$B$51,0),MATCH("IQOO 15",'[1]Sales per type juli'!$D$8:$BA$8,0)),0)</f>
        <v>0</v>
      </c>
      <c r="CN42" s="143">
        <f t="shared" si="28"/>
        <v>0</v>
      </c>
      <c r="CO42" s="143">
        <f>IFERROR(INDEX('[1]SALES PERTYPE'!$AG$10:$AG$52,MATCH($C42,'[1]SALES PERTYPE'!$B$10:$B$52,0)),0)</f>
        <v>0</v>
      </c>
      <c r="CP42" s="143" cm="1">
        <f t="array" ref="CP42">IFERROR(INDEX('[1]Sales per type juli'!$D$10:$BA$51,MATCH($C42,'[1]Sales per type juli'!$B$10:$B$51,0),MATCH("IQOO 15",'[1]Sales per type juli'!$D$8:$BA$8,0)+1),0)</f>
        <v>0</v>
      </c>
      <c r="CQ42" s="143">
        <f t="shared" si="29"/>
        <v>0</v>
      </c>
      <c r="CR42" s="143">
        <f>IFERROR(INDEX('[1]SALES PERTYPE'!$AH$10:$AH$52,MATCH($C42,'[1]SALES PERTYPE'!$B$10:$B$52,0)),0)</f>
        <v>0</v>
      </c>
      <c r="CS42" s="143">
        <f>IFERROR(INDEX('[1]Sales per type juli'!$D$10:$BA$51,MATCH($C42,'[1]Sales per type juli'!$B$10:$B$51,0),MATCH("IQOO Z11x",'[1]Sales per type juli'!$D$8:$BA$8,0)),0)</f>
        <v>1</v>
      </c>
      <c r="CT42" s="143">
        <f t="shared" si="30"/>
        <v>-1</v>
      </c>
      <c r="CU42" s="143">
        <f>IFERROR(INDEX('[1]SALES PERTYPE'!$AI$10:$AI$52,MATCH($C42,'[1]SALES PERTYPE'!$B$10:$B$52,0)),0)</f>
        <v>0</v>
      </c>
      <c r="CV42" s="143" cm="1">
        <f t="array" ref="CV42">IFERROR(INDEX('[1]Sales per type juli'!$D$10:$BA$51,MATCH($C42,'[1]Sales per type juli'!$B$10:$B$51,0),MATCH("IQOO Z11x",'[1]Sales per type juli'!$D$8:$BA$8,0)+1),0)</f>
        <v>4799000</v>
      </c>
      <c r="CW42" s="143">
        <f t="shared" si="31"/>
        <v>-4799000</v>
      </c>
      <c r="CX42" s="143">
        <f>IFERROR(INDEX('[1]SALES PERTYPE'!$AJ$10:$AJ$52,MATCH($C42,'[1]SALES PERTYPE'!$B$10:$B$52,0)),0)</f>
        <v>0</v>
      </c>
      <c r="CY42" s="143">
        <f>IFERROR(INDEX('[1]Sales per type juli'!$D$10:$BA$51,MATCH($C42,'[1]Sales per type juli'!$B$10:$B$51,0),MATCH("IQOO Z11",'[1]Sales per type juli'!$D$8:$BA$8,0)),0)</f>
        <v>2</v>
      </c>
      <c r="CZ42" s="143">
        <f t="shared" si="32"/>
        <v>-2</v>
      </c>
      <c r="DA42" s="143">
        <f>IFERROR(INDEX('[1]SALES PERTYPE'!$AK$10:$AK$52,MATCH($C42,'[1]SALES PERTYPE'!$B$10:$B$52,0)),0)</f>
        <v>0</v>
      </c>
      <c r="DB42" s="143" cm="1">
        <f t="array" ref="DB42">IFERROR(INDEX('[1]Sales per type juli'!$D$10:$BA$51,MATCH($C42,'[1]Sales per type juli'!$B$10:$B$51,0),MATCH("IQOO Z11",'[1]Sales per type juli'!$D$8:$BA$8,0)+1),0)</f>
        <v>11398000</v>
      </c>
      <c r="DC42" s="143">
        <f t="shared" si="33"/>
        <v>-11398000</v>
      </c>
      <c r="DD42" s="143">
        <v>0</v>
      </c>
      <c r="DE42" s="143">
        <f>IFERROR(INDEX('[1]Sales per type juli'!$D$10:$BA$51,MATCH($C42,'[1]Sales per type juli'!$B$10:$B$51,0),MATCH("WATCH 3",'[1]Sales per type juli'!$D$8:$BA$8,0)),0)</f>
        <v>0</v>
      </c>
      <c r="DF42" s="143">
        <f t="shared" si="34"/>
        <v>0</v>
      </c>
      <c r="DG42" s="143">
        <v>0</v>
      </c>
      <c r="DH42" s="143" cm="1">
        <f t="array" ref="DH42">IFERROR(INDEX('[1]Sales per type juli'!$D$10:$BA$51,MATCH($C42,'[1]Sales per type juli'!$B$10:$B$51,0),MATCH("WATCH 3",'[1]Sales per type juli'!$D$8:$BA$8,0)+1),0)</f>
        <v>0</v>
      </c>
      <c r="DI42" s="143">
        <f t="shared" si="35"/>
        <v>0</v>
      </c>
      <c r="DJ42" s="143">
        <v>0</v>
      </c>
      <c r="DK42" s="143">
        <f>IFERROR(INDEX('[1]Sales per type juli'!$D$10:$BA$51,MATCH($C42,'[1]Sales per type juli'!$B$10:$B$51,0),MATCH("X300 Demo",'[1]Sales per type juli'!$D$8:$BA$8,0)),0)</f>
        <v>0</v>
      </c>
      <c r="DL42" s="143">
        <f t="shared" si="36"/>
        <v>0</v>
      </c>
      <c r="DM42" s="143">
        <v>0</v>
      </c>
      <c r="DN42" s="143" cm="1">
        <f t="array" ref="DN42">IFERROR(INDEX('[1]Sales per type juli'!$D$10:$BA$51,MATCH($C42,'[1]Sales per type juli'!$B$10:$B$51,0),MATCH("X300 Demo",'[1]Sales per type juli'!$D$8:$BA$8,0)+1),0)</f>
        <v>0</v>
      </c>
      <c r="DO42" s="143">
        <f t="shared" si="37"/>
        <v>0</v>
      </c>
      <c r="DP42" s="143">
        <v>0</v>
      </c>
      <c r="DQ42" s="143">
        <f>IFERROR(INDEX('[1]Sales per type juli'!$D$10:$BA$51,MATCH($C42,'[1]Sales per type juli'!$B$10:$B$51,0),MATCH("X300 Pro Demo",'[1]Sales per type juli'!$D$8:$BA$8,0)),0)</f>
        <v>0</v>
      </c>
      <c r="DR42" s="143">
        <f t="shared" si="38"/>
        <v>0</v>
      </c>
      <c r="DS42" s="143">
        <v>0</v>
      </c>
      <c r="DT42" s="143" cm="1">
        <f t="array" ref="DT42">IFERROR(INDEX('[1]Sales per type juli'!$D$10:$BA$51,MATCH($C42,'[1]Sales per type juli'!$B$10:$B$51,0),MATCH("X300 Pro Demo",'[1]Sales per type juli'!$D$8:$BA$8,0)+1),0)</f>
        <v>0</v>
      </c>
      <c r="DU42" s="143">
        <f t="shared" si="39"/>
        <v>0</v>
      </c>
      <c r="DV42" s="143">
        <v>0</v>
      </c>
      <c r="DW42" s="143">
        <f>IFERROR(INDEX('[1]Sales per type juli'!$D$10:$BA$51,MATCH($C42,'[1]Sales per type juli'!$B$10:$B$51,0),MATCH("X Fold5 DEMO",'[1]Sales per type juli'!$D$8:$BA$8,0)),0)</f>
        <v>0</v>
      </c>
      <c r="DX42" s="143">
        <f t="shared" si="40"/>
        <v>0</v>
      </c>
      <c r="DY42" s="143">
        <v>0</v>
      </c>
      <c r="DZ42" s="143" cm="1">
        <f t="array" ref="DZ42">IFERROR(INDEX('[1]Sales per type juli'!$D$10:$BA$51,MATCH($C42,'[1]Sales per type juli'!$B$10:$B$51,0),MATCH("X Fold5 DEMO",'[1]Sales per type juli'!$D$8:$BA$8,0)+1),0)</f>
        <v>0</v>
      </c>
      <c r="EA42" s="143">
        <f t="shared" si="41"/>
        <v>0</v>
      </c>
      <c r="EB42" s="143">
        <v>0</v>
      </c>
      <c r="EC42" s="143">
        <f>IFERROR(INDEX('[1]Sales per type juli'!$D$10:$BA$51,MATCH($C42,'[1]Sales per type juli'!$B$10:$B$51,0),MATCH("X Fold5",'[1]Sales per type juli'!$D$8:$BA$8,0)),0)</f>
        <v>0</v>
      </c>
      <c r="ED42" s="143">
        <f t="shared" si="42"/>
        <v>0</v>
      </c>
      <c r="EE42" s="143">
        <v>0</v>
      </c>
      <c r="EF42" s="143" cm="1">
        <f t="array" ref="EF42">IFERROR(INDEX('[1]Sales per type juli'!$D$10:$BA$51,MATCH($C42,'[1]Sales per type juli'!$B$10:$B$51,0),MATCH("X Fold5",'[1]Sales per type juli'!$D$8:$BA$8,0)+1),0)</f>
        <v>0</v>
      </c>
      <c r="EG42" s="143">
        <f t="shared" si="43"/>
        <v>0</v>
      </c>
      <c r="EH42" s="143">
        <v>0</v>
      </c>
      <c r="EI42" s="143">
        <f>IFERROR(INDEX('[1]Sales per type juli'!$D$10:$BA$51,MATCH($C42,'[1]Sales per type juli'!$B$10:$B$51,0),MATCH("IQOO 15 Demo",'[1]Sales per type juli'!$D$8:$BA$8,0)),0)</f>
        <v>0</v>
      </c>
      <c r="EJ42" s="143">
        <f t="shared" si="44"/>
        <v>0</v>
      </c>
      <c r="EK42" s="143">
        <v>0</v>
      </c>
      <c r="EL42" s="143" cm="1">
        <f t="array" ref="EL42">IFERROR(INDEX('[1]Sales per type juli'!$D$10:$BA$51,MATCH($C42,'[1]Sales per type juli'!$B$10:$B$51,0),MATCH("IQOO 15 Demo",'[1]Sales per type juli'!$D$8:$BA$8,0)+1),0)</f>
        <v>0</v>
      </c>
      <c r="EM42" s="143">
        <f t="shared" si="45"/>
        <v>0</v>
      </c>
      <c r="EN42" s="143">
        <v>0</v>
      </c>
      <c r="EO42" s="143">
        <f>IFERROR(INDEX('[1]Sales per type juli'!$D$10:$BA$51,MATCH($C42,'[1]Sales per type juli'!$B$10:$B$51,0),MATCH("X300 PRO",'[1]Sales per type juli'!$D$8:$BA$8,0)),0)</f>
        <v>0</v>
      </c>
      <c r="EP42" s="143">
        <f t="shared" si="46"/>
        <v>0</v>
      </c>
      <c r="EQ42" s="143">
        <v>0</v>
      </c>
      <c r="ER42" s="143" cm="1">
        <f t="array" ref="ER42">IFERROR(INDEX('[1]Sales per type juli'!$D$10:$BA$51,MATCH($C42,'[1]Sales per type juli'!$B$10:$B$51,0),MATCH("X300 PRO",'[1]Sales per type juli'!$D$8:$BA$8,0)+1),0)</f>
        <v>0</v>
      </c>
      <c r="ES42" s="143">
        <f t="shared" si="47"/>
        <v>0</v>
      </c>
      <c r="ET42" s="143">
        <v>0</v>
      </c>
      <c r="EU42" s="143">
        <f>IFERROR(INDEX('[1]Sales per type juli'!$D$10:$BA$51,MATCH($C42,'[1]Sales per type juli'!$B$10:$B$51,0),MATCH("X300 ",'[1]Sales per type juli'!$D$8:$BA$8,0)),0)</f>
        <v>0</v>
      </c>
      <c r="EV42" s="143">
        <f t="shared" si="48"/>
        <v>0</v>
      </c>
      <c r="EW42" s="143">
        <v>0</v>
      </c>
      <c r="EX42" s="143" cm="1">
        <f t="array" ref="EX42">IFERROR(INDEX('[1]Sales per type juli'!$D$10:$BA$51,MATCH($C42,'[1]Sales per type juli'!$B$10:$B$51,0),MATCH("X300 ",'[1]Sales per type juli'!$D$8:$BA$8,0)+1),0)</f>
        <v>0</v>
      </c>
      <c r="EY42" s="143">
        <f t="shared" si="49"/>
        <v>0</v>
      </c>
      <c r="EZ42" s="143">
        <f t="shared" si="50"/>
        <v>12</v>
      </c>
      <c r="FA42" s="143">
        <f t="shared" si="50"/>
        <v>12</v>
      </c>
      <c r="FB42" s="143">
        <f t="shared" si="51"/>
        <v>0</v>
      </c>
      <c r="FC42" s="143">
        <f t="shared" si="52"/>
        <v>40888000</v>
      </c>
      <c r="FD42" s="143">
        <f t="shared" si="52"/>
        <v>57788000</v>
      </c>
      <c r="FE42" s="143">
        <f t="shared" si="53"/>
        <v>-16900000</v>
      </c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</row>
    <row r="43" spans="1:208" ht="16" x14ac:dyDescent="0.2">
      <c r="A43" s="141">
        <f>'[1]ACHIEVEMENT STORE'!A43</f>
        <v>39</v>
      </c>
      <c r="B43" s="142" t="str">
        <f>'[1]ACHIEVEMENT STORE'!B43</f>
        <v>615-中爪哇东SOLO</v>
      </c>
      <c r="C43" s="141">
        <f>'[1]ACHIEVEMENT STORE'!C43</f>
        <v>6150702</v>
      </c>
      <c r="D43" s="142" t="str">
        <f>'[1]ACHIEVEMENT STORE'!D43</f>
        <v>6150702-GRANMALL SC GF-11</v>
      </c>
      <c r="E43" s="142" t="str">
        <f>'[1]ACHIEVEMENT STORE'!E43</f>
        <v>BIRILYAN KUSWARA</v>
      </c>
      <c r="F43" s="143">
        <f>IFERROR(INDEX('[1]SALES PERTYPE'!$D$10:$D$52,MATCH($C43,'[1]SALES PERTYPE'!$B$10:$B$52,0)),0)</f>
        <v>1</v>
      </c>
      <c r="G43" s="143">
        <f>IFERROR(INDEX('[1]Sales per type juli'!$D$10:$BA$51,MATCH($C43,'[1]Sales per type juli'!$B$10:$B$51,0),MATCH("Y05",'[1]Sales per type juli'!$D$8:$BA$8,0)),0)</f>
        <v>1</v>
      </c>
      <c r="H43" s="143">
        <f t="shared" si="0"/>
        <v>0</v>
      </c>
      <c r="I43" s="143">
        <f>IFERROR(INDEX('[1]SALES PERTYPE'!$E$10:$E$52,MATCH($C43,'[1]SALES PERTYPE'!$B$10:$B$52,0)),0)</f>
        <v>2599000</v>
      </c>
      <c r="J43" s="143" cm="1">
        <f t="array" ref="J43">IFERROR(INDEX('[1]Sales per type juli'!$D$10:$BA$51,MATCH($C43,'[1]Sales per type juli'!$B$10:$B$51,0),MATCH("Y05",'[1]Sales per type juli'!$D$8:$BA$8,0)+1),0)</f>
        <v>2599000</v>
      </c>
      <c r="K43" s="143">
        <f t="shared" si="1"/>
        <v>0</v>
      </c>
      <c r="L43" s="143">
        <f>IFERROR(INDEX('[1]SALES PERTYPE'!$F$10:$F$52,MATCH($C43,'[1]SALES PERTYPE'!$B$10:$B$52,0)),0)</f>
        <v>0</v>
      </c>
      <c r="M43" s="143">
        <f>IFERROR(INDEX('[1]Sales per type juli'!$D$10:$BA$51,MATCH($C43,'[1]Sales per type juli'!$B$10:$B$51,0),MATCH("Y11d",'[1]Sales per type juli'!$D$8:$BA$8,0)),0)</f>
        <v>2</v>
      </c>
      <c r="N43" s="143">
        <f t="shared" si="2"/>
        <v>-2</v>
      </c>
      <c r="O43" s="143">
        <f>IFERROR(INDEX('[1]SALES PERTYPE'!$G$10:$G$52,MATCH($C43,'[1]SALES PERTYPE'!$B$10:$B$52,0)),0)</f>
        <v>0</v>
      </c>
      <c r="P43" s="143" cm="1">
        <f t="array" ref="P43">IFERROR(INDEX('[1]Sales per type juli'!$D$10:$BA$51,MATCH($C43,'[1]Sales per type juli'!$B$10:$B$51,0),MATCH("Y11d",'[1]Sales per type juli'!$D$8:$BA$8,0)+1),0)</f>
        <v>5198000</v>
      </c>
      <c r="Q43" s="143">
        <f t="shared" si="3"/>
        <v>-5198000</v>
      </c>
      <c r="R43" s="143">
        <f>IFERROR(INDEX('[1]SALES PERTYPE'!$H$10:$H$52,MATCH($C43,'[1]SALES PERTYPE'!$B$10:$B$52,0)),0)</f>
        <v>0</v>
      </c>
      <c r="S43" s="143">
        <f>IFERROR(INDEX('[1]Sales per type juli'!$D$10:$BA$51,MATCH($C43,'[1]Sales per type juli'!$B$10:$B$51,0),MATCH("Watch GT 2",'[1]Sales per type juli'!$D$8:$BA$8,0)),0)</f>
        <v>0</v>
      </c>
      <c r="T43" s="143">
        <f t="shared" si="4"/>
        <v>0</v>
      </c>
      <c r="U43" s="143">
        <f>IFERROR(INDEX('[1]SALES PERTYPE'!$I$10:$I$52,MATCH($C43,'[1]SALES PERTYPE'!$B$10:$B$52,0)),0)</f>
        <v>0</v>
      </c>
      <c r="V43" s="143" cm="1">
        <f t="array" ref="V43">IFERROR(INDEX('[1]Sales per type juli'!$D$10:$BA$51,MATCH($C43,'[1]Sales per type juli'!$B$10:$B$51,0),MATCH("Watch GT 2",'[1]Sales per type juli'!$D$8:$BA$8,0)+1),0)</f>
        <v>0</v>
      </c>
      <c r="W43" s="143">
        <f t="shared" si="5"/>
        <v>0</v>
      </c>
      <c r="X43" s="143">
        <f>IFERROR(INDEX('[1]SALES PERTYPE'!$J$10:$J$52,MATCH($C43,'[1]SALES PERTYPE'!$B$10:$B$52,0)),0)</f>
        <v>0</v>
      </c>
      <c r="Y43" s="143">
        <f>IFERROR(INDEX('[1]Sales per type juli'!$D$10:$BA$51,MATCH($C43,'[1]Sales per type juli'!$B$10:$B$51,0),MATCH("Y05e",'[1]Sales per type juli'!$D$8:$BA$8,0)),0)</f>
        <v>0</v>
      </c>
      <c r="Z43" s="143">
        <f t="shared" si="6"/>
        <v>0</v>
      </c>
      <c r="AA43" s="143">
        <f>IFERROR(INDEX('[1]SALES PERTYPE'!$K$10:$K$52,MATCH($C43,'[1]SALES PERTYPE'!$B$10:$B$52,0)),0)</f>
        <v>0</v>
      </c>
      <c r="AB43" s="143" cm="1">
        <f t="array" ref="AB43">IFERROR(INDEX('[1]Sales per type juli'!$D$10:$BA$51,MATCH($C43,'[1]Sales per type juli'!$B$10:$B$51,0),MATCH("Y05e",'[1]Sales per type juli'!$D$8:$BA$8,0)+1),0)</f>
        <v>0</v>
      </c>
      <c r="AC43" s="143">
        <f t="shared" si="7"/>
        <v>0</v>
      </c>
      <c r="AD43" s="143">
        <f>IFERROR(INDEX('[1]SALES PERTYPE'!$L$10:$L$52,MATCH($C43,'[1]SALES PERTYPE'!$B$10:$B$52,0)),0)</f>
        <v>0</v>
      </c>
      <c r="AE43" s="143">
        <f>IFERROR(INDEX('[1]Sales per type juli'!$D$10:$BA$51,MATCH($C43,'[1]Sales per type juli'!$B$10:$B$51,0),MATCH("V70",'[1]Sales per type juli'!$D$8:$BA$8,0)),0)</f>
        <v>0</v>
      </c>
      <c r="AF43" s="143">
        <f t="shared" si="8"/>
        <v>0</v>
      </c>
      <c r="AG43" s="143">
        <f>IFERROR(INDEX('[1]SALES PERTYPE'!$M$10:$M$52,MATCH($C43,'[1]SALES PERTYPE'!$B$10:$B$52,0)),0)</f>
        <v>0</v>
      </c>
      <c r="AH43" s="143" cm="1">
        <f t="array" ref="AH43">IFERROR(INDEX('[1]Sales per type juli'!$D$10:$BA$51,MATCH($C43,'[1]Sales per type juli'!$B$10:$B$51,0),MATCH("V70",'[1]Sales per type juli'!$D$8:$BA$8,0)+1),0)</f>
        <v>0</v>
      </c>
      <c r="AI43" s="143">
        <f t="shared" si="9"/>
        <v>0</v>
      </c>
      <c r="AJ43" s="143">
        <f>IFERROR(INDEX('[1]SALES PERTYPE'!$N$10:$N$52,MATCH($C43,'[1]SALES PERTYPE'!$B$10:$B$52,0)),0)</f>
        <v>1</v>
      </c>
      <c r="AK43" s="143">
        <f>IFERROR(INDEX('[1]Sales per type juli'!$D$10:$BA$51,MATCH($C43,'[1]Sales per type juli'!$B$10:$B$51,0),MATCH("Y31d Pro",'[1]Sales per type juli'!$D$8:$BA$8,0)),0)</f>
        <v>0</v>
      </c>
      <c r="AL43" s="143">
        <f t="shared" si="10"/>
        <v>1</v>
      </c>
      <c r="AM43" s="143">
        <f>IFERROR(INDEX('[1]SALES PERTYPE'!$O$10:$O$52,MATCH($C43,'[1]SALES PERTYPE'!$B$10:$B$52,0)),0)</f>
        <v>4299000</v>
      </c>
      <c r="AN43" s="143" cm="1">
        <f t="array" ref="AN43">IFERROR(INDEX('[1]Sales per type juli'!$D$10:$BA$51,MATCH($C43,'[1]Sales per type juli'!$B$10:$B$51,0),MATCH("Y31d Pro",'[1]Sales per type juli'!$D$8:$BA$8,0)+1),0)</f>
        <v>0</v>
      </c>
      <c r="AO43" s="143">
        <f t="shared" si="11"/>
        <v>4299000</v>
      </c>
      <c r="AP43" s="143">
        <f>IFERROR(INDEX('[1]SALES PERTYPE'!$P$10:$P$52,MATCH($C43,'[1]SALES PERTYPE'!$B$10:$B$52,0)),0)</f>
        <v>0</v>
      </c>
      <c r="AQ43" s="143" cm="1">
        <f t="array" ref="AQ43">IFERROR(INDEX('[1]Sales per type juli'!$D$10:$BA$51,MATCH($C43,'[1]Sales per type juli'!$B$10:$B$51,0),$FG$2),0)</f>
        <v>0</v>
      </c>
      <c r="AR43" s="143">
        <f t="shared" si="12"/>
        <v>0</v>
      </c>
      <c r="AS43" s="143">
        <f>IFERROR(INDEX('[1]SALES PERTYPE'!$Q$10:$Q$52,MATCH($C43,'[1]SALES PERTYPE'!$B$10:$B$52,0)),0)</f>
        <v>0</v>
      </c>
      <c r="AT43" s="143" cm="1">
        <f t="array" ref="AT43">IFERROR(INDEX('[1]Sales per type juli'!$D$10:$BA$51,MATCH($C43,'[1]Sales per type juli'!$B$10:$B$51,0),$FG$2+1),0)</f>
        <v>0</v>
      </c>
      <c r="AU43" s="143">
        <f t="shared" si="13"/>
        <v>0</v>
      </c>
      <c r="AV43" s="143">
        <f>IFERROR(INDEX('[1]SALES PERTYPE'!$R$10:$R$52,MATCH($C43,'[1]SALES PERTYPE'!$B$10:$B$52,0)),0)</f>
        <v>0</v>
      </c>
      <c r="AW43" s="143">
        <f>IFERROR(INDEX('[1]Sales per type juli'!$D$10:$BA$51,MATCH($C43,'[1]Sales per type juli'!$B$10:$B$51,0),MATCH("Y31d ",'[1]Sales per type juli'!$D$8:$BA$8,0)),0)</f>
        <v>0</v>
      </c>
      <c r="AX43" s="143">
        <f t="shared" si="14"/>
        <v>0</v>
      </c>
      <c r="AY43" s="143">
        <f>IFERROR(INDEX('[1]SALES PERTYPE'!$S$10:$S$52,MATCH($C43,'[1]SALES PERTYPE'!$B$10:$B$52,0)),0)</f>
        <v>0</v>
      </c>
      <c r="AZ43" s="143" cm="1">
        <f t="array" ref="AZ43">IFERROR(INDEX('[1]Sales per type juli'!$D$10:$BA$51,MATCH($C43,'[1]Sales per type juli'!$B$10:$B$51,0),MATCH("Y31d ",'[1]Sales per type juli'!$D$8:$BA$8,0)+1),0)</f>
        <v>0</v>
      </c>
      <c r="BA43" s="143">
        <f t="shared" si="15"/>
        <v>0</v>
      </c>
      <c r="BB43" s="143">
        <f>IFERROR(INDEX('[1]SALES PERTYPE'!$T$10:$T$52,MATCH($C43,'[1]SALES PERTYPE'!$B$10:$B$52,0)),0)</f>
        <v>0</v>
      </c>
      <c r="BC43" s="143">
        <f>IFERROR(INDEX('[1]Sales per type juli'!$D$10:$BA$51,MATCH($C43,'[1]Sales per type juli'!$B$10:$B$51,0),MATCH("V70 FE",'[1]Sales per type juli'!$D$8:$BA$8,0)),0)</f>
        <v>0</v>
      </c>
      <c r="BD43" s="143">
        <f t="shared" si="16"/>
        <v>0</v>
      </c>
      <c r="BE43" s="143">
        <f>IFERROR(INDEX('[1]SALES PERTYPE'!$U$10:$U$52,MATCH($C43,'[1]SALES PERTYPE'!$B$10:$B$52,0)),0)</f>
        <v>0</v>
      </c>
      <c r="BF43" s="143" cm="1">
        <f t="array" ref="BF43">IFERROR(INDEX('[1]Sales per type juli'!$D$10:$BA$51,MATCH($C43,'[1]Sales per type juli'!$B$10:$B$51,0),MATCH("V70 FE",'[1]Sales per type juli'!$D$8:$BA$8,0)+1),0)</f>
        <v>0</v>
      </c>
      <c r="BG43" s="143">
        <f t="shared" si="17"/>
        <v>0</v>
      </c>
      <c r="BH43" s="143">
        <f>IFERROR(INDEX('[1]SALES PERTYPE'!$V$10:$V$52,MATCH($C43,'[1]SALES PERTYPE'!$B$10:$B$52,0)),0)</f>
        <v>1</v>
      </c>
      <c r="BI43" s="143">
        <f>IFERROR(INDEX('[1]Sales per type juli'!$D$10:$BA$51,MATCH($C43,'[1]Sales per type juli'!$B$10:$B$51,0),MATCH("Y31d",'[1]Sales per type juli'!$D$8:$BA$8,0)),0)</f>
        <v>0</v>
      </c>
      <c r="BJ43" s="143">
        <f t="shared" si="18"/>
        <v>1</v>
      </c>
      <c r="BK43" s="143">
        <f>IFERROR(INDEX('[1]SALES PERTYPE'!$W$10:$W$52,MATCH($C43,'[1]SALES PERTYPE'!$B$10:$B$52,0)),0)</f>
        <v>3599000</v>
      </c>
      <c r="BL43" s="143" cm="1">
        <f t="array" ref="BL43">IFERROR(INDEX('[1]Sales per type juli'!$D$10:$BA$51,MATCH($C43,'[1]Sales per type juli'!$B$10:$B$51,0),MATCH("Y31d",'[1]Sales per type juli'!$D$8:$BA$8,0)+1),0)</f>
        <v>0</v>
      </c>
      <c r="BM43" s="143">
        <f t="shared" si="19"/>
        <v>3599000</v>
      </c>
      <c r="BN43" s="143">
        <f>IFERROR(INDEX('[1]SALES PERTYPE'!$X$10:$X$52,MATCH($C43,'[1]SALES PERTYPE'!$B$10:$B$52,0)),0)</f>
        <v>3</v>
      </c>
      <c r="BO43" s="143">
        <f>IFERROR(INDEX('[1]Sales per type juli'!$D$10:$BA$51,MATCH($C43,'[1]Sales per type juli'!$B$10:$B$51,0),MATCH("Y500",'[1]Sales per type juli'!$D$8:$BA$8,0)),0)</f>
        <v>0</v>
      </c>
      <c r="BP43" s="143">
        <f t="shared" si="20"/>
        <v>3</v>
      </c>
      <c r="BQ43" s="143">
        <f>IFERROR(INDEX('[1]SALES PERTYPE'!$Y$10:$Y$52,MATCH($C43,'[1]SALES PERTYPE'!$B$10:$B$52,0)),0)</f>
        <v>17297000</v>
      </c>
      <c r="BR43" s="143" cm="1">
        <f t="array" ref="BR43">IFERROR(INDEX('[1]Sales per type juli'!$D$10:$BA$51,MATCH($C43,'[1]Sales per type juli'!$B$10:$B$51,0),MATCH("Y500",'[1]Sales per type juli'!$D$8:$BA$8,0)+1),0)</f>
        <v>0</v>
      </c>
      <c r="BS43" s="143">
        <f t="shared" si="21"/>
        <v>17297000</v>
      </c>
      <c r="BT43" s="143">
        <f>IFERROR(INDEX('[1]SALES PERTYPE'!$Z$10:$Z$52,MATCH($C43,'[1]SALES PERTYPE'!$B$10:$B$52,0)),0)</f>
        <v>0</v>
      </c>
      <c r="BU43" s="143">
        <f>IFERROR(INDEX('[1]Sales per type juli'!$D$10:$BA$51,MATCH($C43,'[1]Sales per type juli'!$B$10:$B$51,0),MATCH("IQOO 15R",'[1]Sales per type juli'!$D$8:$BA$8,0)),0)</f>
        <v>0</v>
      </c>
      <c r="BV43" s="143">
        <f t="shared" si="22"/>
        <v>0</v>
      </c>
      <c r="BW43" s="143">
        <f>IFERROR(INDEX('[1]SALES PERTYPE'!$AA$10:$AA$52,MATCH($C43,'[1]SALES PERTYPE'!$B$10:$B$52,0)),0)</f>
        <v>0</v>
      </c>
      <c r="BX43" s="143" cm="1">
        <f t="array" ref="BX43">IFERROR(INDEX('[1]Sales per type juli'!$D$10:$BA$51,MATCH($C43,'[1]Sales per type juli'!$B$10:$B$51,0),MATCH("IQOO 15R",'[1]Sales per type juli'!$D$8:$BA$8,0)+1),0)</f>
        <v>0</v>
      </c>
      <c r="BY43" s="143">
        <f t="shared" si="23"/>
        <v>0</v>
      </c>
      <c r="BZ43" s="143">
        <f>IFERROR(INDEX('[1]SALES PERTYPE'!$AB$10:$AB$52,MATCH($C43,'[1]SALES PERTYPE'!$B$10:$B$52,0)),0)</f>
        <v>0</v>
      </c>
      <c r="CA43" s="143">
        <f>IFERROR(INDEX('[1]Sales per type juli'!$D$10:$BA$51,MATCH($C43,'[1]Sales per type juli'!$B$10:$B$51,0),MATCH("V60 Lite",'[1]Sales per type juli'!$D$8:$BA$8,0)),0)</f>
        <v>0</v>
      </c>
      <c r="CB43" s="143">
        <f t="shared" si="24"/>
        <v>0</v>
      </c>
      <c r="CC43" s="143">
        <f>IFERROR(INDEX('[1]SALES PERTYPE'!$AC$10:$AC$52,MATCH($C43,'[1]SALES PERTYPE'!$B$10:$B$52,0)),0)</f>
        <v>0</v>
      </c>
      <c r="CD43" s="143" cm="1">
        <f t="array" ref="CD43">IFERROR(INDEX('[1]Sales per type juli'!$D$10:$BA$51,MATCH($C43,'[1]Sales per type juli'!$B$10:$B$51,0),MATCH("V60 Lite",'[1]Sales per type juli'!$D$8:$BA$8,0)+1),0)</f>
        <v>0</v>
      </c>
      <c r="CE43" s="143">
        <f t="shared" si="25"/>
        <v>0</v>
      </c>
      <c r="CF43" s="143">
        <f>IFERROR(INDEX('[1]SALES PERTYPE'!$AD$10:$AD$52,MATCH($C43,'[1]SALES PERTYPE'!$B$10:$B$52,0)),0)</f>
        <v>0</v>
      </c>
      <c r="CG43" s="143">
        <f>IFERROR(INDEX('[1]Sales per type juli'!$D$10:$BA$51,MATCH($C43,'[1]Sales per type juli'!$B$10:$B$51,0),MATCH("X300 Ultra",'[1]Sales per type juli'!$D$8:$BA$8,0)),0)</f>
        <v>0</v>
      </c>
      <c r="CH43" s="143">
        <f t="shared" si="26"/>
        <v>0</v>
      </c>
      <c r="CI43" s="143">
        <f>IFERROR(INDEX('[1]SALES PERTYPE'!$AE$10:$AE$52,MATCH($C43,'[1]SALES PERTYPE'!$B$10:$B$52,0)),0)</f>
        <v>0</v>
      </c>
      <c r="CJ43" s="143" cm="1">
        <f t="array" ref="CJ43">IFERROR(INDEX('[1]Sales per type juli'!$D$10:$BA$51,MATCH($C43,'[1]Sales per type juli'!$B$10:$B$51,0),MATCH("X300 Ultra",'[1]Sales per type juli'!$D$8:$BA$8,0)+1),0)</f>
        <v>0</v>
      </c>
      <c r="CK43" s="143">
        <f t="shared" si="27"/>
        <v>0</v>
      </c>
      <c r="CL43" s="143">
        <f>IFERROR(INDEX('[1]SALES PERTYPE'!$AF$10:$AF$52,MATCH($C43,'[1]SALES PERTYPE'!$B$10:$B$52,0)),0)</f>
        <v>0</v>
      </c>
      <c r="CM43" s="143">
        <f>IFERROR(INDEX('[1]Sales per type juli'!$D$10:$BA$51,MATCH($C43,'[1]Sales per type juli'!$B$10:$B$51,0),MATCH("IQOO 15",'[1]Sales per type juli'!$D$8:$BA$8,0)),0)</f>
        <v>0</v>
      </c>
      <c r="CN43" s="143">
        <f t="shared" si="28"/>
        <v>0</v>
      </c>
      <c r="CO43" s="143">
        <f>IFERROR(INDEX('[1]SALES PERTYPE'!$AG$10:$AG$52,MATCH($C43,'[1]SALES PERTYPE'!$B$10:$B$52,0)),0)</f>
        <v>0</v>
      </c>
      <c r="CP43" s="143" cm="1">
        <f t="array" ref="CP43">IFERROR(INDEX('[1]Sales per type juli'!$D$10:$BA$51,MATCH($C43,'[1]Sales per type juli'!$B$10:$B$51,0),MATCH("IQOO 15",'[1]Sales per type juli'!$D$8:$BA$8,0)+1),0)</f>
        <v>0</v>
      </c>
      <c r="CQ43" s="143">
        <f t="shared" si="29"/>
        <v>0</v>
      </c>
      <c r="CR43" s="143">
        <f>IFERROR(INDEX('[1]SALES PERTYPE'!$AH$10:$AH$52,MATCH($C43,'[1]SALES PERTYPE'!$B$10:$B$52,0)),0)</f>
        <v>0</v>
      </c>
      <c r="CS43" s="143">
        <f>IFERROR(INDEX('[1]Sales per type juli'!$D$10:$BA$51,MATCH($C43,'[1]Sales per type juli'!$B$10:$B$51,0),MATCH("IQOO Z11x",'[1]Sales per type juli'!$D$8:$BA$8,0)),0)</f>
        <v>0</v>
      </c>
      <c r="CT43" s="143">
        <f t="shared" si="30"/>
        <v>0</v>
      </c>
      <c r="CU43" s="143">
        <f>IFERROR(INDEX('[1]SALES PERTYPE'!$AI$10:$AI$52,MATCH($C43,'[1]SALES PERTYPE'!$B$10:$B$52,0)),0)</f>
        <v>0</v>
      </c>
      <c r="CV43" s="143" cm="1">
        <f t="array" ref="CV43">IFERROR(INDEX('[1]Sales per type juli'!$D$10:$BA$51,MATCH($C43,'[1]Sales per type juli'!$B$10:$B$51,0),MATCH("IQOO Z11x",'[1]Sales per type juli'!$D$8:$BA$8,0)+1),0)</f>
        <v>0</v>
      </c>
      <c r="CW43" s="143">
        <f t="shared" si="31"/>
        <v>0</v>
      </c>
      <c r="CX43" s="143">
        <f>IFERROR(INDEX('[1]SALES PERTYPE'!$AJ$10:$AJ$52,MATCH($C43,'[1]SALES PERTYPE'!$B$10:$B$52,0)),0)</f>
        <v>0</v>
      </c>
      <c r="CY43" s="143">
        <f>IFERROR(INDEX('[1]Sales per type juli'!$D$10:$BA$51,MATCH($C43,'[1]Sales per type juli'!$B$10:$B$51,0),MATCH("IQOO Z11",'[1]Sales per type juli'!$D$8:$BA$8,0)),0)</f>
        <v>1</v>
      </c>
      <c r="CZ43" s="143">
        <f t="shared" si="32"/>
        <v>-1</v>
      </c>
      <c r="DA43" s="143">
        <f>IFERROR(INDEX('[1]SALES PERTYPE'!$AK$10:$AK$52,MATCH($C43,'[1]SALES PERTYPE'!$B$10:$B$52,0)),0)</f>
        <v>0</v>
      </c>
      <c r="DB43" s="143" cm="1">
        <f t="array" ref="DB43">IFERROR(INDEX('[1]Sales per type juli'!$D$10:$BA$51,MATCH($C43,'[1]Sales per type juli'!$B$10:$B$51,0),MATCH("IQOO Z11",'[1]Sales per type juli'!$D$8:$BA$8,0)+1),0)</f>
        <v>5699000</v>
      </c>
      <c r="DC43" s="143">
        <f t="shared" si="33"/>
        <v>-5699000</v>
      </c>
      <c r="DD43" s="143">
        <v>0</v>
      </c>
      <c r="DE43" s="143">
        <f>IFERROR(INDEX('[1]Sales per type juli'!$D$10:$BA$51,MATCH($C43,'[1]Sales per type juli'!$B$10:$B$51,0),MATCH("WATCH 3",'[1]Sales per type juli'!$D$8:$BA$8,0)),0)</f>
        <v>0</v>
      </c>
      <c r="DF43" s="143">
        <f t="shared" si="34"/>
        <v>0</v>
      </c>
      <c r="DG43" s="143">
        <v>0</v>
      </c>
      <c r="DH43" s="143" cm="1">
        <f t="array" ref="DH43">IFERROR(INDEX('[1]Sales per type juli'!$D$10:$BA$51,MATCH($C43,'[1]Sales per type juli'!$B$10:$B$51,0),MATCH("WATCH 3",'[1]Sales per type juli'!$D$8:$BA$8,0)+1),0)</f>
        <v>0</v>
      </c>
      <c r="DI43" s="143">
        <f t="shared" si="35"/>
        <v>0</v>
      </c>
      <c r="DJ43" s="143">
        <v>0</v>
      </c>
      <c r="DK43" s="143">
        <f>IFERROR(INDEX('[1]Sales per type juli'!$D$10:$BA$51,MATCH($C43,'[1]Sales per type juli'!$B$10:$B$51,0),MATCH("X300 Demo",'[1]Sales per type juli'!$D$8:$BA$8,0)),0)</f>
        <v>0</v>
      </c>
      <c r="DL43" s="143">
        <f t="shared" si="36"/>
        <v>0</v>
      </c>
      <c r="DM43" s="143">
        <v>0</v>
      </c>
      <c r="DN43" s="143" cm="1">
        <f t="array" ref="DN43">IFERROR(INDEX('[1]Sales per type juli'!$D$10:$BA$51,MATCH($C43,'[1]Sales per type juli'!$B$10:$B$51,0),MATCH("X300 Demo",'[1]Sales per type juli'!$D$8:$BA$8,0)+1),0)</f>
        <v>0</v>
      </c>
      <c r="DO43" s="143">
        <f t="shared" si="37"/>
        <v>0</v>
      </c>
      <c r="DP43" s="143">
        <v>0</v>
      </c>
      <c r="DQ43" s="143">
        <f>IFERROR(INDEX('[1]Sales per type juli'!$D$10:$BA$51,MATCH($C43,'[1]Sales per type juli'!$B$10:$B$51,0),MATCH("X300 Pro Demo",'[1]Sales per type juli'!$D$8:$BA$8,0)),0)</f>
        <v>0</v>
      </c>
      <c r="DR43" s="143">
        <f t="shared" si="38"/>
        <v>0</v>
      </c>
      <c r="DS43" s="143">
        <v>0</v>
      </c>
      <c r="DT43" s="143" cm="1">
        <f t="array" ref="DT43">IFERROR(INDEX('[1]Sales per type juli'!$D$10:$BA$51,MATCH($C43,'[1]Sales per type juli'!$B$10:$B$51,0),MATCH("X300 Pro Demo",'[1]Sales per type juli'!$D$8:$BA$8,0)+1),0)</f>
        <v>0</v>
      </c>
      <c r="DU43" s="143">
        <f t="shared" si="39"/>
        <v>0</v>
      </c>
      <c r="DV43" s="143">
        <v>0</v>
      </c>
      <c r="DW43" s="143">
        <f>IFERROR(INDEX('[1]Sales per type juli'!$D$10:$BA$51,MATCH($C43,'[1]Sales per type juli'!$B$10:$B$51,0),MATCH("X Fold5 DEMO",'[1]Sales per type juli'!$D$8:$BA$8,0)),0)</f>
        <v>0</v>
      </c>
      <c r="DX43" s="143">
        <f t="shared" si="40"/>
        <v>0</v>
      </c>
      <c r="DY43" s="143">
        <v>0</v>
      </c>
      <c r="DZ43" s="143" cm="1">
        <f t="array" ref="DZ43">IFERROR(INDEX('[1]Sales per type juli'!$D$10:$BA$51,MATCH($C43,'[1]Sales per type juli'!$B$10:$B$51,0),MATCH("X Fold5 DEMO",'[1]Sales per type juli'!$D$8:$BA$8,0)+1),0)</f>
        <v>0</v>
      </c>
      <c r="EA43" s="143">
        <f t="shared" si="41"/>
        <v>0</v>
      </c>
      <c r="EB43" s="143">
        <v>0</v>
      </c>
      <c r="EC43" s="143">
        <f>IFERROR(INDEX('[1]Sales per type juli'!$D$10:$BA$51,MATCH($C43,'[1]Sales per type juli'!$B$10:$B$51,0),MATCH("X Fold5",'[1]Sales per type juli'!$D$8:$BA$8,0)),0)</f>
        <v>0</v>
      </c>
      <c r="ED43" s="143">
        <f t="shared" si="42"/>
        <v>0</v>
      </c>
      <c r="EE43" s="143">
        <v>0</v>
      </c>
      <c r="EF43" s="143" cm="1">
        <f t="array" ref="EF43">IFERROR(INDEX('[1]Sales per type juli'!$D$10:$BA$51,MATCH($C43,'[1]Sales per type juli'!$B$10:$B$51,0),MATCH("X Fold5",'[1]Sales per type juli'!$D$8:$BA$8,0)+1),0)</f>
        <v>0</v>
      </c>
      <c r="EG43" s="143">
        <f t="shared" si="43"/>
        <v>0</v>
      </c>
      <c r="EH43" s="143">
        <v>0</v>
      </c>
      <c r="EI43" s="143">
        <f>IFERROR(INDEX('[1]Sales per type juli'!$D$10:$BA$51,MATCH($C43,'[1]Sales per type juli'!$B$10:$B$51,0),MATCH("IQOO 15 Demo",'[1]Sales per type juli'!$D$8:$BA$8,0)),0)</f>
        <v>0</v>
      </c>
      <c r="EJ43" s="143">
        <f t="shared" si="44"/>
        <v>0</v>
      </c>
      <c r="EK43" s="143">
        <v>0</v>
      </c>
      <c r="EL43" s="143" cm="1">
        <f t="array" ref="EL43">IFERROR(INDEX('[1]Sales per type juli'!$D$10:$BA$51,MATCH($C43,'[1]Sales per type juli'!$B$10:$B$51,0),MATCH("IQOO 15 Demo",'[1]Sales per type juli'!$D$8:$BA$8,0)+1),0)</f>
        <v>0</v>
      </c>
      <c r="EM43" s="143">
        <f t="shared" si="45"/>
        <v>0</v>
      </c>
      <c r="EN43" s="143">
        <v>0</v>
      </c>
      <c r="EO43" s="143">
        <f>IFERROR(INDEX('[1]Sales per type juli'!$D$10:$BA$51,MATCH($C43,'[1]Sales per type juli'!$B$10:$B$51,0),MATCH("X300 PRO",'[1]Sales per type juli'!$D$8:$BA$8,0)),0)</f>
        <v>0</v>
      </c>
      <c r="EP43" s="143">
        <f t="shared" si="46"/>
        <v>0</v>
      </c>
      <c r="EQ43" s="143">
        <v>0</v>
      </c>
      <c r="ER43" s="143" cm="1">
        <f t="array" ref="ER43">IFERROR(INDEX('[1]Sales per type juli'!$D$10:$BA$51,MATCH($C43,'[1]Sales per type juli'!$B$10:$B$51,0),MATCH("X300 PRO",'[1]Sales per type juli'!$D$8:$BA$8,0)+1),0)</f>
        <v>0</v>
      </c>
      <c r="ES43" s="143">
        <f t="shared" si="47"/>
        <v>0</v>
      </c>
      <c r="ET43" s="143">
        <v>0</v>
      </c>
      <c r="EU43" s="143">
        <f>IFERROR(INDEX('[1]Sales per type juli'!$D$10:$BA$51,MATCH($C43,'[1]Sales per type juli'!$B$10:$B$51,0),MATCH("X300 ",'[1]Sales per type juli'!$D$8:$BA$8,0)),0)</f>
        <v>0</v>
      </c>
      <c r="EV43" s="143">
        <f t="shared" si="48"/>
        <v>0</v>
      </c>
      <c r="EW43" s="143">
        <v>0</v>
      </c>
      <c r="EX43" s="143" cm="1">
        <f t="array" ref="EX43">IFERROR(INDEX('[1]Sales per type juli'!$D$10:$BA$51,MATCH($C43,'[1]Sales per type juli'!$B$10:$B$51,0),MATCH("X300 ",'[1]Sales per type juli'!$D$8:$BA$8,0)+1),0)</f>
        <v>0</v>
      </c>
      <c r="EY43" s="143">
        <f t="shared" si="49"/>
        <v>0</v>
      </c>
      <c r="EZ43" s="143">
        <f t="shared" si="50"/>
        <v>6</v>
      </c>
      <c r="FA43" s="143">
        <f t="shared" si="50"/>
        <v>4</v>
      </c>
      <c r="FB43" s="143">
        <f t="shared" si="51"/>
        <v>2</v>
      </c>
      <c r="FC43" s="143">
        <f t="shared" si="52"/>
        <v>27794000</v>
      </c>
      <c r="FD43" s="143">
        <f t="shared" si="52"/>
        <v>13496000</v>
      </c>
      <c r="FE43" s="143">
        <f t="shared" si="53"/>
        <v>14298000</v>
      </c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</row>
    <row r="44" spans="1:208" ht="16" x14ac:dyDescent="0.2">
      <c r="A44" s="144">
        <f>'[1]ACHIEVEMENT STORE'!A44</f>
        <v>40</v>
      </c>
      <c r="B44" s="145" t="str">
        <f>'[1]ACHIEVEMENT STORE'!B44</f>
        <v>中爪哇西 - Purwokerto</v>
      </c>
      <c r="C44" s="144">
        <f>'[1]ACHIEVEMENT STORE'!C44</f>
        <v>6130702</v>
      </c>
      <c r="D44" s="145" t="str">
        <f>'[1]ACHIEVEMENT STORE'!D44</f>
        <v>6130702-RITA SUPERMALL SF36-37</v>
      </c>
      <c r="E44" s="145" t="str">
        <f>'[1]ACHIEVEMENT STORE'!E44</f>
        <v>FRISKA FAJAR</v>
      </c>
      <c r="F44" s="143">
        <f>IFERROR(INDEX('[1]SALES PERTYPE'!$D$10:$D$52,MATCH($C44,'[1]SALES PERTYPE'!$B$10:$B$52,0)),0)</f>
        <v>3</v>
      </c>
      <c r="G44" s="143">
        <f>IFERROR(INDEX('[1]Sales per type juli'!$D$10:$BA$51,MATCH($C44,'[1]Sales per type juli'!$B$10:$B$51,0),MATCH("Y05",'[1]Sales per type juli'!$D$8:$BA$8,0)),0)</f>
        <v>6</v>
      </c>
      <c r="H44" s="143">
        <f t="shared" si="0"/>
        <v>-3</v>
      </c>
      <c r="I44" s="143">
        <f>IFERROR(INDEX('[1]SALES PERTYPE'!$E$10:$E$52,MATCH($C44,'[1]SALES PERTYPE'!$B$10:$B$52,0)),0)</f>
        <v>7197000</v>
      </c>
      <c r="J44" s="143" cm="1">
        <f t="array" ref="J44">IFERROR(INDEX('[1]Sales per type juli'!$D$10:$BA$51,MATCH($C44,'[1]Sales per type juli'!$B$10:$B$51,0),MATCH("Y05",'[1]Sales per type juli'!$D$8:$BA$8,0)+1),0)</f>
        <v>13194000</v>
      </c>
      <c r="K44" s="143">
        <f t="shared" si="1"/>
        <v>-5997000</v>
      </c>
      <c r="L44" s="143">
        <f>IFERROR(INDEX('[1]SALES PERTYPE'!$F$10:$F$52,MATCH($C44,'[1]SALES PERTYPE'!$B$10:$B$52,0)),0)</f>
        <v>13</v>
      </c>
      <c r="M44" s="143">
        <f>IFERROR(INDEX('[1]Sales per type juli'!$D$10:$BA$51,MATCH($C44,'[1]Sales per type juli'!$B$10:$B$51,0),MATCH("Y11d",'[1]Sales per type juli'!$D$8:$BA$8,0)),0)</f>
        <v>6</v>
      </c>
      <c r="N44" s="143">
        <f t="shared" si="2"/>
        <v>7</v>
      </c>
      <c r="O44" s="143">
        <f>IFERROR(INDEX('[1]SALES PERTYPE'!$G$10:$G$52,MATCH($C44,'[1]SALES PERTYPE'!$B$10:$B$52,0)),0)</f>
        <v>33987000</v>
      </c>
      <c r="P44" s="143" cm="1">
        <f t="array" ref="P44">IFERROR(INDEX('[1]Sales per type juli'!$D$10:$BA$51,MATCH($C44,'[1]Sales per type juli'!$B$10:$B$51,0),MATCH("Y11d",'[1]Sales per type juli'!$D$8:$BA$8,0)+1),0)</f>
        <v>16394000</v>
      </c>
      <c r="Q44" s="143">
        <f t="shared" si="3"/>
        <v>17593000</v>
      </c>
      <c r="R44" s="143">
        <f>IFERROR(INDEX('[1]SALES PERTYPE'!$H$10:$H$52,MATCH($C44,'[1]SALES PERTYPE'!$B$10:$B$52,0)),0)</f>
        <v>0</v>
      </c>
      <c r="S44" s="143">
        <f>IFERROR(INDEX('[1]Sales per type juli'!$D$10:$BA$51,MATCH($C44,'[1]Sales per type juli'!$B$10:$B$51,0),MATCH("Watch GT 2",'[1]Sales per type juli'!$D$8:$BA$8,0)),0)</f>
        <v>0</v>
      </c>
      <c r="T44" s="143">
        <f t="shared" si="4"/>
        <v>0</v>
      </c>
      <c r="U44" s="143">
        <f>IFERROR(INDEX('[1]SALES PERTYPE'!$I$10:$I$52,MATCH($C44,'[1]SALES PERTYPE'!$B$10:$B$52,0)),0)</f>
        <v>0</v>
      </c>
      <c r="V44" s="143" cm="1">
        <f t="array" ref="V44">IFERROR(INDEX('[1]Sales per type juli'!$D$10:$BA$51,MATCH($C44,'[1]Sales per type juli'!$B$10:$B$51,0),MATCH("Watch GT 2",'[1]Sales per type juli'!$D$8:$BA$8,0)+1),0)</f>
        <v>0</v>
      </c>
      <c r="W44" s="143">
        <f t="shared" si="5"/>
        <v>0</v>
      </c>
      <c r="X44" s="143">
        <f>IFERROR(INDEX('[1]SALES PERTYPE'!$J$10:$J$52,MATCH($C44,'[1]SALES PERTYPE'!$B$10:$B$52,0)),0)</f>
        <v>4</v>
      </c>
      <c r="Y44" s="143">
        <f>IFERROR(INDEX('[1]Sales per type juli'!$D$10:$BA$51,MATCH($C44,'[1]Sales per type juli'!$B$10:$B$51,0),MATCH("Y05e",'[1]Sales per type juli'!$D$8:$BA$8,0)),0)</f>
        <v>0</v>
      </c>
      <c r="Z44" s="143">
        <f t="shared" si="6"/>
        <v>4</v>
      </c>
      <c r="AA44" s="143">
        <f>IFERROR(INDEX('[1]SALES PERTYPE'!$K$10:$K$52,MATCH($C44,'[1]SALES PERTYPE'!$B$10:$B$52,0)),0)</f>
        <v>8396000</v>
      </c>
      <c r="AB44" s="143" cm="1">
        <f t="array" ref="AB44">IFERROR(INDEX('[1]Sales per type juli'!$D$10:$BA$51,MATCH($C44,'[1]Sales per type juli'!$B$10:$B$51,0),MATCH("Y05e",'[1]Sales per type juli'!$D$8:$BA$8,0)+1),0)</f>
        <v>0</v>
      </c>
      <c r="AC44" s="143">
        <f t="shared" si="7"/>
        <v>8396000</v>
      </c>
      <c r="AD44" s="143">
        <f>IFERROR(INDEX('[1]SALES PERTYPE'!$L$10:$L$52,MATCH($C44,'[1]SALES PERTYPE'!$B$10:$B$52,0)),0)</f>
        <v>4</v>
      </c>
      <c r="AE44" s="143">
        <f>IFERROR(INDEX('[1]Sales per type juli'!$D$10:$BA$51,MATCH($C44,'[1]Sales per type juli'!$B$10:$B$51,0),MATCH("V70",'[1]Sales per type juli'!$D$8:$BA$8,0)),0)</f>
        <v>2</v>
      </c>
      <c r="AF44" s="143">
        <f t="shared" si="8"/>
        <v>2</v>
      </c>
      <c r="AG44" s="143">
        <f>IFERROR(INDEX('[1]SALES PERTYPE'!$M$10:$M$52,MATCH($C44,'[1]SALES PERTYPE'!$B$10:$B$52,0)),0)</f>
        <v>38996000</v>
      </c>
      <c r="AH44" s="143" cm="1">
        <f t="array" ref="AH44">IFERROR(INDEX('[1]Sales per type juli'!$D$10:$BA$51,MATCH($C44,'[1]Sales per type juli'!$B$10:$B$51,0),MATCH("V70",'[1]Sales per type juli'!$D$8:$BA$8,0)+1),0)</f>
        <v>17998000</v>
      </c>
      <c r="AI44" s="143">
        <f t="shared" si="9"/>
        <v>20998000</v>
      </c>
      <c r="AJ44" s="143">
        <f>IFERROR(INDEX('[1]SALES PERTYPE'!$N$10:$N$52,MATCH($C44,'[1]SALES PERTYPE'!$B$10:$B$52,0)),0)</f>
        <v>8</v>
      </c>
      <c r="AK44" s="143">
        <f>IFERROR(INDEX('[1]Sales per type juli'!$D$10:$BA$51,MATCH($C44,'[1]Sales per type juli'!$B$10:$B$51,0),MATCH("Y31d Pro",'[1]Sales per type juli'!$D$8:$BA$8,0)),0)</f>
        <v>1</v>
      </c>
      <c r="AL44" s="143">
        <f t="shared" si="10"/>
        <v>7</v>
      </c>
      <c r="AM44" s="143">
        <f>IFERROR(INDEX('[1]SALES PERTYPE'!$O$10:$O$52,MATCH($C44,'[1]SALES PERTYPE'!$B$10:$B$52,0)),0)</f>
        <v>34792000</v>
      </c>
      <c r="AN44" s="143" cm="1">
        <f t="array" ref="AN44">IFERROR(INDEX('[1]Sales per type juli'!$D$10:$BA$51,MATCH($C44,'[1]Sales per type juli'!$B$10:$B$51,0),MATCH("Y31d Pro",'[1]Sales per type juli'!$D$8:$BA$8,0)+1),0)</f>
        <v>5499000</v>
      </c>
      <c r="AO44" s="143">
        <f t="shared" si="11"/>
        <v>29293000</v>
      </c>
      <c r="AP44" s="143">
        <f>IFERROR(INDEX('[1]SALES PERTYPE'!$P$10:$P$52,MATCH($C44,'[1]SALES PERTYPE'!$B$10:$B$52,0)),0)</f>
        <v>0</v>
      </c>
      <c r="AQ44" s="143" cm="1">
        <f t="array" ref="AQ44">IFERROR(INDEX('[1]Sales per type juli'!$D$10:$BA$51,MATCH($C44,'[1]Sales per type juli'!$B$10:$B$51,0),$FG$2),0)</f>
        <v>0</v>
      </c>
      <c r="AR44" s="143">
        <f t="shared" si="12"/>
        <v>0</v>
      </c>
      <c r="AS44" s="143">
        <f>IFERROR(INDEX('[1]SALES PERTYPE'!$Q$10:$Q$52,MATCH($C44,'[1]SALES PERTYPE'!$B$10:$B$52,0)),0)</f>
        <v>0</v>
      </c>
      <c r="AT44" s="143" cm="1">
        <f t="array" ref="AT44">IFERROR(INDEX('[1]Sales per type juli'!$D$10:$BA$51,MATCH($C44,'[1]Sales per type juli'!$B$10:$B$51,0),$FG$2+1),0)</f>
        <v>0</v>
      </c>
      <c r="AU44" s="143">
        <f t="shared" si="13"/>
        <v>0</v>
      </c>
      <c r="AV44" s="143">
        <f>IFERROR(INDEX('[1]SALES PERTYPE'!$R$10:$R$52,MATCH($C44,'[1]SALES PERTYPE'!$B$10:$B$52,0)),0)</f>
        <v>0</v>
      </c>
      <c r="AW44" s="143">
        <f>IFERROR(INDEX('[1]Sales per type juli'!$D$10:$BA$51,MATCH($C44,'[1]Sales per type juli'!$B$10:$B$51,0),MATCH("Y31d ",'[1]Sales per type juli'!$D$8:$BA$8,0)),0)</f>
        <v>1</v>
      </c>
      <c r="AX44" s="143">
        <f t="shared" si="14"/>
        <v>-1</v>
      </c>
      <c r="AY44" s="143">
        <f>IFERROR(INDEX('[1]SALES PERTYPE'!$S$10:$S$52,MATCH($C44,'[1]SALES PERTYPE'!$B$10:$B$52,0)),0)</f>
        <v>0</v>
      </c>
      <c r="AZ44" s="143" cm="1">
        <f t="array" ref="AZ44">IFERROR(INDEX('[1]Sales per type juli'!$D$10:$BA$51,MATCH($C44,'[1]Sales per type juli'!$B$10:$B$51,0),MATCH("Y31d ",'[1]Sales per type juli'!$D$8:$BA$8,0)+1),0)</f>
        <v>3599000</v>
      </c>
      <c r="BA44" s="143">
        <f t="shared" si="15"/>
        <v>-3599000</v>
      </c>
      <c r="BB44" s="143">
        <f>IFERROR(INDEX('[1]SALES PERTYPE'!$T$10:$T$52,MATCH($C44,'[1]SALES PERTYPE'!$B$10:$B$52,0)),0)</f>
        <v>2</v>
      </c>
      <c r="BC44" s="143">
        <f>IFERROR(INDEX('[1]Sales per type juli'!$D$10:$BA$51,MATCH($C44,'[1]Sales per type juli'!$B$10:$B$51,0),MATCH("V70 FE",'[1]Sales per type juli'!$D$8:$BA$8,0)),0)</f>
        <v>2</v>
      </c>
      <c r="BD44" s="143">
        <f t="shared" si="16"/>
        <v>0</v>
      </c>
      <c r="BE44" s="143">
        <f>IFERROR(INDEX('[1]SALES PERTYPE'!$U$10:$U$52,MATCH($C44,'[1]SALES PERTYPE'!$B$10:$B$52,0)),0)</f>
        <v>13998000</v>
      </c>
      <c r="BF44" s="143" cm="1">
        <f t="array" ref="BF44">IFERROR(INDEX('[1]Sales per type juli'!$D$10:$BA$51,MATCH($C44,'[1]Sales per type juli'!$B$10:$B$51,0),MATCH("V70 FE",'[1]Sales per type juli'!$D$8:$BA$8,0)+1),0)</f>
        <v>12998000</v>
      </c>
      <c r="BG44" s="143">
        <f t="shared" si="17"/>
        <v>1000000</v>
      </c>
      <c r="BH44" s="143">
        <f>IFERROR(INDEX('[1]SALES PERTYPE'!$V$10:$V$52,MATCH($C44,'[1]SALES PERTYPE'!$B$10:$B$52,0)),0)</f>
        <v>1</v>
      </c>
      <c r="BI44" s="143">
        <f>IFERROR(INDEX('[1]Sales per type juli'!$D$10:$BA$51,MATCH($C44,'[1]Sales per type juli'!$B$10:$B$51,0),MATCH("Y31d",'[1]Sales per type juli'!$D$8:$BA$8,0)),0)</f>
        <v>3</v>
      </c>
      <c r="BJ44" s="143">
        <f t="shared" si="18"/>
        <v>-2</v>
      </c>
      <c r="BK44" s="143">
        <f>IFERROR(INDEX('[1]SALES PERTYPE'!$W$10:$W$52,MATCH($C44,'[1]SALES PERTYPE'!$B$10:$B$52,0)),0)</f>
        <v>3599000</v>
      </c>
      <c r="BL44" s="143" cm="1">
        <f t="array" ref="BL44">IFERROR(INDEX('[1]Sales per type juli'!$D$10:$BA$51,MATCH($C44,'[1]Sales per type juli'!$B$10:$B$51,0),MATCH("Y31d",'[1]Sales per type juli'!$D$8:$BA$8,0)+1),0)</f>
        <v>10797000</v>
      </c>
      <c r="BM44" s="143">
        <f t="shared" si="19"/>
        <v>-7198000</v>
      </c>
      <c r="BN44" s="143">
        <f>IFERROR(INDEX('[1]SALES PERTYPE'!$X$10:$X$52,MATCH($C44,'[1]SALES PERTYPE'!$B$10:$B$52,0)),0)</f>
        <v>1</v>
      </c>
      <c r="BO44" s="143">
        <f>IFERROR(INDEX('[1]Sales per type juli'!$D$10:$BA$51,MATCH($C44,'[1]Sales per type juli'!$B$10:$B$51,0),MATCH("Y500",'[1]Sales per type juli'!$D$8:$BA$8,0)),0)</f>
        <v>3</v>
      </c>
      <c r="BP44" s="143">
        <f t="shared" si="20"/>
        <v>-2</v>
      </c>
      <c r="BQ44" s="143">
        <f>IFERROR(INDEX('[1]SALES PERTYPE'!$Y$10:$Y$52,MATCH($C44,'[1]SALES PERTYPE'!$B$10:$B$52,0)),0)</f>
        <v>6299000</v>
      </c>
      <c r="BR44" s="143" cm="1">
        <f t="array" ref="BR44">IFERROR(INDEX('[1]Sales per type juli'!$D$10:$BA$51,MATCH($C44,'[1]Sales per type juli'!$B$10:$B$51,0),MATCH("Y500",'[1]Sales per type juli'!$D$8:$BA$8,0)+1),0)</f>
        <v>18897000</v>
      </c>
      <c r="BS44" s="143">
        <f t="shared" si="21"/>
        <v>-12598000</v>
      </c>
      <c r="BT44" s="143">
        <f>IFERROR(INDEX('[1]SALES PERTYPE'!$Z$10:$Z$52,MATCH($C44,'[1]SALES PERTYPE'!$B$10:$B$52,0)),0)</f>
        <v>2</v>
      </c>
      <c r="BU44" s="143">
        <f>IFERROR(INDEX('[1]Sales per type juli'!$D$10:$BA$51,MATCH($C44,'[1]Sales per type juli'!$B$10:$B$51,0),MATCH("IQOO 15R",'[1]Sales per type juli'!$D$8:$BA$8,0)),0)</f>
        <v>2</v>
      </c>
      <c r="BV44" s="143">
        <f t="shared" si="22"/>
        <v>0</v>
      </c>
      <c r="BW44" s="143">
        <f>IFERROR(INDEX('[1]SALES PERTYPE'!$AA$10:$AA$52,MATCH($C44,'[1]SALES PERTYPE'!$B$10:$B$52,0)),0)</f>
        <v>23998000</v>
      </c>
      <c r="BX44" s="143" cm="1">
        <f t="array" ref="BX44">IFERROR(INDEX('[1]Sales per type juli'!$D$10:$BA$51,MATCH($C44,'[1]Sales per type juli'!$B$10:$B$51,0),MATCH("IQOO 15R",'[1]Sales per type juli'!$D$8:$BA$8,0)+1),0)</f>
        <v>21298000</v>
      </c>
      <c r="BY44" s="143">
        <f t="shared" si="23"/>
        <v>2700000</v>
      </c>
      <c r="BZ44" s="143">
        <f>IFERROR(INDEX('[1]SALES PERTYPE'!$AB$10:$AB$52,MATCH($C44,'[1]SALES PERTYPE'!$B$10:$B$52,0)),0)</f>
        <v>3</v>
      </c>
      <c r="CA44" s="143">
        <f>IFERROR(INDEX('[1]Sales per type juli'!$D$10:$BA$51,MATCH($C44,'[1]Sales per type juli'!$B$10:$B$51,0),MATCH("V60 Lite",'[1]Sales per type juli'!$D$8:$BA$8,0)),0)</f>
        <v>2</v>
      </c>
      <c r="CB44" s="143">
        <f t="shared" si="24"/>
        <v>1</v>
      </c>
      <c r="CC44" s="143">
        <f>IFERROR(INDEX('[1]SALES PERTYPE'!$AC$10:$AC$52,MATCH($C44,'[1]SALES PERTYPE'!$B$10:$B$52,0)),0)</f>
        <v>17697000</v>
      </c>
      <c r="CD44" s="143" cm="1">
        <f t="array" ref="CD44">IFERROR(INDEX('[1]Sales per type juli'!$D$10:$BA$51,MATCH($C44,'[1]Sales per type juli'!$B$10:$B$51,0),MATCH("V60 Lite",'[1]Sales per type juli'!$D$8:$BA$8,0)+1),0)</f>
        <v>10598000</v>
      </c>
      <c r="CE44" s="143">
        <f t="shared" si="25"/>
        <v>7099000</v>
      </c>
      <c r="CF44" s="143">
        <f>IFERROR(INDEX('[1]SALES PERTYPE'!$AD$10:$AD$52,MATCH($C44,'[1]SALES PERTYPE'!$B$10:$B$52,0)),0)</f>
        <v>0</v>
      </c>
      <c r="CG44" s="143">
        <f>IFERROR(INDEX('[1]Sales per type juli'!$D$10:$BA$51,MATCH($C44,'[1]Sales per type juli'!$B$10:$B$51,0),MATCH("X300 Ultra",'[1]Sales per type juli'!$D$8:$BA$8,0)),0)</f>
        <v>0</v>
      </c>
      <c r="CH44" s="143">
        <f t="shared" si="26"/>
        <v>0</v>
      </c>
      <c r="CI44" s="143">
        <f>IFERROR(INDEX('[1]SALES PERTYPE'!$AE$10:$AE$52,MATCH($C44,'[1]SALES PERTYPE'!$B$10:$B$52,0)),0)</f>
        <v>0</v>
      </c>
      <c r="CJ44" s="143" cm="1">
        <f t="array" ref="CJ44">IFERROR(INDEX('[1]Sales per type juli'!$D$10:$BA$51,MATCH($C44,'[1]Sales per type juli'!$B$10:$B$51,0),MATCH("X300 Ultra",'[1]Sales per type juli'!$D$8:$BA$8,0)+1),0)</f>
        <v>0</v>
      </c>
      <c r="CK44" s="143">
        <f t="shared" si="27"/>
        <v>0</v>
      </c>
      <c r="CL44" s="143">
        <f>IFERROR(INDEX('[1]SALES PERTYPE'!$AF$10:$AF$52,MATCH($C44,'[1]SALES PERTYPE'!$B$10:$B$52,0)),0)</f>
        <v>0</v>
      </c>
      <c r="CM44" s="143">
        <f>IFERROR(INDEX('[1]Sales per type juli'!$D$10:$BA$51,MATCH($C44,'[1]Sales per type juli'!$B$10:$B$51,0),MATCH("IQOO 15",'[1]Sales per type juli'!$D$8:$BA$8,0)),0)</f>
        <v>1</v>
      </c>
      <c r="CN44" s="143">
        <f t="shared" si="28"/>
        <v>-1</v>
      </c>
      <c r="CO44" s="143">
        <f>IFERROR(INDEX('[1]SALES PERTYPE'!$AG$10:$AG$52,MATCH($C44,'[1]SALES PERTYPE'!$B$10:$B$52,0)),0)</f>
        <v>0</v>
      </c>
      <c r="CP44" s="143" cm="1">
        <f t="array" ref="CP44">IFERROR(INDEX('[1]Sales per type juli'!$D$10:$BA$51,MATCH($C44,'[1]Sales per type juli'!$B$10:$B$51,0),MATCH("IQOO 15",'[1]Sales per type juli'!$D$8:$BA$8,0)+1),0)</f>
        <v>13999000</v>
      </c>
      <c r="CQ44" s="143">
        <f t="shared" si="29"/>
        <v>-13999000</v>
      </c>
      <c r="CR44" s="143">
        <f>IFERROR(INDEX('[1]SALES PERTYPE'!$AH$10:$AH$52,MATCH($C44,'[1]SALES PERTYPE'!$B$10:$B$52,0)),0)</f>
        <v>1</v>
      </c>
      <c r="CS44" s="143">
        <f>IFERROR(INDEX('[1]Sales per type juli'!$D$10:$BA$51,MATCH($C44,'[1]Sales per type juli'!$B$10:$B$51,0),MATCH("IQOO Z11x",'[1]Sales per type juli'!$D$8:$BA$8,0)),0)</f>
        <v>1</v>
      </c>
      <c r="CT44" s="143">
        <f t="shared" si="30"/>
        <v>0</v>
      </c>
      <c r="CU44" s="143">
        <f>IFERROR(INDEX('[1]SALES PERTYPE'!$AI$10:$AI$52,MATCH($C44,'[1]SALES PERTYPE'!$B$10:$B$52,0)),0)</f>
        <v>5699000</v>
      </c>
      <c r="CV44" s="143" cm="1">
        <f t="array" ref="CV44">IFERROR(INDEX('[1]Sales per type juli'!$D$10:$BA$51,MATCH($C44,'[1]Sales per type juli'!$B$10:$B$51,0),MATCH("IQOO Z11x",'[1]Sales per type juli'!$D$8:$BA$8,0)+1),0)</f>
        <v>4799000</v>
      </c>
      <c r="CW44" s="143">
        <f t="shared" si="31"/>
        <v>900000</v>
      </c>
      <c r="CX44" s="143">
        <f>IFERROR(INDEX('[1]SALES PERTYPE'!$AJ$10:$AJ$52,MATCH($C44,'[1]SALES PERTYPE'!$B$10:$B$52,0)),0)</f>
        <v>3</v>
      </c>
      <c r="CY44" s="143">
        <f>IFERROR(INDEX('[1]Sales per type juli'!$D$10:$BA$51,MATCH($C44,'[1]Sales per type juli'!$B$10:$B$51,0),MATCH("IQOO Z11",'[1]Sales per type juli'!$D$8:$BA$8,0)),0)</f>
        <v>7</v>
      </c>
      <c r="CZ44" s="143">
        <f t="shared" si="32"/>
        <v>-4</v>
      </c>
      <c r="DA44" s="143">
        <f>IFERROR(INDEX('[1]SALES PERTYPE'!$AK$10:$AK$52,MATCH($C44,'[1]SALES PERTYPE'!$B$10:$B$52,0)),0)</f>
        <v>21997000</v>
      </c>
      <c r="DB44" s="143" cm="1">
        <f t="array" ref="DB44">IFERROR(INDEX('[1]Sales per type juli'!$D$10:$BA$51,MATCH($C44,'[1]Sales per type juli'!$B$10:$B$51,0),MATCH("IQOO Z11",'[1]Sales per type juli'!$D$8:$BA$8,0)+1),0)</f>
        <v>43193000</v>
      </c>
      <c r="DC44" s="143">
        <f t="shared" si="33"/>
        <v>-21196000</v>
      </c>
      <c r="DD44" s="143">
        <v>0</v>
      </c>
      <c r="DE44" s="143">
        <f>IFERROR(INDEX('[1]Sales per type juli'!$D$10:$BA$51,MATCH($C44,'[1]Sales per type juli'!$B$10:$B$51,0),MATCH("WATCH 3",'[1]Sales per type juli'!$D$8:$BA$8,0)),0)</f>
        <v>1</v>
      </c>
      <c r="DF44" s="143">
        <f t="shared" si="34"/>
        <v>-1</v>
      </c>
      <c r="DG44" s="143">
        <v>0</v>
      </c>
      <c r="DH44" s="143" cm="1">
        <f t="array" ref="DH44">IFERROR(INDEX('[1]Sales per type juli'!$D$10:$BA$51,MATCH($C44,'[1]Sales per type juli'!$B$10:$B$51,0),MATCH("WATCH 3",'[1]Sales per type juli'!$D$8:$BA$8,0)+1),0)</f>
        <v>2999000</v>
      </c>
      <c r="DI44" s="143">
        <f t="shared" si="35"/>
        <v>-2999000</v>
      </c>
      <c r="DJ44" s="143">
        <v>0</v>
      </c>
      <c r="DK44" s="143">
        <f>IFERROR(INDEX('[1]Sales per type juli'!$D$10:$BA$51,MATCH($C44,'[1]Sales per type juli'!$B$10:$B$51,0),MATCH("X300 Demo",'[1]Sales per type juli'!$D$8:$BA$8,0)),0)</f>
        <v>0</v>
      </c>
      <c r="DL44" s="143">
        <f t="shared" si="36"/>
        <v>0</v>
      </c>
      <c r="DM44" s="143">
        <v>0</v>
      </c>
      <c r="DN44" s="143" cm="1">
        <f t="array" ref="DN44">IFERROR(INDEX('[1]Sales per type juli'!$D$10:$BA$51,MATCH($C44,'[1]Sales per type juli'!$B$10:$B$51,0),MATCH("X300 Demo",'[1]Sales per type juli'!$D$8:$BA$8,0)+1),0)</f>
        <v>0</v>
      </c>
      <c r="DO44" s="143">
        <f t="shared" si="37"/>
        <v>0</v>
      </c>
      <c r="DP44" s="143">
        <v>0</v>
      </c>
      <c r="DQ44" s="143">
        <f>IFERROR(INDEX('[1]Sales per type juli'!$D$10:$BA$51,MATCH($C44,'[1]Sales per type juli'!$B$10:$B$51,0),MATCH("X300 Pro Demo",'[1]Sales per type juli'!$D$8:$BA$8,0)),0)</f>
        <v>0</v>
      </c>
      <c r="DR44" s="143">
        <f t="shared" si="38"/>
        <v>0</v>
      </c>
      <c r="DS44" s="143">
        <v>0</v>
      </c>
      <c r="DT44" s="143" cm="1">
        <f t="array" ref="DT44">IFERROR(INDEX('[1]Sales per type juli'!$D$10:$BA$51,MATCH($C44,'[1]Sales per type juli'!$B$10:$B$51,0),MATCH("X300 Pro Demo",'[1]Sales per type juli'!$D$8:$BA$8,0)+1),0)</f>
        <v>0</v>
      </c>
      <c r="DU44" s="143">
        <f t="shared" si="39"/>
        <v>0</v>
      </c>
      <c r="DV44" s="143">
        <v>0</v>
      </c>
      <c r="DW44" s="143">
        <f>IFERROR(INDEX('[1]Sales per type juli'!$D$10:$BA$51,MATCH($C44,'[1]Sales per type juli'!$B$10:$B$51,0),MATCH("X Fold5 DEMO",'[1]Sales per type juli'!$D$8:$BA$8,0)),0)</f>
        <v>0</v>
      </c>
      <c r="DX44" s="143">
        <f t="shared" si="40"/>
        <v>0</v>
      </c>
      <c r="DY44" s="143">
        <v>0</v>
      </c>
      <c r="DZ44" s="143" cm="1">
        <f t="array" ref="DZ44">IFERROR(INDEX('[1]Sales per type juli'!$D$10:$BA$51,MATCH($C44,'[1]Sales per type juli'!$B$10:$B$51,0),MATCH("X Fold5 DEMO",'[1]Sales per type juli'!$D$8:$BA$8,0)+1),0)</f>
        <v>0</v>
      </c>
      <c r="EA44" s="143">
        <f t="shared" si="41"/>
        <v>0</v>
      </c>
      <c r="EB44" s="143">
        <v>0</v>
      </c>
      <c r="EC44" s="143">
        <f>IFERROR(INDEX('[1]Sales per type juli'!$D$10:$BA$51,MATCH($C44,'[1]Sales per type juli'!$B$10:$B$51,0),MATCH("X Fold5",'[1]Sales per type juli'!$D$8:$BA$8,0)),0)</f>
        <v>0</v>
      </c>
      <c r="ED44" s="143">
        <f t="shared" si="42"/>
        <v>0</v>
      </c>
      <c r="EE44" s="143">
        <v>0</v>
      </c>
      <c r="EF44" s="143" cm="1">
        <f t="array" ref="EF44">IFERROR(INDEX('[1]Sales per type juli'!$D$10:$BA$51,MATCH($C44,'[1]Sales per type juli'!$B$10:$B$51,0),MATCH("X Fold5",'[1]Sales per type juli'!$D$8:$BA$8,0)+1),0)</f>
        <v>0</v>
      </c>
      <c r="EG44" s="143">
        <f t="shared" si="43"/>
        <v>0</v>
      </c>
      <c r="EH44" s="143">
        <v>0</v>
      </c>
      <c r="EI44" s="143">
        <f>IFERROR(INDEX('[1]Sales per type juli'!$D$10:$BA$51,MATCH($C44,'[1]Sales per type juli'!$B$10:$B$51,0),MATCH("IQOO 15 Demo",'[1]Sales per type juli'!$D$8:$BA$8,0)),0)</f>
        <v>0</v>
      </c>
      <c r="EJ44" s="143">
        <f t="shared" si="44"/>
        <v>0</v>
      </c>
      <c r="EK44" s="143">
        <v>0</v>
      </c>
      <c r="EL44" s="143" cm="1">
        <f t="array" ref="EL44">IFERROR(INDEX('[1]Sales per type juli'!$D$10:$BA$51,MATCH($C44,'[1]Sales per type juli'!$B$10:$B$51,0),MATCH("IQOO 15 Demo",'[1]Sales per type juli'!$D$8:$BA$8,0)+1),0)</f>
        <v>0</v>
      </c>
      <c r="EM44" s="143">
        <f t="shared" si="45"/>
        <v>0</v>
      </c>
      <c r="EN44" s="143">
        <v>0</v>
      </c>
      <c r="EO44" s="143">
        <f>IFERROR(INDEX('[1]Sales per type juli'!$D$10:$BA$51,MATCH($C44,'[1]Sales per type juli'!$B$10:$B$51,0),MATCH("X300 PRO",'[1]Sales per type juli'!$D$8:$BA$8,0)),0)</f>
        <v>0</v>
      </c>
      <c r="EP44" s="143">
        <f t="shared" si="46"/>
        <v>0</v>
      </c>
      <c r="EQ44" s="143">
        <v>0</v>
      </c>
      <c r="ER44" s="143" cm="1">
        <f t="array" ref="ER44">IFERROR(INDEX('[1]Sales per type juli'!$D$10:$BA$51,MATCH($C44,'[1]Sales per type juli'!$B$10:$B$51,0),MATCH("X300 PRO",'[1]Sales per type juli'!$D$8:$BA$8,0)+1),0)</f>
        <v>0</v>
      </c>
      <c r="ES44" s="143">
        <f t="shared" si="47"/>
        <v>0</v>
      </c>
      <c r="ET44" s="143">
        <v>0</v>
      </c>
      <c r="EU44" s="143">
        <f>IFERROR(INDEX('[1]Sales per type juli'!$D$10:$BA$51,MATCH($C44,'[1]Sales per type juli'!$B$10:$B$51,0),MATCH("X300 ",'[1]Sales per type juli'!$D$8:$BA$8,0)),0)</f>
        <v>0</v>
      </c>
      <c r="EV44" s="143">
        <f t="shared" si="48"/>
        <v>0</v>
      </c>
      <c r="EW44" s="143">
        <v>0</v>
      </c>
      <c r="EX44" s="143" cm="1">
        <f t="array" ref="EX44">IFERROR(INDEX('[1]Sales per type juli'!$D$10:$BA$51,MATCH($C44,'[1]Sales per type juli'!$B$10:$B$51,0),MATCH("X300 ",'[1]Sales per type juli'!$D$8:$BA$8,0)+1),0)</f>
        <v>0</v>
      </c>
      <c r="EY44" s="143">
        <f t="shared" si="49"/>
        <v>0</v>
      </c>
      <c r="EZ44" s="143">
        <f t="shared" si="50"/>
        <v>45</v>
      </c>
      <c r="FA44" s="143">
        <f t="shared" si="50"/>
        <v>38</v>
      </c>
      <c r="FB44" s="143">
        <f t="shared" si="51"/>
        <v>7</v>
      </c>
      <c r="FC44" s="143">
        <f t="shared" si="52"/>
        <v>216655000</v>
      </c>
      <c r="FD44" s="143">
        <f t="shared" si="52"/>
        <v>196262000</v>
      </c>
      <c r="FE44" s="143">
        <f t="shared" si="53"/>
        <v>20393000</v>
      </c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</row>
    <row r="45" spans="1:208" ht="16" x14ac:dyDescent="0.2">
      <c r="A45" s="141">
        <f>'[1]ACHIEVEMENT STORE'!A45</f>
        <v>41</v>
      </c>
      <c r="B45" s="142" t="str">
        <f>'[1]ACHIEVEMENT STORE'!B45</f>
        <v>614 三宝垄 Semarang</v>
      </c>
      <c r="C45" s="141">
        <f>'[1]ACHIEVEMENT STORE'!C45</f>
        <v>6100702</v>
      </c>
      <c r="D45" s="142" t="str">
        <f>'[1]ACHIEVEMENT STORE'!D45</f>
        <v>6100702-VS Jogja City Mall</v>
      </c>
      <c r="E45" s="142" t="str">
        <f>'[1]ACHIEVEMENT STORE'!E45</f>
        <v>BIRILYAN KUSWARA</v>
      </c>
      <c r="F45" s="143">
        <f>IFERROR(INDEX('[1]SALES PERTYPE'!$D$10:$D$52,MATCH($C45,'[1]SALES PERTYPE'!$B$10:$B$52,0)),0)</f>
        <v>0</v>
      </c>
      <c r="G45" s="143">
        <f>IFERROR(INDEX('[1]Sales per type juli'!$D$10:$BA$51,MATCH($C45,'[1]Sales per type juli'!$B$10:$B$51,0),MATCH("Y05",'[1]Sales per type juli'!$D$8:$BA$8,0)),0)</f>
        <v>3</v>
      </c>
      <c r="H45" s="143">
        <f t="shared" si="0"/>
        <v>-3</v>
      </c>
      <c r="I45" s="143">
        <f>IFERROR(INDEX('[1]SALES PERTYPE'!$E$10:$E$52,MATCH($C45,'[1]SALES PERTYPE'!$B$10:$B$52,0)),0)</f>
        <v>0</v>
      </c>
      <c r="J45" s="143" cm="1">
        <f t="array" ref="J45">IFERROR(INDEX('[1]Sales per type juli'!$D$10:$BA$51,MATCH($C45,'[1]Sales per type juli'!$B$10:$B$51,0),MATCH("Y05",'[1]Sales per type juli'!$D$8:$BA$8,0)+1),0)</f>
        <v>6897000</v>
      </c>
      <c r="K45" s="143">
        <f t="shared" si="1"/>
        <v>-6897000</v>
      </c>
      <c r="L45" s="143">
        <f>IFERROR(INDEX('[1]SALES PERTYPE'!$F$10:$F$52,MATCH($C45,'[1]SALES PERTYPE'!$B$10:$B$52,0)),0)</f>
        <v>4</v>
      </c>
      <c r="M45" s="143">
        <f>IFERROR(INDEX('[1]Sales per type juli'!$D$10:$BA$51,MATCH($C45,'[1]Sales per type juli'!$B$10:$B$51,0),MATCH("Y11d",'[1]Sales per type juli'!$D$8:$BA$8,0)),0)</f>
        <v>7</v>
      </c>
      <c r="N45" s="143">
        <f t="shared" si="2"/>
        <v>-3</v>
      </c>
      <c r="O45" s="143">
        <f>IFERROR(INDEX('[1]SALES PERTYPE'!$G$10:$G$52,MATCH($C45,'[1]SALES PERTYPE'!$B$10:$B$52,0)),0)</f>
        <v>9996000</v>
      </c>
      <c r="P45" s="143" cm="1">
        <f t="array" ref="P45">IFERROR(INDEX('[1]Sales per type juli'!$D$10:$BA$51,MATCH($C45,'[1]Sales per type juli'!$B$10:$B$51,0),MATCH("Y11d",'[1]Sales per type juli'!$D$8:$BA$8,0)+1),0)</f>
        <v>17193000</v>
      </c>
      <c r="Q45" s="143">
        <f t="shared" si="3"/>
        <v>-7197000</v>
      </c>
      <c r="R45" s="143">
        <f>IFERROR(INDEX('[1]SALES PERTYPE'!$H$10:$H$52,MATCH($C45,'[1]SALES PERTYPE'!$B$10:$B$52,0)),0)</f>
        <v>1</v>
      </c>
      <c r="S45" s="143">
        <f>IFERROR(INDEX('[1]Sales per type juli'!$D$10:$BA$51,MATCH($C45,'[1]Sales per type juli'!$B$10:$B$51,0),MATCH("Watch GT 2",'[1]Sales per type juli'!$D$8:$BA$8,0)),0)</f>
        <v>1</v>
      </c>
      <c r="T45" s="143">
        <f t="shared" si="4"/>
        <v>0</v>
      </c>
      <c r="U45" s="143">
        <f>IFERROR(INDEX('[1]SALES PERTYPE'!$I$10:$I$52,MATCH($C45,'[1]SALES PERTYPE'!$B$10:$B$52,0)),0)</f>
        <v>1799000</v>
      </c>
      <c r="V45" s="143" cm="1">
        <f t="array" ref="V45">IFERROR(INDEX('[1]Sales per type juli'!$D$10:$BA$51,MATCH($C45,'[1]Sales per type juli'!$B$10:$B$51,0),MATCH("Watch GT 2",'[1]Sales per type juli'!$D$8:$BA$8,0)+1),0)</f>
        <v>1799000</v>
      </c>
      <c r="W45" s="143">
        <f t="shared" si="5"/>
        <v>0</v>
      </c>
      <c r="X45" s="143">
        <f>IFERROR(INDEX('[1]SALES PERTYPE'!$J$10:$J$52,MATCH($C45,'[1]SALES PERTYPE'!$B$10:$B$52,0)),0)</f>
        <v>2</v>
      </c>
      <c r="Y45" s="143">
        <f>IFERROR(INDEX('[1]Sales per type juli'!$D$10:$BA$51,MATCH($C45,'[1]Sales per type juli'!$B$10:$B$51,0),MATCH("Y05e",'[1]Sales per type juli'!$D$8:$BA$8,0)),0)</f>
        <v>0</v>
      </c>
      <c r="Z45" s="143">
        <f t="shared" si="6"/>
        <v>2</v>
      </c>
      <c r="AA45" s="143">
        <f>IFERROR(INDEX('[1]SALES PERTYPE'!$K$10:$K$52,MATCH($C45,'[1]SALES PERTYPE'!$B$10:$B$52,0)),0)</f>
        <v>4198000</v>
      </c>
      <c r="AB45" s="143" cm="1">
        <f t="array" ref="AB45">IFERROR(INDEX('[1]Sales per type juli'!$D$10:$BA$51,MATCH($C45,'[1]Sales per type juli'!$B$10:$B$51,0),MATCH("Y05e",'[1]Sales per type juli'!$D$8:$BA$8,0)+1),0)</f>
        <v>0</v>
      </c>
      <c r="AC45" s="143">
        <f t="shared" si="7"/>
        <v>4198000</v>
      </c>
      <c r="AD45" s="143">
        <f>IFERROR(INDEX('[1]SALES PERTYPE'!$L$10:$L$52,MATCH($C45,'[1]SALES PERTYPE'!$B$10:$B$52,0)),0)</f>
        <v>1</v>
      </c>
      <c r="AE45" s="143">
        <f>IFERROR(INDEX('[1]Sales per type juli'!$D$10:$BA$51,MATCH($C45,'[1]Sales per type juli'!$B$10:$B$51,0),MATCH("V70",'[1]Sales per type juli'!$D$8:$BA$8,0)),0)</f>
        <v>4</v>
      </c>
      <c r="AF45" s="143">
        <f t="shared" si="8"/>
        <v>-3</v>
      </c>
      <c r="AG45" s="143">
        <f>IFERROR(INDEX('[1]SALES PERTYPE'!$M$10:$M$52,MATCH($C45,'[1]SALES PERTYPE'!$B$10:$B$52,0)),0)</f>
        <v>9999000</v>
      </c>
      <c r="AH45" s="143" cm="1">
        <f t="array" ref="AH45">IFERROR(INDEX('[1]Sales per type juli'!$D$10:$BA$51,MATCH($C45,'[1]Sales per type juli'!$B$10:$B$51,0),MATCH("V70",'[1]Sales per type juli'!$D$8:$BA$8,0)+1),0)</f>
        <v>35996000</v>
      </c>
      <c r="AI45" s="143">
        <f t="shared" si="9"/>
        <v>-25997000</v>
      </c>
      <c r="AJ45" s="143">
        <f>IFERROR(INDEX('[1]SALES PERTYPE'!$N$10:$N$52,MATCH($C45,'[1]SALES PERTYPE'!$B$10:$B$52,0)),0)</f>
        <v>5</v>
      </c>
      <c r="AK45" s="143">
        <f>IFERROR(INDEX('[1]Sales per type juli'!$D$10:$BA$51,MATCH($C45,'[1]Sales per type juli'!$B$10:$B$51,0),MATCH("Y31d Pro",'[1]Sales per type juli'!$D$8:$BA$8,0)),0)</f>
        <v>3</v>
      </c>
      <c r="AL45" s="143">
        <f t="shared" si="10"/>
        <v>2</v>
      </c>
      <c r="AM45" s="143">
        <f>IFERROR(INDEX('[1]SALES PERTYPE'!$O$10:$O$52,MATCH($C45,'[1]SALES PERTYPE'!$B$10:$B$52,0)),0)</f>
        <v>21895000</v>
      </c>
      <c r="AN45" s="143" cm="1">
        <f t="array" ref="AN45">IFERROR(INDEX('[1]Sales per type juli'!$D$10:$BA$51,MATCH($C45,'[1]Sales per type juli'!$B$10:$B$51,0),MATCH("Y31d Pro",'[1]Sales per type juli'!$D$8:$BA$8,0)+1),0)</f>
        <v>13097000</v>
      </c>
      <c r="AO45" s="143">
        <f t="shared" si="11"/>
        <v>8798000</v>
      </c>
      <c r="AP45" s="143">
        <f>IFERROR(INDEX('[1]SALES PERTYPE'!$P$10:$P$52,MATCH($C45,'[1]SALES PERTYPE'!$B$10:$B$52,0)),0)</f>
        <v>0</v>
      </c>
      <c r="AQ45" s="143" cm="1">
        <f t="array" ref="AQ45">IFERROR(INDEX('[1]Sales per type juli'!$D$10:$BA$51,MATCH($C45,'[1]Sales per type juli'!$B$10:$B$51,0),$FG$2),0)</f>
        <v>0</v>
      </c>
      <c r="AR45" s="143">
        <f t="shared" si="12"/>
        <v>0</v>
      </c>
      <c r="AS45" s="143">
        <f>IFERROR(INDEX('[1]SALES PERTYPE'!$Q$10:$Q$52,MATCH($C45,'[1]SALES PERTYPE'!$B$10:$B$52,0)),0)</f>
        <v>0</v>
      </c>
      <c r="AT45" s="143" cm="1">
        <f t="array" ref="AT45">IFERROR(INDEX('[1]Sales per type juli'!$D$10:$BA$51,MATCH($C45,'[1]Sales per type juli'!$B$10:$B$51,0),$FG$2+1),0)</f>
        <v>0</v>
      </c>
      <c r="AU45" s="143">
        <f t="shared" si="13"/>
        <v>0</v>
      </c>
      <c r="AV45" s="143">
        <f>IFERROR(INDEX('[1]SALES PERTYPE'!$R$10:$R$52,MATCH($C45,'[1]SALES PERTYPE'!$B$10:$B$52,0)),0)</f>
        <v>1</v>
      </c>
      <c r="AW45" s="143">
        <f>IFERROR(INDEX('[1]Sales per type juli'!$D$10:$BA$51,MATCH($C45,'[1]Sales per type juli'!$B$10:$B$51,0),MATCH("Y31d ",'[1]Sales per type juli'!$D$8:$BA$8,0)),0)</f>
        <v>0</v>
      </c>
      <c r="AX45" s="143">
        <f t="shared" si="14"/>
        <v>1</v>
      </c>
      <c r="AY45" s="143">
        <f>IFERROR(INDEX('[1]SALES PERTYPE'!$S$10:$S$52,MATCH($C45,'[1]SALES PERTYPE'!$B$10:$B$52,0)),0)</f>
        <v>3599000</v>
      </c>
      <c r="AZ45" s="143" cm="1">
        <f t="array" ref="AZ45">IFERROR(INDEX('[1]Sales per type juli'!$D$10:$BA$51,MATCH($C45,'[1]Sales per type juli'!$B$10:$B$51,0),MATCH("Y31d ",'[1]Sales per type juli'!$D$8:$BA$8,0)+1),0)</f>
        <v>0</v>
      </c>
      <c r="BA45" s="143">
        <f t="shared" si="15"/>
        <v>3599000</v>
      </c>
      <c r="BB45" s="143">
        <f>IFERROR(INDEX('[1]SALES PERTYPE'!$T$10:$T$52,MATCH($C45,'[1]SALES PERTYPE'!$B$10:$B$52,0)),0)</f>
        <v>0</v>
      </c>
      <c r="BC45" s="143">
        <f>IFERROR(INDEX('[1]Sales per type juli'!$D$10:$BA$51,MATCH($C45,'[1]Sales per type juli'!$B$10:$B$51,0),MATCH("V70 FE",'[1]Sales per type juli'!$D$8:$BA$8,0)),0)</f>
        <v>4</v>
      </c>
      <c r="BD45" s="143">
        <f t="shared" si="16"/>
        <v>-4</v>
      </c>
      <c r="BE45" s="143">
        <f>IFERROR(INDEX('[1]SALES PERTYPE'!$U$10:$U$52,MATCH($C45,'[1]SALES PERTYPE'!$B$10:$B$52,0)),0)</f>
        <v>0</v>
      </c>
      <c r="BF45" s="143" cm="1">
        <f t="array" ref="BF45">IFERROR(INDEX('[1]Sales per type juli'!$D$10:$BA$51,MATCH($C45,'[1]Sales per type juli'!$B$10:$B$51,0),MATCH("V70 FE",'[1]Sales per type juli'!$D$8:$BA$8,0)+1),0)</f>
        <v>25996000</v>
      </c>
      <c r="BG45" s="143">
        <f t="shared" si="17"/>
        <v>-25996000</v>
      </c>
      <c r="BH45" s="143">
        <f>IFERROR(INDEX('[1]SALES PERTYPE'!$V$10:$V$52,MATCH($C45,'[1]SALES PERTYPE'!$B$10:$B$52,0)),0)</f>
        <v>3</v>
      </c>
      <c r="BI45" s="143">
        <f>IFERROR(INDEX('[1]Sales per type juli'!$D$10:$BA$51,MATCH($C45,'[1]Sales per type juli'!$B$10:$B$51,0),MATCH("Y31d",'[1]Sales per type juli'!$D$8:$BA$8,0)),0)</f>
        <v>3</v>
      </c>
      <c r="BJ45" s="143">
        <f t="shared" si="18"/>
        <v>0</v>
      </c>
      <c r="BK45" s="143">
        <f>IFERROR(INDEX('[1]SALES PERTYPE'!$W$10:$W$52,MATCH($C45,'[1]SALES PERTYPE'!$B$10:$B$52,0)),0)</f>
        <v>10797000</v>
      </c>
      <c r="BL45" s="143" cm="1">
        <f t="array" ref="BL45">IFERROR(INDEX('[1]Sales per type juli'!$D$10:$BA$51,MATCH($C45,'[1]Sales per type juli'!$B$10:$B$51,0),MATCH("Y31d",'[1]Sales per type juli'!$D$8:$BA$8,0)+1),0)</f>
        <v>10797000</v>
      </c>
      <c r="BM45" s="143">
        <f t="shared" si="19"/>
        <v>0</v>
      </c>
      <c r="BN45" s="143">
        <f>IFERROR(INDEX('[1]SALES PERTYPE'!$X$10:$X$52,MATCH($C45,'[1]SALES PERTYPE'!$B$10:$B$52,0)),0)</f>
        <v>0</v>
      </c>
      <c r="BO45" s="143">
        <f>IFERROR(INDEX('[1]Sales per type juli'!$D$10:$BA$51,MATCH($C45,'[1]Sales per type juli'!$B$10:$B$51,0),MATCH("Y500",'[1]Sales per type juli'!$D$8:$BA$8,0)),0)</f>
        <v>2</v>
      </c>
      <c r="BP45" s="143">
        <f t="shared" si="20"/>
        <v>-2</v>
      </c>
      <c r="BQ45" s="143">
        <f>IFERROR(INDEX('[1]SALES PERTYPE'!$Y$10:$Y$52,MATCH($C45,'[1]SALES PERTYPE'!$B$10:$B$52,0)),0)</f>
        <v>0</v>
      </c>
      <c r="BR45" s="143" cm="1">
        <f t="array" ref="BR45">IFERROR(INDEX('[1]Sales per type juli'!$D$10:$BA$51,MATCH($C45,'[1]Sales per type juli'!$B$10:$B$51,0),MATCH("Y500",'[1]Sales per type juli'!$D$8:$BA$8,0)+1),0)</f>
        <v>10998000</v>
      </c>
      <c r="BS45" s="143">
        <f t="shared" si="21"/>
        <v>-10998000</v>
      </c>
      <c r="BT45" s="143">
        <f>IFERROR(INDEX('[1]SALES PERTYPE'!$Z$10:$Z$52,MATCH($C45,'[1]SALES PERTYPE'!$B$10:$B$52,0)),0)</f>
        <v>1</v>
      </c>
      <c r="BU45" s="143">
        <f>IFERROR(INDEX('[1]Sales per type juli'!$D$10:$BA$51,MATCH($C45,'[1]Sales per type juli'!$B$10:$B$51,0),MATCH("IQOO 15R",'[1]Sales per type juli'!$D$8:$BA$8,0)),0)</f>
        <v>1</v>
      </c>
      <c r="BV45" s="143">
        <f t="shared" si="22"/>
        <v>0</v>
      </c>
      <c r="BW45" s="143">
        <f>IFERROR(INDEX('[1]SALES PERTYPE'!$AA$10:$AA$52,MATCH($C45,'[1]SALES PERTYPE'!$B$10:$B$52,0)),0)</f>
        <v>11999000</v>
      </c>
      <c r="BX45" s="143" cm="1">
        <f t="array" ref="BX45">IFERROR(INDEX('[1]Sales per type juli'!$D$10:$BA$51,MATCH($C45,'[1]Sales per type juli'!$B$10:$B$51,0),MATCH("IQOO 15R",'[1]Sales per type juli'!$D$8:$BA$8,0)+1),0)</f>
        <v>9899000</v>
      </c>
      <c r="BY45" s="143">
        <f t="shared" si="23"/>
        <v>2100000</v>
      </c>
      <c r="BZ45" s="143">
        <f>IFERROR(INDEX('[1]SALES PERTYPE'!$AB$10:$AB$52,MATCH($C45,'[1]SALES PERTYPE'!$B$10:$B$52,0)),0)</f>
        <v>2</v>
      </c>
      <c r="CA45" s="143">
        <f>IFERROR(INDEX('[1]Sales per type juli'!$D$10:$BA$51,MATCH($C45,'[1]Sales per type juli'!$B$10:$B$51,0),MATCH("V60 Lite",'[1]Sales per type juli'!$D$8:$BA$8,0)),0)</f>
        <v>2</v>
      </c>
      <c r="CB45" s="143">
        <f t="shared" si="24"/>
        <v>0</v>
      </c>
      <c r="CC45" s="143">
        <f>IFERROR(INDEX('[1]SALES PERTYPE'!$AC$10:$AC$52,MATCH($C45,'[1]SALES PERTYPE'!$B$10:$B$52,0)),0)</f>
        <v>11798000</v>
      </c>
      <c r="CD45" s="143" cm="1">
        <f t="array" ref="CD45">IFERROR(INDEX('[1]Sales per type juli'!$D$10:$BA$51,MATCH($C45,'[1]Sales per type juli'!$B$10:$B$51,0),MATCH("V60 Lite",'[1]Sales per type juli'!$D$8:$BA$8,0)+1),0)</f>
        <v>10598000</v>
      </c>
      <c r="CE45" s="143">
        <f t="shared" si="25"/>
        <v>1200000</v>
      </c>
      <c r="CF45" s="143">
        <f>IFERROR(INDEX('[1]SALES PERTYPE'!$AD$10:$AD$52,MATCH($C45,'[1]SALES PERTYPE'!$B$10:$B$52,0)),0)</f>
        <v>1</v>
      </c>
      <c r="CG45" s="143">
        <f>IFERROR(INDEX('[1]Sales per type juli'!$D$10:$BA$51,MATCH($C45,'[1]Sales per type juli'!$B$10:$B$51,0),MATCH("X300 Ultra",'[1]Sales per type juli'!$D$8:$BA$8,0)),0)</f>
        <v>2</v>
      </c>
      <c r="CH45" s="143">
        <f t="shared" si="26"/>
        <v>-1</v>
      </c>
      <c r="CI45" s="143">
        <f>IFERROR(INDEX('[1]SALES PERTYPE'!$AE$10:$AE$52,MATCH($C45,'[1]SALES PERTYPE'!$B$10:$B$52,0)),0)</f>
        <v>29999000</v>
      </c>
      <c r="CJ45" s="143" cm="1">
        <f t="array" ref="CJ45">IFERROR(INDEX('[1]Sales per type juli'!$D$10:$BA$51,MATCH($C45,'[1]Sales per type juli'!$B$10:$B$51,0),MATCH("X300 Ultra",'[1]Sales per type juli'!$D$8:$BA$8,0)+1),0)</f>
        <v>51998000</v>
      </c>
      <c r="CK45" s="143">
        <f t="shared" si="27"/>
        <v>-21999000</v>
      </c>
      <c r="CL45" s="143">
        <f>IFERROR(INDEX('[1]SALES PERTYPE'!$AF$10:$AF$52,MATCH($C45,'[1]SALES PERTYPE'!$B$10:$B$52,0)),0)</f>
        <v>0</v>
      </c>
      <c r="CM45" s="143">
        <f>IFERROR(INDEX('[1]Sales per type juli'!$D$10:$BA$51,MATCH($C45,'[1]Sales per type juli'!$B$10:$B$51,0),MATCH("IQOO 15",'[1]Sales per type juli'!$D$8:$BA$8,0)),0)</f>
        <v>0</v>
      </c>
      <c r="CN45" s="143">
        <f t="shared" si="28"/>
        <v>0</v>
      </c>
      <c r="CO45" s="143">
        <f>IFERROR(INDEX('[1]SALES PERTYPE'!$AG$10:$AG$52,MATCH($C45,'[1]SALES PERTYPE'!$B$10:$B$52,0)),0)</f>
        <v>0</v>
      </c>
      <c r="CP45" s="143" cm="1">
        <f t="array" ref="CP45">IFERROR(INDEX('[1]Sales per type juli'!$D$10:$BA$51,MATCH($C45,'[1]Sales per type juli'!$B$10:$B$51,0),MATCH("IQOO 15",'[1]Sales per type juli'!$D$8:$BA$8,0)+1),0)</f>
        <v>0</v>
      </c>
      <c r="CQ45" s="143">
        <f t="shared" si="29"/>
        <v>0</v>
      </c>
      <c r="CR45" s="143">
        <f>IFERROR(INDEX('[1]SALES PERTYPE'!$AH$10:$AH$52,MATCH($C45,'[1]SALES PERTYPE'!$B$10:$B$52,0)),0)</f>
        <v>0</v>
      </c>
      <c r="CS45" s="143">
        <f>IFERROR(INDEX('[1]Sales per type juli'!$D$10:$BA$51,MATCH($C45,'[1]Sales per type juli'!$B$10:$B$51,0),MATCH("IQOO Z11x",'[1]Sales per type juli'!$D$8:$BA$8,0)),0)</f>
        <v>2</v>
      </c>
      <c r="CT45" s="143">
        <f t="shared" si="30"/>
        <v>-2</v>
      </c>
      <c r="CU45" s="143">
        <f>IFERROR(INDEX('[1]SALES PERTYPE'!$AI$10:$AI$52,MATCH($C45,'[1]SALES PERTYPE'!$B$10:$B$52,0)),0)</f>
        <v>0</v>
      </c>
      <c r="CV45" s="143" cm="1">
        <f t="array" ref="CV45">IFERROR(INDEX('[1]Sales per type juli'!$D$10:$BA$51,MATCH($C45,'[1]Sales per type juli'!$B$10:$B$51,0),MATCH("IQOO Z11x",'[1]Sales per type juli'!$D$8:$BA$8,0)+1),0)</f>
        <v>9598000</v>
      </c>
      <c r="CW45" s="143">
        <f t="shared" si="31"/>
        <v>-9598000</v>
      </c>
      <c r="CX45" s="143">
        <f>IFERROR(INDEX('[1]SALES PERTYPE'!$AJ$10:$AJ$52,MATCH($C45,'[1]SALES PERTYPE'!$B$10:$B$52,0)),0)</f>
        <v>1</v>
      </c>
      <c r="CY45" s="143">
        <f>IFERROR(INDEX('[1]Sales per type juli'!$D$10:$BA$51,MATCH($C45,'[1]Sales per type juli'!$B$10:$B$51,0),MATCH("IQOO Z11",'[1]Sales per type juli'!$D$8:$BA$8,0)),0)</f>
        <v>3</v>
      </c>
      <c r="CZ45" s="143">
        <f t="shared" si="32"/>
        <v>-2</v>
      </c>
      <c r="DA45" s="143">
        <f>IFERROR(INDEX('[1]SALES PERTYPE'!$AK$10:$AK$52,MATCH($C45,'[1]SALES PERTYPE'!$B$10:$B$52,0)),0)</f>
        <v>6899000</v>
      </c>
      <c r="DB45" s="143" cm="1">
        <f t="array" ref="DB45">IFERROR(INDEX('[1]Sales per type juli'!$D$10:$BA$51,MATCH($C45,'[1]Sales per type juli'!$B$10:$B$51,0),MATCH("IQOO Z11",'[1]Sales per type juli'!$D$8:$BA$8,0)+1),0)</f>
        <v>17097000</v>
      </c>
      <c r="DC45" s="143">
        <f t="shared" si="33"/>
        <v>-10198000</v>
      </c>
      <c r="DD45" s="143">
        <v>0</v>
      </c>
      <c r="DE45" s="143">
        <f>IFERROR(INDEX('[1]Sales per type juli'!$D$10:$BA$51,MATCH($C45,'[1]Sales per type juli'!$B$10:$B$51,0),MATCH("WATCH 3",'[1]Sales per type juli'!$D$8:$BA$8,0)),0)</f>
        <v>0</v>
      </c>
      <c r="DF45" s="143">
        <f t="shared" si="34"/>
        <v>0</v>
      </c>
      <c r="DG45" s="143">
        <v>0</v>
      </c>
      <c r="DH45" s="143" cm="1">
        <f t="array" ref="DH45">IFERROR(INDEX('[1]Sales per type juli'!$D$10:$BA$51,MATCH($C45,'[1]Sales per type juli'!$B$10:$B$51,0),MATCH("WATCH 3",'[1]Sales per type juli'!$D$8:$BA$8,0)+1),0)</f>
        <v>0</v>
      </c>
      <c r="DI45" s="143">
        <f t="shared" si="35"/>
        <v>0</v>
      </c>
      <c r="DJ45" s="143">
        <v>0</v>
      </c>
      <c r="DK45" s="143">
        <f>IFERROR(INDEX('[1]Sales per type juli'!$D$10:$BA$51,MATCH($C45,'[1]Sales per type juli'!$B$10:$B$51,0),MATCH("X300 Demo",'[1]Sales per type juli'!$D$8:$BA$8,0)),0)</f>
        <v>1</v>
      </c>
      <c r="DL45" s="143">
        <f t="shared" si="36"/>
        <v>-1</v>
      </c>
      <c r="DM45" s="143">
        <v>0</v>
      </c>
      <c r="DN45" s="143" cm="1">
        <f t="array" ref="DN45">IFERROR(INDEX('[1]Sales per type juli'!$D$10:$BA$51,MATCH($C45,'[1]Sales per type juli'!$B$10:$B$51,0),MATCH("X300 Demo",'[1]Sales per type juli'!$D$8:$BA$8,0)+1),0)</f>
        <v>18999000</v>
      </c>
      <c r="DO45" s="143">
        <f t="shared" si="37"/>
        <v>-18999000</v>
      </c>
      <c r="DP45" s="143">
        <v>0</v>
      </c>
      <c r="DQ45" s="143">
        <f>IFERROR(INDEX('[1]Sales per type juli'!$D$10:$BA$51,MATCH($C45,'[1]Sales per type juli'!$B$10:$B$51,0),MATCH("X300 Pro Demo",'[1]Sales per type juli'!$D$8:$BA$8,0)),0)</f>
        <v>0</v>
      </c>
      <c r="DR45" s="143">
        <f t="shared" si="38"/>
        <v>0</v>
      </c>
      <c r="DS45" s="143">
        <v>0</v>
      </c>
      <c r="DT45" s="143" cm="1">
        <f t="array" ref="DT45">IFERROR(INDEX('[1]Sales per type juli'!$D$10:$BA$51,MATCH($C45,'[1]Sales per type juli'!$B$10:$B$51,0),MATCH("X300 Pro Demo",'[1]Sales per type juli'!$D$8:$BA$8,0)+1),0)</f>
        <v>0</v>
      </c>
      <c r="DU45" s="143">
        <f t="shared" si="39"/>
        <v>0</v>
      </c>
      <c r="DV45" s="143">
        <v>0</v>
      </c>
      <c r="DW45" s="143">
        <f>IFERROR(INDEX('[1]Sales per type juli'!$D$10:$BA$51,MATCH($C45,'[1]Sales per type juli'!$B$10:$B$51,0),MATCH("X Fold5 DEMO",'[1]Sales per type juli'!$D$8:$BA$8,0)),0)</f>
        <v>0</v>
      </c>
      <c r="DX45" s="143">
        <f t="shared" si="40"/>
        <v>0</v>
      </c>
      <c r="DY45" s="143">
        <v>0</v>
      </c>
      <c r="DZ45" s="143" cm="1">
        <f t="array" ref="DZ45">IFERROR(INDEX('[1]Sales per type juli'!$D$10:$BA$51,MATCH($C45,'[1]Sales per type juli'!$B$10:$B$51,0),MATCH("X Fold5 DEMO",'[1]Sales per type juli'!$D$8:$BA$8,0)+1),0)</f>
        <v>0</v>
      </c>
      <c r="EA45" s="143">
        <f t="shared" si="41"/>
        <v>0</v>
      </c>
      <c r="EB45" s="143">
        <v>0</v>
      </c>
      <c r="EC45" s="143">
        <f>IFERROR(INDEX('[1]Sales per type juli'!$D$10:$BA$51,MATCH($C45,'[1]Sales per type juli'!$B$10:$B$51,0),MATCH("X Fold5",'[1]Sales per type juli'!$D$8:$BA$8,0)),0)</f>
        <v>0</v>
      </c>
      <c r="ED45" s="143">
        <f t="shared" si="42"/>
        <v>0</v>
      </c>
      <c r="EE45" s="143">
        <v>0</v>
      </c>
      <c r="EF45" s="143" cm="1">
        <f t="array" ref="EF45">IFERROR(INDEX('[1]Sales per type juli'!$D$10:$BA$51,MATCH($C45,'[1]Sales per type juli'!$B$10:$B$51,0),MATCH("X Fold5",'[1]Sales per type juli'!$D$8:$BA$8,0)+1),0)</f>
        <v>0</v>
      </c>
      <c r="EG45" s="143">
        <f t="shared" si="43"/>
        <v>0</v>
      </c>
      <c r="EH45" s="143">
        <v>0</v>
      </c>
      <c r="EI45" s="143">
        <f>IFERROR(INDEX('[1]Sales per type juli'!$D$10:$BA$51,MATCH($C45,'[1]Sales per type juli'!$B$10:$B$51,0),MATCH("IQOO 15 Demo",'[1]Sales per type juli'!$D$8:$BA$8,0)),0)</f>
        <v>1</v>
      </c>
      <c r="EJ45" s="143">
        <f t="shared" si="44"/>
        <v>-1</v>
      </c>
      <c r="EK45" s="143">
        <v>0</v>
      </c>
      <c r="EL45" s="143" cm="1">
        <f t="array" ref="EL45">IFERROR(INDEX('[1]Sales per type juli'!$D$10:$BA$51,MATCH($C45,'[1]Sales per type juli'!$B$10:$B$51,0),MATCH("IQOO 15 Demo",'[1]Sales per type juli'!$D$8:$BA$8,0)+1),0)</f>
        <v>13999000</v>
      </c>
      <c r="EM45" s="143">
        <f t="shared" si="45"/>
        <v>-13999000</v>
      </c>
      <c r="EN45" s="143">
        <v>0</v>
      </c>
      <c r="EO45" s="143">
        <f>IFERROR(INDEX('[1]Sales per type juli'!$D$10:$BA$51,MATCH($C45,'[1]Sales per type juli'!$B$10:$B$51,0),MATCH("X300 PRO",'[1]Sales per type juli'!$D$8:$BA$8,0)),0)</f>
        <v>1</v>
      </c>
      <c r="EP45" s="143">
        <f t="shared" si="46"/>
        <v>-1</v>
      </c>
      <c r="EQ45" s="143">
        <v>0</v>
      </c>
      <c r="ER45" s="143" cm="1">
        <f t="array" ref="ER45">IFERROR(INDEX('[1]Sales per type juli'!$D$10:$BA$51,MATCH($C45,'[1]Sales per type juli'!$B$10:$B$51,0),MATCH("X300 PRO",'[1]Sales per type juli'!$D$8:$BA$8,0)+1),0)</f>
        <v>18999000</v>
      </c>
      <c r="ES45" s="143">
        <f t="shared" si="47"/>
        <v>-18999000</v>
      </c>
      <c r="ET45" s="143">
        <v>0</v>
      </c>
      <c r="EU45" s="143">
        <f>IFERROR(INDEX('[1]Sales per type juli'!$D$10:$BA$51,MATCH($C45,'[1]Sales per type juli'!$B$10:$B$51,0),MATCH("X300 ",'[1]Sales per type juli'!$D$8:$BA$8,0)),0)</f>
        <v>0</v>
      </c>
      <c r="EV45" s="143">
        <f t="shared" si="48"/>
        <v>0</v>
      </c>
      <c r="EW45" s="143">
        <v>0</v>
      </c>
      <c r="EX45" s="143" cm="1">
        <f t="array" ref="EX45">IFERROR(INDEX('[1]Sales per type juli'!$D$10:$BA$51,MATCH($C45,'[1]Sales per type juli'!$B$10:$B$51,0),MATCH("X300 ",'[1]Sales per type juli'!$D$8:$BA$8,0)+1),0)</f>
        <v>0</v>
      </c>
      <c r="EY45" s="143">
        <f t="shared" si="49"/>
        <v>0</v>
      </c>
      <c r="EZ45" s="143">
        <f t="shared" si="50"/>
        <v>22</v>
      </c>
      <c r="FA45" s="143">
        <f t="shared" si="50"/>
        <v>40</v>
      </c>
      <c r="FB45" s="143">
        <f t="shared" si="51"/>
        <v>-18</v>
      </c>
      <c r="FC45" s="143">
        <f t="shared" si="52"/>
        <v>122978000</v>
      </c>
      <c r="FD45" s="143">
        <f t="shared" si="52"/>
        <v>273960000</v>
      </c>
      <c r="FE45" s="143">
        <f t="shared" si="53"/>
        <v>-150982000</v>
      </c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</row>
    <row r="46" spans="1:208" ht="16" x14ac:dyDescent="0.2">
      <c r="A46" s="144">
        <f>'[1]ACHIEVEMENT STORE'!A46</f>
        <v>42</v>
      </c>
      <c r="B46" s="145" t="str">
        <f>'[1]ACHIEVEMENT STORE'!B46</f>
        <v>614 三宝垄 Semarang</v>
      </c>
      <c r="C46" s="144">
        <f>'[1]ACHIEVEMENT STORE'!C46</f>
        <v>6140706</v>
      </c>
      <c r="D46" s="145" t="str">
        <f>'[1]ACHIEVEMENT STORE'!D46</f>
        <v>6140706-23 SEMARANG MALL 1F065-66</v>
      </c>
      <c r="E46" s="145" t="str">
        <f>'[1]ACHIEVEMENT STORE'!E46</f>
        <v>VICKY DINDA INEZ</v>
      </c>
      <c r="F46" s="143">
        <f>IFERROR(INDEX('[1]SALES PERTYPE'!$D$10:$D$52,MATCH($C46,'[1]SALES PERTYPE'!$B$10:$B$52,0)),0)</f>
        <v>2</v>
      </c>
      <c r="G46" s="143">
        <f>IFERROR(INDEX('[1]Sales per type juli'!$D$10:$BA$51,MATCH($C46,'[1]Sales per type juli'!$B$10:$B$51,0),MATCH("Y05",'[1]Sales per type juli'!$D$8:$BA$8,0)),0)</f>
        <v>2</v>
      </c>
      <c r="H46" s="143">
        <f t="shared" si="0"/>
        <v>0</v>
      </c>
      <c r="I46" s="143">
        <f>IFERROR(INDEX('[1]SALES PERTYPE'!$E$10:$E$52,MATCH($C46,'[1]SALES PERTYPE'!$B$10:$B$52,0)),0)</f>
        <v>4898000</v>
      </c>
      <c r="J46" s="143" cm="1">
        <f t="array" ref="J46">IFERROR(INDEX('[1]Sales per type juli'!$D$10:$BA$51,MATCH($C46,'[1]Sales per type juli'!$B$10:$B$51,0),MATCH("Y05",'[1]Sales per type juli'!$D$8:$BA$8,0)+1),0)</f>
        <v>4498000</v>
      </c>
      <c r="K46" s="143">
        <f t="shared" si="1"/>
        <v>400000</v>
      </c>
      <c r="L46" s="143">
        <f>IFERROR(INDEX('[1]SALES PERTYPE'!$F$10:$F$52,MATCH($C46,'[1]SALES PERTYPE'!$B$10:$B$52,0)),0)</f>
        <v>4</v>
      </c>
      <c r="M46" s="143">
        <f>IFERROR(INDEX('[1]Sales per type juli'!$D$10:$BA$51,MATCH($C46,'[1]Sales per type juli'!$B$10:$B$51,0),MATCH("Y11d",'[1]Sales per type juli'!$D$8:$BA$8,0)),0)</f>
        <v>3</v>
      </c>
      <c r="N46" s="143">
        <f t="shared" si="2"/>
        <v>1</v>
      </c>
      <c r="O46" s="143">
        <f>IFERROR(INDEX('[1]SALES PERTYPE'!$G$10:$G$52,MATCH($C46,'[1]SALES PERTYPE'!$B$10:$B$52,0)),0)</f>
        <v>10796000</v>
      </c>
      <c r="P46" s="143" cm="1">
        <f t="array" ref="P46">IFERROR(INDEX('[1]Sales per type juli'!$D$10:$BA$51,MATCH($C46,'[1]Sales per type juli'!$B$10:$B$51,0),MATCH("Y11d",'[1]Sales per type juli'!$D$8:$BA$8,0)+1),0)</f>
        <v>8397000</v>
      </c>
      <c r="Q46" s="143">
        <f t="shared" si="3"/>
        <v>2399000</v>
      </c>
      <c r="R46" s="143">
        <f>IFERROR(INDEX('[1]SALES PERTYPE'!$H$10:$H$52,MATCH($C46,'[1]SALES PERTYPE'!$B$10:$B$52,0)),0)</f>
        <v>0</v>
      </c>
      <c r="S46" s="143">
        <f>IFERROR(INDEX('[1]Sales per type juli'!$D$10:$BA$51,MATCH($C46,'[1]Sales per type juli'!$B$10:$B$51,0),MATCH("Watch GT 2",'[1]Sales per type juli'!$D$8:$BA$8,0)),0)</f>
        <v>0</v>
      </c>
      <c r="T46" s="143">
        <f t="shared" si="4"/>
        <v>0</v>
      </c>
      <c r="U46" s="143">
        <f>IFERROR(INDEX('[1]SALES PERTYPE'!$I$10:$I$52,MATCH($C46,'[1]SALES PERTYPE'!$B$10:$B$52,0)),0)</f>
        <v>0</v>
      </c>
      <c r="V46" s="143" cm="1">
        <f t="array" ref="V46">IFERROR(INDEX('[1]Sales per type juli'!$D$10:$BA$51,MATCH($C46,'[1]Sales per type juli'!$B$10:$B$51,0),MATCH("Watch GT 2",'[1]Sales per type juli'!$D$8:$BA$8,0)+1),0)</f>
        <v>0</v>
      </c>
      <c r="W46" s="143">
        <f t="shared" si="5"/>
        <v>0</v>
      </c>
      <c r="X46" s="143">
        <f>IFERROR(INDEX('[1]SALES PERTYPE'!$J$10:$J$52,MATCH($C46,'[1]SALES PERTYPE'!$B$10:$B$52,0)),0)</f>
        <v>2</v>
      </c>
      <c r="Y46" s="143">
        <f>IFERROR(INDEX('[1]Sales per type juli'!$D$10:$BA$51,MATCH($C46,'[1]Sales per type juli'!$B$10:$B$51,0),MATCH("Y05e",'[1]Sales per type juli'!$D$8:$BA$8,0)),0)</f>
        <v>0</v>
      </c>
      <c r="Z46" s="143">
        <f t="shared" si="6"/>
        <v>2</v>
      </c>
      <c r="AA46" s="143">
        <f>IFERROR(INDEX('[1]SALES PERTYPE'!$K$10:$K$52,MATCH($C46,'[1]SALES PERTYPE'!$B$10:$B$52,0)),0)</f>
        <v>4198000</v>
      </c>
      <c r="AB46" s="143" cm="1">
        <f t="array" ref="AB46">IFERROR(INDEX('[1]Sales per type juli'!$D$10:$BA$51,MATCH($C46,'[1]Sales per type juli'!$B$10:$B$51,0),MATCH("Y05e",'[1]Sales per type juli'!$D$8:$BA$8,0)+1),0)</f>
        <v>0</v>
      </c>
      <c r="AC46" s="143">
        <f t="shared" si="7"/>
        <v>4198000</v>
      </c>
      <c r="AD46" s="143">
        <f>IFERROR(INDEX('[1]SALES PERTYPE'!$L$10:$L$52,MATCH($C46,'[1]SALES PERTYPE'!$B$10:$B$52,0)),0)</f>
        <v>2</v>
      </c>
      <c r="AE46" s="143">
        <f>IFERROR(INDEX('[1]Sales per type juli'!$D$10:$BA$51,MATCH($C46,'[1]Sales per type juli'!$B$10:$B$51,0),MATCH("V70",'[1]Sales per type juli'!$D$8:$BA$8,0)),0)</f>
        <v>5</v>
      </c>
      <c r="AF46" s="143">
        <f t="shared" si="8"/>
        <v>-3</v>
      </c>
      <c r="AG46" s="143">
        <f>IFERROR(INDEX('[1]SALES PERTYPE'!$M$10:$M$52,MATCH($C46,'[1]SALES PERTYPE'!$B$10:$B$52,0)),0)</f>
        <v>19998000</v>
      </c>
      <c r="AH46" s="143" cm="1">
        <f t="array" ref="AH46">IFERROR(INDEX('[1]Sales per type juli'!$D$10:$BA$51,MATCH($C46,'[1]Sales per type juli'!$B$10:$B$51,0),MATCH("V70",'[1]Sales per type juli'!$D$8:$BA$8,0)+1),0)</f>
        <v>46995000</v>
      </c>
      <c r="AI46" s="143">
        <f t="shared" si="9"/>
        <v>-26997000</v>
      </c>
      <c r="AJ46" s="143">
        <f>IFERROR(INDEX('[1]SALES PERTYPE'!$N$10:$N$52,MATCH($C46,'[1]SALES PERTYPE'!$B$10:$B$52,0)),0)</f>
        <v>1</v>
      </c>
      <c r="AK46" s="143">
        <f>IFERROR(INDEX('[1]Sales per type juli'!$D$10:$BA$51,MATCH($C46,'[1]Sales per type juli'!$B$10:$B$51,0),MATCH("Y31d Pro",'[1]Sales per type juli'!$D$8:$BA$8,0)),0)</f>
        <v>1</v>
      </c>
      <c r="AL46" s="143">
        <f t="shared" si="10"/>
        <v>0</v>
      </c>
      <c r="AM46" s="143">
        <f>IFERROR(INDEX('[1]SALES PERTYPE'!$O$10:$O$52,MATCH($C46,'[1]SALES PERTYPE'!$B$10:$B$52,0)),0)</f>
        <v>3899000</v>
      </c>
      <c r="AN46" s="143" cm="1">
        <f t="array" ref="AN46">IFERROR(INDEX('[1]Sales per type juli'!$D$10:$BA$51,MATCH($C46,'[1]Sales per type juli'!$B$10:$B$51,0),MATCH("Y31d Pro",'[1]Sales per type juli'!$D$8:$BA$8,0)+1),0)</f>
        <v>4299000</v>
      </c>
      <c r="AO46" s="143">
        <f t="shared" si="11"/>
        <v>-400000</v>
      </c>
      <c r="AP46" s="143">
        <f>IFERROR(INDEX('[1]SALES PERTYPE'!$P$10:$P$52,MATCH($C46,'[1]SALES PERTYPE'!$B$10:$B$52,0)),0)</f>
        <v>0</v>
      </c>
      <c r="AQ46" s="143" cm="1">
        <f t="array" ref="AQ46">IFERROR(INDEX('[1]Sales per type juli'!$D$10:$BA$51,MATCH($C46,'[1]Sales per type juli'!$B$10:$B$51,0),$FG$2),0)</f>
        <v>0</v>
      </c>
      <c r="AR46" s="143">
        <f t="shared" si="12"/>
        <v>0</v>
      </c>
      <c r="AS46" s="143">
        <f>IFERROR(INDEX('[1]SALES PERTYPE'!$Q$10:$Q$52,MATCH($C46,'[1]SALES PERTYPE'!$B$10:$B$52,0)),0)</f>
        <v>0</v>
      </c>
      <c r="AT46" s="143" cm="1">
        <f t="array" ref="AT46">IFERROR(INDEX('[1]Sales per type juli'!$D$10:$BA$51,MATCH($C46,'[1]Sales per type juli'!$B$10:$B$51,0),$FG$2+1),0)</f>
        <v>0</v>
      </c>
      <c r="AU46" s="143">
        <f t="shared" si="13"/>
        <v>0</v>
      </c>
      <c r="AV46" s="143">
        <f>IFERROR(INDEX('[1]SALES PERTYPE'!$R$10:$R$52,MATCH($C46,'[1]SALES PERTYPE'!$B$10:$B$52,0)),0)</f>
        <v>0</v>
      </c>
      <c r="AW46" s="143">
        <f>IFERROR(INDEX('[1]Sales per type juli'!$D$10:$BA$51,MATCH($C46,'[1]Sales per type juli'!$B$10:$B$51,0),MATCH("Y31d ",'[1]Sales per type juli'!$D$8:$BA$8,0)),0)</f>
        <v>0</v>
      </c>
      <c r="AX46" s="143">
        <f t="shared" si="14"/>
        <v>0</v>
      </c>
      <c r="AY46" s="143">
        <f>IFERROR(INDEX('[1]SALES PERTYPE'!$S$10:$S$52,MATCH($C46,'[1]SALES PERTYPE'!$B$10:$B$52,0)),0)</f>
        <v>0</v>
      </c>
      <c r="AZ46" s="143" cm="1">
        <f t="array" ref="AZ46">IFERROR(INDEX('[1]Sales per type juli'!$D$10:$BA$51,MATCH($C46,'[1]Sales per type juli'!$B$10:$B$51,0),MATCH("Y31d ",'[1]Sales per type juli'!$D$8:$BA$8,0)+1),0)</f>
        <v>0</v>
      </c>
      <c r="BA46" s="143">
        <f t="shared" si="15"/>
        <v>0</v>
      </c>
      <c r="BB46" s="143">
        <f>IFERROR(INDEX('[1]SALES PERTYPE'!$T$10:$T$52,MATCH($C46,'[1]SALES PERTYPE'!$B$10:$B$52,0)),0)</f>
        <v>1</v>
      </c>
      <c r="BC46" s="143">
        <f>IFERROR(INDEX('[1]Sales per type juli'!$D$10:$BA$51,MATCH($C46,'[1]Sales per type juli'!$B$10:$B$51,0),MATCH("V70 FE",'[1]Sales per type juli'!$D$8:$BA$8,0)),0)</f>
        <v>2</v>
      </c>
      <c r="BD46" s="143">
        <f t="shared" si="16"/>
        <v>-1</v>
      </c>
      <c r="BE46" s="143">
        <f>IFERROR(INDEX('[1]SALES PERTYPE'!$U$10:$U$52,MATCH($C46,'[1]SALES PERTYPE'!$B$10:$B$52,0)),0)</f>
        <v>6999000</v>
      </c>
      <c r="BF46" s="143" cm="1">
        <f t="array" ref="BF46">IFERROR(INDEX('[1]Sales per type juli'!$D$10:$BA$51,MATCH($C46,'[1]Sales per type juli'!$B$10:$B$51,0),MATCH("V70 FE",'[1]Sales per type juli'!$D$8:$BA$8,0)+1),0)</f>
        <v>13698000</v>
      </c>
      <c r="BG46" s="143">
        <f t="shared" si="17"/>
        <v>-6699000</v>
      </c>
      <c r="BH46" s="143">
        <f>IFERROR(INDEX('[1]SALES PERTYPE'!$V$10:$V$52,MATCH($C46,'[1]SALES PERTYPE'!$B$10:$B$52,0)),0)</f>
        <v>0</v>
      </c>
      <c r="BI46" s="143">
        <f>IFERROR(INDEX('[1]Sales per type juli'!$D$10:$BA$51,MATCH($C46,'[1]Sales per type juli'!$B$10:$B$51,0),MATCH("Y31d",'[1]Sales per type juli'!$D$8:$BA$8,0)),0)</f>
        <v>0</v>
      </c>
      <c r="BJ46" s="143">
        <f t="shared" si="18"/>
        <v>0</v>
      </c>
      <c r="BK46" s="143">
        <f>IFERROR(INDEX('[1]SALES PERTYPE'!$W$10:$W$52,MATCH($C46,'[1]SALES PERTYPE'!$B$10:$B$52,0)),0)</f>
        <v>0</v>
      </c>
      <c r="BL46" s="143" cm="1">
        <f t="array" ref="BL46">IFERROR(INDEX('[1]Sales per type juli'!$D$10:$BA$51,MATCH($C46,'[1]Sales per type juli'!$B$10:$B$51,0),MATCH("Y31d",'[1]Sales per type juli'!$D$8:$BA$8,0)+1),0)</f>
        <v>0</v>
      </c>
      <c r="BM46" s="143">
        <f t="shared" si="19"/>
        <v>0</v>
      </c>
      <c r="BN46" s="143">
        <f>IFERROR(INDEX('[1]SALES PERTYPE'!$X$10:$X$52,MATCH($C46,'[1]SALES PERTYPE'!$B$10:$B$52,0)),0)</f>
        <v>2</v>
      </c>
      <c r="BO46" s="143">
        <f>IFERROR(INDEX('[1]Sales per type juli'!$D$10:$BA$51,MATCH($C46,'[1]Sales per type juli'!$B$10:$B$51,0),MATCH("Y500",'[1]Sales per type juli'!$D$8:$BA$8,0)),0)</f>
        <v>1</v>
      </c>
      <c r="BP46" s="143">
        <f t="shared" si="20"/>
        <v>1</v>
      </c>
      <c r="BQ46" s="143">
        <f>IFERROR(INDEX('[1]SALES PERTYPE'!$Y$10:$Y$52,MATCH($C46,'[1]SALES PERTYPE'!$B$10:$B$52,0)),0)</f>
        <v>12598000</v>
      </c>
      <c r="BR46" s="143" cm="1">
        <f t="array" ref="BR46">IFERROR(INDEX('[1]Sales per type juli'!$D$10:$BA$51,MATCH($C46,'[1]Sales per type juli'!$B$10:$B$51,0),MATCH("Y500",'[1]Sales per type juli'!$D$8:$BA$8,0)+1),0)</f>
        <v>6299000</v>
      </c>
      <c r="BS46" s="143">
        <f t="shared" si="21"/>
        <v>6299000</v>
      </c>
      <c r="BT46" s="143">
        <f>IFERROR(INDEX('[1]SALES PERTYPE'!$Z$10:$Z$52,MATCH($C46,'[1]SALES PERTYPE'!$B$10:$B$52,0)),0)</f>
        <v>1</v>
      </c>
      <c r="BU46" s="143">
        <f>IFERROR(INDEX('[1]Sales per type juli'!$D$10:$BA$51,MATCH($C46,'[1]Sales per type juli'!$B$10:$B$51,0),MATCH("IQOO 15R",'[1]Sales per type juli'!$D$8:$BA$8,0)),0)</f>
        <v>2</v>
      </c>
      <c r="BV46" s="143">
        <f t="shared" si="22"/>
        <v>-1</v>
      </c>
      <c r="BW46" s="143">
        <f>IFERROR(INDEX('[1]SALES PERTYPE'!$AA$10:$AA$52,MATCH($C46,'[1]SALES PERTYPE'!$B$10:$B$52,0)),0)</f>
        <v>11999000</v>
      </c>
      <c r="BX46" s="143" cm="1">
        <f t="array" ref="BX46">IFERROR(INDEX('[1]Sales per type juli'!$D$10:$BA$51,MATCH($C46,'[1]Sales per type juli'!$B$10:$B$51,0),MATCH("IQOO 15R",'[1]Sales per type juli'!$D$8:$BA$8,0)+1),0)</f>
        <v>21298000</v>
      </c>
      <c r="BY46" s="143">
        <f t="shared" si="23"/>
        <v>-9299000</v>
      </c>
      <c r="BZ46" s="143">
        <f>IFERROR(INDEX('[1]SALES PERTYPE'!$AB$10:$AB$52,MATCH($C46,'[1]SALES PERTYPE'!$B$10:$B$52,0)),0)</f>
        <v>0</v>
      </c>
      <c r="CA46" s="143">
        <f>IFERROR(INDEX('[1]Sales per type juli'!$D$10:$BA$51,MATCH($C46,'[1]Sales per type juli'!$B$10:$B$51,0),MATCH("V60 Lite",'[1]Sales per type juli'!$D$8:$BA$8,0)),0)</f>
        <v>1</v>
      </c>
      <c r="CB46" s="143">
        <f t="shared" si="24"/>
        <v>-1</v>
      </c>
      <c r="CC46" s="143">
        <f>IFERROR(INDEX('[1]SALES PERTYPE'!$AC$10:$AC$52,MATCH($C46,'[1]SALES PERTYPE'!$B$10:$B$52,0)),0)</f>
        <v>0</v>
      </c>
      <c r="CD46" s="143" cm="1">
        <f t="array" ref="CD46">IFERROR(INDEX('[1]Sales per type juli'!$D$10:$BA$51,MATCH($C46,'[1]Sales per type juli'!$B$10:$B$51,0),MATCH("V60 Lite",'[1]Sales per type juli'!$D$8:$BA$8,0)+1),0)</f>
        <v>5299000</v>
      </c>
      <c r="CE46" s="143">
        <f t="shared" si="25"/>
        <v>-5299000</v>
      </c>
      <c r="CF46" s="143">
        <f>IFERROR(INDEX('[1]SALES PERTYPE'!$AD$10:$AD$52,MATCH($C46,'[1]SALES PERTYPE'!$B$10:$B$52,0)),0)</f>
        <v>1</v>
      </c>
      <c r="CG46" s="143">
        <f>IFERROR(INDEX('[1]Sales per type juli'!$D$10:$BA$51,MATCH($C46,'[1]Sales per type juli'!$B$10:$B$51,0),MATCH("X300 Ultra",'[1]Sales per type juli'!$D$8:$BA$8,0)),0)</f>
        <v>0</v>
      </c>
      <c r="CH46" s="143">
        <f t="shared" si="26"/>
        <v>1</v>
      </c>
      <c r="CI46" s="143">
        <f>IFERROR(INDEX('[1]SALES PERTYPE'!$AE$10:$AE$52,MATCH($C46,'[1]SALES PERTYPE'!$B$10:$B$52,0)),0)</f>
        <v>25999000</v>
      </c>
      <c r="CJ46" s="143" cm="1">
        <f t="array" ref="CJ46">IFERROR(INDEX('[1]Sales per type juli'!$D$10:$BA$51,MATCH($C46,'[1]Sales per type juli'!$B$10:$B$51,0),MATCH("X300 Ultra",'[1]Sales per type juli'!$D$8:$BA$8,0)+1),0)</f>
        <v>0</v>
      </c>
      <c r="CK46" s="143">
        <f t="shared" si="27"/>
        <v>25999000</v>
      </c>
      <c r="CL46" s="143">
        <f>IFERROR(INDEX('[1]SALES PERTYPE'!$AF$10:$AF$52,MATCH($C46,'[1]SALES PERTYPE'!$B$10:$B$52,0)),0)</f>
        <v>0</v>
      </c>
      <c r="CM46" s="143">
        <f>IFERROR(INDEX('[1]Sales per type juli'!$D$10:$BA$51,MATCH($C46,'[1]Sales per type juli'!$B$10:$B$51,0),MATCH("IQOO 15",'[1]Sales per type juli'!$D$8:$BA$8,0)),0)</f>
        <v>0</v>
      </c>
      <c r="CN46" s="143">
        <f t="shared" si="28"/>
        <v>0</v>
      </c>
      <c r="CO46" s="143">
        <f>IFERROR(INDEX('[1]SALES PERTYPE'!$AG$10:$AG$52,MATCH($C46,'[1]SALES PERTYPE'!$B$10:$B$52,0)),0)</f>
        <v>0</v>
      </c>
      <c r="CP46" s="143" cm="1">
        <f t="array" ref="CP46">IFERROR(INDEX('[1]Sales per type juli'!$D$10:$BA$51,MATCH($C46,'[1]Sales per type juli'!$B$10:$B$51,0),MATCH("IQOO 15",'[1]Sales per type juli'!$D$8:$BA$8,0)+1),0)</f>
        <v>0</v>
      </c>
      <c r="CQ46" s="143">
        <f t="shared" si="29"/>
        <v>0</v>
      </c>
      <c r="CR46" s="143">
        <f>IFERROR(INDEX('[1]SALES PERTYPE'!$AH$10:$AH$52,MATCH($C46,'[1]SALES PERTYPE'!$B$10:$B$52,0)),0)</f>
        <v>0</v>
      </c>
      <c r="CS46" s="143">
        <f>IFERROR(INDEX('[1]Sales per type juli'!$D$10:$BA$51,MATCH($C46,'[1]Sales per type juli'!$B$10:$B$51,0),MATCH("IQOO Z11x",'[1]Sales per type juli'!$D$8:$BA$8,0)),0)</f>
        <v>1</v>
      </c>
      <c r="CT46" s="143">
        <f t="shared" si="30"/>
        <v>-1</v>
      </c>
      <c r="CU46" s="143">
        <f>IFERROR(INDEX('[1]SALES PERTYPE'!$AI$10:$AI$52,MATCH($C46,'[1]SALES PERTYPE'!$B$10:$B$52,0)),0)</f>
        <v>0</v>
      </c>
      <c r="CV46" s="143" cm="1">
        <f t="array" ref="CV46">IFERROR(INDEX('[1]Sales per type juli'!$D$10:$BA$51,MATCH($C46,'[1]Sales per type juli'!$B$10:$B$51,0),MATCH("IQOO Z11x",'[1]Sales per type juli'!$D$8:$BA$8,0)+1),0)</f>
        <v>4799000</v>
      </c>
      <c r="CW46" s="143">
        <f t="shared" si="31"/>
        <v>-4799000</v>
      </c>
      <c r="CX46" s="143">
        <f>IFERROR(INDEX('[1]SALES PERTYPE'!$AJ$10:$AJ$52,MATCH($C46,'[1]SALES PERTYPE'!$B$10:$B$52,0)),0)</f>
        <v>2</v>
      </c>
      <c r="CY46" s="143">
        <f>IFERROR(INDEX('[1]Sales per type juli'!$D$10:$BA$51,MATCH($C46,'[1]Sales per type juli'!$B$10:$B$51,0),MATCH("IQOO Z11",'[1]Sales per type juli'!$D$8:$BA$8,0)),0)</f>
        <v>0</v>
      </c>
      <c r="CZ46" s="143">
        <f t="shared" si="32"/>
        <v>2</v>
      </c>
      <c r="DA46" s="143">
        <f>IFERROR(INDEX('[1]SALES PERTYPE'!$AK$10:$AK$52,MATCH($C46,'[1]SALES PERTYPE'!$B$10:$B$52,0)),0)</f>
        <v>13798000</v>
      </c>
      <c r="DB46" s="143" cm="1">
        <f t="array" ref="DB46">IFERROR(INDEX('[1]Sales per type juli'!$D$10:$BA$51,MATCH($C46,'[1]Sales per type juli'!$B$10:$B$51,0),MATCH("IQOO Z11",'[1]Sales per type juli'!$D$8:$BA$8,0)+1),0)</f>
        <v>0</v>
      </c>
      <c r="DC46" s="143">
        <f t="shared" si="33"/>
        <v>13798000</v>
      </c>
      <c r="DD46" s="143">
        <v>0</v>
      </c>
      <c r="DE46" s="143">
        <f>IFERROR(INDEX('[1]Sales per type juli'!$D$10:$BA$51,MATCH($C46,'[1]Sales per type juli'!$B$10:$B$51,0),MATCH("WATCH 3",'[1]Sales per type juli'!$D$8:$BA$8,0)),0)</f>
        <v>0</v>
      </c>
      <c r="DF46" s="143">
        <f t="shared" si="34"/>
        <v>0</v>
      </c>
      <c r="DG46" s="143">
        <v>0</v>
      </c>
      <c r="DH46" s="143" cm="1">
        <f t="array" ref="DH46">IFERROR(INDEX('[1]Sales per type juli'!$D$10:$BA$51,MATCH($C46,'[1]Sales per type juli'!$B$10:$B$51,0),MATCH("WATCH 3",'[1]Sales per type juli'!$D$8:$BA$8,0)+1),0)</f>
        <v>0</v>
      </c>
      <c r="DI46" s="143">
        <f t="shared" si="35"/>
        <v>0</v>
      </c>
      <c r="DJ46" s="143">
        <v>0</v>
      </c>
      <c r="DK46" s="143">
        <f>IFERROR(INDEX('[1]Sales per type juli'!$D$10:$BA$51,MATCH($C46,'[1]Sales per type juli'!$B$10:$B$51,0),MATCH("X300 Demo",'[1]Sales per type juli'!$D$8:$BA$8,0)),0)</f>
        <v>2</v>
      </c>
      <c r="DL46" s="143">
        <f t="shared" si="36"/>
        <v>-2</v>
      </c>
      <c r="DM46" s="143">
        <v>0</v>
      </c>
      <c r="DN46" s="143" cm="1">
        <f t="array" ref="DN46">IFERROR(INDEX('[1]Sales per type juli'!$D$10:$BA$51,MATCH($C46,'[1]Sales per type juli'!$B$10:$B$51,0),MATCH("X300 Demo",'[1]Sales per type juli'!$D$8:$BA$8,0)+1),0)</f>
        <v>33998000</v>
      </c>
      <c r="DO46" s="143">
        <f t="shared" si="37"/>
        <v>-33998000</v>
      </c>
      <c r="DP46" s="143">
        <v>0</v>
      </c>
      <c r="DQ46" s="143">
        <f>IFERROR(INDEX('[1]Sales per type juli'!$D$10:$BA$51,MATCH($C46,'[1]Sales per type juli'!$B$10:$B$51,0),MATCH("X300 Pro Demo",'[1]Sales per type juli'!$D$8:$BA$8,0)),0)</f>
        <v>0</v>
      </c>
      <c r="DR46" s="143">
        <f t="shared" si="38"/>
        <v>0</v>
      </c>
      <c r="DS46" s="143">
        <v>0</v>
      </c>
      <c r="DT46" s="143" cm="1">
        <f t="array" ref="DT46">IFERROR(INDEX('[1]Sales per type juli'!$D$10:$BA$51,MATCH($C46,'[1]Sales per type juli'!$B$10:$B$51,0),MATCH("X300 Pro Demo",'[1]Sales per type juli'!$D$8:$BA$8,0)+1),0)</f>
        <v>0</v>
      </c>
      <c r="DU46" s="143">
        <f t="shared" si="39"/>
        <v>0</v>
      </c>
      <c r="DV46" s="143">
        <v>0</v>
      </c>
      <c r="DW46" s="143">
        <f>IFERROR(INDEX('[1]Sales per type juli'!$D$10:$BA$51,MATCH($C46,'[1]Sales per type juli'!$B$10:$B$51,0),MATCH("X Fold5 DEMO",'[1]Sales per type juli'!$D$8:$BA$8,0)),0)</f>
        <v>1</v>
      </c>
      <c r="DX46" s="143">
        <f t="shared" si="40"/>
        <v>-1</v>
      </c>
      <c r="DY46" s="143">
        <v>0</v>
      </c>
      <c r="DZ46" s="143" cm="1">
        <f t="array" ref="DZ46">IFERROR(INDEX('[1]Sales per type juli'!$D$10:$BA$51,MATCH($C46,'[1]Sales per type juli'!$B$10:$B$51,0),MATCH("X Fold5 DEMO",'[1]Sales per type juli'!$D$8:$BA$8,0)+1),0)</f>
        <v>24999000</v>
      </c>
      <c r="EA46" s="143">
        <f t="shared" si="41"/>
        <v>-24999000</v>
      </c>
      <c r="EB46" s="143">
        <v>0</v>
      </c>
      <c r="EC46" s="143">
        <f>IFERROR(INDEX('[1]Sales per type juli'!$D$10:$BA$51,MATCH($C46,'[1]Sales per type juli'!$B$10:$B$51,0),MATCH("X Fold5",'[1]Sales per type juli'!$D$8:$BA$8,0)),0)</f>
        <v>0</v>
      </c>
      <c r="ED46" s="143">
        <f t="shared" si="42"/>
        <v>0</v>
      </c>
      <c r="EE46" s="143">
        <v>0</v>
      </c>
      <c r="EF46" s="143" cm="1">
        <f t="array" ref="EF46">IFERROR(INDEX('[1]Sales per type juli'!$D$10:$BA$51,MATCH($C46,'[1]Sales per type juli'!$B$10:$B$51,0),MATCH("X Fold5",'[1]Sales per type juli'!$D$8:$BA$8,0)+1),0)</f>
        <v>0</v>
      </c>
      <c r="EG46" s="143">
        <f t="shared" si="43"/>
        <v>0</v>
      </c>
      <c r="EH46" s="143">
        <v>0</v>
      </c>
      <c r="EI46" s="143">
        <f>IFERROR(INDEX('[1]Sales per type juli'!$D$10:$BA$51,MATCH($C46,'[1]Sales per type juli'!$B$10:$B$51,0),MATCH("IQOO 15 Demo",'[1]Sales per type juli'!$D$8:$BA$8,0)),0)</f>
        <v>2</v>
      </c>
      <c r="EJ46" s="143">
        <f t="shared" si="44"/>
        <v>-2</v>
      </c>
      <c r="EK46" s="143">
        <v>0</v>
      </c>
      <c r="EL46" s="143" cm="1">
        <f t="array" ref="EL46">IFERROR(INDEX('[1]Sales per type juli'!$D$10:$BA$51,MATCH($C46,'[1]Sales per type juli'!$B$10:$B$51,0),MATCH("IQOO 15 Demo",'[1]Sales per type juli'!$D$8:$BA$8,0)+1),0)</f>
        <v>27998000</v>
      </c>
      <c r="EM46" s="143">
        <f t="shared" si="45"/>
        <v>-27998000</v>
      </c>
      <c r="EN46" s="143">
        <v>0</v>
      </c>
      <c r="EO46" s="143">
        <f>IFERROR(INDEX('[1]Sales per type juli'!$D$10:$BA$51,MATCH($C46,'[1]Sales per type juli'!$B$10:$B$51,0),MATCH("X300 PRO",'[1]Sales per type juli'!$D$8:$BA$8,0)),0)</f>
        <v>0</v>
      </c>
      <c r="EP46" s="143">
        <f t="shared" si="46"/>
        <v>0</v>
      </c>
      <c r="EQ46" s="143">
        <v>0</v>
      </c>
      <c r="ER46" s="143" cm="1">
        <f t="array" ref="ER46">IFERROR(INDEX('[1]Sales per type juli'!$D$10:$BA$51,MATCH($C46,'[1]Sales per type juli'!$B$10:$B$51,0),MATCH("X300 PRO",'[1]Sales per type juli'!$D$8:$BA$8,0)+1),0)</f>
        <v>0</v>
      </c>
      <c r="ES46" s="143">
        <f t="shared" si="47"/>
        <v>0</v>
      </c>
      <c r="ET46" s="143">
        <v>0</v>
      </c>
      <c r="EU46" s="143">
        <f>IFERROR(INDEX('[1]Sales per type juli'!$D$10:$BA$51,MATCH($C46,'[1]Sales per type juli'!$B$10:$B$51,0),MATCH("X300 ",'[1]Sales per type juli'!$D$8:$BA$8,0)),0)</f>
        <v>0</v>
      </c>
      <c r="EV46" s="143">
        <f t="shared" si="48"/>
        <v>0</v>
      </c>
      <c r="EW46" s="143">
        <v>0</v>
      </c>
      <c r="EX46" s="143" cm="1">
        <f t="array" ref="EX46">IFERROR(INDEX('[1]Sales per type juli'!$D$10:$BA$51,MATCH($C46,'[1]Sales per type juli'!$B$10:$B$51,0),MATCH("X300 ",'[1]Sales per type juli'!$D$8:$BA$8,0)+1),0)</f>
        <v>0</v>
      </c>
      <c r="EY46" s="143">
        <f t="shared" si="49"/>
        <v>0</v>
      </c>
      <c r="EZ46" s="143">
        <f t="shared" si="50"/>
        <v>18</v>
      </c>
      <c r="FA46" s="143">
        <f t="shared" si="50"/>
        <v>23</v>
      </c>
      <c r="FB46" s="143">
        <f t="shared" si="51"/>
        <v>-5</v>
      </c>
      <c r="FC46" s="143">
        <f t="shared" si="52"/>
        <v>115182000</v>
      </c>
      <c r="FD46" s="143">
        <f t="shared" si="52"/>
        <v>202577000</v>
      </c>
      <c r="FE46" s="143">
        <f t="shared" si="53"/>
        <v>-87395000</v>
      </c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</row>
    <row r="47" spans="1:208" ht="16" x14ac:dyDescent="0.2">
      <c r="A47" s="141">
        <f>'[1]ACHIEVEMENT STORE'!A47</f>
        <v>43</v>
      </c>
      <c r="B47" s="142" t="str">
        <f>'[1]ACHIEVEMENT STORE'!B47</f>
        <v>614 三宝垄 Semarang</v>
      </c>
      <c r="C47" s="141">
        <f>'[1]ACHIEVEMENT STORE'!C47</f>
        <v>6140705</v>
      </c>
      <c r="D47" s="142" t="str">
        <f>'[1]ACHIEVEMENT STORE'!D47</f>
        <v>6140705-QUEENCITY 2F027</v>
      </c>
      <c r="E47" s="142" t="str">
        <f>'[1]ACHIEVEMENT STORE'!E47</f>
        <v>EDI SUSANTO</v>
      </c>
      <c r="F47" s="143">
        <f>IFERROR(INDEX('[1]SALES PERTYPE'!$D$10:$D$52,MATCH($C47,'[1]SALES PERTYPE'!$B$10:$B$52,0)),0)</f>
        <v>3</v>
      </c>
      <c r="G47" s="143">
        <f>IFERROR(INDEX('[1]Sales per type juli'!$D$10:$BA$51,MATCH($C47,'[1]Sales per type juli'!$B$10:$B$51,0),MATCH("Y05",'[1]Sales per type juli'!$D$8:$BA$8,0)),0)</f>
        <v>4</v>
      </c>
      <c r="H47" s="143">
        <f t="shared" si="0"/>
        <v>-1</v>
      </c>
      <c r="I47" s="143">
        <f>IFERROR(INDEX('[1]SALES PERTYPE'!$E$10:$E$52,MATCH($C47,'[1]SALES PERTYPE'!$B$10:$B$52,0)),0)</f>
        <v>7497000</v>
      </c>
      <c r="J47" s="143" cm="1">
        <f t="array" ref="J47">IFERROR(INDEX('[1]Sales per type juli'!$D$10:$BA$51,MATCH($C47,'[1]Sales per type juli'!$B$10:$B$51,0),MATCH("Y05",'[1]Sales per type juli'!$D$8:$BA$8,0)+1),0)</f>
        <v>9296000</v>
      </c>
      <c r="K47" s="143">
        <f t="shared" si="1"/>
        <v>-1799000</v>
      </c>
      <c r="L47" s="143">
        <f>IFERROR(INDEX('[1]SALES PERTYPE'!$F$10:$F$52,MATCH($C47,'[1]SALES PERTYPE'!$B$10:$B$52,0)),0)</f>
        <v>3</v>
      </c>
      <c r="M47" s="143">
        <f>IFERROR(INDEX('[1]Sales per type juli'!$D$10:$BA$51,MATCH($C47,'[1]Sales per type juli'!$B$10:$B$51,0),MATCH("Y11d",'[1]Sales per type juli'!$D$8:$BA$8,0)),0)</f>
        <v>4</v>
      </c>
      <c r="N47" s="143">
        <f t="shared" si="2"/>
        <v>-1</v>
      </c>
      <c r="O47" s="143">
        <f>IFERROR(INDEX('[1]SALES PERTYPE'!$G$10:$G$52,MATCH($C47,'[1]SALES PERTYPE'!$B$10:$B$52,0)),0)</f>
        <v>7597000</v>
      </c>
      <c r="P47" s="143" cm="1">
        <f t="array" ref="P47">IFERROR(INDEX('[1]Sales per type juli'!$D$10:$BA$51,MATCH($C47,'[1]Sales per type juli'!$B$10:$B$51,0),MATCH("Y11d",'[1]Sales per type juli'!$D$8:$BA$8,0)+1),0)</f>
        <v>11196000</v>
      </c>
      <c r="Q47" s="143">
        <f t="shared" si="3"/>
        <v>-3599000</v>
      </c>
      <c r="R47" s="143">
        <f>IFERROR(INDEX('[1]SALES PERTYPE'!$H$10:$H$52,MATCH($C47,'[1]SALES PERTYPE'!$B$10:$B$52,0)),0)</f>
        <v>0</v>
      </c>
      <c r="S47" s="143">
        <f>IFERROR(INDEX('[1]Sales per type juli'!$D$10:$BA$51,MATCH($C47,'[1]Sales per type juli'!$B$10:$B$51,0),MATCH("Watch GT 2",'[1]Sales per type juli'!$D$8:$BA$8,0)),0)</f>
        <v>1</v>
      </c>
      <c r="T47" s="143">
        <f t="shared" si="4"/>
        <v>-1</v>
      </c>
      <c r="U47" s="143">
        <f>IFERROR(INDEX('[1]SALES PERTYPE'!$I$10:$I$52,MATCH($C47,'[1]SALES PERTYPE'!$B$10:$B$52,0)),0)</f>
        <v>0</v>
      </c>
      <c r="V47" s="143" cm="1">
        <f t="array" ref="V47">IFERROR(INDEX('[1]Sales per type juli'!$D$10:$BA$51,MATCH($C47,'[1]Sales per type juli'!$B$10:$B$51,0),MATCH("Watch GT 2",'[1]Sales per type juli'!$D$8:$BA$8,0)+1),0)</f>
        <v>1799000</v>
      </c>
      <c r="W47" s="143">
        <f t="shared" si="5"/>
        <v>-1799000</v>
      </c>
      <c r="X47" s="143">
        <f>IFERROR(INDEX('[1]SALES PERTYPE'!$J$10:$J$52,MATCH($C47,'[1]SALES PERTYPE'!$B$10:$B$52,0)),0)</f>
        <v>5</v>
      </c>
      <c r="Y47" s="143">
        <f>IFERROR(INDEX('[1]Sales per type juli'!$D$10:$BA$51,MATCH($C47,'[1]Sales per type juli'!$B$10:$B$51,0),MATCH("Y05e",'[1]Sales per type juli'!$D$8:$BA$8,0)),0)</f>
        <v>0</v>
      </c>
      <c r="Z47" s="143">
        <f t="shared" si="6"/>
        <v>5</v>
      </c>
      <c r="AA47" s="143">
        <f>IFERROR(INDEX('[1]SALES PERTYPE'!$K$10:$K$52,MATCH($C47,'[1]SALES PERTYPE'!$B$10:$B$52,0)),0)</f>
        <v>10495000</v>
      </c>
      <c r="AB47" s="143" cm="1">
        <f t="array" ref="AB47">IFERROR(INDEX('[1]Sales per type juli'!$D$10:$BA$51,MATCH($C47,'[1]Sales per type juli'!$B$10:$B$51,0),MATCH("Y05e",'[1]Sales per type juli'!$D$8:$BA$8,0)+1),0)</f>
        <v>0</v>
      </c>
      <c r="AC47" s="143">
        <f t="shared" si="7"/>
        <v>10495000</v>
      </c>
      <c r="AD47" s="143">
        <f>IFERROR(INDEX('[1]SALES PERTYPE'!$L$10:$L$52,MATCH($C47,'[1]SALES PERTYPE'!$B$10:$B$52,0)),0)</f>
        <v>2</v>
      </c>
      <c r="AE47" s="143">
        <f>IFERROR(INDEX('[1]Sales per type juli'!$D$10:$BA$51,MATCH($C47,'[1]Sales per type juli'!$B$10:$B$51,0),MATCH("V70",'[1]Sales per type juli'!$D$8:$BA$8,0)),0)</f>
        <v>8</v>
      </c>
      <c r="AF47" s="143">
        <f t="shared" si="8"/>
        <v>-6</v>
      </c>
      <c r="AG47" s="143">
        <f>IFERROR(INDEX('[1]SALES PERTYPE'!$M$10:$M$52,MATCH($C47,'[1]SALES PERTYPE'!$B$10:$B$52,0)),0)</f>
        <v>19998000</v>
      </c>
      <c r="AH47" s="143" cm="1">
        <f t="array" ref="AH47">IFERROR(INDEX('[1]Sales per type juli'!$D$10:$BA$51,MATCH($C47,'[1]Sales per type juli'!$B$10:$B$51,0),MATCH("V70",'[1]Sales per type juli'!$D$8:$BA$8,0)+1),0)</f>
        <v>75992000</v>
      </c>
      <c r="AI47" s="143">
        <f t="shared" si="9"/>
        <v>-55994000</v>
      </c>
      <c r="AJ47" s="143">
        <f>IFERROR(INDEX('[1]SALES PERTYPE'!$N$10:$N$52,MATCH($C47,'[1]SALES PERTYPE'!$B$10:$B$52,0)),0)</f>
        <v>7</v>
      </c>
      <c r="AK47" s="143">
        <f>IFERROR(INDEX('[1]Sales per type juli'!$D$10:$BA$51,MATCH($C47,'[1]Sales per type juli'!$B$10:$B$51,0),MATCH("Y31d Pro",'[1]Sales per type juli'!$D$8:$BA$8,0)),0)</f>
        <v>5</v>
      </c>
      <c r="AL47" s="143">
        <f t="shared" si="10"/>
        <v>2</v>
      </c>
      <c r="AM47" s="143">
        <f>IFERROR(INDEX('[1]SALES PERTYPE'!$O$10:$O$52,MATCH($C47,'[1]SALES PERTYPE'!$B$10:$B$52,0)),0)</f>
        <v>30093000</v>
      </c>
      <c r="AN47" s="143" cm="1">
        <f t="array" ref="AN47">IFERROR(INDEX('[1]Sales per type juli'!$D$10:$BA$51,MATCH($C47,'[1]Sales per type juli'!$B$10:$B$51,0),MATCH("Y31d Pro",'[1]Sales per type juli'!$D$8:$BA$8,0)+1),0)</f>
        <v>20695000</v>
      </c>
      <c r="AO47" s="143">
        <f t="shared" si="11"/>
        <v>9398000</v>
      </c>
      <c r="AP47" s="143">
        <f>IFERROR(INDEX('[1]SALES PERTYPE'!$P$10:$P$52,MATCH($C47,'[1]SALES PERTYPE'!$B$10:$B$52,0)),0)</f>
        <v>0</v>
      </c>
      <c r="AQ47" s="143" cm="1">
        <f t="array" ref="AQ47">IFERROR(INDEX('[1]Sales per type juli'!$D$10:$BA$51,MATCH($C47,'[1]Sales per type juli'!$B$10:$B$51,0),$FG$2),0)</f>
        <v>0</v>
      </c>
      <c r="AR47" s="143">
        <f t="shared" si="12"/>
        <v>0</v>
      </c>
      <c r="AS47" s="143">
        <f>IFERROR(INDEX('[1]SALES PERTYPE'!$Q$10:$Q$52,MATCH($C47,'[1]SALES PERTYPE'!$B$10:$B$52,0)),0)</f>
        <v>0</v>
      </c>
      <c r="AT47" s="143" cm="1">
        <f t="array" ref="AT47">IFERROR(INDEX('[1]Sales per type juli'!$D$10:$BA$51,MATCH($C47,'[1]Sales per type juli'!$B$10:$B$51,0),$FG$2+1),0)</f>
        <v>0</v>
      </c>
      <c r="AU47" s="143">
        <f t="shared" si="13"/>
        <v>0</v>
      </c>
      <c r="AV47" s="143">
        <f>IFERROR(INDEX('[1]SALES PERTYPE'!$R$10:$R$52,MATCH($C47,'[1]SALES PERTYPE'!$B$10:$B$52,0)),0)</f>
        <v>0</v>
      </c>
      <c r="AW47" s="143">
        <f>IFERROR(INDEX('[1]Sales per type juli'!$D$10:$BA$51,MATCH($C47,'[1]Sales per type juli'!$B$10:$B$51,0),MATCH("Y31d ",'[1]Sales per type juli'!$D$8:$BA$8,0)),0)</f>
        <v>0</v>
      </c>
      <c r="AX47" s="143">
        <f t="shared" si="14"/>
        <v>0</v>
      </c>
      <c r="AY47" s="143">
        <f>IFERROR(INDEX('[1]SALES PERTYPE'!$S$10:$S$52,MATCH($C47,'[1]SALES PERTYPE'!$B$10:$B$52,0)),0)</f>
        <v>0</v>
      </c>
      <c r="AZ47" s="143" cm="1">
        <f t="array" ref="AZ47">IFERROR(INDEX('[1]Sales per type juli'!$D$10:$BA$51,MATCH($C47,'[1]Sales per type juli'!$B$10:$B$51,0),MATCH("Y31d ",'[1]Sales per type juli'!$D$8:$BA$8,0)+1),0)</f>
        <v>0</v>
      </c>
      <c r="BA47" s="143">
        <f t="shared" si="15"/>
        <v>0</v>
      </c>
      <c r="BB47" s="143">
        <f>IFERROR(INDEX('[1]SALES PERTYPE'!$T$10:$T$52,MATCH($C47,'[1]SALES PERTYPE'!$B$10:$B$52,0)),0)</f>
        <v>3</v>
      </c>
      <c r="BC47" s="143">
        <f>IFERROR(INDEX('[1]Sales per type juli'!$D$10:$BA$51,MATCH($C47,'[1]Sales per type juli'!$B$10:$B$51,0),MATCH("V70 FE",'[1]Sales per type juli'!$D$8:$BA$8,0)),0)</f>
        <v>3</v>
      </c>
      <c r="BD47" s="143">
        <f t="shared" si="16"/>
        <v>0</v>
      </c>
      <c r="BE47" s="143">
        <f>IFERROR(INDEX('[1]SALES PERTYPE'!$U$10:$U$52,MATCH($C47,'[1]SALES PERTYPE'!$B$10:$B$52,0)),0)</f>
        <v>20997000</v>
      </c>
      <c r="BF47" s="143" cm="1">
        <f t="array" ref="BF47">IFERROR(INDEX('[1]Sales per type juli'!$D$10:$BA$51,MATCH($C47,'[1]Sales per type juli'!$B$10:$B$51,0),MATCH("V70 FE",'[1]Sales per type juli'!$D$8:$BA$8,0)+1),0)</f>
        <v>19497000</v>
      </c>
      <c r="BG47" s="143">
        <f t="shared" si="17"/>
        <v>1500000</v>
      </c>
      <c r="BH47" s="143">
        <f>IFERROR(INDEX('[1]SALES PERTYPE'!$V$10:$V$52,MATCH($C47,'[1]SALES PERTYPE'!$B$10:$B$52,0)),0)</f>
        <v>0</v>
      </c>
      <c r="BI47" s="143">
        <f>IFERROR(INDEX('[1]Sales per type juli'!$D$10:$BA$51,MATCH($C47,'[1]Sales per type juli'!$B$10:$B$51,0),MATCH("Y31d",'[1]Sales per type juli'!$D$8:$BA$8,0)),0)</f>
        <v>0</v>
      </c>
      <c r="BJ47" s="143">
        <f t="shared" si="18"/>
        <v>0</v>
      </c>
      <c r="BK47" s="143">
        <f>IFERROR(INDEX('[1]SALES PERTYPE'!$W$10:$W$52,MATCH($C47,'[1]SALES PERTYPE'!$B$10:$B$52,0)),0)</f>
        <v>0</v>
      </c>
      <c r="BL47" s="143" cm="1">
        <f t="array" ref="BL47">IFERROR(INDEX('[1]Sales per type juli'!$D$10:$BA$51,MATCH($C47,'[1]Sales per type juli'!$B$10:$B$51,0),MATCH("Y31d",'[1]Sales per type juli'!$D$8:$BA$8,0)+1),0)</f>
        <v>0</v>
      </c>
      <c r="BM47" s="143">
        <f t="shared" si="19"/>
        <v>0</v>
      </c>
      <c r="BN47" s="143">
        <f>IFERROR(INDEX('[1]SALES PERTYPE'!$X$10:$X$52,MATCH($C47,'[1]SALES PERTYPE'!$B$10:$B$52,0)),0)</f>
        <v>0</v>
      </c>
      <c r="BO47" s="143">
        <f>IFERROR(INDEX('[1]Sales per type juli'!$D$10:$BA$51,MATCH($C47,'[1]Sales per type juli'!$B$10:$B$51,0),MATCH("Y500",'[1]Sales per type juli'!$D$8:$BA$8,0)),0)</f>
        <v>2</v>
      </c>
      <c r="BP47" s="143">
        <f t="shared" si="20"/>
        <v>-2</v>
      </c>
      <c r="BQ47" s="143">
        <f>IFERROR(INDEX('[1]SALES PERTYPE'!$Y$10:$Y$52,MATCH($C47,'[1]SALES PERTYPE'!$B$10:$B$52,0)),0)</f>
        <v>0</v>
      </c>
      <c r="BR47" s="143" cm="1">
        <f t="array" ref="BR47">IFERROR(INDEX('[1]Sales per type juli'!$D$10:$BA$51,MATCH($C47,'[1]Sales per type juli'!$B$10:$B$51,0),MATCH("Y500",'[1]Sales per type juli'!$D$8:$BA$8,0)+1),0)</f>
        <v>11798000</v>
      </c>
      <c r="BS47" s="143">
        <f t="shared" si="21"/>
        <v>-11798000</v>
      </c>
      <c r="BT47" s="143">
        <f>IFERROR(INDEX('[1]SALES PERTYPE'!$Z$10:$Z$52,MATCH($C47,'[1]SALES PERTYPE'!$B$10:$B$52,0)),0)</f>
        <v>1</v>
      </c>
      <c r="BU47" s="143">
        <f>IFERROR(INDEX('[1]Sales per type juli'!$D$10:$BA$51,MATCH($C47,'[1]Sales per type juli'!$B$10:$B$51,0),MATCH("IQOO 15R",'[1]Sales per type juli'!$D$8:$BA$8,0)),0)</f>
        <v>5</v>
      </c>
      <c r="BV47" s="143">
        <f t="shared" si="22"/>
        <v>-4</v>
      </c>
      <c r="BW47" s="143">
        <f>IFERROR(INDEX('[1]SALES PERTYPE'!$AA$10:$AA$52,MATCH($C47,'[1]SALES PERTYPE'!$B$10:$B$52,0)),0)</f>
        <v>11999000</v>
      </c>
      <c r="BX47" s="143" cm="1">
        <f t="array" ref="BX47">IFERROR(INDEX('[1]Sales per type juli'!$D$10:$BA$51,MATCH($C47,'[1]Sales per type juli'!$B$10:$B$51,0),MATCH("IQOO 15R",'[1]Sales per type juli'!$D$8:$BA$8,0)+1),0)</f>
        <v>52495000</v>
      </c>
      <c r="BY47" s="143">
        <f t="shared" si="23"/>
        <v>-40496000</v>
      </c>
      <c r="BZ47" s="143">
        <f>IFERROR(INDEX('[1]SALES PERTYPE'!$AB$10:$AB$52,MATCH($C47,'[1]SALES PERTYPE'!$B$10:$B$52,0)),0)</f>
        <v>3</v>
      </c>
      <c r="CA47" s="143">
        <f>IFERROR(INDEX('[1]Sales per type juli'!$D$10:$BA$51,MATCH($C47,'[1]Sales per type juli'!$B$10:$B$51,0),MATCH("V60 Lite",'[1]Sales per type juli'!$D$8:$BA$8,0)),0)</f>
        <v>2</v>
      </c>
      <c r="CB47" s="143">
        <f t="shared" si="24"/>
        <v>1</v>
      </c>
      <c r="CC47" s="143">
        <f>IFERROR(INDEX('[1]SALES PERTYPE'!$AC$10:$AC$52,MATCH($C47,'[1]SALES PERTYPE'!$B$10:$B$52,0)),0)</f>
        <v>17697000</v>
      </c>
      <c r="CD47" s="143" cm="1">
        <f t="array" ref="CD47">IFERROR(INDEX('[1]Sales per type juli'!$D$10:$BA$51,MATCH($C47,'[1]Sales per type juli'!$B$10:$B$51,0),MATCH("V60 Lite",'[1]Sales per type juli'!$D$8:$BA$8,0)+1),0)</f>
        <v>10598000</v>
      </c>
      <c r="CE47" s="143">
        <f t="shared" si="25"/>
        <v>7099000</v>
      </c>
      <c r="CF47" s="143">
        <f>IFERROR(INDEX('[1]SALES PERTYPE'!$AD$10:$AD$52,MATCH($C47,'[1]SALES PERTYPE'!$B$10:$B$52,0)),0)</f>
        <v>1</v>
      </c>
      <c r="CG47" s="143">
        <f>IFERROR(INDEX('[1]Sales per type juli'!$D$10:$BA$51,MATCH($C47,'[1]Sales per type juli'!$B$10:$B$51,0),MATCH("X300 Ultra",'[1]Sales per type juli'!$D$8:$BA$8,0)),0)</f>
        <v>0</v>
      </c>
      <c r="CH47" s="143">
        <f t="shared" si="26"/>
        <v>1</v>
      </c>
      <c r="CI47" s="143">
        <f>IFERROR(INDEX('[1]SALES PERTYPE'!$AE$10:$AE$52,MATCH($C47,'[1]SALES PERTYPE'!$B$10:$B$52,0)),0)</f>
        <v>25999000</v>
      </c>
      <c r="CJ47" s="143" cm="1">
        <f t="array" ref="CJ47">IFERROR(INDEX('[1]Sales per type juli'!$D$10:$BA$51,MATCH($C47,'[1]Sales per type juli'!$B$10:$B$51,0),MATCH("X300 Ultra",'[1]Sales per type juli'!$D$8:$BA$8,0)+1),0)</f>
        <v>0</v>
      </c>
      <c r="CK47" s="143">
        <f t="shared" si="27"/>
        <v>25999000</v>
      </c>
      <c r="CL47" s="143">
        <f>IFERROR(INDEX('[1]SALES PERTYPE'!$AF$10:$AF$52,MATCH($C47,'[1]SALES PERTYPE'!$B$10:$B$52,0)),0)</f>
        <v>0</v>
      </c>
      <c r="CM47" s="143">
        <f>IFERROR(INDEX('[1]Sales per type juli'!$D$10:$BA$51,MATCH($C47,'[1]Sales per type juli'!$B$10:$B$51,0),MATCH("IQOO 15",'[1]Sales per type juli'!$D$8:$BA$8,0)),0)</f>
        <v>0</v>
      </c>
      <c r="CN47" s="143">
        <f t="shared" si="28"/>
        <v>0</v>
      </c>
      <c r="CO47" s="143">
        <f>IFERROR(INDEX('[1]SALES PERTYPE'!$AG$10:$AG$52,MATCH($C47,'[1]SALES PERTYPE'!$B$10:$B$52,0)),0)</f>
        <v>0</v>
      </c>
      <c r="CP47" s="143" cm="1">
        <f t="array" ref="CP47">IFERROR(INDEX('[1]Sales per type juli'!$D$10:$BA$51,MATCH($C47,'[1]Sales per type juli'!$B$10:$B$51,0),MATCH("IQOO 15",'[1]Sales per type juli'!$D$8:$BA$8,0)+1),0)</f>
        <v>0</v>
      </c>
      <c r="CQ47" s="143">
        <f t="shared" si="29"/>
        <v>0</v>
      </c>
      <c r="CR47" s="143">
        <f>IFERROR(INDEX('[1]SALES PERTYPE'!$AH$10:$AH$52,MATCH($C47,'[1]SALES PERTYPE'!$B$10:$B$52,0)),0)</f>
        <v>2</v>
      </c>
      <c r="CS47" s="143">
        <f>IFERROR(INDEX('[1]Sales per type juli'!$D$10:$BA$51,MATCH($C47,'[1]Sales per type juli'!$B$10:$B$51,0),MATCH("IQOO Z11x",'[1]Sales per type juli'!$D$8:$BA$8,0)),0)</f>
        <v>1</v>
      </c>
      <c r="CT47" s="143">
        <f t="shared" si="30"/>
        <v>1</v>
      </c>
      <c r="CU47" s="143">
        <f>IFERROR(INDEX('[1]SALES PERTYPE'!$AI$10:$AI$52,MATCH($C47,'[1]SALES PERTYPE'!$B$10:$B$52,0)),0)</f>
        <v>11398000</v>
      </c>
      <c r="CV47" s="143" cm="1">
        <f t="array" ref="CV47">IFERROR(INDEX('[1]Sales per type juli'!$D$10:$BA$51,MATCH($C47,'[1]Sales per type juli'!$B$10:$B$51,0),MATCH("IQOO Z11x",'[1]Sales per type juli'!$D$8:$BA$8,0)+1),0)</f>
        <v>4799000</v>
      </c>
      <c r="CW47" s="143">
        <f t="shared" si="31"/>
        <v>6599000</v>
      </c>
      <c r="CX47" s="143">
        <f>IFERROR(INDEX('[1]SALES PERTYPE'!$AJ$10:$AJ$52,MATCH($C47,'[1]SALES PERTYPE'!$B$10:$B$52,0)),0)</f>
        <v>7</v>
      </c>
      <c r="CY47" s="143">
        <f>IFERROR(INDEX('[1]Sales per type juli'!$D$10:$BA$51,MATCH($C47,'[1]Sales per type juli'!$B$10:$B$51,0),MATCH("IQOO Z11",'[1]Sales per type juli'!$D$8:$BA$8,0)),0)</f>
        <v>6</v>
      </c>
      <c r="CZ47" s="143">
        <f t="shared" si="32"/>
        <v>1</v>
      </c>
      <c r="DA47" s="143">
        <f>IFERROR(INDEX('[1]SALES PERTYPE'!$AK$10:$AK$52,MATCH($C47,'[1]SALES PERTYPE'!$B$10:$B$52,0)),0)</f>
        <v>49793000</v>
      </c>
      <c r="DB47" s="143" cm="1">
        <f t="array" ref="DB47">IFERROR(INDEX('[1]Sales per type juli'!$D$10:$BA$51,MATCH($C47,'[1]Sales per type juli'!$B$10:$B$51,0),MATCH("IQOO Z11",'[1]Sales per type juli'!$D$8:$BA$8,0)+1),0)</f>
        <v>35194000</v>
      </c>
      <c r="DC47" s="143">
        <f t="shared" si="33"/>
        <v>14599000</v>
      </c>
      <c r="DD47" s="143">
        <v>0</v>
      </c>
      <c r="DE47" s="143">
        <f>IFERROR(INDEX('[1]Sales per type juli'!$D$10:$BA$51,MATCH($C47,'[1]Sales per type juli'!$B$10:$B$51,0),MATCH("WATCH 3",'[1]Sales per type juli'!$D$8:$BA$8,0)),0)</f>
        <v>0</v>
      </c>
      <c r="DF47" s="143">
        <f t="shared" si="34"/>
        <v>0</v>
      </c>
      <c r="DG47" s="143">
        <v>0</v>
      </c>
      <c r="DH47" s="143" cm="1">
        <f t="array" ref="DH47">IFERROR(INDEX('[1]Sales per type juli'!$D$10:$BA$51,MATCH($C47,'[1]Sales per type juli'!$B$10:$B$51,0),MATCH("WATCH 3",'[1]Sales per type juli'!$D$8:$BA$8,0)+1),0)</f>
        <v>0</v>
      </c>
      <c r="DI47" s="143">
        <f t="shared" si="35"/>
        <v>0</v>
      </c>
      <c r="DJ47" s="143">
        <v>0</v>
      </c>
      <c r="DK47" s="143">
        <f>IFERROR(INDEX('[1]Sales per type juli'!$D$10:$BA$51,MATCH($C47,'[1]Sales per type juli'!$B$10:$B$51,0),MATCH("X300 Demo",'[1]Sales per type juli'!$D$8:$BA$8,0)),0)</f>
        <v>3</v>
      </c>
      <c r="DL47" s="143">
        <f t="shared" si="36"/>
        <v>-3</v>
      </c>
      <c r="DM47" s="143">
        <v>0</v>
      </c>
      <c r="DN47" s="143" cm="1">
        <f t="array" ref="DN47">IFERROR(INDEX('[1]Sales per type juli'!$D$10:$BA$51,MATCH($C47,'[1]Sales per type juli'!$B$10:$B$51,0),MATCH("X300 Demo",'[1]Sales per type juli'!$D$8:$BA$8,0)+1),0)</f>
        <v>48997000</v>
      </c>
      <c r="DO47" s="143">
        <f t="shared" si="37"/>
        <v>-48997000</v>
      </c>
      <c r="DP47" s="143">
        <v>0</v>
      </c>
      <c r="DQ47" s="143">
        <f>IFERROR(INDEX('[1]Sales per type juli'!$D$10:$BA$51,MATCH($C47,'[1]Sales per type juli'!$B$10:$B$51,0),MATCH("X300 Pro Demo",'[1]Sales per type juli'!$D$8:$BA$8,0)),0)</f>
        <v>1</v>
      </c>
      <c r="DR47" s="143">
        <f t="shared" si="38"/>
        <v>-1</v>
      </c>
      <c r="DS47" s="143">
        <v>0</v>
      </c>
      <c r="DT47" s="143" cm="1">
        <f t="array" ref="DT47">IFERROR(INDEX('[1]Sales per type juli'!$D$10:$BA$51,MATCH($C47,'[1]Sales per type juli'!$B$10:$B$51,0),MATCH("X300 Pro Demo",'[1]Sales per type juli'!$D$8:$BA$8,0)+1),0)</f>
        <v>18999000</v>
      </c>
      <c r="DU47" s="143">
        <f t="shared" si="39"/>
        <v>-18999000</v>
      </c>
      <c r="DV47" s="143">
        <v>0</v>
      </c>
      <c r="DW47" s="143">
        <f>IFERROR(INDEX('[1]Sales per type juli'!$D$10:$BA$51,MATCH($C47,'[1]Sales per type juli'!$B$10:$B$51,0),MATCH("X Fold5 DEMO",'[1]Sales per type juli'!$D$8:$BA$8,0)),0)</f>
        <v>1</v>
      </c>
      <c r="DX47" s="143">
        <f t="shared" si="40"/>
        <v>-1</v>
      </c>
      <c r="DY47" s="143">
        <v>0</v>
      </c>
      <c r="DZ47" s="143" cm="1">
        <f t="array" ref="DZ47">IFERROR(INDEX('[1]Sales per type juli'!$D$10:$BA$51,MATCH($C47,'[1]Sales per type juli'!$B$10:$B$51,0),MATCH("X Fold5 DEMO",'[1]Sales per type juli'!$D$8:$BA$8,0)+1),0)</f>
        <v>24999000</v>
      </c>
      <c r="EA47" s="143">
        <f t="shared" si="41"/>
        <v>-24999000</v>
      </c>
      <c r="EB47" s="143">
        <v>0</v>
      </c>
      <c r="EC47" s="143">
        <f>IFERROR(INDEX('[1]Sales per type juli'!$D$10:$BA$51,MATCH($C47,'[1]Sales per type juli'!$B$10:$B$51,0),MATCH("X Fold5",'[1]Sales per type juli'!$D$8:$BA$8,0)),0)</f>
        <v>0</v>
      </c>
      <c r="ED47" s="143">
        <f t="shared" si="42"/>
        <v>0</v>
      </c>
      <c r="EE47" s="143">
        <v>0</v>
      </c>
      <c r="EF47" s="143" cm="1">
        <f t="array" ref="EF47">IFERROR(INDEX('[1]Sales per type juli'!$D$10:$BA$51,MATCH($C47,'[1]Sales per type juli'!$B$10:$B$51,0),MATCH("X Fold5",'[1]Sales per type juli'!$D$8:$BA$8,0)+1),0)</f>
        <v>0</v>
      </c>
      <c r="EG47" s="143">
        <f t="shared" si="43"/>
        <v>0</v>
      </c>
      <c r="EH47" s="143">
        <v>0</v>
      </c>
      <c r="EI47" s="143">
        <f>IFERROR(INDEX('[1]Sales per type juli'!$D$10:$BA$51,MATCH($C47,'[1]Sales per type juli'!$B$10:$B$51,0),MATCH("IQOO 15 Demo",'[1]Sales per type juli'!$D$8:$BA$8,0)),0)</f>
        <v>3</v>
      </c>
      <c r="EJ47" s="143">
        <f t="shared" si="44"/>
        <v>-3</v>
      </c>
      <c r="EK47" s="143">
        <v>0</v>
      </c>
      <c r="EL47" s="143" cm="1">
        <f t="array" ref="EL47">IFERROR(INDEX('[1]Sales per type juli'!$D$10:$BA$51,MATCH($C47,'[1]Sales per type juli'!$B$10:$B$51,0),MATCH("IQOO 15 Demo",'[1]Sales per type juli'!$D$8:$BA$8,0)+1),0)</f>
        <v>41997000</v>
      </c>
      <c r="EM47" s="143">
        <f t="shared" si="45"/>
        <v>-41997000</v>
      </c>
      <c r="EN47" s="143">
        <v>0</v>
      </c>
      <c r="EO47" s="143">
        <f>IFERROR(INDEX('[1]Sales per type juli'!$D$10:$BA$51,MATCH($C47,'[1]Sales per type juli'!$B$10:$B$51,0),MATCH("X300 PRO",'[1]Sales per type juli'!$D$8:$BA$8,0)),0)</f>
        <v>0</v>
      </c>
      <c r="EP47" s="143">
        <f t="shared" si="46"/>
        <v>0</v>
      </c>
      <c r="EQ47" s="143">
        <v>0</v>
      </c>
      <c r="ER47" s="143" cm="1">
        <f t="array" ref="ER47">IFERROR(INDEX('[1]Sales per type juli'!$D$10:$BA$51,MATCH($C47,'[1]Sales per type juli'!$B$10:$B$51,0),MATCH("X300 PRO",'[1]Sales per type juli'!$D$8:$BA$8,0)+1),0)</f>
        <v>0</v>
      </c>
      <c r="ES47" s="143">
        <f t="shared" si="47"/>
        <v>0</v>
      </c>
      <c r="ET47" s="143">
        <v>0</v>
      </c>
      <c r="EU47" s="143">
        <f>IFERROR(INDEX('[1]Sales per type juli'!$D$10:$BA$51,MATCH($C47,'[1]Sales per type juli'!$B$10:$B$51,0),MATCH("X300 ",'[1]Sales per type juli'!$D$8:$BA$8,0)),0)</f>
        <v>0</v>
      </c>
      <c r="EV47" s="143">
        <f t="shared" si="48"/>
        <v>0</v>
      </c>
      <c r="EW47" s="143">
        <v>0</v>
      </c>
      <c r="EX47" s="143" cm="1">
        <f t="array" ref="EX47">IFERROR(INDEX('[1]Sales per type juli'!$D$10:$BA$51,MATCH($C47,'[1]Sales per type juli'!$B$10:$B$51,0),MATCH("X300 ",'[1]Sales per type juli'!$D$8:$BA$8,0)+1),0)</f>
        <v>0</v>
      </c>
      <c r="EY47" s="143">
        <f t="shared" si="49"/>
        <v>0</v>
      </c>
      <c r="EZ47" s="143">
        <f t="shared" si="50"/>
        <v>37</v>
      </c>
      <c r="FA47" s="143">
        <f t="shared" si="50"/>
        <v>49</v>
      </c>
      <c r="FB47" s="143">
        <f t="shared" si="51"/>
        <v>-12</v>
      </c>
      <c r="FC47" s="143">
        <f t="shared" si="52"/>
        <v>213563000</v>
      </c>
      <c r="FD47" s="143">
        <f t="shared" si="52"/>
        <v>388351000</v>
      </c>
      <c r="FE47" s="143">
        <f t="shared" si="53"/>
        <v>-174788000</v>
      </c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</row>
    <row r="48" spans="1:208" ht="16" x14ac:dyDescent="0.2">
      <c r="A48" s="146" t="s">
        <v>110</v>
      </c>
      <c r="B48" s="146"/>
      <c r="C48" s="146"/>
      <c r="D48" s="146"/>
      <c r="E48" s="146"/>
      <c r="F48" s="147">
        <f>SUM(F5:F47)</f>
        <v>420</v>
      </c>
      <c r="G48" s="147">
        <f>SUM(G5:G47)</f>
        <v>1040</v>
      </c>
      <c r="H48" s="147">
        <f t="shared" si="0"/>
        <v>-620</v>
      </c>
      <c r="I48" s="147">
        <f>SUM(I5:I47)</f>
        <v>1023780000</v>
      </c>
      <c r="J48" s="147">
        <f>SUM(J5:J47)</f>
        <v>2310160000</v>
      </c>
      <c r="K48" s="147">
        <f t="shared" si="1"/>
        <v>-1286380000</v>
      </c>
      <c r="L48" s="147">
        <f>SUM(L5:L47)</f>
        <v>550</v>
      </c>
      <c r="M48" s="147">
        <f>SUM(M5:M47)</f>
        <v>405</v>
      </c>
      <c r="N48" s="147">
        <f t="shared" si="2"/>
        <v>145</v>
      </c>
      <c r="O48" s="147">
        <f>SUM(O5:O47)</f>
        <v>1456650000</v>
      </c>
      <c r="P48" s="147">
        <f>SUM(P5:P47)</f>
        <v>1080795000</v>
      </c>
      <c r="Q48" s="147">
        <f t="shared" si="3"/>
        <v>375855000</v>
      </c>
      <c r="R48" s="147">
        <f>SUM(R5:R47)</f>
        <v>4</v>
      </c>
      <c r="S48" s="147">
        <f>SUM(S5:S47)</f>
        <v>4</v>
      </c>
      <c r="T48" s="147">
        <f t="shared" si="4"/>
        <v>0</v>
      </c>
      <c r="U48" s="147">
        <f>SUM(U5:U47)</f>
        <v>7196000</v>
      </c>
      <c r="V48" s="147">
        <f>SUM(V5:V47)</f>
        <v>7196000</v>
      </c>
      <c r="W48" s="147">
        <f t="shared" si="5"/>
        <v>0</v>
      </c>
      <c r="X48" s="147">
        <f>SUM(X5:X47)</f>
        <v>557</v>
      </c>
      <c r="Y48" s="147">
        <f>SUM(Y5:Y47)</f>
        <v>0</v>
      </c>
      <c r="Z48" s="147">
        <f t="shared" si="6"/>
        <v>557</v>
      </c>
      <c r="AA48" s="147">
        <f>SUM(AA5:AA47)</f>
        <v>1169143000</v>
      </c>
      <c r="AB48" s="147">
        <f>SUM(AB5:AB47)</f>
        <v>0</v>
      </c>
      <c r="AC48" s="147">
        <f t="shared" si="7"/>
        <v>1169143000</v>
      </c>
      <c r="AD48" s="147">
        <f>SUM(AD5:AD47)</f>
        <v>57</v>
      </c>
      <c r="AE48" s="147">
        <f>SUM(AE5:AE47)</f>
        <v>158</v>
      </c>
      <c r="AF48" s="147">
        <f t="shared" si="8"/>
        <v>-101</v>
      </c>
      <c r="AG48" s="147">
        <f>SUM(AG5:AG47)</f>
        <v>567943000</v>
      </c>
      <c r="AH48" s="147">
        <f>SUM(AH5:AH47)</f>
        <v>1483842000</v>
      </c>
      <c r="AI48" s="147">
        <f t="shared" si="9"/>
        <v>-915899000</v>
      </c>
      <c r="AJ48" s="147">
        <f>SUM(AJ5:AJ47)</f>
        <v>380</v>
      </c>
      <c r="AK48" s="147">
        <f>SUM(AK5:AK47)</f>
        <v>227</v>
      </c>
      <c r="AL48" s="147">
        <f t="shared" si="10"/>
        <v>153</v>
      </c>
      <c r="AM48" s="147">
        <f>SUM(AM5:AM47)</f>
        <v>1701420000</v>
      </c>
      <c r="AN48" s="147">
        <f>SUM(AN5:AN47)</f>
        <v>982873000</v>
      </c>
      <c r="AO48" s="147">
        <f t="shared" si="11"/>
        <v>718547000</v>
      </c>
      <c r="AP48" s="147">
        <f>SUM(AP5:AP47)</f>
        <v>21</v>
      </c>
      <c r="AQ48" s="147">
        <f>SUM(AQ5:AQ47)</f>
        <v>0</v>
      </c>
      <c r="AR48" s="147">
        <f t="shared" si="12"/>
        <v>21</v>
      </c>
      <c r="AS48" s="147">
        <f>SUM(AS5:AS47)</f>
        <v>75579000</v>
      </c>
      <c r="AT48" s="147">
        <f>SUM(AT5:AT47)</f>
        <v>0</v>
      </c>
      <c r="AU48" s="147">
        <f t="shared" si="13"/>
        <v>75579000</v>
      </c>
      <c r="AV48" s="147">
        <f>SUM(AV5:AV47)</f>
        <v>43</v>
      </c>
      <c r="AW48" s="147">
        <f>SUM(AW5:AW47)</f>
        <v>46</v>
      </c>
      <c r="AX48" s="147">
        <f t="shared" si="14"/>
        <v>-3</v>
      </c>
      <c r="AY48" s="147">
        <f>SUM(AY5:AY47)</f>
        <v>154757000</v>
      </c>
      <c r="AZ48" s="147">
        <f>SUM(AZ5:AZ47)</f>
        <v>165554000</v>
      </c>
      <c r="BA48" s="147">
        <f t="shared" si="15"/>
        <v>-10797000</v>
      </c>
      <c r="BB48" s="147">
        <f>SUM(BB5:BB47)</f>
        <v>96</v>
      </c>
      <c r="BC48" s="147">
        <f>SUM(BC5:BC47)</f>
        <v>190</v>
      </c>
      <c r="BD48" s="147">
        <f t="shared" si="16"/>
        <v>-94</v>
      </c>
      <c r="BE48" s="147">
        <f>SUM(BE5:BE47)</f>
        <v>732104000</v>
      </c>
      <c r="BF48" s="147">
        <f>SUM(BF5:BF47)</f>
        <v>1274010000</v>
      </c>
      <c r="BG48" s="147">
        <f t="shared" si="17"/>
        <v>-541906000</v>
      </c>
      <c r="BH48" s="147">
        <f>SUM(BH5:BH47)</f>
        <v>48</v>
      </c>
      <c r="BI48" s="147">
        <f>SUM(BI5:BI47)</f>
        <v>117</v>
      </c>
      <c r="BJ48" s="147">
        <f t="shared" si="18"/>
        <v>-69</v>
      </c>
      <c r="BK48" s="147">
        <f>SUM(BK5:BK47)</f>
        <v>172752000</v>
      </c>
      <c r="BL48" s="147">
        <f>SUM(BL5:BL47)</f>
        <v>421083000</v>
      </c>
      <c r="BM48" s="147">
        <f t="shared" si="19"/>
        <v>-248331000</v>
      </c>
      <c r="BN48" s="147">
        <f>SUM(BN5:BN47)</f>
        <v>75</v>
      </c>
      <c r="BO48" s="147">
        <f>SUM(BO5:BO47)</f>
        <v>80</v>
      </c>
      <c r="BP48" s="147">
        <f t="shared" si="20"/>
        <v>-5</v>
      </c>
      <c r="BQ48" s="147">
        <f>SUM(BQ5:BQ47)</f>
        <v>436425000</v>
      </c>
      <c r="BR48" s="147">
        <f>SUM(BR5:BR47)</f>
        <v>463920000</v>
      </c>
      <c r="BS48" s="147">
        <f t="shared" si="21"/>
        <v>-27495000</v>
      </c>
      <c r="BT48" s="147">
        <f>SUM(BT5:BT47)</f>
        <v>23</v>
      </c>
      <c r="BU48" s="147">
        <f>SUM(BU5:BU47)</f>
        <v>58</v>
      </c>
      <c r="BV48" s="147">
        <f t="shared" si="22"/>
        <v>-35</v>
      </c>
      <c r="BW48" s="147">
        <f>SUM(BW5:BW47)</f>
        <v>275977000</v>
      </c>
      <c r="BX48" s="147">
        <f>SUM(BX5:BX47)</f>
        <v>593642000</v>
      </c>
      <c r="BY48" s="147">
        <f t="shared" si="23"/>
        <v>-317665000</v>
      </c>
      <c r="BZ48" s="147">
        <f>SUM(BZ5:BZ47)</f>
        <v>85</v>
      </c>
      <c r="CA48" s="147">
        <f>SUM(CA5:CA47)</f>
        <v>82</v>
      </c>
      <c r="CB48" s="147">
        <f t="shared" si="24"/>
        <v>3</v>
      </c>
      <c r="CC48" s="147">
        <f>SUM(CC5:CC47)</f>
        <v>495815000</v>
      </c>
      <c r="CD48" s="147">
        <f>SUM(CD5:CD47)</f>
        <v>447118000</v>
      </c>
      <c r="CE48" s="147">
        <f t="shared" si="25"/>
        <v>48697000</v>
      </c>
      <c r="CF48" s="147">
        <f>SUM(CF5:CF47)</f>
        <v>21</v>
      </c>
      <c r="CG48" s="147">
        <f>SUM(CG5:CG47)</f>
        <v>17</v>
      </c>
      <c r="CH48" s="147">
        <f t="shared" si="26"/>
        <v>4</v>
      </c>
      <c r="CI48" s="147">
        <f>SUM(CI5:CI47)</f>
        <v>561979000</v>
      </c>
      <c r="CJ48" s="147">
        <f>SUM(CJ5:CJ47)</f>
        <v>457983000</v>
      </c>
      <c r="CK48" s="147">
        <f t="shared" si="27"/>
        <v>103996000</v>
      </c>
      <c r="CL48" s="147">
        <f>SUM(CL5:CL47)</f>
        <v>1</v>
      </c>
      <c r="CM48" s="147">
        <f>SUM(CM5:CM47)</f>
        <v>12</v>
      </c>
      <c r="CN48" s="147">
        <f t="shared" si="28"/>
        <v>-11</v>
      </c>
      <c r="CO48" s="147">
        <f>SUM(CO5:CO47)</f>
        <v>15999000</v>
      </c>
      <c r="CP48" s="147">
        <f>SUM(CP5:CP47)</f>
        <v>171988000</v>
      </c>
      <c r="CQ48" s="147">
        <f t="shared" si="29"/>
        <v>-155989000</v>
      </c>
      <c r="CR48" s="147">
        <f>SUM(CR5:CR47)</f>
        <v>27</v>
      </c>
      <c r="CS48" s="147">
        <f>SUM(CS5:CS47)</f>
        <v>53</v>
      </c>
      <c r="CT48" s="147">
        <f t="shared" si="30"/>
        <v>-26</v>
      </c>
      <c r="CU48" s="147">
        <f>SUM(CU5:CU47)</f>
        <v>153673000</v>
      </c>
      <c r="CV48" s="147">
        <f>SUM(CV5:CV47)</f>
        <v>260747000</v>
      </c>
      <c r="CW48" s="147">
        <f t="shared" si="31"/>
        <v>-107074000</v>
      </c>
      <c r="CX48" s="147">
        <f>SUM(CX5:CX47)</f>
        <v>68</v>
      </c>
      <c r="CY48" s="147">
        <f>SUM(CY5:CY47)</f>
        <v>121</v>
      </c>
      <c r="CZ48" s="147">
        <f t="shared" si="32"/>
        <v>-53</v>
      </c>
      <c r="DA48" s="147">
        <f>SUM(DA5:DA47)</f>
        <v>494532000</v>
      </c>
      <c r="DB48" s="147">
        <f>SUM(DB5:DB47)</f>
        <v>712079000</v>
      </c>
      <c r="DC48" s="147">
        <f t="shared" si="33"/>
        <v>-217547000</v>
      </c>
      <c r="DD48" s="147">
        <f>SUM(DD5:DD47)</f>
        <v>0</v>
      </c>
      <c r="DE48" s="147">
        <f>SUM(DE5:DE47)</f>
        <v>1</v>
      </c>
      <c r="DF48" s="147">
        <f t="shared" si="34"/>
        <v>-1</v>
      </c>
      <c r="DG48" s="147">
        <f>SUM(DG5:DG47)</f>
        <v>0</v>
      </c>
      <c r="DH48" s="147">
        <f>SUM(DH5:DH47)</f>
        <v>2999000</v>
      </c>
      <c r="DI48" s="147">
        <f t="shared" si="35"/>
        <v>-2999000</v>
      </c>
      <c r="DJ48" s="147">
        <f>SUM(DJ5:DJ47)</f>
        <v>0</v>
      </c>
      <c r="DK48" s="147">
        <f>SUM(DK5:DK47)</f>
        <v>66</v>
      </c>
      <c r="DL48" s="147">
        <f t="shared" si="36"/>
        <v>-66</v>
      </c>
      <c r="DM48" s="147">
        <f>SUM(DM5:DM47)</f>
        <v>0</v>
      </c>
      <c r="DN48" s="147">
        <f>SUM(DN5:DN47)</f>
        <v>1089934000</v>
      </c>
      <c r="DO48" s="147">
        <f t="shared" si="37"/>
        <v>-1089934000</v>
      </c>
      <c r="DP48" s="147">
        <f>SUM(DP5:DP47)</f>
        <v>0</v>
      </c>
      <c r="DQ48" s="147">
        <f>SUM(DQ5:DQ47)</f>
        <v>14</v>
      </c>
      <c r="DR48" s="147">
        <f t="shared" si="38"/>
        <v>-14</v>
      </c>
      <c r="DS48" s="147">
        <f>SUM(DS5:DS47)</f>
        <v>0</v>
      </c>
      <c r="DT48" s="147">
        <f>SUM(DT5:DT47)</f>
        <v>265986000</v>
      </c>
      <c r="DU48" s="147">
        <f t="shared" si="39"/>
        <v>-265986000</v>
      </c>
      <c r="DV48" s="147">
        <f>SUM(DV5:DV47)</f>
        <v>0</v>
      </c>
      <c r="DW48" s="147">
        <f>SUM(DW5:DW47)</f>
        <v>3</v>
      </c>
      <c r="DX48" s="147">
        <f t="shared" si="40"/>
        <v>-3</v>
      </c>
      <c r="DY48" s="147">
        <f>SUM(DY5:DY47)</f>
        <v>0</v>
      </c>
      <c r="DZ48" s="147">
        <f>SUM(DZ5:DZ47)</f>
        <v>74997000</v>
      </c>
      <c r="EA48" s="147">
        <f t="shared" si="41"/>
        <v>-74997000</v>
      </c>
      <c r="EB48" s="147">
        <f>SUM(EB5:EB47)</f>
        <v>0</v>
      </c>
      <c r="EC48" s="147">
        <f>SUM(EC5:EC47)</f>
        <v>1</v>
      </c>
      <c r="ED48" s="147">
        <f t="shared" si="42"/>
        <v>-1</v>
      </c>
      <c r="EE48" s="147">
        <f>SUM(EE5:EE47)</f>
        <v>0</v>
      </c>
      <c r="EF48" s="147">
        <f>SUM(EF5:EF47)</f>
        <v>24999000</v>
      </c>
      <c r="EG48" s="147">
        <f t="shared" si="43"/>
        <v>-24999000</v>
      </c>
      <c r="EH48" s="147">
        <f>SUM(EH5:EH47)</f>
        <v>0</v>
      </c>
      <c r="EI48" s="147">
        <f>SUM(EI5:EI47)</f>
        <v>38</v>
      </c>
      <c r="EJ48" s="147">
        <f t="shared" si="44"/>
        <v>-38</v>
      </c>
      <c r="EK48" s="147">
        <f>SUM(EK5:EK47)</f>
        <v>0</v>
      </c>
      <c r="EL48" s="147">
        <f>SUM(EL5:EL47)</f>
        <v>531962000</v>
      </c>
      <c r="EM48" s="147">
        <f t="shared" si="45"/>
        <v>-531962000</v>
      </c>
      <c r="EN48" s="147">
        <f>SUM(EN5:EN47)</f>
        <v>0</v>
      </c>
      <c r="EO48" s="147">
        <f>SUM(EO5:EO47)</f>
        <v>3</v>
      </c>
      <c r="EP48" s="147">
        <f t="shared" si="46"/>
        <v>-3</v>
      </c>
      <c r="EQ48" s="147">
        <f>SUM(EQ5:EQ47)</f>
        <v>0</v>
      </c>
      <c r="ER48" s="147">
        <f>SUM(ER5:ER47)</f>
        <v>56997000</v>
      </c>
      <c r="ES48" s="147">
        <f t="shared" si="47"/>
        <v>-56997000</v>
      </c>
      <c r="ET48" s="147">
        <f>SUM(ET5:ET47)</f>
        <v>0</v>
      </c>
      <c r="EU48" s="147">
        <f>SUM(EU5:EU47)</f>
        <v>4</v>
      </c>
      <c r="EV48" s="147">
        <f t="shared" si="48"/>
        <v>-4</v>
      </c>
      <c r="EW48" s="147">
        <f>SUM(EW5:EW47)</f>
        <v>0</v>
      </c>
      <c r="EX48" s="147">
        <f>SUM(EX5:EX47)</f>
        <v>59996000</v>
      </c>
      <c r="EY48" s="147">
        <f t="shared" si="49"/>
        <v>-59996000</v>
      </c>
      <c r="EZ48" s="147">
        <f>SUM(EZ5:EZ47)</f>
        <v>2476</v>
      </c>
      <c r="FA48" s="147">
        <f>SUM(FA5:FA47)</f>
        <v>2740</v>
      </c>
      <c r="FB48" s="147">
        <f t="shared" si="51"/>
        <v>-264</v>
      </c>
      <c r="FC48" s="147">
        <f>SUM(FC5:FC47)</f>
        <v>9495724000</v>
      </c>
      <c r="FD48" s="147">
        <f>SUM(FD5:FD47)</f>
        <v>12940860000</v>
      </c>
      <c r="FE48" s="147">
        <f t="shared" si="53"/>
        <v>-3445136000</v>
      </c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</row>
    <row r="49" spans="6:208" ht="16" x14ac:dyDescent="0.2"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</row>
    <row r="50" spans="6:208" ht="16" x14ac:dyDescent="0.2"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</row>
    <row r="51" spans="6:208" ht="16" x14ac:dyDescent="0.2"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</row>
    <row r="52" spans="6:208" ht="16" x14ac:dyDescent="0.2"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</row>
    <row r="53" spans="6:208" ht="16" x14ac:dyDescent="0.2"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</row>
    <row r="54" spans="6:208" ht="16" x14ac:dyDescent="0.2"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</row>
    <row r="55" spans="6:208" ht="16" x14ac:dyDescent="0.2"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</row>
    <row r="56" spans="6:208" ht="16" x14ac:dyDescent="0.2"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</row>
    <row r="57" spans="6:208" ht="16" x14ac:dyDescent="0.2"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</row>
    <row r="58" spans="6:208" ht="16" x14ac:dyDescent="0.2"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</row>
    <row r="59" spans="6:208" ht="16" x14ac:dyDescent="0.2"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</row>
    <row r="60" spans="6:208" ht="16" x14ac:dyDescent="0.2"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</row>
  </sheetData>
  <mergeCells count="32">
    <mergeCell ref="A1:FE1"/>
    <mergeCell ref="A3:A4"/>
    <mergeCell ref="B3:B4"/>
    <mergeCell ref="C3:C4"/>
    <mergeCell ref="D3:D4"/>
    <mergeCell ref="E3:E4"/>
    <mergeCell ref="F3:K3"/>
    <mergeCell ref="L3:Q3"/>
    <mergeCell ref="R3:W3"/>
    <mergeCell ref="X3:AC3"/>
    <mergeCell ref="CR3:CW3"/>
    <mergeCell ref="AD3:AI3"/>
    <mergeCell ref="AJ3:AO3"/>
    <mergeCell ref="AP3:AU3"/>
    <mergeCell ref="AV3:BA3"/>
    <mergeCell ref="BB3:BG3"/>
    <mergeCell ref="BH3:BM3"/>
    <mergeCell ref="BN3:BS3"/>
    <mergeCell ref="BT3:BY3"/>
    <mergeCell ref="BZ3:CE3"/>
    <mergeCell ref="CF3:CK3"/>
    <mergeCell ref="CL3:CQ3"/>
    <mergeCell ref="EH3:EM3"/>
    <mergeCell ref="EN3:ES3"/>
    <mergeCell ref="ET3:EY3"/>
    <mergeCell ref="EZ3:FE3"/>
    <mergeCell ref="CX3:DC3"/>
    <mergeCell ref="DD3:DI3"/>
    <mergeCell ref="DJ3:DO3"/>
    <mergeCell ref="DP3:DU3"/>
    <mergeCell ref="DV3:EA3"/>
    <mergeCell ref="EB3:EG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304BA-8F2B-8D41-881C-DCE839828429}">
  <dimension ref="A1:Y120"/>
  <sheetViews>
    <sheetView workbookViewId="0">
      <selection activeCell="H20" sqref="H20"/>
    </sheetView>
  </sheetViews>
  <sheetFormatPr baseColWidth="10" defaultRowHeight="16" x14ac:dyDescent="0.2"/>
  <cols>
    <col min="6" max="6" width="28" bestFit="1" customWidth="1"/>
  </cols>
  <sheetData>
    <row r="1" spans="1:25" ht="16" customHeight="1" x14ac:dyDescent="0.2">
      <c r="A1" s="265" t="s">
        <v>37</v>
      </c>
      <c r="B1" s="265"/>
      <c r="C1" s="265"/>
      <c r="D1" s="148" t="s">
        <v>2</v>
      </c>
      <c r="E1" s="149" t="s">
        <v>1</v>
      </c>
      <c r="F1" s="150" t="s">
        <v>3</v>
      </c>
      <c r="G1" s="266" t="s">
        <v>23</v>
      </c>
      <c r="H1" s="266"/>
      <c r="I1" s="266"/>
      <c r="J1" s="266"/>
      <c r="K1" s="268" t="s">
        <v>21</v>
      </c>
      <c r="L1" s="269"/>
      <c r="M1" s="269"/>
      <c r="N1" s="269"/>
      <c r="O1" s="272" t="s">
        <v>152</v>
      </c>
      <c r="P1" s="274" t="s">
        <v>24</v>
      </c>
      <c r="Q1" s="275"/>
      <c r="R1" s="278" t="s">
        <v>153</v>
      </c>
      <c r="S1" s="279"/>
      <c r="T1" s="279"/>
      <c r="U1" s="279"/>
      <c r="V1" s="246" t="s">
        <v>154</v>
      </c>
      <c r="W1" s="247"/>
      <c r="X1" s="247"/>
      <c r="Y1" s="248"/>
    </row>
    <row r="2" spans="1:25" ht="17" thickBot="1" x14ac:dyDescent="0.25">
      <c r="A2" s="265"/>
      <c r="B2" s="265"/>
      <c r="C2" s="265"/>
      <c r="D2" s="151">
        <v>23</v>
      </c>
      <c r="E2" s="152">
        <v>31</v>
      </c>
      <c r="F2" s="153">
        <f>D2/E2</f>
        <v>0.74193548387096775</v>
      </c>
      <c r="G2" s="267"/>
      <c r="H2" s="267"/>
      <c r="I2" s="267"/>
      <c r="J2" s="267"/>
      <c r="K2" s="270"/>
      <c r="L2" s="271"/>
      <c r="M2" s="271"/>
      <c r="N2" s="271"/>
      <c r="O2" s="273"/>
      <c r="P2" s="276"/>
      <c r="Q2" s="277"/>
      <c r="R2" s="280"/>
      <c r="S2" s="281"/>
      <c r="T2" s="281"/>
      <c r="U2" s="281"/>
      <c r="V2" s="249"/>
      <c r="W2" s="250"/>
      <c r="X2" s="250"/>
      <c r="Y2" s="251"/>
    </row>
    <row r="3" spans="1:25" ht="16" customHeight="1" x14ac:dyDescent="0.2">
      <c r="A3" s="252" t="s">
        <v>16</v>
      </c>
      <c r="B3" s="254" t="s">
        <v>17</v>
      </c>
      <c r="C3" s="256" t="s">
        <v>155</v>
      </c>
      <c r="D3" s="258" t="s">
        <v>20</v>
      </c>
      <c r="E3" s="259" t="s">
        <v>156</v>
      </c>
      <c r="F3" s="259" t="s">
        <v>157</v>
      </c>
      <c r="G3" s="261" t="s">
        <v>158</v>
      </c>
      <c r="H3" s="263" t="s">
        <v>27</v>
      </c>
      <c r="I3" s="263" t="s">
        <v>28</v>
      </c>
      <c r="J3" s="263" t="s">
        <v>159</v>
      </c>
      <c r="K3" s="263" t="s">
        <v>160</v>
      </c>
      <c r="L3" s="263" t="s">
        <v>27</v>
      </c>
      <c r="M3" s="263" t="s">
        <v>28</v>
      </c>
      <c r="N3" s="263" t="s">
        <v>159</v>
      </c>
      <c r="O3" s="284" t="s">
        <v>161</v>
      </c>
      <c r="P3" s="289" t="s">
        <v>162</v>
      </c>
      <c r="Q3" s="289" t="s">
        <v>25</v>
      </c>
      <c r="R3" s="291" t="s">
        <v>163</v>
      </c>
      <c r="S3" s="291"/>
      <c r="T3" s="291" t="s">
        <v>33</v>
      </c>
      <c r="U3" s="291"/>
      <c r="V3" s="282" t="s">
        <v>163</v>
      </c>
      <c r="W3" s="282"/>
      <c r="X3" s="282" t="s">
        <v>33</v>
      </c>
      <c r="Y3" s="283"/>
    </row>
    <row r="4" spans="1:25" ht="17" thickBot="1" x14ac:dyDescent="0.25">
      <c r="A4" s="253"/>
      <c r="B4" s="255"/>
      <c r="C4" s="257"/>
      <c r="D4" s="258"/>
      <c r="E4" s="260"/>
      <c r="F4" s="257"/>
      <c r="G4" s="262"/>
      <c r="H4" s="264"/>
      <c r="I4" s="264"/>
      <c r="J4" s="264"/>
      <c r="K4" s="264"/>
      <c r="L4" s="264"/>
      <c r="M4" s="264"/>
      <c r="N4" s="264"/>
      <c r="O4" s="285"/>
      <c r="P4" s="290"/>
      <c r="Q4" s="290"/>
      <c r="R4" s="18" t="s">
        <v>164</v>
      </c>
      <c r="S4" s="18" t="s">
        <v>302</v>
      </c>
      <c r="T4" s="18" t="s">
        <v>165</v>
      </c>
      <c r="U4" s="18" t="s">
        <v>28</v>
      </c>
      <c r="V4" s="19" t="s">
        <v>164</v>
      </c>
      <c r="W4" s="19" t="s">
        <v>302</v>
      </c>
      <c r="X4" s="19" t="s">
        <v>165</v>
      </c>
      <c r="Y4" s="20" t="s">
        <v>28</v>
      </c>
    </row>
    <row r="5" spans="1:25" ht="18" x14ac:dyDescent="0.2">
      <c r="A5" s="154" t="s">
        <v>166</v>
      </c>
      <c r="B5" s="155">
        <v>6010701</v>
      </c>
      <c r="C5" s="156" t="s">
        <v>43</v>
      </c>
      <c r="D5" s="286">
        <v>6</v>
      </c>
      <c r="E5" s="158" t="s">
        <v>42</v>
      </c>
      <c r="F5" s="159" t="s">
        <v>167</v>
      </c>
      <c r="G5" s="160">
        <f t="shared" ref="G5:G68" si="0">50%*K5</f>
        <v>20</v>
      </c>
      <c r="H5" s="161">
        <f>SUMIF('[1]SALES BY PROMOTOR'!$D:$D,F5,'[1]SALES BY PROMOTOR'!$G:$G)</f>
        <v>10</v>
      </c>
      <c r="I5" s="162">
        <f t="shared" ref="I5:I68" si="1">H5/G5</f>
        <v>0.5</v>
      </c>
      <c r="J5" s="163">
        <f t="shared" ref="J5:J68" si="2">H5/$D$2*$E$2</f>
        <v>13.478260869565217</v>
      </c>
      <c r="K5" s="164">
        <v>40</v>
      </c>
      <c r="L5" s="165">
        <f>SUMIF('[1]SALES BY PROMOTOR'!$D:$D,F5,'[1]SALES BY PROMOTOR'!$I:$I)</f>
        <v>32</v>
      </c>
      <c r="M5" s="166">
        <f t="shared" ref="M5:M68" si="3">L5/K5</f>
        <v>0.8</v>
      </c>
      <c r="N5" s="167">
        <f t="shared" ref="N5:N68" si="4">L5/$D$2*$E$2</f>
        <v>43.130434782608695</v>
      </c>
      <c r="O5" s="168">
        <f t="shared" ref="O5:O68" si="5">IFERROR(H5/L5,0)</f>
        <v>0.3125</v>
      </c>
      <c r="P5" s="169">
        <f>SUMIF('[1]SALES BY PROMOTOR'!$D:$D,F5,'[1]SALES BY PROMOTOR'!$J:$J)</f>
        <v>96968000</v>
      </c>
      <c r="Q5" s="170">
        <f t="shared" ref="Q5:Q68" si="6">IFERROR(P5/L5,0)</f>
        <v>3030250</v>
      </c>
      <c r="R5" s="171">
        <f>IFERROR(VLOOKUP(F5,'[1]Sales By Promotor Last Month'!D:G,4,0),0)</f>
        <v>18</v>
      </c>
      <c r="S5" s="172">
        <f t="shared" ref="S5:S68" si="7">+H5</f>
        <v>10</v>
      </c>
      <c r="T5" s="173">
        <f t="shared" ref="T5:T68" si="8">S5-R5</f>
        <v>-8</v>
      </c>
      <c r="U5" s="166">
        <f t="shared" ref="U5:U68" si="9">IFERROR(T5/R5,0)</f>
        <v>-0.44444444444444442</v>
      </c>
      <c r="V5" s="174">
        <f>IFERROR(VLOOKUP(F5,'[1]Sales By Promotor Last Month'!D:I,6,0),0)</f>
        <v>43</v>
      </c>
      <c r="W5" s="175">
        <f t="shared" ref="W5:W68" si="10">+L5</f>
        <v>32</v>
      </c>
      <c r="X5" s="176">
        <f t="shared" ref="X5:X68" si="11">W5-V5</f>
        <v>-11</v>
      </c>
      <c r="Y5" s="177">
        <f t="shared" ref="Y5:Y68" si="12">IFERROR(X5/V5,0)</f>
        <v>-0.2558139534883721</v>
      </c>
    </row>
    <row r="6" spans="1:25" ht="18" x14ac:dyDescent="0.2">
      <c r="A6" s="178" t="s">
        <v>166</v>
      </c>
      <c r="B6" s="155">
        <v>6010701</v>
      </c>
      <c r="C6" s="159" t="s">
        <v>43</v>
      </c>
      <c r="D6" s="287"/>
      <c r="E6" s="180" t="s">
        <v>42</v>
      </c>
      <c r="F6" s="159" t="s">
        <v>168</v>
      </c>
      <c r="G6" s="160">
        <f t="shared" si="0"/>
        <v>20</v>
      </c>
      <c r="H6" s="161">
        <f>SUMIF('[1]SALES BY PROMOTOR'!$D:$D,F6,'[1]SALES BY PROMOTOR'!$G:$G)</f>
        <v>15</v>
      </c>
      <c r="I6" s="162">
        <f t="shared" si="1"/>
        <v>0.75</v>
      </c>
      <c r="J6" s="163">
        <f t="shared" si="2"/>
        <v>20.217391304347828</v>
      </c>
      <c r="K6" s="164">
        <v>40</v>
      </c>
      <c r="L6" s="165">
        <f>SUMIF('[1]SALES BY PROMOTOR'!$D:$D,F6,'[1]SALES BY PROMOTOR'!$I:$I)</f>
        <v>35</v>
      </c>
      <c r="M6" s="166">
        <f t="shared" si="3"/>
        <v>0.875</v>
      </c>
      <c r="N6" s="167">
        <f t="shared" si="4"/>
        <v>47.173913043478265</v>
      </c>
      <c r="O6" s="181">
        <f t="shared" si="5"/>
        <v>0.42857142857142855</v>
      </c>
      <c r="P6" s="182">
        <f>SUMIF('[1]SALES BY PROMOTOR'!$D:$D,F6,'[1]SALES BY PROMOTOR'!$J:$J)</f>
        <v>116365000</v>
      </c>
      <c r="Q6" s="183">
        <f t="shared" si="6"/>
        <v>3324714.2857142859</v>
      </c>
      <c r="R6" s="184">
        <f>IFERROR(VLOOKUP(F6,'[1]Sales By Promotor Last Month'!D:G,4,0),0)</f>
        <v>12</v>
      </c>
      <c r="S6" s="185">
        <f t="shared" si="7"/>
        <v>15</v>
      </c>
      <c r="T6" s="186">
        <f t="shared" si="8"/>
        <v>3</v>
      </c>
      <c r="U6" s="187">
        <f t="shared" si="9"/>
        <v>0.25</v>
      </c>
      <c r="V6" s="188">
        <f>IFERROR(VLOOKUP(F6,'[1]Sales By Promotor Last Month'!D:I,6,0),0)</f>
        <v>43</v>
      </c>
      <c r="W6" s="189">
        <f t="shared" si="10"/>
        <v>35</v>
      </c>
      <c r="X6" s="190">
        <f t="shared" si="11"/>
        <v>-8</v>
      </c>
      <c r="Y6" s="191">
        <f t="shared" si="12"/>
        <v>-0.18604651162790697</v>
      </c>
    </row>
    <row r="7" spans="1:25" ht="18" x14ac:dyDescent="0.2">
      <c r="A7" s="178" t="s">
        <v>166</v>
      </c>
      <c r="B7" s="155">
        <v>6010701</v>
      </c>
      <c r="C7" s="159" t="s">
        <v>43</v>
      </c>
      <c r="D7" s="287"/>
      <c r="E7" s="180" t="s">
        <v>42</v>
      </c>
      <c r="F7" s="159" t="s">
        <v>169</v>
      </c>
      <c r="G7" s="160">
        <f t="shared" si="0"/>
        <v>20</v>
      </c>
      <c r="H7" s="161">
        <f>SUMIF('[1]SALES BY PROMOTOR'!$D:$D,F7,'[1]SALES BY PROMOTOR'!$G:$G)</f>
        <v>14</v>
      </c>
      <c r="I7" s="162">
        <f t="shared" si="1"/>
        <v>0.7</v>
      </c>
      <c r="J7" s="163">
        <f t="shared" si="2"/>
        <v>18.869565217391305</v>
      </c>
      <c r="K7" s="164">
        <v>40</v>
      </c>
      <c r="L7" s="165">
        <f>SUMIF('[1]SALES BY PROMOTOR'!$D:$D,F7,'[1]SALES BY PROMOTOR'!$I:$I)</f>
        <v>31</v>
      </c>
      <c r="M7" s="166">
        <f t="shared" si="3"/>
        <v>0.77500000000000002</v>
      </c>
      <c r="N7" s="167">
        <f t="shared" si="4"/>
        <v>41.782608695652172</v>
      </c>
      <c r="O7" s="181">
        <f t="shared" si="5"/>
        <v>0.45161290322580644</v>
      </c>
      <c r="P7" s="182">
        <f>SUMIF('[1]SALES BY PROMOTOR'!$D:$D,F7,'[1]SALES BY PROMOTOR'!$J:$J)</f>
        <v>114369000</v>
      </c>
      <c r="Q7" s="183">
        <f t="shared" si="6"/>
        <v>3689322.5806451612</v>
      </c>
      <c r="R7" s="184">
        <f>IFERROR(VLOOKUP(F7,'[1]Sales By Promotor Last Month'!D:G,4,0),0)</f>
        <v>17</v>
      </c>
      <c r="S7" s="185">
        <f t="shared" si="7"/>
        <v>14</v>
      </c>
      <c r="T7" s="186">
        <f t="shared" si="8"/>
        <v>-3</v>
      </c>
      <c r="U7" s="187">
        <f t="shared" si="9"/>
        <v>-0.17647058823529413</v>
      </c>
      <c r="V7" s="188">
        <f>IFERROR(VLOOKUP(F7,'[1]Sales By Promotor Last Month'!D:I,6,0),0)</f>
        <v>46</v>
      </c>
      <c r="W7" s="189">
        <f t="shared" si="10"/>
        <v>31</v>
      </c>
      <c r="X7" s="190">
        <f t="shared" si="11"/>
        <v>-15</v>
      </c>
      <c r="Y7" s="191">
        <f t="shared" si="12"/>
        <v>-0.32608695652173914</v>
      </c>
    </row>
    <row r="8" spans="1:25" ht="18" x14ac:dyDescent="0.2">
      <c r="A8" s="178" t="s">
        <v>166</v>
      </c>
      <c r="B8" s="155">
        <v>6010701</v>
      </c>
      <c r="C8" s="159" t="s">
        <v>43</v>
      </c>
      <c r="D8" s="287"/>
      <c r="E8" s="180" t="s">
        <v>42</v>
      </c>
      <c r="F8" s="159" t="s">
        <v>170</v>
      </c>
      <c r="G8" s="160">
        <f t="shared" si="0"/>
        <v>20</v>
      </c>
      <c r="H8" s="161">
        <f>SUMIF('[1]SALES BY PROMOTOR'!$D:$D,F8,'[1]SALES BY PROMOTOR'!$G:$G)</f>
        <v>16</v>
      </c>
      <c r="I8" s="162">
        <f t="shared" si="1"/>
        <v>0.8</v>
      </c>
      <c r="J8" s="163">
        <f t="shared" si="2"/>
        <v>21.565217391304348</v>
      </c>
      <c r="K8" s="164">
        <v>40</v>
      </c>
      <c r="L8" s="165">
        <f>SUMIF('[1]SALES BY PROMOTOR'!$D:$D,F8,'[1]SALES BY PROMOTOR'!$I:$I)</f>
        <v>31</v>
      </c>
      <c r="M8" s="166">
        <f t="shared" si="3"/>
        <v>0.77500000000000002</v>
      </c>
      <c r="N8" s="167">
        <f t="shared" si="4"/>
        <v>41.782608695652172</v>
      </c>
      <c r="O8" s="181">
        <f t="shared" si="5"/>
        <v>0.5161290322580645</v>
      </c>
      <c r="P8" s="182">
        <f>SUMIF('[1]SALES BY PROMOTOR'!$D:$D,F8,'[1]SALES BY PROMOTOR'!$J:$J)</f>
        <v>133269000</v>
      </c>
      <c r="Q8" s="183">
        <f t="shared" si="6"/>
        <v>4299000</v>
      </c>
      <c r="R8" s="184">
        <f>IFERROR(VLOOKUP(F8,'[1]Sales By Promotor Last Month'!D:G,4,0),0)</f>
        <v>16</v>
      </c>
      <c r="S8" s="185">
        <f t="shared" si="7"/>
        <v>16</v>
      </c>
      <c r="T8" s="186">
        <f t="shared" si="8"/>
        <v>0</v>
      </c>
      <c r="U8" s="187">
        <f t="shared" si="9"/>
        <v>0</v>
      </c>
      <c r="V8" s="188">
        <f>IFERROR(VLOOKUP(F8,'[1]Sales By Promotor Last Month'!D:I,6,0),0)</f>
        <v>40</v>
      </c>
      <c r="W8" s="189">
        <f t="shared" si="10"/>
        <v>31</v>
      </c>
      <c r="X8" s="190">
        <f t="shared" si="11"/>
        <v>-9</v>
      </c>
      <c r="Y8" s="191">
        <f t="shared" si="12"/>
        <v>-0.22500000000000001</v>
      </c>
    </row>
    <row r="9" spans="1:25" ht="18" x14ac:dyDescent="0.2">
      <c r="A9" s="178" t="s">
        <v>166</v>
      </c>
      <c r="B9" s="155">
        <v>6010701</v>
      </c>
      <c r="C9" s="159" t="s">
        <v>43</v>
      </c>
      <c r="D9" s="287"/>
      <c r="E9" s="180" t="s">
        <v>42</v>
      </c>
      <c r="F9" s="159" t="s">
        <v>171</v>
      </c>
      <c r="G9" s="160">
        <f t="shared" si="0"/>
        <v>20</v>
      </c>
      <c r="H9" s="161">
        <f>SUMIF('[1]SALES BY PROMOTOR'!$D:$D,F9,'[1]SALES BY PROMOTOR'!$G:$G)</f>
        <v>9</v>
      </c>
      <c r="I9" s="162">
        <f t="shared" si="1"/>
        <v>0.45</v>
      </c>
      <c r="J9" s="163">
        <f t="shared" si="2"/>
        <v>12.130434782608695</v>
      </c>
      <c r="K9" s="164">
        <v>40</v>
      </c>
      <c r="L9" s="165">
        <f>SUMIF('[1]SALES BY PROMOTOR'!$D:$D,F9,'[1]SALES BY PROMOTOR'!$I:$I)</f>
        <v>35</v>
      </c>
      <c r="M9" s="166">
        <f t="shared" si="3"/>
        <v>0.875</v>
      </c>
      <c r="N9" s="167">
        <f t="shared" si="4"/>
        <v>47.173913043478265</v>
      </c>
      <c r="O9" s="181">
        <f t="shared" si="5"/>
        <v>0.25714285714285712</v>
      </c>
      <c r="P9" s="182">
        <f>SUMIF('[1]SALES BY PROMOTOR'!$D:$D,F9,'[1]SALES BY PROMOTOR'!$J:$J)</f>
        <v>111565000</v>
      </c>
      <c r="Q9" s="183">
        <f t="shared" si="6"/>
        <v>3187571.4285714286</v>
      </c>
      <c r="R9" s="184">
        <f>IFERROR(VLOOKUP(F9,'[1]Sales By Promotor Last Month'!D:G,4,0),0)</f>
        <v>16</v>
      </c>
      <c r="S9" s="185">
        <f t="shared" si="7"/>
        <v>9</v>
      </c>
      <c r="T9" s="186">
        <f t="shared" si="8"/>
        <v>-7</v>
      </c>
      <c r="U9" s="187">
        <f t="shared" si="9"/>
        <v>-0.4375</v>
      </c>
      <c r="V9" s="188">
        <f>IFERROR(VLOOKUP(F9,'[1]Sales By Promotor Last Month'!D:I,6,0),0)</f>
        <v>42</v>
      </c>
      <c r="W9" s="189">
        <f t="shared" si="10"/>
        <v>35</v>
      </c>
      <c r="X9" s="190">
        <f t="shared" si="11"/>
        <v>-7</v>
      </c>
      <c r="Y9" s="191">
        <f t="shared" si="12"/>
        <v>-0.16666666666666666</v>
      </c>
    </row>
    <row r="10" spans="1:25" ht="18" x14ac:dyDescent="0.2">
      <c r="A10" s="178" t="s">
        <v>166</v>
      </c>
      <c r="B10" s="155">
        <v>6010701</v>
      </c>
      <c r="C10" s="159" t="s">
        <v>43</v>
      </c>
      <c r="D10" s="288"/>
      <c r="E10" s="180" t="s">
        <v>42</v>
      </c>
      <c r="F10" s="159" t="s">
        <v>172</v>
      </c>
      <c r="G10" s="160">
        <f t="shared" si="0"/>
        <v>20</v>
      </c>
      <c r="H10" s="161">
        <f>SUMIF('[1]SALES BY PROMOTOR'!$D:$D,F10,'[1]SALES BY PROMOTOR'!$G:$G)</f>
        <v>24</v>
      </c>
      <c r="I10" s="162">
        <f t="shared" si="1"/>
        <v>1.2</v>
      </c>
      <c r="J10" s="163">
        <f t="shared" si="2"/>
        <v>32.347826086956523</v>
      </c>
      <c r="K10" s="164">
        <v>40</v>
      </c>
      <c r="L10" s="165">
        <f>SUMIF('[1]SALES BY PROMOTOR'!$D:$D,F10,'[1]SALES BY PROMOTOR'!$I:$I)</f>
        <v>42</v>
      </c>
      <c r="M10" s="166">
        <f t="shared" si="3"/>
        <v>1.05</v>
      </c>
      <c r="N10" s="167">
        <f t="shared" si="4"/>
        <v>56.608695652173907</v>
      </c>
      <c r="O10" s="181">
        <f t="shared" si="5"/>
        <v>0.5714285714285714</v>
      </c>
      <c r="P10" s="182">
        <f>SUMIF('[1]SALES BY PROMOTOR'!$D:$D,F10,'[1]SALES BY PROMOTOR'!$J:$J)</f>
        <v>182658000</v>
      </c>
      <c r="Q10" s="183">
        <f t="shared" si="6"/>
        <v>4349000</v>
      </c>
      <c r="R10" s="184">
        <f>IFERROR(VLOOKUP(F10,'[1]Sales By Promotor Last Month'!D:G,4,0),0)</f>
        <v>30</v>
      </c>
      <c r="S10" s="185">
        <f t="shared" si="7"/>
        <v>24</v>
      </c>
      <c r="T10" s="186">
        <f t="shared" si="8"/>
        <v>-6</v>
      </c>
      <c r="U10" s="187">
        <f t="shared" si="9"/>
        <v>-0.2</v>
      </c>
      <c r="V10" s="188">
        <f>IFERROR(VLOOKUP(F10,'[1]Sales By Promotor Last Month'!D:I,6,0),0)</f>
        <v>56</v>
      </c>
      <c r="W10" s="189">
        <f t="shared" si="10"/>
        <v>42</v>
      </c>
      <c r="X10" s="190">
        <f t="shared" si="11"/>
        <v>-14</v>
      </c>
      <c r="Y10" s="191">
        <f t="shared" si="12"/>
        <v>-0.25</v>
      </c>
    </row>
    <row r="11" spans="1:25" ht="18" x14ac:dyDescent="0.2">
      <c r="A11" s="178" t="s">
        <v>166</v>
      </c>
      <c r="B11" s="155">
        <v>6010702</v>
      </c>
      <c r="C11" s="159" t="s">
        <v>43</v>
      </c>
      <c r="D11" s="286">
        <v>6</v>
      </c>
      <c r="E11" s="180" t="s">
        <v>44</v>
      </c>
      <c r="F11" s="159" t="s">
        <v>173</v>
      </c>
      <c r="G11" s="160">
        <f t="shared" si="0"/>
        <v>20</v>
      </c>
      <c r="H11" s="161">
        <f>SUMIF('[1]SALES BY PROMOTOR'!$D:$D,F11,'[1]SALES BY PROMOTOR'!$G:$G)</f>
        <v>9</v>
      </c>
      <c r="I11" s="162">
        <f t="shared" si="1"/>
        <v>0.45</v>
      </c>
      <c r="J11" s="163">
        <f t="shared" si="2"/>
        <v>12.130434782608695</v>
      </c>
      <c r="K11" s="164">
        <v>40</v>
      </c>
      <c r="L11" s="165">
        <f>SUMIF('[1]SALES BY PROMOTOR'!$D:$D,F11,'[1]SALES BY PROMOTOR'!$I:$I)</f>
        <v>39</v>
      </c>
      <c r="M11" s="166">
        <f t="shared" si="3"/>
        <v>0.97499999999999998</v>
      </c>
      <c r="N11" s="167">
        <f t="shared" si="4"/>
        <v>52.565217391304344</v>
      </c>
      <c r="O11" s="181">
        <f t="shared" si="5"/>
        <v>0.23076923076923078</v>
      </c>
      <c r="P11" s="182">
        <f>SUMIF('[1]SALES BY PROMOTOR'!$D:$D,F11,'[1]SALES BY PROMOTOR'!$J:$J)</f>
        <v>119861000</v>
      </c>
      <c r="Q11" s="183">
        <f t="shared" si="6"/>
        <v>3073358.9743589745</v>
      </c>
      <c r="R11" s="184">
        <f>IFERROR(VLOOKUP(F11,'[1]Sales By Promotor Last Month'!D:G,4,0),0)</f>
        <v>25</v>
      </c>
      <c r="S11" s="185">
        <f t="shared" si="7"/>
        <v>9</v>
      </c>
      <c r="T11" s="186">
        <f t="shared" si="8"/>
        <v>-16</v>
      </c>
      <c r="U11" s="187">
        <f t="shared" si="9"/>
        <v>-0.64</v>
      </c>
      <c r="V11" s="188">
        <f>IFERROR(VLOOKUP(F11,'[1]Sales By Promotor Last Month'!D:I,6,0),0)</f>
        <v>50</v>
      </c>
      <c r="W11" s="189">
        <f t="shared" si="10"/>
        <v>39</v>
      </c>
      <c r="X11" s="190">
        <f t="shared" si="11"/>
        <v>-11</v>
      </c>
      <c r="Y11" s="191">
        <f t="shared" si="12"/>
        <v>-0.22</v>
      </c>
    </row>
    <row r="12" spans="1:25" ht="18" x14ac:dyDescent="0.2">
      <c r="A12" s="178" t="s">
        <v>166</v>
      </c>
      <c r="B12" s="155">
        <v>6010702</v>
      </c>
      <c r="C12" s="159" t="s">
        <v>43</v>
      </c>
      <c r="D12" s="287"/>
      <c r="E12" s="180" t="s">
        <v>44</v>
      </c>
      <c r="F12" s="159" t="s">
        <v>174</v>
      </c>
      <c r="G12" s="160">
        <f t="shared" si="0"/>
        <v>20</v>
      </c>
      <c r="H12" s="161">
        <f>SUMIF('[1]SALES BY PROMOTOR'!$D:$D,F12,'[1]SALES BY PROMOTOR'!$G:$G)</f>
        <v>14</v>
      </c>
      <c r="I12" s="162">
        <f t="shared" si="1"/>
        <v>0.7</v>
      </c>
      <c r="J12" s="163">
        <f t="shared" si="2"/>
        <v>18.869565217391305</v>
      </c>
      <c r="K12" s="164">
        <v>40</v>
      </c>
      <c r="L12" s="165">
        <f>SUMIF('[1]SALES BY PROMOTOR'!$D:$D,F12,'[1]SALES BY PROMOTOR'!$I:$I)</f>
        <v>44</v>
      </c>
      <c r="M12" s="166">
        <f t="shared" si="3"/>
        <v>1.1000000000000001</v>
      </c>
      <c r="N12" s="167">
        <f t="shared" si="4"/>
        <v>59.304347826086961</v>
      </c>
      <c r="O12" s="181">
        <f t="shared" si="5"/>
        <v>0.31818181818181818</v>
      </c>
      <c r="P12" s="182">
        <f>SUMIF('[1]SALES BY PROMOTOR'!$D:$D,F12,'[1]SALES BY PROMOTOR'!$J:$J)</f>
        <v>137056000</v>
      </c>
      <c r="Q12" s="183">
        <f t="shared" si="6"/>
        <v>3114909.0909090908</v>
      </c>
      <c r="R12" s="184">
        <f>IFERROR(VLOOKUP(F12,'[1]Sales By Promotor Last Month'!D:G,4,0),0)</f>
        <v>9</v>
      </c>
      <c r="S12" s="185">
        <f t="shared" si="7"/>
        <v>14</v>
      </c>
      <c r="T12" s="186">
        <f t="shared" si="8"/>
        <v>5</v>
      </c>
      <c r="U12" s="187">
        <f t="shared" si="9"/>
        <v>0.55555555555555558</v>
      </c>
      <c r="V12" s="188">
        <f>IFERROR(VLOOKUP(F12,'[1]Sales By Promotor Last Month'!D:I,6,0),0)</f>
        <v>55</v>
      </c>
      <c r="W12" s="189">
        <f t="shared" si="10"/>
        <v>44</v>
      </c>
      <c r="X12" s="190">
        <f t="shared" si="11"/>
        <v>-11</v>
      </c>
      <c r="Y12" s="191">
        <f t="shared" si="12"/>
        <v>-0.2</v>
      </c>
    </row>
    <row r="13" spans="1:25" ht="18" x14ac:dyDescent="0.2">
      <c r="A13" s="178" t="s">
        <v>166</v>
      </c>
      <c r="B13" s="155">
        <v>6010702</v>
      </c>
      <c r="C13" s="159" t="s">
        <v>43</v>
      </c>
      <c r="D13" s="287"/>
      <c r="E13" s="180" t="s">
        <v>44</v>
      </c>
      <c r="F13" s="159" t="s">
        <v>175</v>
      </c>
      <c r="G13" s="160">
        <f t="shared" si="0"/>
        <v>20</v>
      </c>
      <c r="H13" s="161">
        <f>SUMIF('[1]SALES BY PROMOTOR'!$D:$D,F13,'[1]SALES BY PROMOTOR'!$G:$G)</f>
        <v>13</v>
      </c>
      <c r="I13" s="162">
        <f t="shared" si="1"/>
        <v>0.65</v>
      </c>
      <c r="J13" s="163">
        <f t="shared" si="2"/>
        <v>17.521739130434781</v>
      </c>
      <c r="K13" s="164">
        <v>40</v>
      </c>
      <c r="L13" s="165">
        <f>SUMIF('[1]SALES BY PROMOTOR'!$D:$D,F13,'[1]SALES BY PROMOTOR'!$I:$I)</f>
        <v>36</v>
      </c>
      <c r="M13" s="166">
        <f t="shared" si="3"/>
        <v>0.9</v>
      </c>
      <c r="N13" s="167">
        <f t="shared" si="4"/>
        <v>48.521739130434781</v>
      </c>
      <c r="O13" s="181">
        <f t="shared" si="5"/>
        <v>0.3611111111111111</v>
      </c>
      <c r="P13" s="182">
        <f>SUMIF('[1]SALES BY PROMOTOR'!$D:$D,F13,'[1]SALES BY PROMOTOR'!$J:$J)</f>
        <v>122364000</v>
      </c>
      <c r="Q13" s="183">
        <f t="shared" si="6"/>
        <v>3399000</v>
      </c>
      <c r="R13" s="184">
        <f>IFERROR(VLOOKUP(F13,'[1]Sales By Promotor Last Month'!D:G,4,0),0)</f>
        <v>18</v>
      </c>
      <c r="S13" s="185">
        <f t="shared" si="7"/>
        <v>13</v>
      </c>
      <c r="T13" s="186">
        <f t="shared" si="8"/>
        <v>-5</v>
      </c>
      <c r="U13" s="187">
        <f t="shared" si="9"/>
        <v>-0.27777777777777779</v>
      </c>
      <c r="V13" s="188">
        <f>IFERROR(VLOOKUP(F13,'[1]Sales By Promotor Last Month'!D:I,6,0),0)</f>
        <v>52</v>
      </c>
      <c r="W13" s="189">
        <f t="shared" si="10"/>
        <v>36</v>
      </c>
      <c r="X13" s="190">
        <f t="shared" si="11"/>
        <v>-16</v>
      </c>
      <c r="Y13" s="191">
        <f t="shared" si="12"/>
        <v>-0.30769230769230771</v>
      </c>
    </row>
    <row r="14" spans="1:25" ht="18" x14ac:dyDescent="0.2">
      <c r="A14" s="178" t="s">
        <v>166</v>
      </c>
      <c r="B14" s="155">
        <v>6010702</v>
      </c>
      <c r="C14" s="159" t="s">
        <v>43</v>
      </c>
      <c r="D14" s="287"/>
      <c r="E14" s="180" t="s">
        <v>44</v>
      </c>
      <c r="F14" s="159" t="s">
        <v>176</v>
      </c>
      <c r="G14" s="160">
        <f t="shared" si="0"/>
        <v>20</v>
      </c>
      <c r="H14" s="161">
        <f>SUMIF('[1]SALES BY PROMOTOR'!$D:$D,F14,'[1]SALES BY PROMOTOR'!$G:$G)</f>
        <v>7</v>
      </c>
      <c r="I14" s="162">
        <f t="shared" si="1"/>
        <v>0.35</v>
      </c>
      <c r="J14" s="163">
        <f t="shared" si="2"/>
        <v>9.4347826086956523</v>
      </c>
      <c r="K14" s="164">
        <v>40</v>
      </c>
      <c r="L14" s="165">
        <f>SUMIF('[1]SALES BY PROMOTOR'!$D:$D,F14,'[1]SALES BY PROMOTOR'!$I:$I)</f>
        <v>31</v>
      </c>
      <c r="M14" s="166">
        <f t="shared" si="3"/>
        <v>0.77500000000000002</v>
      </c>
      <c r="N14" s="167">
        <f t="shared" si="4"/>
        <v>41.782608695652172</v>
      </c>
      <c r="O14" s="181">
        <f t="shared" si="5"/>
        <v>0.22580645161290322</v>
      </c>
      <c r="P14" s="182">
        <f>SUMIF('[1]SALES BY PROMOTOR'!$D:$D,F14,'[1]SALES BY PROMOTOR'!$J:$J)</f>
        <v>92569000</v>
      </c>
      <c r="Q14" s="183">
        <f t="shared" si="6"/>
        <v>2986096.7741935486</v>
      </c>
      <c r="R14" s="184">
        <f>IFERROR(VLOOKUP(F14,'[1]Sales By Promotor Last Month'!D:G,4,0),0)</f>
        <v>15</v>
      </c>
      <c r="S14" s="185">
        <f t="shared" si="7"/>
        <v>7</v>
      </c>
      <c r="T14" s="186">
        <f t="shared" si="8"/>
        <v>-8</v>
      </c>
      <c r="U14" s="187">
        <f t="shared" si="9"/>
        <v>-0.53333333333333333</v>
      </c>
      <c r="V14" s="188">
        <f>IFERROR(VLOOKUP(F14,'[1]Sales By Promotor Last Month'!D:I,6,0),0)</f>
        <v>40</v>
      </c>
      <c r="W14" s="189">
        <f t="shared" si="10"/>
        <v>31</v>
      </c>
      <c r="X14" s="190">
        <f t="shared" si="11"/>
        <v>-9</v>
      </c>
      <c r="Y14" s="191">
        <f t="shared" si="12"/>
        <v>-0.22500000000000001</v>
      </c>
    </row>
    <row r="15" spans="1:25" ht="18" x14ac:dyDescent="0.2">
      <c r="A15" s="178" t="s">
        <v>166</v>
      </c>
      <c r="B15" s="155">
        <v>6010702</v>
      </c>
      <c r="C15" s="159" t="s">
        <v>43</v>
      </c>
      <c r="D15" s="287"/>
      <c r="E15" s="180" t="s">
        <v>44</v>
      </c>
      <c r="F15" s="159" t="s">
        <v>177</v>
      </c>
      <c r="G15" s="160">
        <f t="shared" si="0"/>
        <v>20</v>
      </c>
      <c r="H15" s="161">
        <f>SUMIF('[1]SALES BY PROMOTOR'!$D:$D,F15,'[1]SALES BY PROMOTOR'!$G:$G)</f>
        <v>5</v>
      </c>
      <c r="I15" s="162">
        <f t="shared" si="1"/>
        <v>0.25</v>
      </c>
      <c r="J15" s="163">
        <f t="shared" si="2"/>
        <v>6.7391304347826084</v>
      </c>
      <c r="K15" s="164">
        <v>40</v>
      </c>
      <c r="L15" s="165">
        <f>SUMIF('[1]SALES BY PROMOTOR'!$D:$D,F15,'[1]SALES BY PROMOTOR'!$I:$I)</f>
        <v>38</v>
      </c>
      <c r="M15" s="166">
        <f t="shared" si="3"/>
        <v>0.95</v>
      </c>
      <c r="N15" s="167">
        <f t="shared" si="4"/>
        <v>51.217391304347828</v>
      </c>
      <c r="O15" s="181">
        <f t="shared" si="5"/>
        <v>0.13157894736842105</v>
      </c>
      <c r="P15" s="182">
        <f>SUMIF('[1]SALES BY PROMOTOR'!$D:$D,F15,'[1]SALES BY PROMOTOR'!$J:$J)</f>
        <v>100262000</v>
      </c>
      <c r="Q15" s="183">
        <f t="shared" si="6"/>
        <v>2638473.6842105263</v>
      </c>
      <c r="R15" s="184">
        <f>IFERROR(VLOOKUP(F15,'[1]Sales By Promotor Last Month'!D:G,4,0),0)</f>
        <v>15</v>
      </c>
      <c r="S15" s="185">
        <f t="shared" si="7"/>
        <v>5</v>
      </c>
      <c r="T15" s="186">
        <f t="shared" si="8"/>
        <v>-10</v>
      </c>
      <c r="U15" s="187">
        <f t="shared" si="9"/>
        <v>-0.66666666666666663</v>
      </c>
      <c r="V15" s="188">
        <f>IFERROR(VLOOKUP(F15,'[1]Sales By Promotor Last Month'!D:I,6,0),0)</f>
        <v>43</v>
      </c>
      <c r="W15" s="189">
        <f t="shared" si="10"/>
        <v>38</v>
      </c>
      <c r="X15" s="190">
        <f t="shared" si="11"/>
        <v>-5</v>
      </c>
      <c r="Y15" s="191">
        <f t="shared" si="12"/>
        <v>-0.11627906976744186</v>
      </c>
    </row>
    <row r="16" spans="1:25" ht="18" x14ac:dyDescent="0.2">
      <c r="A16" s="178" t="s">
        <v>166</v>
      </c>
      <c r="B16" s="155">
        <v>6010702</v>
      </c>
      <c r="C16" s="159" t="s">
        <v>43</v>
      </c>
      <c r="D16" s="288"/>
      <c r="E16" s="180" t="s">
        <v>44</v>
      </c>
      <c r="F16" s="159" t="s">
        <v>178</v>
      </c>
      <c r="G16" s="160">
        <f t="shared" si="0"/>
        <v>20</v>
      </c>
      <c r="H16" s="161">
        <f>SUMIF('[1]SALES BY PROMOTOR'!$D:$D,F16,'[1]SALES BY PROMOTOR'!$G:$G)</f>
        <v>5</v>
      </c>
      <c r="I16" s="162">
        <f t="shared" si="1"/>
        <v>0.25</v>
      </c>
      <c r="J16" s="163">
        <f t="shared" si="2"/>
        <v>6.7391304347826084</v>
      </c>
      <c r="K16" s="164">
        <v>40</v>
      </c>
      <c r="L16" s="165">
        <f>SUMIF('[1]SALES BY PROMOTOR'!$D:$D,F16,'[1]SALES BY PROMOTOR'!$I:$I)</f>
        <v>33</v>
      </c>
      <c r="M16" s="166">
        <f t="shared" si="3"/>
        <v>0.82499999999999996</v>
      </c>
      <c r="N16" s="167">
        <f t="shared" si="4"/>
        <v>44.478260869565219</v>
      </c>
      <c r="O16" s="181">
        <f t="shared" si="5"/>
        <v>0.15151515151515152</v>
      </c>
      <c r="P16" s="182">
        <f>SUMIF('[1]SALES BY PROMOTOR'!$D:$D,F16,'[1]SALES BY PROMOTOR'!$J:$J)</f>
        <v>92267000</v>
      </c>
      <c r="Q16" s="183">
        <f t="shared" si="6"/>
        <v>2795969.6969696968</v>
      </c>
      <c r="R16" s="184">
        <f>IFERROR(VLOOKUP(F16,'[1]Sales By Promotor Last Month'!D:G,4,0),0)</f>
        <v>9</v>
      </c>
      <c r="S16" s="185">
        <f t="shared" si="7"/>
        <v>5</v>
      </c>
      <c r="T16" s="186">
        <f t="shared" si="8"/>
        <v>-4</v>
      </c>
      <c r="U16" s="187">
        <f t="shared" si="9"/>
        <v>-0.44444444444444442</v>
      </c>
      <c r="V16" s="188">
        <f>IFERROR(VLOOKUP(F16,'[1]Sales By Promotor Last Month'!D:I,6,0),0)</f>
        <v>30</v>
      </c>
      <c r="W16" s="189">
        <f t="shared" si="10"/>
        <v>33</v>
      </c>
      <c r="X16" s="190">
        <f t="shared" si="11"/>
        <v>3</v>
      </c>
      <c r="Y16" s="191">
        <f t="shared" si="12"/>
        <v>0.1</v>
      </c>
    </row>
    <row r="17" spans="1:25" ht="18" x14ac:dyDescent="0.2">
      <c r="A17" s="178" t="s">
        <v>166</v>
      </c>
      <c r="B17" s="155">
        <v>6010703</v>
      </c>
      <c r="C17" s="159" t="s">
        <v>46</v>
      </c>
      <c r="D17" s="286">
        <v>3</v>
      </c>
      <c r="E17" s="180" t="s">
        <v>45</v>
      </c>
      <c r="F17" s="159" t="s">
        <v>179</v>
      </c>
      <c r="G17" s="160">
        <f t="shared" si="0"/>
        <v>20</v>
      </c>
      <c r="H17" s="161">
        <f>SUMIF('[1]SALES BY PROMOTOR'!$D:$D,F17,'[1]SALES BY PROMOTOR'!$G:$G)</f>
        <v>9</v>
      </c>
      <c r="I17" s="162">
        <f t="shared" si="1"/>
        <v>0.45</v>
      </c>
      <c r="J17" s="163">
        <f t="shared" si="2"/>
        <v>12.130434782608695</v>
      </c>
      <c r="K17" s="164">
        <v>40</v>
      </c>
      <c r="L17" s="165">
        <f>SUMIF('[1]SALES BY PROMOTOR'!$D:$D,F17,'[1]SALES BY PROMOTOR'!$I:$I)</f>
        <v>44</v>
      </c>
      <c r="M17" s="166">
        <f t="shared" si="3"/>
        <v>1.1000000000000001</v>
      </c>
      <c r="N17" s="167">
        <f t="shared" si="4"/>
        <v>59.304347826086961</v>
      </c>
      <c r="O17" s="181">
        <f t="shared" si="5"/>
        <v>0.20454545454545456</v>
      </c>
      <c r="P17" s="182">
        <f>SUMIF('[1]SALES BY PROMOTOR'!$D:$D,F17,'[1]SALES BY PROMOTOR'!$J:$J)</f>
        <v>115356000</v>
      </c>
      <c r="Q17" s="183">
        <f t="shared" si="6"/>
        <v>2621727.2727272729</v>
      </c>
      <c r="R17" s="184">
        <f>IFERROR(VLOOKUP(F17,'[1]Sales By Promotor Last Month'!D:G,4,0),0)</f>
        <v>10</v>
      </c>
      <c r="S17" s="185">
        <f t="shared" si="7"/>
        <v>9</v>
      </c>
      <c r="T17" s="186">
        <f t="shared" si="8"/>
        <v>-1</v>
      </c>
      <c r="U17" s="187">
        <f t="shared" si="9"/>
        <v>-0.1</v>
      </c>
      <c r="V17" s="188">
        <f>IFERROR(VLOOKUP(F17,'[1]Sales By Promotor Last Month'!D:I,6,0),0)</f>
        <v>45</v>
      </c>
      <c r="W17" s="189">
        <f t="shared" si="10"/>
        <v>44</v>
      </c>
      <c r="X17" s="190">
        <f t="shared" si="11"/>
        <v>-1</v>
      </c>
      <c r="Y17" s="191">
        <f t="shared" si="12"/>
        <v>-2.2222222222222223E-2</v>
      </c>
    </row>
    <row r="18" spans="1:25" ht="18" x14ac:dyDescent="0.2">
      <c r="A18" s="178" t="s">
        <v>166</v>
      </c>
      <c r="B18" s="155">
        <v>6010703</v>
      </c>
      <c r="C18" s="159" t="s">
        <v>46</v>
      </c>
      <c r="D18" s="287"/>
      <c r="E18" s="180" t="s">
        <v>45</v>
      </c>
      <c r="F18" s="159" t="s">
        <v>180</v>
      </c>
      <c r="G18" s="160">
        <f t="shared" si="0"/>
        <v>20</v>
      </c>
      <c r="H18" s="161">
        <f>SUMIF('[1]SALES BY PROMOTOR'!$D:$D,F18,'[1]SALES BY PROMOTOR'!$G:$G)</f>
        <v>2</v>
      </c>
      <c r="I18" s="162">
        <f t="shared" si="1"/>
        <v>0.1</v>
      </c>
      <c r="J18" s="163">
        <f t="shared" si="2"/>
        <v>2.6956521739130435</v>
      </c>
      <c r="K18" s="164">
        <v>40</v>
      </c>
      <c r="L18" s="165">
        <f>SUMIF('[1]SALES BY PROMOTOR'!$D:$D,F18,'[1]SALES BY PROMOTOR'!$I:$I)</f>
        <v>30</v>
      </c>
      <c r="M18" s="166">
        <f t="shared" si="3"/>
        <v>0.75</v>
      </c>
      <c r="N18" s="167">
        <f t="shared" si="4"/>
        <v>40.434782608695656</v>
      </c>
      <c r="O18" s="181">
        <f t="shared" si="5"/>
        <v>6.6666666666666666E-2</v>
      </c>
      <c r="P18" s="182">
        <f>SUMIF('[1]SALES BY PROMOTOR'!$D:$D,F18,'[1]SALES BY PROMOTOR'!$J:$J)</f>
        <v>72070000</v>
      </c>
      <c r="Q18" s="183">
        <f t="shared" si="6"/>
        <v>2402333.3333333335</v>
      </c>
      <c r="R18" s="184">
        <f>IFERROR(VLOOKUP(F18,'[1]Sales By Promotor Last Month'!D:G,4,0),0)</f>
        <v>5</v>
      </c>
      <c r="S18" s="185">
        <f t="shared" si="7"/>
        <v>2</v>
      </c>
      <c r="T18" s="186">
        <f t="shared" si="8"/>
        <v>-3</v>
      </c>
      <c r="U18" s="187">
        <f t="shared" si="9"/>
        <v>-0.6</v>
      </c>
      <c r="V18" s="188">
        <f>IFERROR(VLOOKUP(F18,'[1]Sales By Promotor Last Month'!D:I,6,0),0)</f>
        <v>32</v>
      </c>
      <c r="W18" s="189">
        <f t="shared" si="10"/>
        <v>30</v>
      </c>
      <c r="X18" s="190">
        <f t="shared" si="11"/>
        <v>-2</v>
      </c>
      <c r="Y18" s="191">
        <f t="shared" si="12"/>
        <v>-6.25E-2</v>
      </c>
    </row>
    <row r="19" spans="1:25" ht="18" x14ac:dyDescent="0.2">
      <c r="A19" s="178" t="s">
        <v>166</v>
      </c>
      <c r="B19" s="155">
        <v>6010703</v>
      </c>
      <c r="C19" s="159" t="s">
        <v>46</v>
      </c>
      <c r="D19" s="288"/>
      <c r="E19" s="180" t="s">
        <v>45</v>
      </c>
      <c r="F19" s="159" t="s">
        <v>187</v>
      </c>
      <c r="G19" s="160">
        <f t="shared" si="0"/>
        <v>20</v>
      </c>
      <c r="H19" s="161">
        <f>SUMIF('[1]SALES BY PROMOTOR'!$D:$D,F19,'[1]SALES BY PROMOTOR'!$G:$G)</f>
        <v>5</v>
      </c>
      <c r="I19" s="162">
        <f t="shared" si="1"/>
        <v>0.25</v>
      </c>
      <c r="J19" s="163">
        <f t="shared" si="2"/>
        <v>6.7391304347826084</v>
      </c>
      <c r="K19" s="164">
        <v>40</v>
      </c>
      <c r="L19" s="165">
        <f>SUMIF('[1]SALES BY PROMOTOR'!$D:$D,F19,'[1]SALES BY PROMOTOR'!$I:$I)</f>
        <v>41</v>
      </c>
      <c r="M19" s="166">
        <f t="shared" si="3"/>
        <v>1.0249999999999999</v>
      </c>
      <c r="N19" s="167">
        <f t="shared" si="4"/>
        <v>55.260869565217391</v>
      </c>
      <c r="O19" s="181">
        <f t="shared" si="5"/>
        <v>0.12195121951219512</v>
      </c>
      <c r="P19" s="182">
        <f>SUMIF('[1]SALES BY PROMOTOR'!$D:$D,F19,'[1]SALES BY PROMOTOR'!$J:$J)</f>
        <v>107959000</v>
      </c>
      <c r="Q19" s="183">
        <f t="shared" si="6"/>
        <v>2633146.3414634145</v>
      </c>
      <c r="R19" s="184">
        <f>IFERROR(VLOOKUP(F19,'[1]Sales By Promotor Last Month'!D:G,4,0),0)</f>
        <v>9</v>
      </c>
      <c r="S19" s="185">
        <f t="shared" si="7"/>
        <v>5</v>
      </c>
      <c r="T19" s="186">
        <f t="shared" si="8"/>
        <v>-4</v>
      </c>
      <c r="U19" s="187">
        <f t="shared" si="9"/>
        <v>-0.44444444444444442</v>
      </c>
      <c r="V19" s="188">
        <f>IFERROR(VLOOKUP(F19,'[1]Sales By Promotor Last Month'!D:I,6,0),0)</f>
        <v>43</v>
      </c>
      <c r="W19" s="189">
        <f t="shared" si="10"/>
        <v>41</v>
      </c>
      <c r="X19" s="190">
        <f t="shared" si="11"/>
        <v>-2</v>
      </c>
      <c r="Y19" s="191">
        <f t="shared" si="12"/>
        <v>-4.6511627906976744E-2</v>
      </c>
    </row>
    <row r="20" spans="1:25" ht="18" x14ac:dyDescent="0.2">
      <c r="A20" s="178" t="s">
        <v>166</v>
      </c>
      <c r="B20" s="155">
        <v>6010708</v>
      </c>
      <c r="C20" s="159" t="s">
        <v>41</v>
      </c>
      <c r="D20" s="286">
        <v>3</v>
      </c>
      <c r="E20" s="180" t="s">
        <v>40</v>
      </c>
      <c r="F20" s="159" t="s">
        <v>195</v>
      </c>
      <c r="G20" s="160">
        <f t="shared" si="0"/>
        <v>17.5</v>
      </c>
      <c r="H20" s="161">
        <f>SUMIF('[1]SALES BY PROMOTOR'!$D:$D,F20,'[1]SALES BY PROMOTOR'!$G:$G)</f>
        <v>10</v>
      </c>
      <c r="I20" s="162">
        <f t="shared" si="1"/>
        <v>0.5714285714285714</v>
      </c>
      <c r="J20" s="163">
        <f t="shared" si="2"/>
        <v>13.478260869565217</v>
      </c>
      <c r="K20" s="164">
        <v>35</v>
      </c>
      <c r="L20" s="165">
        <f>SUMIF('[1]SALES BY PROMOTOR'!$D:$D,F20,'[1]SALES BY PROMOTOR'!$I:$I)</f>
        <v>15</v>
      </c>
      <c r="M20" s="166">
        <f t="shared" si="3"/>
        <v>0.42857142857142855</v>
      </c>
      <c r="N20" s="167">
        <f t="shared" si="4"/>
        <v>20.217391304347828</v>
      </c>
      <c r="O20" s="181">
        <f t="shared" si="5"/>
        <v>0.66666666666666663</v>
      </c>
      <c r="P20" s="182">
        <f>SUMIF('[1]SALES BY PROMOTOR'!$D:$D,F20,'[1]SALES BY PROMOTOR'!$J:$J)</f>
        <v>83385000</v>
      </c>
      <c r="Q20" s="183">
        <f t="shared" si="6"/>
        <v>5559000</v>
      </c>
      <c r="R20" s="184">
        <f>IFERROR(VLOOKUP(F20,'[1]Sales By Promotor Last Month'!D:G,4,0),0)</f>
        <v>20</v>
      </c>
      <c r="S20" s="185">
        <f t="shared" si="7"/>
        <v>10</v>
      </c>
      <c r="T20" s="186">
        <f t="shared" si="8"/>
        <v>-10</v>
      </c>
      <c r="U20" s="187">
        <f t="shared" si="9"/>
        <v>-0.5</v>
      </c>
      <c r="V20" s="188">
        <f>IFERROR(VLOOKUP(F20,'[1]Sales By Promotor Last Month'!D:I,6,0),0)</f>
        <v>36</v>
      </c>
      <c r="W20" s="189">
        <f t="shared" si="10"/>
        <v>15</v>
      </c>
      <c r="X20" s="190">
        <f t="shared" si="11"/>
        <v>-21</v>
      </c>
      <c r="Y20" s="191">
        <f t="shared" si="12"/>
        <v>-0.58333333333333337</v>
      </c>
    </row>
    <row r="21" spans="1:25" ht="18" x14ac:dyDescent="0.2">
      <c r="A21" s="178" t="s">
        <v>166</v>
      </c>
      <c r="B21" s="155">
        <v>6010708</v>
      </c>
      <c r="C21" s="159" t="s">
        <v>41</v>
      </c>
      <c r="D21" s="287"/>
      <c r="E21" s="180" t="s">
        <v>40</v>
      </c>
      <c r="F21" s="159" t="s">
        <v>196</v>
      </c>
      <c r="G21" s="160">
        <f t="shared" si="0"/>
        <v>17.5</v>
      </c>
      <c r="H21" s="161">
        <f>SUMIF('[1]SALES BY PROMOTOR'!$D:$D,F21,'[1]SALES BY PROMOTOR'!$G:$G)</f>
        <v>7</v>
      </c>
      <c r="I21" s="162">
        <f t="shared" si="1"/>
        <v>0.4</v>
      </c>
      <c r="J21" s="163">
        <f t="shared" si="2"/>
        <v>9.4347826086956523</v>
      </c>
      <c r="K21" s="164">
        <v>35</v>
      </c>
      <c r="L21" s="165">
        <f>SUMIF('[1]SALES BY PROMOTOR'!$D:$D,F21,'[1]SALES BY PROMOTOR'!$I:$I)</f>
        <v>14</v>
      </c>
      <c r="M21" s="166">
        <f t="shared" si="3"/>
        <v>0.4</v>
      </c>
      <c r="N21" s="167">
        <f t="shared" si="4"/>
        <v>18.869565217391305</v>
      </c>
      <c r="O21" s="181">
        <f t="shared" si="5"/>
        <v>0.5</v>
      </c>
      <c r="P21" s="182">
        <f>SUMIF('[1]SALES BY PROMOTOR'!$D:$D,F21,'[1]SALES BY PROMOTOR'!$J:$J)</f>
        <v>55286000</v>
      </c>
      <c r="Q21" s="183">
        <f t="shared" si="6"/>
        <v>3949000</v>
      </c>
      <c r="R21" s="184">
        <f>IFERROR(VLOOKUP(F21,'[1]Sales By Promotor Last Month'!D:G,4,0),0)</f>
        <v>27</v>
      </c>
      <c r="S21" s="185">
        <f t="shared" si="7"/>
        <v>7</v>
      </c>
      <c r="T21" s="186">
        <f t="shared" si="8"/>
        <v>-20</v>
      </c>
      <c r="U21" s="187">
        <f t="shared" si="9"/>
        <v>-0.7407407407407407</v>
      </c>
      <c r="V21" s="188">
        <f>IFERROR(VLOOKUP(F21,'[1]Sales By Promotor Last Month'!D:I,6,0),0)</f>
        <v>37</v>
      </c>
      <c r="W21" s="189">
        <f t="shared" si="10"/>
        <v>14</v>
      </c>
      <c r="X21" s="190">
        <f t="shared" si="11"/>
        <v>-23</v>
      </c>
      <c r="Y21" s="191">
        <f t="shared" si="12"/>
        <v>-0.6216216216216216</v>
      </c>
    </row>
    <row r="22" spans="1:25" ht="18" x14ac:dyDescent="0.2">
      <c r="A22" s="178" t="s">
        <v>166</v>
      </c>
      <c r="B22" s="155">
        <v>6010708</v>
      </c>
      <c r="C22" s="159" t="s">
        <v>41</v>
      </c>
      <c r="D22" s="287"/>
      <c r="E22" s="180" t="s">
        <v>40</v>
      </c>
      <c r="F22" s="159" t="s">
        <v>197</v>
      </c>
      <c r="G22" s="160">
        <f t="shared" si="0"/>
        <v>17.5</v>
      </c>
      <c r="H22" s="161">
        <f>SUMIF('[1]SALES BY PROMOTOR'!$D:$D,F22,'[1]SALES BY PROMOTOR'!$G:$G)</f>
        <v>9</v>
      </c>
      <c r="I22" s="162">
        <f t="shared" si="1"/>
        <v>0.51428571428571423</v>
      </c>
      <c r="J22" s="163">
        <f t="shared" si="2"/>
        <v>12.130434782608695</v>
      </c>
      <c r="K22" s="164">
        <v>35</v>
      </c>
      <c r="L22" s="165">
        <f>SUMIF('[1]SALES BY PROMOTOR'!$D:$D,F22,'[1]SALES BY PROMOTOR'!$I:$I)</f>
        <v>24</v>
      </c>
      <c r="M22" s="166">
        <f t="shared" si="3"/>
        <v>0.68571428571428572</v>
      </c>
      <c r="N22" s="167">
        <f t="shared" si="4"/>
        <v>32.347826086956523</v>
      </c>
      <c r="O22" s="181">
        <f t="shared" si="5"/>
        <v>0.375</v>
      </c>
      <c r="P22" s="182">
        <f>SUMIF('[1]SALES BY PROMOTOR'!$D:$D,F22,'[1]SALES BY PROMOTOR'!$J:$J)</f>
        <v>132976000</v>
      </c>
      <c r="Q22" s="183">
        <f t="shared" si="6"/>
        <v>5540666.666666667</v>
      </c>
      <c r="R22" s="184">
        <f>IFERROR(VLOOKUP(F22,'[1]Sales By Promotor Last Month'!D:G,4,0),0)</f>
        <v>27</v>
      </c>
      <c r="S22" s="185">
        <f t="shared" si="7"/>
        <v>9</v>
      </c>
      <c r="T22" s="186">
        <f t="shared" si="8"/>
        <v>-18</v>
      </c>
      <c r="U22" s="187">
        <f t="shared" si="9"/>
        <v>-0.66666666666666663</v>
      </c>
      <c r="V22" s="188">
        <f>IFERROR(VLOOKUP(F22,'[1]Sales By Promotor Last Month'!D:I,6,0),0)</f>
        <v>37</v>
      </c>
      <c r="W22" s="189">
        <f t="shared" si="10"/>
        <v>24</v>
      </c>
      <c r="X22" s="190">
        <f t="shared" si="11"/>
        <v>-13</v>
      </c>
      <c r="Y22" s="191">
        <f t="shared" si="12"/>
        <v>-0.35135135135135137</v>
      </c>
    </row>
    <row r="23" spans="1:25" ht="18" x14ac:dyDescent="0.2">
      <c r="A23" s="178" t="s">
        <v>166</v>
      </c>
      <c r="B23" s="155">
        <v>6010709</v>
      </c>
      <c r="C23" s="159" t="s">
        <v>46</v>
      </c>
      <c r="D23" s="287">
        <v>7</v>
      </c>
      <c r="E23" s="180" t="s">
        <v>47</v>
      </c>
      <c r="F23" s="159" t="s">
        <v>184</v>
      </c>
      <c r="G23" s="160">
        <f t="shared" si="0"/>
        <v>20</v>
      </c>
      <c r="H23" s="161">
        <f>SUMIF('[1]SALES BY PROMOTOR'!$D:$D,F23,'[1]SALES BY PROMOTOR'!$G:$G)</f>
        <v>10</v>
      </c>
      <c r="I23" s="162">
        <f t="shared" si="1"/>
        <v>0.5</v>
      </c>
      <c r="J23" s="163">
        <f t="shared" si="2"/>
        <v>13.478260869565217</v>
      </c>
      <c r="K23" s="164">
        <v>40</v>
      </c>
      <c r="L23" s="165">
        <f>SUMIF('[1]SALES BY PROMOTOR'!$D:$D,F23,'[1]SALES BY PROMOTOR'!$I:$I)</f>
        <v>51</v>
      </c>
      <c r="M23" s="166">
        <f t="shared" si="3"/>
        <v>1.2749999999999999</v>
      </c>
      <c r="N23" s="167">
        <f t="shared" si="4"/>
        <v>68.739130434782609</v>
      </c>
      <c r="O23" s="181">
        <f t="shared" si="5"/>
        <v>0.19607843137254902</v>
      </c>
      <c r="P23" s="182">
        <f>SUMIF('[1]SALES BY PROMOTOR'!$D:$D,F23,'[1]SALES BY PROMOTOR'!$J:$J)</f>
        <v>140749000</v>
      </c>
      <c r="Q23" s="183">
        <f t="shared" si="6"/>
        <v>2759784.3137254901</v>
      </c>
      <c r="R23" s="184">
        <f>IFERROR(VLOOKUP(F23,'[1]Sales By Promotor Last Month'!D:G,4,0),0)</f>
        <v>20</v>
      </c>
      <c r="S23" s="185">
        <f t="shared" si="7"/>
        <v>10</v>
      </c>
      <c r="T23" s="186">
        <f t="shared" si="8"/>
        <v>-10</v>
      </c>
      <c r="U23" s="187">
        <f t="shared" si="9"/>
        <v>-0.5</v>
      </c>
      <c r="V23" s="188">
        <f>IFERROR(VLOOKUP(F23,'[1]Sales By Promotor Last Month'!D:I,6,0),0)</f>
        <v>65</v>
      </c>
      <c r="W23" s="189">
        <f t="shared" si="10"/>
        <v>51</v>
      </c>
      <c r="X23" s="190">
        <f t="shared" si="11"/>
        <v>-14</v>
      </c>
      <c r="Y23" s="191">
        <f t="shared" si="12"/>
        <v>-0.2153846153846154</v>
      </c>
    </row>
    <row r="24" spans="1:25" ht="18" x14ac:dyDescent="0.2">
      <c r="A24" s="178" t="s">
        <v>166</v>
      </c>
      <c r="B24" s="155">
        <v>6010709</v>
      </c>
      <c r="C24" s="159" t="s">
        <v>46</v>
      </c>
      <c r="D24" s="287"/>
      <c r="E24" s="180" t="s">
        <v>47</v>
      </c>
      <c r="F24" s="159" t="s">
        <v>185</v>
      </c>
      <c r="G24" s="160">
        <f t="shared" si="0"/>
        <v>20</v>
      </c>
      <c r="H24" s="161">
        <f>SUMIF('[1]SALES BY PROMOTOR'!$D:$D,F24,'[1]SALES BY PROMOTOR'!$G:$G)</f>
        <v>6</v>
      </c>
      <c r="I24" s="162">
        <f t="shared" si="1"/>
        <v>0.3</v>
      </c>
      <c r="J24" s="163">
        <f t="shared" si="2"/>
        <v>8.0869565217391308</v>
      </c>
      <c r="K24" s="164">
        <v>40</v>
      </c>
      <c r="L24" s="165">
        <f>SUMIF('[1]SALES BY PROMOTOR'!$D:$D,F24,'[1]SALES BY PROMOTOR'!$I:$I)</f>
        <v>38</v>
      </c>
      <c r="M24" s="166">
        <f t="shared" si="3"/>
        <v>0.95</v>
      </c>
      <c r="N24" s="167">
        <f t="shared" si="4"/>
        <v>51.217391304347828</v>
      </c>
      <c r="O24" s="181">
        <f t="shared" si="5"/>
        <v>0.15789473684210525</v>
      </c>
      <c r="P24" s="182">
        <f>SUMIF('[1]SALES BY PROMOTOR'!$D:$D,F24,'[1]SALES BY PROMOTOR'!$J:$J)</f>
        <v>96862000</v>
      </c>
      <c r="Q24" s="183">
        <f t="shared" si="6"/>
        <v>2549000</v>
      </c>
      <c r="R24" s="184">
        <f>IFERROR(VLOOKUP(F24,'[1]Sales By Promotor Last Month'!D:G,4,0),0)</f>
        <v>8</v>
      </c>
      <c r="S24" s="185">
        <f t="shared" si="7"/>
        <v>6</v>
      </c>
      <c r="T24" s="186">
        <f t="shared" si="8"/>
        <v>-2</v>
      </c>
      <c r="U24" s="187">
        <f t="shared" si="9"/>
        <v>-0.25</v>
      </c>
      <c r="V24" s="188">
        <f>IFERROR(VLOOKUP(F24,'[1]Sales By Promotor Last Month'!D:I,6,0),0)</f>
        <v>44</v>
      </c>
      <c r="W24" s="189">
        <f t="shared" si="10"/>
        <v>38</v>
      </c>
      <c r="X24" s="190">
        <f t="shared" si="11"/>
        <v>-6</v>
      </c>
      <c r="Y24" s="191">
        <f t="shared" si="12"/>
        <v>-0.13636363636363635</v>
      </c>
    </row>
    <row r="25" spans="1:25" ht="18" x14ac:dyDescent="0.2">
      <c r="A25" s="178" t="s">
        <v>166</v>
      </c>
      <c r="B25" s="155">
        <v>6010709</v>
      </c>
      <c r="C25" s="159" t="s">
        <v>46</v>
      </c>
      <c r="D25" s="287"/>
      <c r="E25" s="180" t="s">
        <v>47</v>
      </c>
      <c r="F25" s="159" t="s">
        <v>186</v>
      </c>
      <c r="G25" s="160">
        <f t="shared" si="0"/>
        <v>20</v>
      </c>
      <c r="H25" s="161">
        <f>SUMIF('[1]SALES BY PROMOTOR'!$D:$D,F25,'[1]SALES BY PROMOTOR'!$G:$G)</f>
        <v>12</v>
      </c>
      <c r="I25" s="162">
        <f t="shared" si="1"/>
        <v>0.6</v>
      </c>
      <c r="J25" s="163">
        <f t="shared" si="2"/>
        <v>16.173913043478262</v>
      </c>
      <c r="K25" s="164">
        <v>40</v>
      </c>
      <c r="L25" s="165">
        <f>SUMIF('[1]SALES BY PROMOTOR'!$D:$D,F25,'[1]SALES BY PROMOTOR'!$I:$I)</f>
        <v>39</v>
      </c>
      <c r="M25" s="166">
        <f t="shared" si="3"/>
        <v>0.97499999999999998</v>
      </c>
      <c r="N25" s="167">
        <f t="shared" si="4"/>
        <v>52.565217391304344</v>
      </c>
      <c r="O25" s="181">
        <f t="shared" si="5"/>
        <v>0.30769230769230771</v>
      </c>
      <c r="P25" s="182">
        <f>SUMIF('[1]SALES BY PROMOTOR'!$D:$D,F25,'[1]SALES BY PROMOTOR'!$J:$J)</f>
        <v>117061000</v>
      </c>
      <c r="Q25" s="183">
        <f t="shared" si="6"/>
        <v>3001564.1025641025</v>
      </c>
      <c r="R25" s="184">
        <f>IFERROR(VLOOKUP(F25,'[1]Sales By Promotor Last Month'!D:G,4,0),0)</f>
        <v>10</v>
      </c>
      <c r="S25" s="185">
        <f t="shared" si="7"/>
        <v>12</v>
      </c>
      <c r="T25" s="186">
        <f t="shared" si="8"/>
        <v>2</v>
      </c>
      <c r="U25" s="187">
        <f t="shared" si="9"/>
        <v>0.2</v>
      </c>
      <c r="V25" s="188">
        <f>IFERROR(VLOOKUP(F25,'[1]Sales By Promotor Last Month'!D:I,6,0),0)</f>
        <v>58</v>
      </c>
      <c r="W25" s="189">
        <f t="shared" si="10"/>
        <v>39</v>
      </c>
      <c r="X25" s="190">
        <f t="shared" si="11"/>
        <v>-19</v>
      </c>
      <c r="Y25" s="191">
        <f t="shared" si="12"/>
        <v>-0.32758620689655171</v>
      </c>
    </row>
    <row r="26" spans="1:25" ht="18" x14ac:dyDescent="0.2">
      <c r="A26" s="178" t="s">
        <v>166</v>
      </c>
      <c r="B26" s="155">
        <v>6010709</v>
      </c>
      <c r="C26" s="159" t="s">
        <v>46</v>
      </c>
      <c r="D26" s="287"/>
      <c r="E26" s="180" t="s">
        <v>47</v>
      </c>
      <c r="F26" s="159" t="s">
        <v>188</v>
      </c>
      <c r="G26" s="160">
        <f t="shared" si="0"/>
        <v>20</v>
      </c>
      <c r="H26" s="161">
        <f>SUMIF('[1]SALES BY PROMOTOR'!$D:$D,F26,'[1]SALES BY PROMOTOR'!$G:$G)</f>
        <v>16</v>
      </c>
      <c r="I26" s="162">
        <f t="shared" si="1"/>
        <v>0.8</v>
      </c>
      <c r="J26" s="163">
        <f t="shared" si="2"/>
        <v>21.565217391304348</v>
      </c>
      <c r="K26" s="164">
        <v>40</v>
      </c>
      <c r="L26" s="165">
        <f>SUMIF('[1]SALES BY PROMOTOR'!$D:$D,F26,'[1]SALES BY PROMOTOR'!$I:$I)</f>
        <v>51</v>
      </c>
      <c r="M26" s="166">
        <f t="shared" si="3"/>
        <v>1.2749999999999999</v>
      </c>
      <c r="N26" s="167">
        <f t="shared" si="4"/>
        <v>68.739130434782609</v>
      </c>
      <c r="O26" s="181">
        <f t="shared" si="5"/>
        <v>0.31372549019607843</v>
      </c>
      <c r="P26" s="182">
        <f>SUMIF('[1]SALES BY PROMOTOR'!$D:$D,F26,'[1]SALES BY PROMOTOR'!$J:$J)</f>
        <v>162849000</v>
      </c>
      <c r="Q26" s="183">
        <f t="shared" si="6"/>
        <v>3193117.6470588236</v>
      </c>
      <c r="R26" s="184">
        <f>IFERROR(VLOOKUP(F26,'[1]Sales By Promotor Last Month'!D:G,4,0),0)</f>
        <v>23</v>
      </c>
      <c r="S26" s="185">
        <f t="shared" si="7"/>
        <v>16</v>
      </c>
      <c r="T26" s="186">
        <f t="shared" si="8"/>
        <v>-7</v>
      </c>
      <c r="U26" s="187">
        <f t="shared" si="9"/>
        <v>-0.30434782608695654</v>
      </c>
      <c r="V26" s="188">
        <f>IFERROR(VLOOKUP(F26,'[1]Sales By Promotor Last Month'!D:I,6,0),0)</f>
        <v>52</v>
      </c>
      <c r="W26" s="189">
        <f t="shared" si="10"/>
        <v>51</v>
      </c>
      <c r="X26" s="190">
        <f t="shared" si="11"/>
        <v>-1</v>
      </c>
      <c r="Y26" s="191">
        <f t="shared" si="12"/>
        <v>-1.9230769230769232E-2</v>
      </c>
    </row>
    <row r="27" spans="1:25" ht="18" x14ac:dyDescent="0.2">
      <c r="A27" s="178" t="s">
        <v>166</v>
      </c>
      <c r="B27" s="155">
        <v>6010709</v>
      </c>
      <c r="C27" s="159" t="s">
        <v>46</v>
      </c>
      <c r="D27" s="287"/>
      <c r="E27" s="180" t="s">
        <v>47</v>
      </c>
      <c r="F27" s="159" t="s">
        <v>189</v>
      </c>
      <c r="G27" s="160">
        <f t="shared" si="0"/>
        <v>20</v>
      </c>
      <c r="H27" s="161">
        <f>SUMIF('[1]SALES BY PROMOTOR'!$D:$D,F27,'[1]SALES BY PROMOTOR'!$G:$G)</f>
        <v>9</v>
      </c>
      <c r="I27" s="162">
        <f t="shared" si="1"/>
        <v>0.45</v>
      </c>
      <c r="J27" s="163">
        <f t="shared" si="2"/>
        <v>12.130434782608695</v>
      </c>
      <c r="K27" s="164">
        <v>40</v>
      </c>
      <c r="L27" s="165">
        <f>SUMIF('[1]SALES BY PROMOTOR'!$D:$D,F27,'[1]SALES BY PROMOTOR'!$I:$I)</f>
        <v>32</v>
      </c>
      <c r="M27" s="166">
        <f t="shared" si="3"/>
        <v>0.8</v>
      </c>
      <c r="N27" s="167">
        <f t="shared" si="4"/>
        <v>43.130434782608695</v>
      </c>
      <c r="O27" s="181">
        <f t="shared" si="5"/>
        <v>0.28125</v>
      </c>
      <c r="P27" s="182">
        <f>SUMIF('[1]SALES BY PROMOTOR'!$D:$D,F27,'[1]SALES BY PROMOTOR'!$J:$J)</f>
        <v>105368000</v>
      </c>
      <c r="Q27" s="183">
        <f t="shared" si="6"/>
        <v>3292750</v>
      </c>
      <c r="R27" s="184">
        <f>IFERROR(VLOOKUP(F27,'[1]Sales By Promotor Last Month'!D:G,4,0),0)</f>
        <v>11</v>
      </c>
      <c r="S27" s="185">
        <f t="shared" si="7"/>
        <v>9</v>
      </c>
      <c r="T27" s="186">
        <f t="shared" si="8"/>
        <v>-2</v>
      </c>
      <c r="U27" s="187">
        <f t="shared" si="9"/>
        <v>-0.18181818181818182</v>
      </c>
      <c r="V27" s="188">
        <f>IFERROR(VLOOKUP(F27,'[1]Sales By Promotor Last Month'!D:I,6,0),0)</f>
        <v>45</v>
      </c>
      <c r="W27" s="189">
        <f t="shared" si="10"/>
        <v>32</v>
      </c>
      <c r="X27" s="190">
        <f t="shared" si="11"/>
        <v>-13</v>
      </c>
      <c r="Y27" s="191">
        <f t="shared" si="12"/>
        <v>-0.28888888888888886</v>
      </c>
    </row>
    <row r="28" spans="1:25" ht="18" x14ac:dyDescent="0.2">
      <c r="A28" s="178" t="s">
        <v>166</v>
      </c>
      <c r="B28" s="155">
        <v>6010709</v>
      </c>
      <c r="C28" s="159" t="s">
        <v>46</v>
      </c>
      <c r="D28" s="287"/>
      <c r="E28" s="180" t="s">
        <v>47</v>
      </c>
      <c r="F28" s="159" t="s">
        <v>190</v>
      </c>
      <c r="G28" s="160">
        <f t="shared" si="0"/>
        <v>20</v>
      </c>
      <c r="H28" s="161">
        <f>SUMIF('[1]SALES BY PROMOTOR'!$D:$D,F28,'[1]SALES BY PROMOTOR'!$G:$G)</f>
        <v>4</v>
      </c>
      <c r="I28" s="162">
        <f t="shared" si="1"/>
        <v>0.2</v>
      </c>
      <c r="J28" s="163">
        <f t="shared" si="2"/>
        <v>5.3913043478260869</v>
      </c>
      <c r="K28" s="164">
        <v>40</v>
      </c>
      <c r="L28" s="165">
        <f>SUMIF('[1]SALES BY PROMOTOR'!$D:$D,F28,'[1]SALES BY PROMOTOR'!$I:$I)</f>
        <v>27</v>
      </c>
      <c r="M28" s="166">
        <f t="shared" si="3"/>
        <v>0.67500000000000004</v>
      </c>
      <c r="N28" s="167">
        <f t="shared" si="4"/>
        <v>36.391304347826093</v>
      </c>
      <c r="O28" s="181">
        <f t="shared" si="5"/>
        <v>0.14814814814814814</v>
      </c>
      <c r="P28" s="182">
        <f>SUMIF('[1]SALES BY PROMOTOR'!$D:$D,F28,'[1]SALES BY PROMOTOR'!$J:$J)</f>
        <v>64673000</v>
      </c>
      <c r="Q28" s="183">
        <f t="shared" si="6"/>
        <v>2395296.2962962962</v>
      </c>
      <c r="R28" s="184">
        <f>IFERROR(VLOOKUP(F28,'[1]Sales By Promotor Last Month'!D:G,4,0),0)</f>
        <v>2</v>
      </c>
      <c r="S28" s="185">
        <f t="shared" si="7"/>
        <v>4</v>
      </c>
      <c r="T28" s="186">
        <f t="shared" si="8"/>
        <v>2</v>
      </c>
      <c r="U28" s="187">
        <f t="shared" si="9"/>
        <v>1</v>
      </c>
      <c r="V28" s="188">
        <f>IFERROR(VLOOKUP(F28,'[1]Sales By Promotor Last Month'!D:I,6,0),0)</f>
        <v>46</v>
      </c>
      <c r="W28" s="189">
        <f t="shared" si="10"/>
        <v>27</v>
      </c>
      <c r="X28" s="190">
        <f t="shared" si="11"/>
        <v>-19</v>
      </c>
      <c r="Y28" s="191">
        <f t="shared" si="12"/>
        <v>-0.41304347826086957</v>
      </c>
    </row>
    <row r="29" spans="1:25" ht="18" x14ac:dyDescent="0.2">
      <c r="A29" s="178" t="s">
        <v>166</v>
      </c>
      <c r="B29" s="155">
        <v>6010709</v>
      </c>
      <c r="C29" s="159" t="s">
        <v>46</v>
      </c>
      <c r="D29" s="288"/>
      <c r="E29" s="180" t="s">
        <v>47</v>
      </c>
      <c r="F29" s="159" t="s">
        <v>191</v>
      </c>
      <c r="G29" s="160">
        <f t="shared" si="0"/>
        <v>20</v>
      </c>
      <c r="H29" s="161">
        <f>SUMIF('[1]SALES BY PROMOTOR'!$D:$D,F29,'[1]SALES BY PROMOTOR'!$G:$G)</f>
        <v>9</v>
      </c>
      <c r="I29" s="162">
        <f t="shared" si="1"/>
        <v>0.45</v>
      </c>
      <c r="J29" s="163">
        <f t="shared" si="2"/>
        <v>12.130434782608695</v>
      </c>
      <c r="K29" s="164">
        <v>40</v>
      </c>
      <c r="L29" s="165">
        <f>SUMIF('[1]SALES BY PROMOTOR'!$D:$D,F29,'[1]SALES BY PROMOTOR'!$I:$I)</f>
        <v>41</v>
      </c>
      <c r="M29" s="166">
        <f t="shared" si="3"/>
        <v>1.0249999999999999</v>
      </c>
      <c r="N29" s="167">
        <f t="shared" si="4"/>
        <v>55.260869565217391</v>
      </c>
      <c r="O29" s="181">
        <f t="shared" si="5"/>
        <v>0.21951219512195122</v>
      </c>
      <c r="P29" s="182">
        <f>SUMIF('[1]SALES BY PROMOTOR'!$D:$D,F29,'[1]SALES BY PROMOTOR'!$J:$J)</f>
        <v>112959000</v>
      </c>
      <c r="Q29" s="183">
        <f t="shared" si="6"/>
        <v>2755097.5609756098</v>
      </c>
      <c r="R29" s="184">
        <f>IFERROR(VLOOKUP(F29,'[1]Sales By Promotor Last Month'!D:G,4,0),0)</f>
        <v>0</v>
      </c>
      <c r="S29" s="185">
        <f t="shared" si="7"/>
        <v>9</v>
      </c>
      <c r="T29" s="186">
        <f t="shared" si="8"/>
        <v>9</v>
      </c>
      <c r="U29" s="187">
        <f t="shared" si="9"/>
        <v>0</v>
      </c>
      <c r="V29" s="188">
        <f>IFERROR(VLOOKUP(F29,'[1]Sales By Promotor Last Month'!D:I,6,0),0)</f>
        <v>0</v>
      </c>
      <c r="W29" s="189">
        <f t="shared" si="10"/>
        <v>41</v>
      </c>
      <c r="X29" s="190">
        <f t="shared" si="11"/>
        <v>41</v>
      </c>
      <c r="Y29" s="191">
        <f t="shared" si="12"/>
        <v>0</v>
      </c>
    </row>
    <row r="30" spans="1:25" ht="18" x14ac:dyDescent="0.2">
      <c r="A30" s="178" t="s">
        <v>166</v>
      </c>
      <c r="B30" s="155">
        <v>6010710</v>
      </c>
      <c r="C30" s="193" t="s">
        <v>46</v>
      </c>
      <c r="D30" s="286">
        <v>3</v>
      </c>
      <c r="E30" s="194" t="s">
        <v>48</v>
      </c>
      <c r="F30" s="159" t="s">
        <v>181</v>
      </c>
      <c r="G30" s="160">
        <f t="shared" si="0"/>
        <v>20</v>
      </c>
      <c r="H30" s="161">
        <f>SUMIF('[1]SALES BY PROMOTOR'!$D:$D,F30,'[1]SALES BY PROMOTOR'!$G:$G)</f>
        <v>6</v>
      </c>
      <c r="I30" s="162">
        <f t="shared" si="1"/>
        <v>0.3</v>
      </c>
      <c r="J30" s="163">
        <f t="shared" si="2"/>
        <v>8.0869565217391308</v>
      </c>
      <c r="K30" s="164">
        <v>40</v>
      </c>
      <c r="L30" s="165">
        <f>SUMIF('[1]SALES BY PROMOTOR'!$D:$D,F30,'[1]SALES BY PROMOTOR'!$I:$I)</f>
        <v>29</v>
      </c>
      <c r="M30" s="166">
        <f t="shared" si="3"/>
        <v>0.72499999999999998</v>
      </c>
      <c r="N30" s="167">
        <f t="shared" si="4"/>
        <v>39.086956521739133</v>
      </c>
      <c r="O30" s="181">
        <f t="shared" si="5"/>
        <v>0.20689655172413793</v>
      </c>
      <c r="P30" s="182">
        <f>SUMIF('[1]SALES BY PROMOTOR'!$D:$D,F30,'[1]SALES BY PROMOTOR'!$J:$J)</f>
        <v>84571000</v>
      </c>
      <c r="Q30" s="183">
        <f t="shared" si="6"/>
        <v>2916241.3793103448</v>
      </c>
      <c r="R30" s="184">
        <f>IFERROR(VLOOKUP(F30,'[1]Sales By Promotor Last Month'!D:G,4,0),0)</f>
        <v>17</v>
      </c>
      <c r="S30" s="185">
        <f t="shared" si="7"/>
        <v>6</v>
      </c>
      <c r="T30" s="186">
        <f t="shared" si="8"/>
        <v>-11</v>
      </c>
      <c r="U30" s="187">
        <f t="shared" si="9"/>
        <v>-0.6470588235294118</v>
      </c>
      <c r="V30" s="188">
        <f>IFERROR(VLOOKUP(F30,'[1]Sales By Promotor Last Month'!D:I,6,0),0)</f>
        <v>40</v>
      </c>
      <c r="W30" s="189">
        <f t="shared" si="10"/>
        <v>29</v>
      </c>
      <c r="X30" s="190">
        <f t="shared" si="11"/>
        <v>-11</v>
      </c>
      <c r="Y30" s="191">
        <f t="shared" si="12"/>
        <v>-0.27500000000000002</v>
      </c>
    </row>
    <row r="31" spans="1:25" ht="18" x14ac:dyDescent="0.2">
      <c r="A31" s="178" t="s">
        <v>166</v>
      </c>
      <c r="B31" s="155">
        <v>6010710</v>
      </c>
      <c r="C31" s="193" t="s">
        <v>46</v>
      </c>
      <c r="D31" s="287"/>
      <c r="E31" s="194" t="s">
        <v>48</v>
      </c>
      <c r="F31" s="159" t="s">
        <v>182</v>
      </c>
      <c r="G31" s="160">
        <f t="shared" si="0"/>
        <v>20</v>
      </c>
      <c r="H31" s="161">
        <f>SUMIF('[1]SALES BY PROMOTOR'!$D:$D,F31,'[1]SALES BY PROMOTOR'!$G:$G)</f>
        <v>3</v>
      </c>
      <c r="I31" s="162">
        <f t="shared" si="1"/>
        <v>0.15</v>
      </c>
      <c r="J31" s="163">
        <f t="shared" si="2"/>
        <v>4.0434782608695654</v>
      </c>
      <c r="K31" s="164">
        <v>40</v>
      </c>
      <c r="L31" s="165">
        <f>SUMIF('[1]SALES BY PROMOTOR'!$D:$D,F31,'[1]SALES BY PROMOTOR'!$I:$I)</f>
        <v>32</v>
      </c>
      <c r="M31" s="166">
        <f t="shared" si="3"/>
        <v>0.8</v>
      </c>
      <c r="N31" s="167">
        <f t="shared" si="4"/>
        <v>43.130434782608695</v>
      </c>
      <c r="O31" s="181">
        <f t="shared" si="5"/>
        <v>9.375E-2</v>
      </c>
      <c r="P31" s="182">
        <f>SUMIF('[1]SALES BY PROMOTOR'!$D:$D,F31,'[1]SALES BY PROMOTOR'!$J:$J)</f>
        <v>78668000</v>
      </c>
      <c r="Q31" s="183">
        <f t="shared" si="6"/>
        <v>2458375</v>
      </c>
      <c r="R31" s="184">
        <f>IFERROR(VLOOKUP(F31,'[1]Sales By Promotor Last Month'!D:G,4,0),0)</f>
        <v>7</v>
      </c>
      <c r="S31" s="185">
        <f t="shared" si="7"/>
        <v>3</v>
      </c>
      <c r="T31" s="186">
        <f t="shared" si="8"/>
        <v>-4</v>
      </c>
      <c r="U31" s="187">
        <f t="shared" si="9"/>
        <v>-0.5714285714285714</v>
      </c>
      <c r="V31" s="188">
        <f>IFERROR(VLOOKUP(F31,'[1]Sales By Promotor Last Month'!D:I,6,0),0)</f>
        <v>40</v>
      </c>
      <c r="W31" s="189">
        <f t="shared" si="10"/>
        <v>32</v>
      </c>
      <c r="X31" s="190">
        <f t="shared" si="11"/>
        <v>-8</v>
      </c>
      <c r="Y31" s="191">
        <f t="shared" si="12"/>
        <v>-0.2</v>
      </c>
    </row>
    <row r="32" spans="1:25" ht="18" x14ac:dyDescent="0.2">
      <c r="A32" s="178" t="s">
        <v>166</v>
      </c>
      <c r="B32" s="155">
        <v>6010710</v>
      </c>
      <c r="C32" s="193" t="s">
        <v>46</v>
      </c>
      <c r="D32" s="288"/>
      <c r="E32" s="194" t="s">
        <v>48</v>
      </c>
      <c r="F32" s="159" t="s">
        <v>183</v>
      </c>
      <c r="G32" s="160">
        <f t="shared" si="0"/>
        <v>20</v>
      </c>
      <c r="H32" s="161">
        <f>SUMIF('[1]SALES BY PROMOTOR'!$D:$D,F32,'[1]SALES BY PROMOTOR'!$G:$G)</f>
        <v>10</v>
      </c>
      <c r="I32" s="162">
        <f t="shared" si="1"/>
        <v>0.5</v>
      </c>
      <c r="J32" s="163">
        <f t="shared" si="2"/>
        <v>13.478260869565217</v>
      </c>
      <c r="K32" s="164">
        <v>40</v>
      </c>
      <c r="L32" s="165">
        <f>SUMIF('[1]SALES BY PROMOTOR'!$D:$D,F32,'[1]SALES BY PROMOTOR'!$I:$I)</f>
        <v>32</v>
      </c>
      <c r="M32" s="166">
        <f t="shared" si="3"/>
        <v>0.8</v>
      </c>
      <c r="N32" s="167">
        <f t="shared" si="4"/>
        <v>43.130434782608695</v>
      </c>
      <c r="O32" s="181">
        <f t="shared" si="5"/>
        <v>0.3125</v>
      </c>
      <c r="P32" s="182">
        <f>SUMIF('[1]SALES BY PROMOTOR'!$D:$D,F32,'[1]SALES BY PROMOTOR'!$J:$J)</f>
        <v>104268000</v>
      </c>
      <c r="Q32" s="183">
        <f t="shared" si="6"/>
        <v>3258375</v>
      </c>
      <c r="R32" s="184">
        <f>IFERROR(VLOOKUP(F32,'[1]Sales By Promotor Last Month'!D:G,4,0),0)</f>
        <v>16</v>
      </c>
      <c r="S32" s="185">
        <f t="shared" si="7"/>
        <v>10</v>
      </c>
      <c r="T32" s="186">
        <f t="shared" si="8"/>
        <v>-6</v>
      </c>
      <c r="U32" s="187">
        <f t="shared" si="9"/>
        <v>-0.375</v>
      </c>
      <c r="V32" s="188">
        <f>IFERROR(VLOOKUP(F32,'[1]Sales By Promotor Last Month'!D:I,6,0),0)</f>
        <v>40</v>
      </c>
      <c r="W32" s="189">
        <f t="shared" si="10"/>
        <v>32</v>
      </c>
      <c r="X32" s="190">
        <f t="shared" si="11"/>
        <v>-8</v>
      </c>
      <c r="Y32" s="191">
        <f t="shared" si="12"/>
        <v>-0.2</v>
      </c>
    </row>
    <row r="33" spans="1:25" ht="18" x14ac:dyDescent="0.2">
      <c r="A33" s="178" t="s">
        <v>166</v>
      </c>
      <c r="B33" s="155">
        <v>6010711</v>
      </c>
      <c r="C33" s="159" t="s">
        <v>52</v>
      </c>
      <c r="D33" s="286">
        <v>3</v>
      </c>
      <c r="E33" s="180" t="s">
        <v>51</v>
      </c>
      <c r="F33" s="159" t="s">
        <v>192</v>
      </c>
      <c r="G33" s="160">
        <f t="shared" si="0"/>
        <v>12.5</v>
      </c>
      <c r="H33" s="161">
        <f>SUMIF('[1]SALES BY PROMOTOR'!$D:$D,F33,'[1]SALES BY PROMOTOR'!$G:$G)</f>
        <v>6</v>
      </c>
      <c r="I33" s="162">
        <f t="shared" si="1"/>
        <v>0.48</v>
      </c>
      <c r="J33" s="163">
        <f t="shared" si="2"/>
        <v>8.0869565217391308</v>
      </c>
      <c r="K33" s="164">
        <v>25</v>
      </c>
      <c r="L33" s="165">
        <f>SUMIF('[1]SALES BY PROMOTOR'!$D:$D,F33,'[1]SALES BY PROMOTOR'!$I:$I)</f>
        <v>12</v>
      </c>
      <c r="M33" s="166">
        <f t="shared" si="3"/>
        <v>0.48</v>
      </c>
      <c r="N33" s="167">
        <f t="shared" si="4"/>
        <v>16.173913043478262</v>
      </c>
      <c r="O33" s="181">
        <f t="shared" si="5"/>
        <v>0.5</v>
      </c>
      <c r="P33" s="182">
        <f>SUMIF('[1]SALES BY PROMOTOR'!$D:$D,F33,'[1]SALES BY PROMOTOR'!$J:$J)</f>
        <v>96688000</v>
      </c>
      <c r="Q33" s="183">
        <f t="shared" si="6"/>
        <v>8057333.333333333</v>
      </c>
      <c r="R33" s="184">
        <f>IFERROR(VLOOKUP(F33,'[1]Sales By Promotor Last Month'!D:G,4,0),0)</f>
        <v>7</v>
      </c>
      <c r="S33" s="185">
        <f t="shared" si="7"/>
        <v>6</v>
      </c>
      <c r="T33" s="186">
        <f t="shared" si="8"/>
        <v>-1</v>
      </c>
      <c r="U33" s="187">
        <f t="shared" si="9"/>
        <v>-0.14285714285714285</v>
      </c>
      <c r="V33" s="188">
        <f>IFERROR(VLOOKUP(F33,'[1]Sales By Promotor Last Month'!D:I,6,0),0)</f>
        <v>12</v>
      </c>
      <c r="W33" s="189">
        <f t="shared" si="10"/>
        <v>12</v>
      </c>
      <c r="X33" s="190">
        <f t="shared" si="11"/>
        <v>0</v>
      </c>
      <c r="Y33" s="191">
        <f t="shared" si="12"/>
        <v>0</v>
      </c>
    </row>
    <row r="34" spans="1:25" ht="18" x14ac:dyDescent="0.2">
      <c r="A34" s="178" t="s">
        <v>166</v>
      </c>
      <c r="B34" s="155">
        <v>6010711</v>
      </c>
      <c r="C34" s="159" t="s">
        <v>52</v>
      </c>
      <c r="D34" s="287"/>
      <c r="E34" s="180" t="s">
        <v>51</v>
      </c>
      <c r="F34" s="159" t="s">
        <v>193</v>
      </c>
      <c r="G34" s="160">
        <f t="shared" si="0"/>
        <v>12.5</v>
      </c>
      <c r="H34" s="161">
        <f>SUMIF('[1]SALES BY PROMOTOR'!$D:$D,F34,'[1]SALES BY PROMOTOR'!$G:$G)</f>
        <v>7</v>
      </c>
      <c r="I34" s="162">
        <f t="shared" si="1"/>
        <v>0.56000000000000005</v>
      </c>
      <c r="J34" s="163">
        <f t="shared" si="2"/>
        <v>9.4347826086956523</v>
      </c>
      <c r="K34" s="164">
        <v>25</v>
      </c>
      <c r="L34" s="165">
        <f>SUMIF('[1]SALES BY PROMOTOR'!$D:$D,F34,'[1]SALES BY PROMOTOR'!$I:$I)</f>
        <v>12</v>
      </c>
      <c r="M34" s="166">
        <f t="shared" si="3"/>
        <v>0.48</v>
      </c>
      <c r="N34" s="167">
        <f t="shared" si="4"/>
        <v>16.173913043478262</v>
      </c>
      <c r="O34" s="181">
        <f t="shared" si="5"/>
        <v>0.58333333333333337</v>
      </c>
      <c r="P34" s="182">
        <f>SUMIF('[1]SALES BY PROMOTOR'!$D:$D,F34,'[1]SALES BY PROMOTOR'!$J:$J)</f>
        <v>77688000</v>
      </c>
      <c r="Q34" s="183">
        <f t="shared" si="6"/>
        <v>6474000</v>
      </c>
      <c r="R34" s="184">
        <f>IFERROR(VLOOKUP(F34,'[1]Sales By Promotor Last Month'!D:G,4,0),0)</f>
        <v>11</v>
      </c>
      <c r="S34" s="185">
        <f t="shared" si="7"/>
        <v>7</v>
      </c>
      <c r="T34" s="186">
        <f t="shared" si="8"/>
        <v>-4</v>
      </c>
      <c r="U34" s="187">
        <f t="shared" si="9"/>
        <v>-0.36363636363636365</v>
      </c>
      <c r="V34" s="188">
        <f>IFERROR(VLOOKUP(F34,'[1]Sales By Promotor Last Month'!D:I,6,0),0)</f>
        <v>15</v>
      </c>
      <c r="W34" s="189">
        <f t="shared" si="10"/>
        <v>12</v>
      </c>
      <c r="X34" s="190">
        <f t="shared" si="11"/>
        <v>-3</v>
      </c>
      <c r="Y34" s="191">
        <f t="shared" si="12"/>
        <v>-0.2</v>
      </c>
    </row>
    <row r="35" spans="1:25" ht="18" x14ac:dyDescent="0.2">
      <c r="A35" s="178" t="s">
        <v>166</v>
      </c>
      <c r="B35" s="155">
        <v>6010711</v>
      </c>
      <c r="C35" s="159" t="s">
        <v>52</v>
      </c>
      <c r="D35" s="288"/>
      <c r="E35" s="180" t="s">
        <v>51</v>
      </c>
      <c r="F35" s="159" t="s">
        <v>194</v>
      </c>
      <c r="G35" s="160">
        <f t="shared" si="0"/>
        <v>12.5</v>
      </c>
      <c r="H35" s="161">
        <f>SUMIF('[1]SALES BY PROMOTOR'!$D:$D,F35,'[1]SALES BY PROMOTOR'!$G:$G)</f>
        <v>11</v>
      </c>
      <c r="I35" s="162">
        <f t="shared" si="1"/>
        <v>0.88</v>
      </c>
      <c r="J35" s="163">
        <f t="shared" si="2"/>
        <v>14.82608695652174</v>
      </c>
      <c r="K35" s="164">
        <v>25</v>
      </c>
      <c r="L35" s="165">
        <f>SUMIF('[1]SALES BY PROMOTOR'!$D:$D,F35,'[1]SALES BY PROMOTOR'!$I:$I)</f>
        <v>17</v>
      </c>
      <c r="M35" s="166">
        <f t="shared" si="3"/>
        <v>0.68</v>
      </c>
      <c r="N35" s="167">
        <f t="shared" si="4"/>
        <v>22.913043478260867</v>
      </c>
      <c r="O35" s="181">
        <f t="shared" si="5"/>
        <v>0.6470588235294118</v>
      </c>
      <c r="P35" s="182">
        <f>SUMIF('[1]SALES BY PROMOTOR'!$D:$D,F35,'[1]SALES BY PROMOTOR'!$J:$J)</f>
        <v>82083000</v>
      </c>
      <c r="Q35" s="183">
        <f t="shared" si="6"/>
        <v>4828411.7647058824</v>
      </c>
      <c r="R35" s="184">
        <f>IFERROR(VLOOKUP(F35,'[1]Sales By Promotor Last Month'!D:G,4,0),0)</f>
        <v>6</v>
      </c>
      <c r="S35" s="185">
        <f t="shared" si="7"/>
        <v>11</v>
      </c>
      <c r="T35" s="186">
        <f t="shared" si="8"/>
        <v>5</v>
      </c>
      <c r="U35" s="187">
        <f t="shared" si="9"/>
        <v>0.83333333333333337</v>
      </c>
      <c r="V35" s="188">
        <f>IFERROR(VLOOKUP(F35,'[1]Sales By Promotor Last Month'!D:I,6,0),0)</f>
        <v>11</v>
      </c>
      <c r="W35" s="189">
        <f t="shared" si="10"/>
        <v>17</v>
      </c>
      <c r="X35" s="190">
        <f t="shared" si="11"/>
        <v>6</v>
      </c>
      <c r="Y35" s="191">
        <f t="shared" si="12"/>
        <v>0.54545454545454541</v>
      </c>
    </row>
    <row r="36" spans="1:25" ht="18" x14ac:dyDescent="0.2">
      <c r="A36" s="178" t="s">
        <v>198</v>
      </c>
      <c r="B36" s="155">
        <v>6020704</v>
      </c>
      <c r="C36" s="159" t="s">
        <v>199</v>
      </c>
      <c r="D36" s="286">
        <v>2</v>
      </c>
      <c r="E36" s="180" t="s">
        <v>55</v>
      </c>
      <c r="F36" s="159" t="s">
        <v>200</v>
      </c>
      <c r="G36" s="160">
        <f t="shared" si="0"/>
        <v>17.5</v>
      </c>
      <c r="H36" s="161">
        <f>SUMIF('[1]SALES BY PROMOTOR'!$D:$D,F36,'[1]SALES BY PROMOTOR'!$G:$G)</f>
        <v>11</v>
      </c>
      <c r="I36" s="162">
        <f t="shared" si="1"/>
        <v>0.62857142857142856</v>
      </c>
      <c r="J36" s="195">
        <f t="shared" si="2"/>
        <v>14.82608695652174</v>
      </c>
      <c r="K36" s="164">
        <v>35</v>
      </c>
      <c r="L36" s="165">
        <f>SUMIF('[1]SALES BY PROMOTOR'!$D:$D,F36,'[1]SALES BY PROMOTOR'!$I:$I)</f>
        <v>19</v>
      </c>
      <c r="M36" s="166">
        <f t="shared" si="3"/>
        <v>0.54285714285714282</v>
      </c>
      <c r="N36" s="167">
        <f t="shared" si="4"/>
        <v>25.608695652173914</v>
      </c>
      <c r="O36" s="181">
        <f t="shared" si="5"/>
        <v>0.57894736842105265</v>
      </c>
      <c r="P36" s="182">
        <f>SUMIF('[1]SALES BY PROMOTOR'!$D:$D,F36,'[1]SALES BY PROMOTOR'!$J:$J)</f>
        <v>79281000</v>
      </c>
      <c r="Q36" s="183">
        <f t="shared" si="6"/>
        <v>4172684.210526316</v>
      </c>
      <c r="R36" s="184">
        <f>IFERROR(VLOOKUP(F36,'[1]Sales By Promotor Last Month'!D:G,4,0),0)</f>
        <v>14</v>
      </c>
      <c r="S36" s="185">
        <f t="shared" si="7"/>
        <v>11</v>
      </c>
      <c r="T36" s="186">
        <f t="shared" si="8"/>
        <v>-3</v>
      </c>
      <c r="U36" s="187">
        <f t="shared" si="9"/>
        <v>-0.21428571428571427</v>
      </c>
      <c r="V36" s="188">
        <f>IFERROR(VLOOKUP(F36,'[1]Sales By Promotor Last Month'!D:I,6,0),0)</f>
        <v>36</v>
      </c>
      <c r="W36" s="189">
        <f t="shared" si="10"/>
        <v>19</v>
      </c>
      <c r="X36" s="190">
        <f t="shared" si="11"/>
        <v>-17</v>
      </c>
      <c r="Y36" s="191">
        <f t="shared" si="12"/>
        <v>-0.47222222222222221</v>
      </c>
    </row>
    <row r="37" spans="1:25" ht="18" x14ac:dyDescent="0.2">
      <c r="A37" s="178" t="s">
        <v>198</v>
      </c>
      <c r="B37" s="155">
        <v>6020704</v>
      </c>
      <c r="C37" s="159" t="s">
        <v>199</v>
      </c>
      <c r="D37" s="288"/>
      <c r="E37" s="180" t="s">
        <v>55</v>
      </c>
      <c r="F37" s="159" t="s">
        <v>201</v>
      </c>
      <c r="G37" s="160">
        <f t="shared" si="0"/>
        <v>17.5</v>
      </c>
      <c r="H37" s="161">
        <f>SUMIF('[1]SALES BY PROMOTOR'!$D:$D,F37,'[1]SALES BY PROMOTOR'!$G:$G)</f>
        <v>7</v>
      </c>
      <c r="I37" s="162">
        <f t="shared" si="1"/>
        <v>0.4</v>
      </c>
      <c r="J37" s="195">
        <f t="shared" si="2"/>
        <v>9.4347826086956523</v>
      </c>
      <c r="K37" s="164">
        <v>35</v>
      </c>
      <c r="L37" s="165">
        <f>SUMIF('[1]SALES BY PROMOTOR'!$D:$D,F37,'[1]SALES BY PROMOTOR'!$I:$I)</f>
        <v>19</v>
      </c>
      <c r="M37" s="166">
        <f t="shared" si="3"/>
        <v>0.54285714285714282</v>
      </c>
      <c r="N37" s="167">
        <f t="shared" si="4"/>
        <v>25.608695652173914</v>
      </c>
      <c r="O37" s="181">
        <f t="shared" si="5"/>
        <v>0.36842105263157893</v>
      </c>
      <c r="P37" s="182">
        <f>SUMIF('[1]SALES BY PROMOTOR'!$D:$D,F37,'[1]SALES BY PROMOTOR'!$J:$J)</f>
        <v>59781000</v>
      </c>
      <c r="Q37" s="183">
        <f t="shared" si="6"/>
        <v>3146368.4210526315</v>
      </c>
      <c r="R37" s="184">
        <f>IFERROR(VLOOKUP(F37,'[1]Sales By Promotor Last Month'!D:G,4,0),0)</f>
        <v>9</v>
      </c>
      <c r="S37" s="185">
        <f t="shared" si="7"/>
        <v>7</v>
      </c>
      <c r="T37" s="186">
        <f t="shared" si="8"/>
        <v>-2</v>
      </c>
      <c r="U37" s="187">
        <f t="shared" si="9"/>
        <v>-0.22222222222222221</v>
      </c>
      <c r="V37" s="188">
        <f>IFERROR(VLOOKUP(F37,'[1]Sales By Promotor Last Month'!D:I,6,0),0)</f>
        <v>18</v>
      </c>
      <c r="W37" s="189">
        <f t="shared" si="10"/>
        <v>19</v>
      </c>
      <c r="X37" s="190">
        <f t="shared" si="11"/>
        <v>1</v>
      </c>
      <c r="Y37" s="191">
        <f t="shared" si="12"/>
        <v>5.5555555555555552E-2</v>
      </c>
    </row>
    <row r="38" spans="1:25" ht="18" x14ac:dyDescent="0.2">
      <c r="A38" s="178" t="s">
        <v>198</v>
      </c>
      <c r="B38" s="155">
        <v>6020706</v>
      </c>
      <c r="C38" s="159" t="s">
        <v>199</v>
      </c>
      <c r="D38" s="286">
        <v>3</v>
      </c>
      <c r="E38" s="180" t="s">
        <v>53</v>
      </c>
      <c r="F38" s="159" t="s">
        <v>202</v>
      </c>
      <c r="G38" s="160">
        <f t="shared" si="0"/>
        <v>17.5</v>
      </c>
      <c r="H38" s="161">
        <f>SUMIF('[1]SALES BY PROMOTOR'!$D:$D,F38,'[1]SALES BY PROMOTOR'!$G:$G)</f>
        <v>8</v>
      </c>
      <c r="I38" s="162">
        <f t="shared" si="1"/>
        <v>0.45714285714285713</v>
      </c>
      <c r="J38" s="163">
        <f t="shared" si="2"/>
        <v>10.782608695652174</v>
      </c>
      <c r="K38" s="164">
        <v>35</v>
      </c>
      <c r="L38" s="165">
        <f>SUMIF('[1]SALES BY PROMOTOR'!$D:$D,F38,'[1]SALES BY PROMOTOR'!$I:$I)</f>
        <v>18</v>
      </c>
      <c r="M38" s="166">
        <f t="shared" si="3"/>
        <v>0.51428571428571423</v>
      </c>
      <c r="N38" s="167">
        <f t="shared" si="4"/>
        <v>24.260869565217391</v>
      </c>
      <c r="O38" s="181">
        <f t="shared" si="5"/>
        <v>0.44444444444444442</v>
      </c>
      <c r="P38" s="182">
        <f>SUMIF('[1]SALES BY PROMOTOR'!$D:$D,F38,'[1]SALES BY PROMOTOR'!$J:$J)</f>
        <v>66782000</v>
      </c>
      <c r="Q38" s="183">
        <f t="shared" si="6"/>
        <v>3710111.111111111</v>
      </c>
      <c r="R38" s="184">
        <f>IFERROR(VLOOKUP(F38,'[1]Sales By Promotor Last Month'!D:G,4,0),0)</f>
        <v>16</v>
      </c>
      <c r="S38" s="185">
        <f t="shared" si="7"/>
        <v>8</v>
      </c>
      <c r="T38" s="186">
        <f t="shared" si="8"/>
        <v>-8</v>
      </c>
      <c r="U38" s="187">
        <f t="shared" si="9"/>
        <v>-0.5</v>
      </c>
      <c r="V38" s="188">
        <f>IFERROR(VLOOKUP(F38,'[1]Sales By Promotor Last Month'!D:I,6,0),0)</f>
        <v>35</v>
      </c>
      <c r="W38" s="189">
        <f t="shared" si="10"/>
        <v>18</v>
      </c>
      <c r="X38" s="190">
        <f t="shared" si="11"/>
        <v>-17</v>
      </c>
      <c r="Y38" s="191">
        <f t="shared" si="12"/>
        <v>-0.48571428571428571</v>
      </c>
    </row>
    <row r="39" spans="1:25" ht="18" x14ac:dyDescent="0.2">
      <c r="A39" s="178" t="s">
        <v>198</v>
      </c>
      <c r="B39" s="155">
        <v>6020706</v>
      </c>
      <c r="C39" s="159" t="s">
        <v>199</v>
      </c>
      <c r="D39" s="287"/>
      <c r="E39" s="180" t="s">
        <v>53</v>
      </c>
      <c r="F39" s="159" t="s">
        <v>203</v>
      </c>
      <c r="G39" s="160">
        <f t="shared" si="0"/>
        <v>17.5</v>
      </c>
      <c r="H39" s="161">
        <f>SUMIF('[1]SALES BY PROMOTOR'!$D:$D,F39,'[1]SALES BY PROMOTOR'!$G:$G)</f>
        <v>14</v>
      </c>
      <c r="I39" s="162">
        <f t="shared" si="1"/>
        <v>0.8</v>
      </c>
      <c r="J39" s="163">
        <f t="shared" si="2"/>
        <v>18.869565217391305</v>
      </c>
      <c r="K39" s="164">
        <v>35</v>
      </c>
      <c r="L39" s="165">
        <f>SUMIF('[1]SALES BY PROMOTOR'!$D:$D,F39,'[1]SALES BY PROMOTOR'!$I:$I)</f>
        <v>35</v>
      </c>
      <c r="M39" s="166">
        <f t="shared" si="3"/>
        <v>1</v>
      </c>
      <c r="N39" s="167">
        <f t="shared" si="4"/>
        <v>47.173913043478265</v>
      </c>
      <c r="O39" s="181">
        <f t="shared" si="5"/>
        <v>0.4</v>
      </c>
      <c r="P39" s="182">
        <f>SUMIF('[1]SALES BY PROMOTOR'!$D:$D,F39,'[1]SALES BY PROMOTOR'!$J:$J)</f>
        <v>117865000</v>
      </c>
      <c r="Q39" s="183">
        <f t="shared" si="6"/>
        <v>3367571.4285714286</v>
      </c>
      <c r="R39" s="184">
        <f>IFERROR(VLOOKUP(F39,'[1]Sales By Promotor Last Month'!D:G,4,0),0)</f>
        <v>26</v>
      </c>
      <c r="S39" s="185">
        <f t="shared" si="7"/>
        <v>14</v>
      </c>
      <c r="T39" s="186">
        <f t="shared" si="8"/>
        <v>-12</v>
      </c>
      <c r="U39" s="187">
        <f t="shared" si="9"/>
        <v>-0.46153846153846156</v>
      </c>
      <c r="V39" s="188">
        <f>IFERROR(VLOOKUP(F39,'[1]Sales By Promotor Last Month'!D:I,6,0),0)</f>
        <v>37</v>
      </c>
      <c r="W39" s="189">
        <f t="shared" si="10"/>
        <v>35</v>
      </c>
      <c r="X39" s="190">
        <f t="shared" si="11"/>
        <v>-2</v>
      </c>
      <c r="Y39" s="191">
        <f t="shared" si="12"/>
        <v>-5.4054054054054057E-2</v>
      </c>
    </row>
    <row r="40" spans="1:25" ht="18" x14ac:dyDescent="0.2">
      <c r="A40" s="178" t="s">
        <v>198</v>
      </c>
      <c r="B40" s="155">
        <v>6020706</v>
      </c>
      <c r="C40" s="159" t="s">
        <v>199</v>
      </c>
      <c r="D40" s="288"/>
      <c r="E40" s="180" t="s">
        <v>53</v>
      </c>
      <c r="F40" s="159" t="s">
        <v>204</v>
      </c>
      <c r="G40" s="160">
        <f t="shared" si="0"/>
        <v>17.5</v>
      </c>
      <c r="H40" s="161">
        <f>SUMIF('[1]SALES BY PROMOTOR'!$D:$D,F40,'[1]SALES BY PROMOTOR'!$G:$G)</f>
        <v>5</v>
      </c>
      <c r="I40" s="162">
        <f t="shared" si="1"/>
        <v>0.2857142857142857</v>
      </c>
      <c r="J40" s="163">
        <f t="shared" si="2"/>
        <v>6.7391304347826084</v>
      </c>
      <c r="K40" s="164">
        <v>35</v>
      </c>
      <c r="L40" s="165">
        <f>SUMIF('[1]SALES BY PROMOTOR'!$D:$D,F40,'[1]SALES BY PROMOTOR'!$I:$I)</f>
        <v>22</v>
      </c>
      <c r="M40" s="166">
        <f t="shared" si="3"/>
        <v>0.62857142857142856</v>
      </c>
      <c r="N40" s="167">
        <f t="shared" si="4"/>
        <v>29.65217391304348</v>
      </c>
      <c r="O40" s="181">
        <f t="shared" si="5"/>
        <v>0.22727272727272727</v>
      </c>
      <c r="P40" s="182">
        <f>SUMIF('[1]SALES BY PROMOTOR'!$D:$D,F40,'[1]SALES BY PROMOTOR'!$J:$J)</f>
        <v>65378000</v>
      </c>
      <c r="Q40" s="183">
        <f t="shared" si="6"/>
        <v>2971727.2727272729</v>
      </c>
      <c r="R40" s="184">
        <f>IFERROR(VLOOKUP(F40,'[1]Sales By Promotor Last Month'!D:G,4,0),0)</f>
        <v>17</v>
      </c>
      <c r="S40" s="185">
        <f t="shared" si="7"/>
        <v>5</v>
      </c>
      <c r="T40" s="186">
        <f t="shared" si="8"/>
        <v>-12</v>
      </c>
      <c r="U40" s="187">
        <f t="shared" si="9"/>
        <v>-0.70588235294117652</v>
      </c>
      <c r="V40" s="188">
        <f>IFERROR(VLOOKUP(F40,'[1]Sales By Promotor Last Month'!D:I,6,0),0)</f>
        <v>36</v>
      </c>
      <c r="W40" s="189">
        <f t="shared" si="10"/>
        <v>22</v>
      </c>
      <c r="X40" s="190">
        <f t="shared" si="11"/>
        <v>-14</v>
      </c>
      <c r="Y40" s="191">
        <f t="shared" si="12"/>
        <v>-0.3888888888888889</v>
      </c>
    </row>
    <row r="41" spans="1:25" ht="18" x14ac:dyDescent="0.2">
      <c r="A41" s="178" t="s">
        <v>198</v>
      </c>
      <c r="B41" s="155">
        <v>6020711</v>
      </c>
      <c r="C41" s="159" t="s">
        <v>205</v>
      </c>
      <c r="D41" s="286">
        <v>3</v>
      </c>
      <c r="E41" s="180" t="s">
        <v>49</v>
      </c>
      <c r="F41" s="159" t="s">
        <v>206</v>
      </c>
      <c r="G41" s="160">
        <f t="shared" si="0"/>
        <v>17.5</v>
      </c>
      <c r="H41" s="161">
        <f>SUMIF('[1]SALES BY PROMOTOR'!$D:$D,F41,'[1]SALES BY PROMOTOR'!$G:$G)</f>
        <v>20</v>
      </c>
      <c r="I41" s="162">
        <f t="shared" si="1"/>
        <v>1.1428571428571428</v>
      </c>
      <c r="J41" s="163">
        <f t="shared" si="2"/>
        <v>26.956521739130434</v>
      </c>
      <c r="K41" s="164">
        <v>35</v>
      </c>
      <c r="L41" s="165">
        <f>SUMIF('[1]SALES BY PROMOTOR'!$D:$D,F41,'[1]SALES BY PROMOTOR'!$I:$I)</f>
        <v>30</v>
      </c>
      <c r="M41" s="166">
        <f t="shared" si="3"/>
        <v>0.8571428571428571</v>
      </c>
      <c r="N41" s="167">
        <f t="shared" si="4"/>
        <v>40.434782608695656</v>
      </c>
      <c r="O41" s="181">
        <f t="shared" si="5"/>
        <v>0.66666666666666663</v>
      </c>
      <c r="P41" s="182">
        <f>SUMIF('[1]SALES BY PROMOTOR'!$D:$D,F41,'[1]SALES BY PROMOTOR'!$J:$J)</f>
        <v>170770000</v>
      </c>
      <c r="Q41" s="183">
        <f t="shared" si="6"/>
        <v>5692333.333333333</v>
      </c>
      <c r="R41" s="184">
        <f>IFERROR(VLOOKUP(F41,'[1]Sales By Promotor Last Month'!D:G,4,0),0)</f>
        <v>31</v>
      </c>
      <c r="S41" s="185">
        <f t="shared" si="7"/>
        <v>20</v>
      </c>
      <c r="T41" s="186">
        <f t="shared" si="8"/>
        <v>-11</v>
      </c>
      <c r="U41" s="187">
        <f t="shared" si="9"/>
        <v>-0.35483870967741937</v>
      </c>
      <c r="V41" s="188">
        <f>IFERROR(VLOOKUP(F41,'[1]Sales By Promotor Last Month'!D:I,6,0),0)</f>
        <v>55</v>
      </c>
      <c r="W41" s="189">
        <f t="shared" si="10"/>
        <v>30</v>
      </c>
      <c r="X41" s="190">
        <f t="shared" si="11"/>
        <v>-25</v>
      </c>
      <c r="Y41" s="191">
        <f t="shared" si="12"/>
        <v>-0.45454545454545453</v>
      </c>
    </row>
    <row r="42" spans="1:25" ht="18" x14ac:dyDescent="0.2">
      <c r="A42" s="178" t="s">
        <v>198</v>
      </c>
      <c r="B42" s="155">
        <v>6020711</v>
      </c>
      <c r="C42" s="159" t="s">
        <v>205</v>
      </c>
      <c r="D42" s="287"/>
      <c r="E42" s="180" t="s">
        <v>49</v>
      </c>
      <c r="F42" s="159" t="s">
        <v>207</v>
      </c>
      <c r="G42" s="160">
        <f t="shared" si="0"/>
        <v>17.5</v>
      </c>
      <c r="H42" s="161">
        <f>SUMIF('[1]SALES BY PROMOTOR'!$D:$D,F42,'[1]SALES BY PROMOTOR'!$G:$G)</f>
        <v>13</v>
      </c>
      <c r="I42" s="162">
        <f t="shared" si="1"/>
        <v>0.74285714285714288</v>
      </c>
      <c r="J42" s="163">
        <f t="shared" si="2"/>
        <v>17.521739130434781</v>
      </c>
      <c r="K42" s="164">
        <v>35</v>
      </c>
      <c r="L42" s="165">
        <f>SUMIF('[1]SALES BY PROMOTOR'!$D:$D,F42,'[1]SALES BY PROMOTOR'!$I:$I)</f>
        <v>24</v>
      </c>
      <c r="M42" s="166">
        <f t="shared" si="3"/>
        <v>0.68571428571428572</v>
      </c>
      <c r="N42" s="167">
        <f t="shared" si="4"/>
        <v>32.347826086956523</v>
      </c>
      <c r="O42" s="181">
        <f t="shared" si="5"/>
        <v>0.54166666666666663</v>
      </c>
      <c r="P42" s="182">
        <f>SUMIF('[1]SALES BY PROMOTOR'!$D:$D,F42,'[1]SALES BY PROMOTOR'!$J:$J)</f>
        <v>164476000</v>
      </c>
      <c r="Q42" s="183">
        <f t="shared" si="6"/>
        <v>6853166.666666667</v>
      </c>
      <c r="R42" s="184">
        <f>IFERROR(VLOOKUP(F42,'[1]Sales By Promotor Last Month'!D:G,4,0),0)</f>
        <v>32</v>
      </c>
      <c r="S42" s="185">
        <f t="shared" si="7"/>
        <v>13</v>
      </c>
      <c r="T42" s="186">
        <f t="shared" si="8"/>
        <v>-19</v>
      </c>
      <c r="U42" s="187">
        <f t="shared" si="9"/>
        <v>-0.59375</v>
      </c>
      <c r="V42" s="188">
        <f>IFERROR(VLOOKUP(F42,'[1]Sales By Promotor Last Month'!D:I,6,0),0)</f>
        <v>46</v>
      </c>
      <c r="W42" s="189">
        <f t="shared" si="10"/>
        <v>24</v>
      </c>
      <c r="X42" s="190">
        <f t="shared" si="11"/>
        <v>-22</v>
      </c>
      <c r="Y42" s="191">
        <f t="shared" si="12"/>
        <v>-0.47826086956521741</v>
      </c>
    </row>
    <row r="43" spans="1:25" ht="18" x14ac:dyDescent="0.2">
      <c r="A43" s="178" t="s">
        <v>198</v>
      </c>
      <c r="B43" s="155">
        <v>6020711</v>
      </c>
      <c r="C43" s="159" t="s">
        <v>205</v>
      </c>
      <c r="D43" s="288"/>
      <c r="E43" s="180" t="s">
        <v>49</v>
      </c>
      <c r="F43" s="159" t="s">
        <v>208</v>
      </c>
      <c r="G43" s="160">
        <f t="shared" si="0"/>
        <v>17.5</v>
      </c>
      <c r="H43" s="161">
        <f>SUMIF('[1]SALES BY PROMOTOR'!$D:$D,F43,'[1]SALES BY PROMOTOR'!$G:$G)</f>
        <v>9</v>
      </c>
      <c r="I43" s="162">
        <f t="shared" si="1"/>
        <v>0.51428571428571423</v>
      </c>
      <c r="J43" s="163">
        <f t="shared" si="2"/>
        <v>12.130434782608695</v>
      </c>
      <c r="K43" s="164">
        <v>35</v>
      </c>
      <c r="L43" s="165">
        <f>SUMIF('[1]SALES BY PROMOTOR'!$D:$D,F43,'[1]SALES BY PROMOTOR'!$I:$I)</f>
        <v>15</v>
      </c>
      <c r="M43" s="166">
        <f t="shared" si="3"/>
        <v>0.42857142857142855</v>
      </c>
      <c r="N43" s="167">
        <f t="shared" si="4"/>
        <v>20.217391304347828</v>
      </c>
      <c r="O43" s="181">
        <f t="shared" si="5"/>
        <v>0.6</v>
      </c>
      <c r="P43" s="182">
        <f>SUMIF('[1]SALES BY PROMOTOR'!$D:$D,F43,'[1]SALES BY PROMOTOR'!$J:$J)</f>
        <v>119585000</v>
      </c>
      <c r="Q43" s="183">
        <f t="shared" si="6"/>
        <v>7972333.333333333</v>
      </c>
      <c r="R43" s="184">
        <f>IFERROR(VLOOKUP(F43,'[1]Sales By Promotor Last Month'!D:G,4,0),0)</f>
        <v>0</v>
      </c>
      <c r="S43" s="185">
        <f t="shared" si="7"/>
        <v>9</v>
      </c>
      <c r="T43" s="186">
        <f t="shared" si="8"/>
        <v>9</v>
      </c>
      <c r="U43" s="187">
        <f t="shared" si="9"/>
        <v>0</v>
      </c>
      <c r="V43" s="188">
        <f>IFERROR(VLOOKUP(F43,'[1]Sales By Promotor Last Month'!D:I,6,0),0)</f>
        <v>1</v>
      </c>
      <c r="W43" s="189">
        <f t="shared" si="10"/>
        <v>15</v>
      </c>
      <c r="X43" s="190">
        <f t="shared" si="11"/>
        <v>14</v>
      </c>
      <c r="Y43" s="191">
        <f t="shared" si="12"/>
        <v>14</v>
      </c>
    </row>
    <row r="44" spans="1:25" ht="18" x14ac:dyDescent="0.2">
      <c r="A44" s="178" t="s">
        <v>209</v>
      </c>
      <c r="B44" s="155">
        <v>6040701</v>
      </c>
      <c r="C44" s="159" t="s">
        <v>210</v>
      </c>
      <c r="D44" s="286">
        <v>2</v>
      </c>
      <c r="E44" s="180" t="s">
        <v>57</v>
      </c>
      <c r="F44" s="159" t="s">
        <v>214</v>
      </c>
      <c r="G44" s="160">
        <f t="shared" si="0"/>
        <v>15</v>
      </c>
      <c r="H44" s="161">
        <f>SUMIF('[1]SALES BY PROMOTOR'!$D:$D,F44,'[1]SALES BY PROMOTOR'!$G:$G)</f>
        <v>13</v>
      </c>
      <c r="I44" s="162">
        <f t="shared" si="1"/>
        <v>0.8666666666666667</v>
      </c>
      <c r="J44" s="163">
        <f t="shared" si="2"/>
        <v>17.521739130434781</v>
      </c>
      <c r="K44" s="164">
        <v>30</v>
      </c>
      <c r="L44" s="165">
        <f>SUMIF('[1]SALES BY PROMOTOR'!$D:$D,F44,'[1]SALES BY PROMOTOR'!$I:$I)</f>
        <v>26</v>
      </c>
      <c r="M44" s="166">
        <f t="shared" si="3"/>
        <v>0.8666666666666667</v>
      </c>
      <c r="N44" s="167">
        <f t="shared" si="4"/>
        <v>35.043478260869563</v>
      </c>
      <c r="O44" s="181">
        <f t="shared" si="5"/>
        <v>0.5</v>
      </c>
      <c r="P44" s="182">
        <f>SUMIF('[1]SALES BY PROMOTOR'!$D:$D,F44,'[1]SALES BY PROMOTOR'!$J:$J)</f>
        <v>102474000</v>
      </c>
      <c r="Q44" s="183">
        <f t="shared" si="6"/>
        <v>3941307.6923076925</v>
      </c>
      <c r="R44" s="184">
        <f>IFERROR(VLOOKUP(F44,'[1]Sales By Promotor Last Month'!D:G,4,0),0)</f>
        <v>17</v>
      </c>
      <c r="S44" s="185">
        <f t="shared" si="7"/>
        <v>13</v>
      </c>
      <c r="T44" s="186">
        <f t="shared" si="8"/>
        <v>-4</v>
      </c>
      <c r="U44" s="187">
        <f t="shared" si="9"/>
        <v>-0.23529411764705882</v>
      </c>
      <c r="V44" s="188">
        <f>IFERROR(VLOOKUP(F44,'[1]Sales By Promotor Last Month'!D:I,6,0),0)</f>
        <v>32</v>
      </c>
      <c r="W44" s="189">
        <f t="shared" si="10"/>
        <v>26</v>
      </c>
      <c r="X44" s="190">
        <f t="shared" si="11"/>
        <v>-6</v>
      </c>
      <c r="Y44" s="191">
        <f t="shared" si="12"/>
        <v>-0.1875</v>
      </c>
    </row>
    <row r="45" spans="1:25" ht="18" x14ac:dyDescent="0.2">
      <c r="A45" s="178" t="s">
        <v>209</v>
      </c>
      <c r="B45" s="155">
        <v>6040701</v>
      </c>
      <c r="C45" s="159" t="s">
        <v>210</v>
      </c>
      <c r="D45" s="287"/>
      <c r="E45" s="180" t="s">
        <v>57</v>
      </c>
      <c r="F45" s="159" t="s">
        <v>215</v>
      </c>
      <c r="G45" s="160">
        <f t="shared" si="0"/>
        <v>15</v>
      </c>
      <c r="H45" s="161">
        <f>SUMIF('[1]SALES BY PROMOTOR'!$D:$D,F45,'[1]SALES BY PROMOTOR'!$G:$G)</f>
        <v>9</v>
      </c>
      <c r="I45" s="162">
        <f t="shared" si="1"/>
        <v>0.6</v>
      </c>
      <c r="J45" s="163">
        <f t="shared" si="2"/>
        <v>12.130434782608695</v>
      </c>
      <c r="K45" s="164">
        <v>30</v>
      </c>
      <c r="L45" s="165">
        <f>SUMIF('[1]SALES BY PROMOTOR'!$D:$D,F45,'[1]SALES BY PROMOTOR'!$I:$I)</f>
        <v>18</v>
      </c>
      <c r="M45" s="166">
        <f t="shared" si="3"/>
        <v>0.6</v>
      </c>
      <c r="N45" s="167">
        <f t="shared" si="4"/>
        <v>24.260869565217391</v>
      </c>
      <c r="O45" s="181">
        <f t="shared" si="5"/>
        <v>0.5</v>
      </c>
      <c r="P45" s="182">
        <f>SUMIF('[1]SALES BY PROMOTOR'!$D:$D,F45,'[1]SALES BY PROMOTOR'!$J:$J)</f>
        <v>76682000</v>
      </c>
      <c r="Q45" s="183">
        <f t="shared" si="6"/>
        <v>4260111.111111111</v>
      </c>
      <c r="R45" s="184">
        <f>IFERROR(VLOOKUP(F45,'[1]Sales By Promotor Last Month'!D:G,4,0),0)</f>
        <v>17</v>
      </c>
      <c r="S45" s="185">
        <f t="shared" si="7"/>
        <v>9</v>
      </c>
      <c r="T45" s="186">
        <f t="shared" si="8"/>
        <v>-8</v>
      </c>
      <c r="U45" s="187">
        <f t="shared" si="9"/>
        <v>-0.47058823529411764</v>
      </c>
      <c r="V45" s="188">
        <f>IFERROR(VLOOKUP(F45,'[1]Sales By Promotor Last Month'!D:I,6,0),0)</f>
        <v>24</v>
      </c>
      <c r="W45" s="189">
        <f t="shared" si="10"/>
        <v>18</v>
      </c>
      <c r="X45" s="190">
        <f t="shared" si="11"/>
        <v>-6</v>
      </c>
      <c r="Y45" s="191">
        <f t="shared" si="12"/>
        <v>-0.25</v>
      </c>
    </row>
    <row r="46" spans="1:25" ht="18" x14ac:dyDescent="0.2">
      <c r="A46" s="178" t="s">
        <v>209</v>
      </c>
      <c r="B46" s="155">
        <v>6080712</v>
      </c>
      <c r="C46" s="159" t="s">
        <v>210</v>
      </c>
      <c r="D46" s="287">
        <v>3</v>
      </c>
      <c r="E46" s="180" t="s">
        <v>59</v>
      </c>
      <c r="F46" s="159" t="s">
        <v>211</v>
      </c>
      <c r="G46" s="160">
        <f t="shared" si="0"/>
        <v>15</v>
      </c>
      <c r="H46" s="161">
        <f>SUMIF('[1]SALES BY PROMOTOR'!$D:$D,F46,'[1]SALES BY PROMOTOR'!$G:$G)</f>
        <v>7</v>
      </c>
      <c r="I46" s="162">
        <f t="shared" si="1"/>
        <v>0.46666666666666667</v>
      </c>
      <c r="J46" s="163">
        <f t="shared" si="2"/>
        <v>9.4347826086956523</v>
      </c>
      <c r="K46" s="164">
        <v>30</v>
      </c>
      <c r="L46" s="165">
        <f>SUMIF('[1]SALES BY PROMOTOR'!$D:$D,F46,'[1]SALES BY PROMOTOR'!$I:$I)</f>
        <v>17</v>
      </c>
      <c r="M46" s="166">
        <f t="shared" si="3"/>
        <v>0.56666666666666665</v>
      </c>
      <c r="N46" s="167">
        <f t="shared" si="4"/>
        <v>22.913043478260867</v>
      </c>
      <c r="O46" s="181">
        <f t="shared" si="5"/>
        <v>0.41176470588235292</v>
      </c>
      <c r="P46" s="182">
        <f>SUMIF('[1]SALES BY PROMOTOR'!$D:$D,F46,'[1]SALES BY PROMOTOR'!$J:$J)</f>
        <v>67083000</v>
      </c>
      <c r="Q46" s="183">
        <f t="shared" si="6"/>
        <v>3946058.8235294116</v>
      </c>
      <c r="R46" s="184">
        <f>IFERROR(VLOOKUP(F46,'[1]Sales By Promotor Last Month'!D:G,4,0),0)</f>
        <v>7</v>
      </c>
      <c r="S46" s="185">
        <f t="shared" si="7"/>
        <v>7</v>
      </c>
      <c r="T46" s="186">
        <f t="shared" si="8"/>
        <v>0</v>
      </c>
      <c r="U46" s="187">
        <f t="shared" si="9"/>
        <v>0</v>
      </c>
      <c r="V46" s="188">
        <f>IFERROR(VLOOKUP(F46,'[1]Sales By Promotor Last Month'!D:I,6,0),0)</f>
        <v>13</v>
      </c>
      <c r="W46" s="189">
        <f t="shared" si="10"/>
        <v>17</v>
      </c>
      <c r="X46" s="190">
        <f t="shared" si="11"/>
        <v>4</v>
      </c>
      <c r="Y46" s="191">
        <f t="shared" si="12"/>
        <v>0.30769230769230771</v>
      </c>
    </row>
    <row r="47" spans="1:25" ht="18" x14ac:dyDescent="0.2">
      <c r="A47" s="178" t="s">
        <v>209</v>
      </c>
      <c r="B47" s="155">
        <v>6080712</v>
      </c>
      <c r="C47" s="159" t="s">
        <v>210</v>
      </c>
      <c r="D47" s="287"/>
      <c r="E47" s="180" t="s">
        <v>59</v>
      </c>
      <c r="F47" s="159" t="s">
        <v>212</v>
      </c>
      <c r="G47" s="160">
        <f t="shared" si="0"/>
        <v>15</v>
      </c>
      <c r="H47" s="161">
        <f>SUMIF('[1]SALES BY PROMOTOR'!$D:$D,F47,'[1]SALES BY PROMOTOR'!$G:$G)</f>
        <v>9</v>
      </c>
      <c r="I47" s="162">
        <f t="shared" si="1"/>
        <v>0.6</v>
      </c>
      <c r="J47" s="163">
        <f t="shared" si="2"/>
        <v>12.130434782608695</v>
      </c>
      <c r="K47" s="164">
        <v>30</v>
      </c>
      <c r="L47" s="165">
        <f>SUMIF('[1]SALES BY PROMOTOR'!$D:$D,F47,'[1]SALES BY PROMOTOR'!$I:$I)</f>
        <v>14</v>
      </c>
      <c r="M47" s="166">
        <f t="shared" si="3"/>
        <v>0.46666666666666667</v>
      </c>
      <c r="N47" s="167">
        <f t="shared" si="4"/>
        <v>18.869565217391305</v>
      </c>
      <c r="O47" s="181">
        <f t="shared" si="5"/>
        <v>0.6428571428571429</v>
      </c>
      <c r="P47" s="182">
        <f>SUMIF('[1]SALES BY PROMOTOR'!$D:$D,F47,'[1]SALES BY PROMOTOR'!$J:$J)</f>
        <v>69986000</v>
      </c>
      <c r="Q47" s="183">
        <f t="shared" si="6"/>
        <v>4999000</v>
      </c>
      <c r="R47" s="184">
        <f>IFERROR(VLOOKUP(F47,'[1]Sales By Promotor Last Month'!D:G,4,0),0)</f>
        <v>19</v>
      </c>
      <c r="S47" s="185">
        <f t="shared" si="7"/>
        <v>9</v>
      </c>
      <c r="T47" s="186">
        <f t="shared" si="8"/>
        <v>-10</v>
      </c>
      <c r="U47" s="187">
        <f t="shared" si="9"/>
        <v>-0.52631578947368418</v>
      </c>
      <c r="V47" s="188">
        <f>IFERROR(VLOOKUP(F47,'[1]Sales By Promotor Last Month'!D:I,6,0),0)</f>
        <v>30</v>
      </c>
      <c r="W47" s="189">
        <f t="shared" si="10"/>
        <v>14</v>
      </c>
      <c r="X47" s="190">
        <f t="shared" si="11"/>
        <v>-16</v>
      </c>
      <c r="Y47" s="191">
        <f t="shared" si="12"/>
        <v>-0.53333333333333333</v>
      </c>
    </row>
    <row r="48" spans="1:25" ht="18" x14ac:dyDescent="0.2">
      <c r="A48" s="178" t="s">
        <v>209</v>
      </c>
      <c r="B48" s="155">
        <v>6080712</v>
      </c>
      <c r="C48" s="159" t="s">
        <v>210</v>
      </c>
      <c r="D48" s="288"/>
      <c r="E48" s="180" t="s">
        <v>59</v>
      </c>
      <c r="F48" s="159" t="s">
        <v>213</v>
      </c>
      <c r="G48" s="160">
        <f t="shared" si="0"/>
        <v>15</v>
      </c>
      <c r="H48" s="161">
        <f>SUMIF('[1]SALES BY PROMOTOR'!$D:$D,F48,'[1]SALES BY PROMOTOR'!$G:$G)</f>
        <v>1</v>
      </c>
      <c r="I48" s="162">
        <f t="shared" si="1"/>
        <v>6.6666666666666666E-2</v>
      </c>
      <c r="J48" s="163">
        <f t="shared" si="2"/>
        <v>1.3478260869565217</v>
      </c>
      <c r="K48" s="164">
        <v>30</v>
      </c>
      <c r="L48" s="165">
        <f>SUMIF('[1]SALES BY PROMOTOR'!$D:$D,F48,'[1]SALES BY PROMOTOR'!$I:$I)</f>
        <v>1</v>
      </c>
      <c r="M48" s="166">
        <f t="shared" si="3"/>
        <v>3.3333333333333333E-2</v>
      </c>
      <c r="N48" s="167">
        <f t="shared" si="4"/>
        <v>1.3478260869565217</v>
      </c>
      <c r="O48" s="181">
        <f t="shared" si="5"/>
        <v>1</v>
      </c>
      <c r="P48" s="182">
        <f>SUMIF('[1]SALES BY PROMOTOR'!$D:$D,F48,'[1]SALES BY PROMOTOR'!$J:$J)</f>
        <v>8399000</v>
      </c>
      <c r="Q48" s="183">
        <f t="shared" si="6"/>
        <v>8399000</v>
      </c>
      <c r="R48" s="184">
        <f>IFERROR(VLOOKUP(F48,'[1]Sales By Promotor Last Month'!D:G,4,0),0)</f>
        <v>16</v>
      </c>
      <c r="S48" s="185">
        <f t="shared" si="7"/>
        <v>1</v>
      </c>
      <c r="T48" s="186">
        <f t="shared" si="8"/>
        <v>-15</v>
      </c>
      <c r="U48" s="187">
        <f t="shared" si="9"/>
        <v>-0.9375</v>
      </c>
      <c r="V48" s="188">
        <f>IFERROR(VLOOKUP(F48,'[1]Sales By Promotor Last Month'!D:I,6,0),0)</f>
        <v>22</v>
      </c>
      <c r="W48" s="189">
        <f t="shared" si="10"/>
        <v>1</v>
      </c>
      <c r="X48" s="190">
        <f t="shared" si="11"/>
        <v>-21</v>
      </c>
      <c r="Y48" s="191">
        <f t="shared" si="12"/>
        <v>-0.95454545454545459</v>
      </c>
    </row>
    <row r="49" spans="1:25" ht="18" x14ac:dyDescent="0.2">
      <c r="A49" s="178" t="s">
        <v>216</v>
      </c>
      <c r="B49" s="155">
        <v>6040702</v>
      </c>
      <c r="C49" s="159" t="s">
        <v>210</v>
      </c>
      <c r="D49" s="155">
        <v>1</v>
      </c>
      <c r="E49" s="196" t="s">
        <v>60</v>
      </c>
      <c r="F49" s="159" t="s">
        <v>217</v>
      </c>
      <c r="G49" s="160">
        <f t="shared" si="0"/>
        <v>12.5</v>
      </c>
      <c r="H49" s="161">
        <f>SUMIF('[1]SALES BY PROMOTOR'!$D:$D,F49,'[1]SALES BY PROMOTOR'!$G:$G)</f>
        <v>13</v>
      </c>
      <c r="I49" s="162">
        <f t="shared" si="1"/>
        <v>1.04</v>
      </c>
      <c r="J49" s="163">
        <f t="shared" si="2"/>
        <v>17.521739130434781</v>
      </c>
      <c r="K49" s="164">
        <v>25</v>
      </c>
      <c r="L49" s="165">
        <f>SUMIF('[1]SALES BY PROMOTOR'!$D:$D,F49,'[1]SALES BY PROMOTOR'!$I:$I)</f>
        <v>28</v>
      </c>
      <c r="M49" s="166">
        <f t="shared" si="3"/>
        <v>1.1200000000000001</v>
      </c>
      <c r="N49" s="167">
        <f t="shared" si="4"/>
        <v>37.739130434782609</v>
      </c>
      <c r="O49" s="181">
        <f t="shared" si="5"/>
        <v>0.4642857142857143</v>
      </c>
      <c r="P49" s="182">
        <f>SUMIF('[1]SALES BY PROMOTOR'!$D:$D,F49,'[1]SALES BY PROMOTOR'!$J:$J)</f>
        <v>138672000</v>
      </c>
      <c r="Q49" s="183">
        <f t="shared" si="6"/>
        <v>4952571.4285714282</v>
      </c>
      <c r="R49" s="184">
        <f>IFERROR(VLOOKUP(F49,'[1]Sales By Promotor Last Month'!D:G,4,0),0)</f>
        <v>20</v>
      </c>
      <c r="S49" s="185">
        <f t="shared" si="7"/>
        <v>13</v>
      </c>
      <c r="T49" s="186">
        <f t="shared" si="8"/>
        <v>-7</v>
      </c>
      <c r="U49" s="187">
        <f t="shared" si="9"/>
        <v>-0.35</v>
      </c>
      <c r="V49" s="188">
        <f>IFERROR(VLOOKUP(F49,'[1]Sales By Promotor Last Month'!D:I,6,0),0)</f>
        <v>28</v>
      </c>
      <c r="W49" s="189">
        <f t="shared" si="10"/>
        <v>28</v>
      </c>
      <c r="X49" s="190">
        <f t="shared" si="11"/>
        <v>0</v>
      </c>
      <c r="Y49" s="191">
        <f t="shared" si="12"/>
        <v>0</v>
      </c>
    </row>
    <row r="50" spans="1:25" ht="18" x14ac:dyDescent="0.2">
      <c r="A50" s="178" t="s">
        <v>216</v>
      </c>
      <c r="B50" s="155">
        <v>6040703</v>
      </c>
      <c r="C50" s="159" t="s">
        <v>210</v>
      </c>
      <c r="D50" s="292">
        <v>2</v>
      </c>
      <c r="E50" s="197" t="s">
        <v>61</v>
      </c>
      <c r="F50" s="159" t="s">
        <v>218</v>
      </c>
      <c r="G50" s="160">
        <f t="shared" si="0"/>
        <v>12.5</v>
      </c>
      <c r="H50" s="161">
        <f>SUMIF('[1]SALES BY PROMOTOR'!$D:$D,F50,'[1]SALES BY PROMOTOR'!$G:$G)</f>
        <v>6</v>
      </c>
      <c r="I50" s="162">
        <f t="shared" si="1"/>
        <v>0.48</v>
      </c>
      <c r="J50" s="163">
        <f t="shared" si="2"/>
        <v>8.0869565217391308</v>
      </c>
      <c r="K50" s="164">
        <v>25</v>
      </c>
      <c r="L50" s="165">
        <f>SUMIF('[1]SALES BY PROMOTOR'!$D:$D,F50,'[1]SALES BY PROMOTOR'!$I:$I)</f>
        <v>13</v>
      </c>
      <c r="M50" s="166">
        <f t="shared" si="3"/>
        <v>0.52</v>
      </c>
      <c r="N50" s="167">
        <f t="shared" si="4"/>
        <v>17.521739130434781</v>
      </c>
      <c r="O50" s="181">
        <f t="shared" si="5"/>
        <v>0.46153846153846156</v>
      </c>
      <c r="P50" s="182">
        <f>SUMIF('[1]SALES BY PROMOTOR'!$D:$D,F50,'[1]SALES BY PROMOTOR'!$J:$J)</f>
        <v>73387000</v>
      </c>
      <c r="Q50" s="183">
        <f t="shared" si="6"/>
        <v>5645153.846153846</v>
      </c>
      <c r="R50" s="184">
        <f>IFERROR(VLOOKUP(F50,'[1]Sales By Promotor Last Month'!D:G,4,0),0)</f>
        <v>18</v>
      </c>
      <c r="S50" s="185">
        <f t="shared" si="7"/>
        <v>6</v>
      </c>
      <c r="T50" s="186">
        <f t="shared" si="8"/>
        <v>-12</v>
      </c>
      <c r="U50" s="187">
        <f t="shared" si="9"/>
        <v>-0.66666666666666663</v>
      </c>
      <c r="V50" s="188">
        <f>IFERROR(VLOOKUP(F50,'[1]Sales By Promotor Last Month'!D:I,6,0),0)</f>
        <v>24</v>
      </c>
      <c r="W50" s="189">
        <f t="shared" si="10"/>
        <v>13</v>
      </c>
      <c r="X50" s="190">
        <f t="shared" si="11"/>
        <v>-11</v>
      </c>
      <c r="Y50" s="191">
        <f t="shared" si="12"/>
        <v>-0.45833333333333331</v>
      </c>
    </row>
    <row r="51" spans="1:25" ht="18" x14ac:dyDescent="0.2">
      <c r="A51" s="178" t="s">
        <v>216</v>
      </c>
      <c r="B51" s="155">
        <v>6040703</v>
      </c>
      <c r="C51" s="159" t="s">
        <v>210</v>
      </c>
      <c r="D51" s="293"/>
      <c r="E51" s="197" t="s">
        <v>61</v>
      </c>
      <c r="F51" s="198" t="s">
        <v>219</v>
      </c>
      <c r="G51" s="160">
        <f t="shared" si="0"/>
        <v>12.5</v>
      </c>
      <c r="H51" s="161">
        <f>SUMIF('[1]SALES BY PROMOTOR'!$D:$D,F51,'[1]SALES BY PROMOTOR'!$G:$G)</f>
        <v>6</v>
      </c>
      <c r="I51" s="162">
        <f t="shared" si="1"/>
        <v>0.48</v>
      </c>
      <c r="J51" s="163">
        <f t="shared" si="2"/>
        <v>8.0869565217391308</v>
      </c>
      <c r="K51" s="164">
        <v>25</v>
      </c>
      <c r="L51" s="165">
        <f>SUMIF('[1]SALES BY PROMOTOR'!$D:$D,F51,'[1]SALES BY PROMOTOR'!$I:$I)</f>
        <v>10</v>
      </c>
      <c r="M51" s="166">
        <f t="shared" si="3"/>
        <v>0.4</v>
      </c>
      <c r="N51" s="167">
        <f t="shared" si="4"/>
        <v>13.478260869565217</v>
      </c>
      <c r="O51" s="181">
        <f t="shared" si="5"/>
        <v>0.6</v>
      </c>
      <c r="P51" s="182">
        <f>SUMIF('[1]SALES BY PROMOTOR'!$D:$D,F51,'[1]SALES BY PROMOTOR'!$J:$J)</f>
        <v>56590000</v>
      </c>
      <c r="Q51" s="183">
        <f t="shared" si="6"/>
        <v>5659000</v>
      </c>
      <c r="R51" s="184">
        <f>IFERROR(VLOOKUP(F51,'[1]Sales By Promotor Last Month'!D:G,4,0),0)</f>
        <v>14</v>
      </c>
      <c r="S51" s="185">
        <f t="shared" si="7"/>
        <v>6</v>
      </c>
      <c r="T51" s="186">
        <f t="shared" si="8"/>
        <v>-8</v>
      </c>
      <c r="U51" s="187">
        <f t="shared" si="9"/>
        <v>-0.5714285714285714</v>
      </c>
      <c r="V51" s="188">
        <f>IFERROR(VLOOKUP(F51,'[1]Sales By Promotor Last Month'!D:I,6,0),0)</f>
        <v>20</v>
      </c>
      <c r="W51" s="189">
        <f t="shared" si="10"/>
        <v>10</v>
      </c>
      <c r="X51" s="190">
        <f t="shared" si="11"/>
        <v>-10</v>
      </c>
      <c r="Y51" s="191">
        <f t="shared" si="12"/>
        <v>-0.5</v>
      </c>
    </row>
    <row r="52" spans="1:25" ht="18" x14ac:dyDescent="0.2">
      <c r="A52" s="178" t="s">
        <v>220</v>
      </c>
      <c r="B52" s="155">
        <v>6050701</v>
      </c>
      <c r="C52" s="159" t="s">
        <v>64</v>
      </c>
      <c r="D52" s="286">
        <v>2</v>
      </c>
      <c r="E52" s="180" t="s">
        <v>63</v>
      </c>
      <c r="F52" s="159" t="s">
        <v>221</v>
      </c>
      <c r="G52" s="160">
        <f t="shared" si="0"/>
        <v>15</v>
      </c>
      <c r="H52" s="161">
        <f>SUMIF('[1]SALES BY PROMOTOR'!$D:$D,F52,'[1]SALES BY PROMOTOR'!$G:$G)</f>
        <v>17</v>
      </c>
      <c r="I52" s="162">
        <f t="shared" si="1"/>
        <v>1.1333333333333333</v>
      </c>
      <c r="J52" s="163">
        <f t="shared" si="2"/>
        <v>22.913043478260867</v>
      </c>
      <c r="K52" s="164">
        <v>30</v>
      </c>
      <c r="L52" s="165">
        <f>SUMIF('[1]SALES BY PROMOTOR'!$D:$D,F52,'[1]SALES BY PROMOTOR'!$I:$I)</f>
        <v>22</v>
      </c>
      <c r="M52" s="166">
        <f t="shared" si="3"/>
        <v>0.73333333333333328</v>
      </c>
      <c r="N52" s="167">
        <f t="shared" si="4"/>
        <v>29.65217391304348</v>
      </c>
      <c r="O52" s="181">
        <f t="shared" si="5"/>
        <v>0.77272727272727271</v>
      </c>
      <c r="P52" s="182">
        <f>SUMIF('[1]SALES BY PROMOTOR'!$D:$D,F52,'[1]SALES BY PROMOTOR'!$J:$J)</f>
        <v>140878000</v>
      </c>
      <c r="Q52" s="183">
        <f t="shared" si="6"/>
        <v>6403545.4545454541</v>
      </c>
      <c r="R52" s="184">
        <f>IFERROR(VLOOKUP(F52,'[1]Sales By Promotor Last Month'!D:G,4,0),0)</f>
        <v>13</v>
      </c>
      <c r="S52" s="185">
        <f t="shared" si="7"/>
        <v>17</v>
      </c>
      <c r="T52" s="186">
        <f t="shared" si="8"/>
        <v>4</v>
      </c>
      <c r="U52" s="187">
        <f t="shared" si="9"/>
        <v>0.30769230769230771</v>
      </c>
      <c r="V52" s="188">
        <f>IFERROR(VLOOKUP(F52,'[1]Sales By Promotor Last Month'!D:I,6,0),0)</f>
        <v>19</v>
      </c>
      <c r="W52" s="189">
        <f t="shared" si="10"/>
        <v>22</v>
      </c>
      <c r="X52" s="190">
        <f t="shared" si="11"/>
        <v>3</v>
      </c>
      <c r="Y52" s="191">
        <f t="shared" si="12"/>
        <v>0.15789473684210525</v>
      </c>
    </row>
    <row r="53" spans="1:25" ht="18" x14ac:dyDescent="0.2">
      <c r="A53" s="178" t="s">
        <v>220</v>
      </c>
      <c r="B53" s="155">
        <v>6050701</v>
      </c>
      <c r="C53" s="159" t="s">
        <v>64</v>
      </c>
      <c r="D53" s="287"/>
      <c r="E53" s="180" t="s">
        <v>63</v>
      </c>
      <c r="F53" s="159" t="s">
        <v>222</v>
      </c>
      <c r="G53" s="160">
        <f t="shared" si="0"/>
        <v>15</v>
      </c>
      <c r="H53" s="161">
        <f>SUMIF('[1]SALES BY PROMOTOR'!$D:$D,F53,'[1]SALES BY PROMOTOR'!$G:$G)</f>
        <v>5</v>
      </c>
      <c r="I53" s="162">
        <f t="shared" si="1"/>
        <v>0.33333333333333331</v>
      </c>
      <c r="J53" s="163">
        <f t="shared" si="2"/>
        <v>6.7391304347826084</v>
      </c>
      <c r="K53" s="164">
        <v>30</v>
      </c>
      <c r="L53" s="165">
        <f>SUMIF('[1]SALES BY PROMOTOR'!$D:$D,F53,'[1]SALES BY PROMOTOR'!$I:$I)</f>
        <v>10</v>
      </c>
      <c r="M53" s="166">
        <f t="shared" si="3"/>
        <v>0.33333333333333331</v>
      </c>
      <c r="N53" s="167">
        <f t="shared" si="4"/>
        <v>13.478260869565217</v>
      </c>
      <c r="O53" s="181">
        <f t="shared" si="5"/>
        <v>0.5</v>
      </c>
      <c r="P53" s="182">
        <f>SUMIF('[1]SALES BY PROMOTOR'!$D:$D,F53,'[1]SALES BY PROMOTOR'!$J:$J)</f>
        <v>41990000</v>
      </c>
      <c r="Q53" s="183">
        <f t="shared" si="6"/>
        <v>4199000</v>
      </c>
      <c r="R53" s="184">
        <f>IFERROR(VLOOKUP(F53,'[1]Sales By Promotor Last Month'!D:G,4,0),0)</f>
        <v>25</v>
      </c>
      <c r="S53" s="185">
        <f t="shared" si="7"/>
        <v>5</v>
      </c>
      <c r="T53" s="186">
        <f t="shared" si="8"/>
        <v>-20</v>
      </c>
      <c r="U53" s="187">
        <f t="shared" si="9"/>
        <v>-0.8</v>
      </c>
      <c r="V53" s="188">
        <f>IFERROR(VLOOKUP(F53,'[1]Sales By Promotor Last Month'!D:I,6,0),0)</f>
        <v>35</v>
      </c>
      <c r="W53" s="189">
        <f t="shared" si="10"/>
        <v>10</v>
      </c>
      <c r="X53" s="190">
        <f t="shared" si="11"/>
        <v>-25</v>
      </c>
      <c r="Y53" s="191">
        <f t="shared" si="12"/>
        <v>-0.7142857142857143</v>
      </c>
    </row>
    <row r="54" spans="1:25" ht="18" x14ac:dyDescent="0.2">
      <c r="A54" s="178" t="s">
        <v>223</v>
      </c>
      <c r="B54" s="155">
        <v>6050705</v>
      </c>
      <c r="C54" s="159" t="s">
        <v>64</v>
      </c>
      <c r="D54" s="287">
        <v>2</v>
      </c>
      <c r="E54" s="180" t="s">
        <v>66</v>
      </c>
      <c r="F54" s="159" t="s">
        <v>227</v>
      </c>
      <c r="G54" s="160">
        <f t="shared" si="0"/>
        <v>15</v>
      </c>
      <c r="H54" s="161">
        <f>SUMIF('[1]SALES BY PROMOTOR'!$D:$D,F54,'[1]SALES BY PROMOTOR'!$G:$G)</f>
        <v>12</v>
      </c>
      <c r="I54" s="162">
        <f t="shared" si="1"/>
        <v>0.8</v>
      </c>
      <c r="J54" s="163">
        <f t="shared" si="2"/>
        <v>16.173913043478262</v>
      </c>
      <c r="K54" s="164">
        <v>30</v>
      </c>
      <c r="L54" s="165">
        <f>SUMIF('[1]SALES BY PROMOTOR'!$D:$D,F54,'[1]SALES BY PROMOTOR'!$I:$I)</f>
        <v>16</v>
      </c>
      <c r="M54" s="166">
        <f t="shared" si="3"/>
        <v>0.53333333333333333</v>
      </c>
      <c r="N54" s="167">
        <f t="shared" si="4"/>
        <v>21.565217391304348</v>
      </c>
      <c r="O54" s="181">
        <f t="shared" si="5"/>
        <v>0.75</v>
      </c>
      <c r="P54" s="182">
        <f>SUMIF('[1]SALES BY PROMOTOR'!$D:$D,F54,'[1]SALES BY PROMOTOR'!$J:$J)</f>
        <v>87984000</v>
      </c>
      <c r="Q54" s="183">
        <f t="shared" si="6"/>
        <v>5499000</v>
      </c>
      <c r="R54" s="184">
        <f>IFERROR(VLOOKUP(F54,'[1]Sales By Promotor Last Month'!D:G,4,0),0)</f>
        <v>6</v>
      </c>
      <c r="S54" s="185">
        <f t="shared" si="7"/>
        <v>12</v>
      </c>
      <c r="T54" s="186">
        <f t="shared" si="8"/>
        <v>6</v>
      </c>
      <c r="U54" s="187">
        <f t="shared" si="9"/>
        <v>1</v>
      </c>
      <c r="V54" s="188">
        <f>IFERROR(VLOOKUP(F54,'[1]Sales By Promotor Last Month'!D:I,6,0),0)</f>
        <v>17</v>
      </c>
      <c r="W54" s="189">
        <f t="shared" si="10"/>
        <v>16</v>
      </c>
      <c r="X54" s="190">
        <f t="shared" si="11"/>
        <v>-1</v>
      </c>
      <c r="Y54" s="191">
        <f t="shared" si="12"/>
        <v>-5.8823529411764705E-2</v>
      </c>
    </row>
    <row r="55" spans="1:25" ht="18" x14ac:dyDescent="0.2">
      <c r="A55" s="178" t="s">
        <v>223</v>
      </c>
      <c r="B55" s="155">
        <v>6050705</v>
      </c>
      <c r="C55" s="159" t="s">
        <v>64</v>
      </c>
      <c r="D55" s="287"/>
      <c r="E55" s="180" t="s">
        <v>66</v>
      </c>
      <c r="F55" s="159" t="s">
        <v>228</v>
      </c>
      <c r="G55" s="160">
        <f t="shared" si="0"/>
        <v>15</v>
      </c>
      <c r="H55" s="161">
        <f>SUMIF('[1]SALES BY PROMOTOR'!$D:$D,F55,'[1]SALES BY PROMOTOR'!$G:$G)</f>
        <v>4</v>
      </c>
      <c r="I55" s="162">
        <f t="shared" si="1"/>
        <v>0.26666666666666666</v>
      </c>
      <c r="J55" s="163">
        <f t="shared" si="2"/>
        <v>5.3913043478260869</v>
      </c>
      <c r="K55" s="164">
        <v>30</v>
      </c>
      <c r="L55" s="165">
        <f>SUMIF('[1]SALES BY PROMOTOR'!$D:$D,F55,'[1]SALES BY PROMOTOR'!$I:$I)</f>
        <v>9</v>
      </c>
      <c r="M55" s="166">
        <f t="shared" si="3"/>
        <v>0.3</v>
      </c>
      <c r="N55" s="167">
        <f t="shared" si="4"/>
        <v>12.130434782608695</v>
      </c>
      <c r="O55" s="181">
        <f t="shared" si="5"/>
        <v>0.44444444444444442</v>
      </c>
      <c r="P55" s="182">
        <f>SUMIF('[1]SALES BY PROMOTOR'!$D:$D,F55,'[1]SALES BY PROMOTOR'!$J:$J)</f>
        <v>34191000</v>
      </c>
      <c r="Q55" s="183">
        <f t="shared" si="6"/>
        <v>3799000</v>
      </c>
      <c r="R55" s="184">
        <f>IFERROR(VLOOKUP(F55,'[1]Sales By Promotor Last Month'!D:G,4,0),0)</f>
        <v>4</v>
      </c>
      <c r="S55" s="185">
        <f t="shared" si="7"/>
        <v>4</v>
      </c>
      <c r="T55" s="186">
        <f t="shared" si="8"/>
        <v>0</v>
      </c>
      <c r="U55" s="187">
        <f t="shared" si="9"/>
        <v>0</v>
      </c>
      <c r="V55" s="188">
        <f>IFERROR(VLOOKUP(F55,'[1]Sales By Promotor Last Month'!D:I,6,0),0)</f>
        <v>9</v>
      </c>
      <c r="W55" s="189">
        <f t="shared" si="10"/>
        <v>9</v>
      </c>
      <c r="X55" s="190">
        <f t="shared" si="11"/>
        <v>0</v>
      </c>
      <c r="Y55" s="191">
        <f t="shared" si="12"/>
        <v>0</v>
      </c>
    </row>
    <row r="56" spans="1:25" ht="18" x14ac:dyDescent="0.2">
      <c r="A56" s="178" t="s">
        <v>223</v>
      </c>
      <c r="B56" s="155">
        <v>6050706</v>
      </c>
      <c r="C56" s="159" t="s">
        <v>64</v>
      </c>
      <c r="D56" s="287">
        <v>2</v>
      </c>
      <c r="E56" s="180" t="s">
        <v>67</v>
      </c>
      <c r="F56" s="159" t="s">
        <v>226</v>
      </c>
      <c r="G56" s="160">
        <f t="shared" si="0"/>
        <v>15</v>
      </c>
      <c r="H56" s="161">
        <f>SUMIF('[1]SALES BY PROMOTOR'!$D:$D,F56,'[1]SALES BY PROMOTOR'!$G:$G)</f>
        <v>6</v>
      </c>
      <c r="I56" s="162">
        <f t="shared" si="1"/>
        <v>0.4</v>
      </c>
      <c r="J56" s="163">
        <f t="shared" si="2"/>
        <v>8.0869565217391308</v>
      </c>
      <c r="K56" s="164">
        <v>30</v>
      </c>
      <c r="L56" s="165">
        <f>SUMIF('[1]SALES BY PROMOTOR'!$D:$D,F56,'[1]SALES BY PROMOTOR'!$I:$I)</f>
        <v>18</v>
      </c>
      <c r="M56" s="166">
        <f t="shared" si="3"/>
        <v>0.6</v>
      </c>
      <c r="N56" s="167">
        <f t="shared" si="4"/>
        <v>24.260869565217391</v>
      </c>
      <c r="O56" s="181">
        <f t="shared" si="5"/>
        <v>0.33333333333333331</v>
      </c>
      <c r="P56" s="182">
        <f>SUMIF('[1]SALES BY PROMOTOR'!$D:$D,F56,'[1]SALES BY PROMOTOR'!$J:$J)</f>
        <v>62482000</v>
      </c>
      <c r="Q56" s="183">
        <f t="shared" si="6"/>
        <v>3471222.222222222</v>
      </c>
      <c r="R56" s="184">
        <f>IFERROR(VLOOKUP(F56,'[1]Sales By Promotor Last Month'!D:G,4,0),0)</f>
        <v>8</v>
      </c>
      <c r="S56" s="185">
        <f t="shared" si="7"/>
        <v>6</v>
      </c>
      <c r="T56" s="186">
        <f t="shared" si="8"/>
        <v>-2</v>
      </c>
      <c r="U56" s="187">
        <f t="shared" si="9"/>
        <v>-0.25</v>
      </c>
      <c r="V56" s="188">
        <f>IFERROR(VLOOKUP(F56,'[1]Sales By Promotor Last Month'!D:I,6,0),0)</f>
        <v>11</v>
      </c>
      <c r="W56" s="189">
        <f t="shared" si="10"/>
        <v>18</v>
      </c>
      <c r="X56" s="190">
        <f t="shared" si="11"/>
        <v>7</v>
      </c>
      <c r="Y56" s="191">
        <f t="shared" si="12"/>
        <v>0.63636363636363635</v>
      </c>
    </row>
    <row r="57" spans="1:25" ht="18" x14ac:dyDescent="0.2">
      <c r="A57" s="178" t="s">
        <v>223</v>
      </c>
      <c r="B57" s="155">
        <v>6050706</v>
      </c>
      <c r="C57" s="159" t="s">
        <v>64</v>
      </c>
      <c r="D57" s="287"/>
      <c r="E57" s="180" t="s">
        <v>67</v>
      </c>
      <c r="F57" s="159" t="s">
        <v>229</v>
      </c>
      <c r="G57" s="160">
        <f t="shared" si="0"/>
        <v>15</v>
      </c>
      <c r="H57" s="161">
        <f>SUMIF('[1]SALES BY PROMOTOR'!$D:$D,F57,'[1]SALES BY PROMOTOR'!$G:$G)</f>
        <v>3</v>
      </c>
      <c r="I57" s="162">
        <f t="shared" si="1"/>
        <v>0.2</v>
      </c>
      <c r="J57" s="163">
        <f t="shared" si="2"/>
        <v>4.0434782608695654</v>
      </c>
      <c r="K57" s="164">
        <v>30</v>
      </c>
      <c r="L57" s="165">
        <f>SUMIF('[1]SALES BY PROMOTOR'!$D:$D,F57,'[1]SALES BY PROMOTOR'!$I:$I)</f>
        <v>7</v>
      </c>
      <c r="M57" s="166">
        <f t="shared" si="3"/>
        <v>0.23333333333333334</v>
      </c>
      <c r="N57" s="167">
        <f t="shared" si="4"/>
        <v>9.4347826086956523</v>
      </c>
      <c r="O57" s="181">
        <f t="shared" si="5"/>
        <v>0.42857142857142855</v>
      </c>
      <c r="P57" s="182">
        <f>SUMIF('[1]SALES BY PROMOTOR'!$D:$D,F57,'[1]SALES BY PROMOTOR'!$J:$J)</f>
        <v>24993000</v>
      </c>
      <c r="Q57" s="183">
        <f t="shared" si="6"/>
        <v>3570428.5714285714</v>
      </c>
      <c r="R57" s="184">
        <f>IFERROR(VLOOKUP(F57,'[1]Sales By Promotor Last Month'!D:G,4,0),0)</f>
        <v>0</v>
      </c>
      <c r="S57" s="185">
        <f t="shared" si="7"/>
        <v>3</v>
      </c>
      <c r="T57" s="186">
        <f t="shared" si="8"/>
        <v>3</v>
      </c>
      <c r="U57" s="187">
        <f t="shared" si="9"/>
        <v>0</v>
      </c>
      <c r="V57" s="188">
        <f>IFERROR(VLOOKUP(F57,'[1]Sales By Promotor Last Month'!D:I,6,0),0)</f>
        <v>0</v>
      </c>
      <c r="W57" s="189">
        <f t="shared" si="10"/>
        <v>7</v>
      </c>
      <c r="X57" s="190">
        <f t="shared" si="11"/>
        <v>7</v>
      </c>
      <c r="Y57" s="191">
        <f t="shared" si="12"/>
        <v>0</v>
      </c>
    </row>
    <row r="58" spans="1:25" ht="18" x14ac:dyDescent="0.2">
      <c r="A58" s="178" t="s">
        <v>223</v>
      </c>
      <c r="B58" s="155">
        <v>6220701</v>
      </c>
      <c r="C58" s="159" t="s">
        <v>64</v>
      </c>
      <c r="D58" s="287">
        <v>2</v>
      </c>
      <c r="E58" s="180" t="s">
        <v>65</v>
      </c>
      <c r="F58" s="159" t="s">
        <v>224</v>
      </c>
      <c r="G58" s="160">
        <f t="shared" si="0"/>
        <v>15</v>
      </c>
      <c r="H58" s="161">
        <f>SUMIF('[1]SALES BY PROMOTOR'!$D:$D,F58,'[1]SALES BY PROMOTOR'!$G:$G)</f>
        <v>11</v>
      </c>
      <c r="I58" s="162">
        <f t="shared" si="1"/>
        <v>0.73333333333333328</v>
      </c>
      <c r="J58" s="163">
        <f t="shared" si="2"/>
        <v>14.82608695652174</v>
      </c>
      <c r="K58" s="164">
        <v>30</v>
      </c>
      <c r="L58" s="165">
        <f>SUMIF('[1]SALES BY PROMOTOR'!$D:$D,F58,'[1]SALES BY PROMOTOR'!$I:$I)</f>
        <v>26</v>
      </c>
      <c r="M58" s="166">
        <f t="shared" si="3"/>
        <v>0.8666666666666667</v>
      </c>
      <c r="N58" s="167">
        <f t="shared" si="4"/>
        <v>35.043478260869563</v>
      </c>
      <c r="O58" s="181">
        <f t="shared" si="5"/>
        <v>0.42307692307692307</v>
      </c>
      <c r="P58" s="182">
        <f>SUMIF('[1]SALES BY PROMOTOR'!$D:$D,F58,'[1]SALES BY PROMOTOR'!$J:$J)</f>
        <v>105774000</v>
      </c>
      <c r="Q58" s="183">
        <f t="shared" si="6"/>
        <v>4068230.769230769</v>
      </c>
      <c r="R58" s="184">
        <f>IFERROR(VLOOKUP(F58,'[1]Sales By Promotor Last Month'!D:G,4,0),0)</f>
        <v>23</v>
      </c>
      <c r="S58" s="185">
        <f t="shared" si="7"/>
        <v>11</v>
      </c>
      <c r="T58" s="186">
        <f t="shared" si="8"/>
        <v>-12</v>
      </c>
      <c r="U58" s="187">
        <f t="shared" si="9"/>
        <v>-0.52173913043478259</v>
      </c>
      <c r="V58" s="188">
        <f>IFERROR(VLOOKUP(F58,'[1]Sales By Promotor Last Month'!D:I,6,0),0)</f>
        <v>34</v>
      </c>
      <c r="W58" s="189">
        <f t="shared" si="10"/>
        <v>26</v>
      </c>
      <c r="X58" s="190">
        <f t="shared" si="11"/>
        <v>-8</v>
      </c>
      <c r="Y58" s="191">
        <f t="shared" si="12"/>
        <v>-0.23529411764705882</v>
      </c>
    </row>
    <row r="59" spans="1:25" ht="18" x14ac:dyDescent="0.2">
      <c r="A59" s="178" t="s">
        <v>223</v>
      </c>
      <c r="B59" s="155">
        <v>6220701</v>
      </c>
      <c r="C59" s="159" t="s">
        <v>64</v>
      </c>
      <c r="D59" s="288"/>
      <c r="E59" s="180" t="s">
        <v>65</v>
      </c>
      <c r="F59" s="159" t="s">
        <v>225</v>
      </c>
      <c r="G59" s="160">
        <f t="shared" si="0"/>
        <v>15</v>
      </c>
      <c r="H59" s="161">
        <f>SUMIF('[1]SALES BY PROMOTOR'!$D:$D,F59,'[1]SALES BY PROMOTOR'!$G:$G)</f>
        <v>5</v>
      </c>
      <c r="I59" s="162">
        <f t="shared" si="1"/>
        <v>0.33333333333333331</v>
      </c>
      <c r="J59" s="163">
        <f t="shared" si="2"/>
        <v>6.7391304347826084</v>
      </c>
      <c r="K59" s="164">
        <v>30</v>
      </c>
      <c r="L59" s="165">
        <f>SUMIF('[1]SALES BY PROMOTOR'!$D:$D,F59,'[1]SALES BY PROMOTOR'!$I:$I)</f>
        <v>19</v>
      </c>
      <c r="M59" s="166">
        <f t="shared" si="3"/>
        <v>0.6333333333333333</v>
      </c>
      <c r="N59" s="167">
        <f t="shared" si="4"/>
        <v>25.608695652173914</v>
      </c>
      <c r="O59" s="181">
        <f t="shared" si="5"/>
        <v>0.26315789473684209</v>
      </c>
      <c r="P59" s="182">
        <f>SUMIF('[1]SALES BY PROMOTOR'!$D:$D,F59,'[1]SALES BY PROMOTOR'!$J:$J)</f>
        <v>58081000</v>
      </c>
      <c r="Q59" s="183">
        <f t="shared" si="6"/>
        <v>3056894.7368421052</v>
      </c>
      <c r="R59" s="184">
        <f>IFERROR(VLOOKUP(F59,'[1]Sales By Promotor Last Month'!D:G,4,0),0)</f>
        <v>0</v>
      </c>
      <c r="S59" s="185">
        <f t="shared" si="7"/>
        <v>5</v>
      </c>
      <c r="T59" s="186">
        <f t="shared" si="8"/>
        <v>5</v>
      </c>
      <c r="U59" s="187">
        <f t="shared" si="9"/>
        <v>0</v>
      </c>
      <c r="V59" s="188">
        <f>IFERROR(VLOOKUP(F59,'[1]Sales By Promotor Last Month'!D:I,6,0),0)</f>
        <v>0</v>
      </c>
      <c r="W59" s="189">
        <f t="shared" si="10"/>
        <v>19</v>
      </c>
      <c r="X59" s="190">
        <f t="shared" si="11"/>
        <v>19</v>
      </c>
      <c r="Y59" s="191">
        <f t="shared" si="12"/>
        <v>0</v>
      </c>
    </row>
    <row r="60" spans="1:25" ht="18" x14ac:dyDescent="0.2">
      <c r="A60" s="178" t="s">
        <v>230</v>
      </c>
      <c r="B60" s="155">
        <v>6100702</v>
      </c>
      <c r="C60" s="159" t="s">
        <v>100</v>
      </c>
      <c r="D60" s="179">
        <v>1</v>
      </c>
      <c r="E60" s="180" t="s">
        <v>105</v>
      </c>
      <c r="F60" s="199" t="s">
        <v>231</v>
      </c>
      <c r="G60" s="160">
        <f t="shared" si="0"/>
        <v>17.5</v>
      </c>
      <c r="H60" s="161">
        <f>SUMIF('[1]SALES BY PROMOTOR'!$D:$D,F60,'[1]SALES BY PROMOTOR'!$G:$G)</f>
        <v>15</v>
      </c>
      <c r="I60" s="162">
        <f t="shared" si="1"/>
        <v>0.8571428571428571</v>
      </c>
      <c r="J60" s="163">
        <f t="shared" si="2"/>
        <v>20.217391304347828</v>
      </c>
      <c r="K60" s="164">
        <v>35</v>
      </c>
      <c r="L60" s="165">
        <f>SUMIF('[1]SALES BY PROMOTOR'!$D:$D,F60,'[1]SALES BY PROMOTOR'!$I:$I)</f>
        <v>21</v>
      </c>
      <c r="M60" s="166">
        <f t="shared" si="3"/>
        <v>0.6</v>
      </c>
      <c r="N60" s="167">
        <f t="shared" si="4"/>
        <v>28.304347826086953</v>
      </c>
      <c r="O60" s="181">
        <f t="shared" si="5"/>
        <v>0.7142857142857143</v>
      </c>
      <c r="P60" s="182">
        <f>SUMIF('[1]SALES BY PROMOTOR'!$D:$D,F60,'[1]SALES BY PROMOTOR'!$J:$J)</f>
        <v>121179000</v>
      </c>
      <c r="Q60" s="183">
        <f t="shared" si="6"/>
        <v>5770428.5714285718</v>
      </c>
      <c r="R60" s="184">
        <f>IFERROR(VLOOKUP(F60,'[1]Sales By Promotor Last Month'!D:G,4,0),0)</f>
        <v>7</v>
      </c>
      <c r="S60" s="185">
        <f t="shared" si="7"/>
        <v>15</v>
      </c>
      <c r="T60" s="186">
        <f t="shared" si="8"/>
        <v>8</v>
      </c>
      <c r="U60" s="187">
        <f t="shared" si="9"/>
        <v>1.1428571428571428</v>
      </c>
      <c r="V60" s="188">
        <f>IFERROR(VLOOKUP(F60,'[1]Sales By Promotor Last Month'!D:I,6,0),0)</f>
        <v>12</v>
      </c>
      <c r="W60" s="189">
        <f t="shared" si="10"/>
        <v>21</v>
      </c>
      <c r="X60" s="190">
        <f t="shared" si="11"/>
        <v>9</v>
      </c>
      <c r="Y60" s="191">
        <f t="shared" si="12"/>
        <v>0.75</v>
      </c>
    </row>
    <row r="61" spans="1:25" ht="18" x14ac:dyDescent="0.2">
      <c r="A61" s="200" t="s">
        <v>101</v>
      </c>
      <c r="B61" s="155">
        <v>6130702</v>
      </c>
      <c r="C61" s="201" t="s">
        <v>103</v>
      </c>
      <c r="D61" s="287">
        <v>2</v>
      </c>
      <c r="E61" s="180" t="s">
        <v>102</v>
      </c>
      <c r="F61" s="159" t="s">
        <v>232</v>
      </c>
      <c r="G61" s="160">
        <f t="shared" si="0"/>
        <v>12.5</v>
      </c>
      <c r="H61" s="161">
        <f>SUMIF('[1]SALES BY PROMOTOR'!$D:$D,F61,'[1]SALES BY PROMOTOR'!$G:$G)</f>
        <v>12</v>
      </c>
      <c r="I61" s="162">
        <f t="shared" si="1"/>
        <v>0.96</v>
      </c>
      <c r="J61" s="163">
        <f t="shared" si="2"/>
        <v>16.173913043478262</v>
      </c>
      <c r="K61" s="164">
        <v>25</v>
      </c>
      <c r="L61" s="165">
        <f>SUMIF('[1]SALES BY PROMOTOR'!$D:$D,F61,'[1]SALES BY PROMOTOR'!$I:$I)</f>
        <v>20</v>
      </c>
      <c r="M61" s="166">
        <f t="shared" si="3"/>
        <v>0.8</v>
      </c>
      <c r="N61" s="167">
        <f t="shared" si="4"/>
        <v>26.956521739130434</v>
      </c>
      <c r="O61" s="181">
        <f t="shared" si="5"/>
        <v>0.6</v>
      </c>
      <c r="P61" s="182">
        <f>SUMIF('[1]SALES BY PROMOTOR'!$D:$D,F61,'[1]SALES BY PROMOTOR'!$J:$J)</f>
        <v>94380000</v>
      </c>
      <c r="Q61" s="183">
        <f t="shared" si="6"/>
        <v>4719000</v>
      </c>
      <c r="R61" s="184">
        <f>IFERROR(VLOOKUP(F61,'[1]Sales By Promotor Last Month'!D:G,4,0),0)</f>
        <v>15</v>
      </c>
      <c r="S61" s="185">
        <f t="shared" si="7"/>
        <v>12</v>
      </c>
      <c r="T61" s="186">
        <f t="shared" si="8"/>
        <v>-3</v>
      </c>
      <c r="U61" s="187">
        <f t="shared" si="9"/>
        <v>-0.2</v>
      </c>
      <c r="V61" s="188">
        <f>IFERROR(VLOOKUP(F61,'[1]Sales By Promotor Last Month'!D:I,6,0),0)</f>
        <v>23</v>
      </c>
      <c r="W61" s="189">
        <f t="shared" si="10"/>
        <v>20</v>
      </c>
      <c r="X61" s="190">
        <f t="shared" si="11"/>
        <v>-3</v>
      </c>
      <c r="Y61" s="191">
        <f t="shared" si="12"/>
        <v>-0.13043478260869565</v>
      </c>
    </row>
    <row r="62" spans="1:25" ht="18" x14ac:dyDescent="0.2">
      <c r="A62" s="200" t="s">
        <v>101</v>
      </c>
      <c r="B62" s="155">
        <v>6130702</v>
      </c>
      <c r="C62" s="201" t="s">
        <v>103</v>
      </c>
      <c r="D62" s="287"/>
      <c r="E62" s="180" t="s">
        <v>102</v>
      </c>
      <c r="F62" s="159" t="s">
        <v>233</v>
      </c>
      <c r="G62" s="160">
        <f t="shared" si="0"/>
        <v>12.5</v>
      </c>
      <c r="H62" s="161">
        <f>SUMIF('[1]SALES BY PROMOTOR'!$D:$D,F62,'[1]SALES BY PROMOTOR'!$G:$G)</f>
        <v>13</v>
      </c>
      <c r="I62" s="162">
        <f t="shared" si="1"/>
        <v>1.04</v>
      </c>
      <c r="J62" s="163">
        <f t="shared" si="2"/>
        <v>17.521739130434781</v>
      </c>
      <c r="K62" s="164">
        <v>25</v>
      </c>
      <c r="L62" s="165">
        <f>SUMIF('[1]SALES BY PROMOTOR'!$D:$D,F62,'[1]SALES BY PROMOTOR'!$I:$I)</f>
        <v>25</v>
      </c>
      <c r="M62" s="166">
        <f t="shared" si="3"/>
        <v>1</v>
      </c>
      <c r="N62" s="167">
        <f t="shared" si="4"/>
        <v>33.695652173913039</v>
      </c>
      <c r="O62" s="181">
        <f t="shared" si="5"/>
        <v>0.52</v>
      </c>
      <c r="P62" s="182">
        <f>SUMIF('[1]SALES BY PROMOTOR'!$D:$D,F62,'[1]SALES BY PROMOTOR'!$J:$J)</f>
        <v>122275000</v>
      </c>
      <c r="Q62" s="183">
        <f t="shared" si="6"/>
        <v>4891000</v>
      </c>
      <c r="R62" s="184">
        <f>IFERROR(VLOOKUP(F62,'[1]Sales By Promotor Last Month'!D:G,4,0),0)</f>
        <v>10</v>
      </c>
      <c r="S62" s="185">
        <f t="shared" si="7"/>
        <v>13</v>
      </c>
      <c r="T62" s="186">
        <f t="shared" si="8"/>
        <v>3</v>
      </c>
      <c r="U62" s="187">
        <f t="shared" si="9"/>
        <v>0.3</v>
      </c>
      <c r="V62" s="188">
        <f>IFERROR(VLOOKUP(F62,'[1]Sales By Promotor Last Month'!D:I,6,0),0)</f>
        <v>14</v>
      </c>
      <c r="W62" s="189">
        <f t="shared" si="10"/>
        <v>25</v>
      </c>
      <c r="X62" s="190">
        <f t="shared" si="11"/>
        <v>11</v>
      </c>
      <c r="Y62" s="191">
        <f t="shared" si="12"/>
        <v>0.7857142857142857</v>
      </c>
    </row>
    <row r="63" spans="1:25" ht="18" x14ac:dyDescent="0.2">
      <c r="A63" s="178" t="s">
        <v>234</v>
      </c>
      <c r="B63" s="155">
        <v>6140705</v>
      </c>
      <c r="C63" s="201" t="s">
        <v>109</v>
      </c>
      <c r="D63" s="287">
        <v>4</v>
      </c>
      <c r="E63" s="202" t="s">
        <v>108</v>
      </c>
      <c r="F63" s="159" t="s">
        <v>235</v>
      </c>
      <c r="G63" s="160">
        <f t="shared" si="0"/>
        <v>12.5</v>
      </c>
      <c r="H63" s="161">
        <f>SUMIF('[1]SALES BY PROMOTOR'!$D:$D,F63,'[1]SALES BY PROMOTOR'!$G:$G)</f>
        <v>11</v>
      </c>
      <c r="I63" s="162">
        <f t="shared" si="1"/>
        <v>0.88</v>
      </c>
      <c r="J63" s="163">
        <f t="shared" si="2"/>
        <v>14.82608695652174</v>
      </c>
      <c r="K63" s="164">
        <v>25</v>
      </c>
      <c r="L63" s="165">
        <f>SUMIF('[1]SALES BY PROMOTOR'!$D:$D,F63,'[1]SALES BY PROMOTOR'!$I:$I)</f>
        <v>13</v>
      </c>
      <c r="M63" s="166">
        <f t="shared" si="3"/>
        <v>0.52</v>
      </c>
      <c r="N63" s="167">
        <f t="shared" si="4"/>
        <v>17.521739130434781</v>
      </c>
      <c r="O63" s="181">
        <f t="shared" si="5"/>
        <v>0.84615384615384615</v>
      </c>
      <c r="P63" s="182">
        <f>SUMIF('[1]SALES BY PROMOTOR'!$D:$D,F63,'[1]SALES BY PROMOTOR'!$J:$J)</f>
        <v>92087000</v>
      </c>
      <c r="Q63" s="183">
        <f t="shared" si="6"/>
        <v>7083615.384615385</v>
      </c>
      <c r="R63" s="184">
        <f>IFERROR(VLOOKUP(F63,'[1]Sales By Promotor Last Month'!D:G,4,0),0)</f>
        <v>14</v>
      </c>
      <c r="S63" s="185">
        <f t="shared" si="7"/>
        <v>11</v>
      </c>
      <c r="T63" s="186">
        <f t="shared" si="8"/>
        <v>-3</v>
      </c>
      <c r="U63" s="187">
        <f t="shared" si="9"/>
        <v>-0.21428571428571427</v>
      </c>
      <c r="V63" s="188">
        <f>IFERROR(VLOOKUP(F63,'[1]Sales By Promotor Last Month'!D:I,6,0),0)</f>
        <v>21</v>
      </c>
      <c r="W63" s="189">
        <f t="shared" si="10"/>
        <v>13</v>
      </c>
      <c r="X63" s="190">
        <f t="shared" si="11"/>
        <v>-8</v>
      </c>
      <c r="Y63" s="191">
        <f t="shared" si="12"/>
        <v>-0.38095238095238093</v>
      </c>
    </row>
    <row r="64" spans="1:25" ht="18" x14ac:dyDescent="0.2">
      <c r="A64" s="178" t="s">
        <v>234</v>
      </c>
      <c r="B64" s="155">
        <v>6140705</v>
      </c>
      <c r="C64" s="159" t="s">
        <v>109</v>
      </c>
      <c r="D64" s="287"/>
      <c r="E64" s="202" t="s">
        <v>108</v>
      </c>
      <c r="F64" s="159" t="s">
        <v>236</v>
      </c>
      <c r="G64" s="160">
        <f t="shared" si="0"/>
        <v>12.5</v>
      </c>
      <c r="H64" s="161">
        <f>SUMIF('[1]SALES BY PROMOTOR'!$D:$D,F64,'[1]SALES BY PROMOTOR'!$G:$G)</f>
        <v>1</v>
      </c>
      <c r="I64" s="162">
        <f t="shared" si="1"/>
        <v>0.08</v>
      </c>
      <c r="J64" s="163">
        <f t="shared" si="2"/>
        <v>1.3478260869565217</v>
      </c>
      <c r="K64" s="164">
        <v>25</v>
      </c>
      <c r="L64" s="165">
        <f>SUMIF('[1]SALES BY PROMOTOR'!$D:$D,F64,'[1]SALES BY PROMOTOR'!$I:$I)</f>
        <v>1</v>
      </c>
      <c r="M64" s="166">
        <f t="shared" si="3"/>
        <v>0.04</v>
      </c>
      <c r="N64" s="167">
        <f t="shared" si="4"/>
        <v>1.3478260869565217</v>
      </c>
      <c r="O64" s="181">
        <f t="shared" si="5"/>
        <v>1</v>
      </c>
      <c r="P64" s="182">
        <f>SUMIF('[1]SALES BY PROMOTOR'!$D:$D,F64,'[1]SALES BY PROMOTOR'!$J:$J)</f>
        <v>6899000</v>
      </c>
      <c r="Q64" s="183">
        <f t="shared" si="6"/>
        <v>6899000</v>
      </c>
      <c r="R64" s="184">
        <f>IFERROR(VLOOKUP(F64,'[1]Sales By Promotor Last Month'!D:G,4,0),0)</f>
        <v>18</v>
      </c>
      <c r="S64" s="185">
        <f t="shared" si="7"/>
        <v>1</v>
      </c>
      <c r="T64" s="186">
        <f t="shared" si="8"/>
        <v>-17</v>
      </c>
      <c r="U64" s="187">
        <f t="shared" si="9"/>
        <v>-0.94444444444444442</v>
      </c>
      <c r="V64" s="188">
        <f>IFERROR(VLOOKUP(F64,'[1]Sales By Promotor Last Month'!D:I,6,0),0)</f>
        <v>19</v>
      </c>
      <c r="W64" s="189">
        <f t="shared" si="10"/>
        <v>1</v>
      </c>
      <c r="X64" s="190">
        <f t="shared" si="11"/>
        <v>-18</v>
      </c>
      <c r="Y64" s="191">
        <f t="shared" si="12"/>
        <v>-0.94736842105263153</v>
      </c>
    </row>
    <row r="65" spans="1:25" ht="18" x14ac:dyDescent="0.2">
      <c r="A65" s="178" t="s">
        <v>234</v>
      </c>
      <c r="B65" s="155">
        <v>6140705</v>
      </c>
      <c r="C65" s="159" t="s">
        <v>109</v>
      </c>
      <c r="D65" s="287"/>
      <c r="E65" s="202" t="s">
        <v>108</v>
      </c>
      <c r="F65" s="199" t="s">
        <v>237</v>
      </c>
      <c r="G65" s="160">
        <f t="shared" si="0"/>
        <v>12.5</v>
      </c>
      <c r="H65" s="161">
        <f>SUMIF('[1]SALES BY PROMOTOR'!$D:$D,F65,'[1]SALES BY PROMOTOR'!$G:$G)</f>
        <v>14</v>
      </c>
      <c r="I65" s="162">
        <f t="shared" si="1"/>
        <v>1.1200000000000001</v>
      </c>
      <c r="J65" s="163">
        <f t="shared" si="2"/>
        <v>18.869565217391305</v>
      </c>
      <c r="K65" s="164">
        <v>25</v>
      </c>
      <c r="L65" s="165">
        <f>SUMIF('[1]SALES BY PROMOTOR'!$D:$D,F65,'[1]SALES BY PROMOTOR'!$I:$I)</f>
        <v>22</v>
      </c>
      <c r="M65" s="166">
        <f t="shared" si="3"/>
        <v>0.88</v>
      </c>
      <c r="N65" s="167">
        <f t="shared" si="4"/>
        <v>29.65217391304348</v>
      </c>
      <c r="O65" s="181">
        <f t="shared" si="5"/>
        <v>0.63636363636363635</v>
      </c>
      <c r="P65" s="182">
        <f>SUMIF('[1]SALES BY PROMOTOR'!$D:$D,F65,'[1]SALES BY PROMOTOR'!$J:$J)</f>
        <v>112478000</v>
      </c>
      <c r="Q65" s="183">
        <f t="shared" si="6"/>
        <v>5112636.3636363633</v>
      </c>
      <c r="R65" s="184">
        <f>IFERROR(VLOOKUP(F65,'[1]Sales By Promotor Last Month'!D:G,4,0),0)</f>
        <v>14</v>
      </c>
      <c r="S65" s="185">
        <f t="shared" si="7"/>
        <v>14</v>
      </c>
      <c r="T65" s="186">
        <f t="shared" si="8"/>
        <v>0</v>
      </c>
      <c r="U65" s="187">
        <f t="shared" si="9"/>
        <v>0</v>
      </c>
      <c r="V65" s="188">
        <f>IFERROR(VLOOKUP(F65,'[1]Sales By Promotor Last Month'!D:I,6,0),0)</f>
        <v>18</v>
      </c>
      <c r="W65" s="189">
        <f t="shared" si="10"/>
        <v>22</v>
      </c>
      <c r="X65" s="190">
        <f t="shared" si="11"/>
        <v>4</v>
      </c>
      <c r="Y65" s="191">
        <f t="shared" si="12"/>
        <v>0.22222222222222221</v>
      </c>
    </row>
    <row r="66" spans="1:25" ht="18" x14ac:dyDescent="0.2">
      <c r="A66" s="178" t="s">
        <v>234</v>
      </c>
      <c r="B66" s="155">
        <v>6140705</v>
      </c>
      <c r="C66" s="159" t="s">
        <v>109</v>
      </c>
      <c r="D66" s="287"/>
      <c r="E66" s="202" t="s">
        <v>108</v>
      </c>
      <c r="F66" s="199" t="s">
        <v>238</v>
      </c>
      <c r="G66" s="160">
        <f t="shared" si="0"/>
        <v>12.5</v>
      </c>
      <c r="H66" s="161">
        <f>SUMIF('[1]SALES BY PROMOTOR'!$D:$D,F66,'[1]SALES BY PROMOTOR'!$G:$G)</f>
        <v>0</v>
      </c>
      <c r="I66" s="162">
        <f t="shared" si="1"/>
        <v>0</v>
      </c>
      <c r="J66" s="163">
        <f t="shared" si="2"/>
        <v>0</v>
      </c>
      <c r="K66" s="164">
        <v>25</v>
      </c>
      <c r="L66" s="165">
        <f>SUMIF('[1]SALES BY PROMOTOR'!$D:$D,F66,'[1]SALES BY PROMOTOR'!$I:$I)</f>
        <v>1</v>
      </c>
      <c r="M66" s="166">
        <f t="shared" si="3"/>
        <v>0.04</v>
      </c>
      <c r="N66" s="167">
        <f t="shared" si="4"/>
        <v>1.3478260869565217</v>
      </c>
      <c r="O66" s="181">
        <f t="shared" si="5"/>
        <v>0</v>
      </c>
      <c r="P66" s="182">
        <f>SUMIF('[1]SALES BY PROMOTOR'!$D:$D,F66,'[1]SALES BY PROMOTOR'!$J:$J)</f>
        <v>2099000</v>
      </c>
      <c r="Q66" s="183">
        <f t="shared" si="6"/>
        <v>2099000</v>
      </c>
      <c r="R66" s="184">
        <f>IFERROR(VLOOKUP(F66,'[1]Sales By Promotor Last Month'!D:G,4,0),0)</f>
        <v>0</v>
      </c>
      <c r="S66" s="185">
        <f t="shared" si="7"/>
        <v>0</v>
      </c>
      <c r="T66" s="186">
        <f t="shared" si="8"/>
        <v>0</v>
      </c>
      <c r="U66" s="187">
        <f t="shared" si="9"/>
        <v>0</v>
      </c>
      <c r="V66" s="188">
        <f>IFERROR(VLOOKUP(F66,'[1]Sales By Promotor Last Month'!D:I,6,0),0)</f>
        <v>0</v>
      </c>
      <c r="W66" s="189">
        <f t="shared" si="10"/>
        <v>1</v>
      </c>
      <c r="X66" s="190">
        <f t="shared" si="11"/>
        <v>1</v>
      </c>
      <c r="Y66" s="191">
        <f t="shared" si="12"/>
        <v>0</v>
      </c>
    </row>
    <row r="67" spans="1:25" ht="18" x14ac:dyDescent="0.2">
      <c r="A67" s="178" t="s">
        <v>234</v>
      </c>
      <c r="B67" s="155">
        <v>6140706</v>
      </c>
      <c r="C67" s="201" t="s">
        <v>239</v>
      </c>
      <c r="D67" s="287">
        <v>3</v>
      </c>
      <c r="E67" s="202" t="s">
        <v>106</v>
      </c>
      <c r="F67" s="199" t="s">
        <v>240</v>
      </c>
      <c r="G67" s="160">
        <f t="shared" si="0"/>
        <v>12.5</v>
      </c>
      <c r="H67" s="161">
        <f>SUMIF('[1]SALES BY PROMOTOR'!$D:$D,F67,'[1]SALES BY PROMOTOR'!$G:$G)</f>
        <v>1</v>
      </c>
      <c r="I67" s="162">
        <f t="shared" si="1"/>
        <v>0.08</v>
      </c>
      <c r="J67" s="163">
        <f t="shared" si="2"/>
        <v>1.3478260869565217</v>
      </c>
      <c r="K67" s="164">
        <v>25</v>
      </c>
      <c r="L67" s="165">
        <f>SUMIF('[1]SALES BY PROMOTOR'!$D:$D,F67,'[1]SALES BY PROMOTOR'!$I:$I)</f>
        <v>2</v>
      </c>
      <c r="M67" s="166">
        <f t="shared" si="3"/>
        <v>0.08</v>
      </c>
      <c r="N67" s="167">
        <f t="shared" si="4"/>
        <v>2.6956521739130435</v>
      </c>
      <c r="O67" s="181">
        <f t="shared" si="5"/>
        <v>0.5</v>
      </c>
      <c r="P67" s="182">
        <f>SUMIF('[1]SALES BY PROMOTOR'!$D:$D,F67,'[1]SALES BY PROMOTOR'!$J:$J)</f>
        <v>28798000</v>
      </c>
      <c r="Q67" s="183">
        <f t="shared" si="6"/>
        <v>14399000</v>
      </c>
      <c r="R67" s="184">
        <f>IFERROR(VLOOKUP(F67,'[1]Sales By Promotor Last Month'!D:G,4,0),0)</f>
        <v>8</v>
      </c>
      <c r="S67" s="185">
        <f t="shared" si="7"/>
        <v>1</v>
      </c>
      <c r="T67" s="186">
        <f t="shared" si="8"/>
        <v>-7</v>
      </c>
      <c r="U67" s="187">
        <f t="shared" si="9"/>
        <v>-0.875</v>
      </c>
      <c r="V67" s="188">
        <f>IFERROR(VLOOKUP(F67,'[1]Sales By Promotor Last Month'!D:I,6,0),0)</f>
        <v>9</v>
      </c>
      <c r="W67" s="189">
        <f t="shared" si="10"/>
        <v>2</v>
      </c>
      <c r="X67" s="190">
        <f t="shared" si="11"/>
        <v>-7</v>
      </c>
      <c r="Y67" s="191">
        <f t="shared" si="12"/>
        <v>-0.77777777777777779</v>
      </c>
    </row>
    <row r="68" spans="1:25" ht="18" x14ac:dyDescent="0.2">
      <c r="A68" s="178" t="s">
        <v>234</v>
      </c>
      <c r="B68" s="155">
        <v>6140706</v>
      </c>
      <c r="C68" s="201" t="s">
        <v>239</v>
      </c>
      <c r="D68" s="287"/>
      <c r="E68" s="202" t="s">
        <v>106</v>
      </c>
      <c r="F68" s="199" t="s">
        <v>241</v>
      </c>
      <c r="G68" s="160">
        <f t="shared" si="0"/>
        <v>12.5</v>
      </c>
      <c r="H68" s="161">
        <f>SUMIF('[1]SALES BY PROMOTOR'!$D:$D,F68,'[1]SALES BY PROMOTOR'!$G:$G)</f>
        <v>7</v>
      </c>
      <c r="I68" s="162">
        <f t="shared" si="1"/>
        <v>0.56000000000000005</v>
      </c>
      <c r="J68" s="163">
        <f t="shared" si="2"/>
        <v>9.4347826086956523</v>
      </c>
      <c r="K68" s="164">
        <v>25</v>
      </c>
      <c r="L68" s="165">
        <f>SUMIF('[1]SALES BY PROMOTOR'!$D:$D,F68,'[1]SALES BY PROMOTOR'!$I:$I)</f>
        <v>9</v>
      </c>
      <c r="M68" s="166">
        <f t="shared" si="3"/>
        <v>0.36</v>
      </c>
      <c r="N68" s="167">
        <f t="shared" si="4"/>
        <v>12.130434782608695</v>
      </c>
      <c r="O68" s="181">
        <f t="shared" si="5"/>
        <v>0.77777777777777779</v>
      </c>
      <c r="P68" s="182">
        <f>SUMIF('[1]SALES BY PROMOTOR'!$D:$D,F68,'[1]SALES BY PROMOTOR'!$J:$J)</f>
        <v>62491000</v>
      </c>
      <c r="Q68" s="183">
        <f t="shared" si="6"/>
        <v>6943444.444444444</v>
      </c>
      <c r="R68" s="184">
        <f>IFERROR(VLOOKUP(F68,'[1]Sales By Promotor Last Month'!D:G,4,0),0)</f>
        <v>8</v>
      </c>
      <c r="S68" s="185">
        <f t="shared" si="7"/>
        <v>7</v>
      </c>
      <c r="T68" s="186">
        <f t="shared" si="8"/>
        <v>-1</v>
      </c>
      <c r="U68" s="187">
        <f t="shared" si="9"/>
        <v>-0.125</v>
      </c>
      <c r="V68" s="188">
        <f>IFERROR(VLOOKUP(F68,'[1]Sales By Promotor Last Month'!D:I,6,0),0)</f>
        <v>10</v>
      </c>
      <c r="W68" s="189">
        <f t="shared" si="10"/>
        <v>9</v>
      </c>
      <c r="X68" s="190">
        <f t="shared" si="11"/>
        <v>-1</v>
      </c>
      <c r="Y68" s="191">
        <f t="shared" si="12"/>
        <v>-0.1</v>
      </c>
    </row>
    <row r="69" spans="1:25" ht="18" x14ac:dyDescent="0.2">
      <c r="A69" s="178" t="s">
        <v>234</v>
      </c>
      <c r="B69" s="155">
        <v>6140706</v>
      </c>
      <c r="C69" s="201" t="s">
        <v>239</v>
      </c>
      <c r="D69" s="288"/>
      <c r="E69" s="202" t="s">
        <v>106</v>
      </c>
      <c r="F69" s="199" t="s">
        <v>242</v>
      </c>
      <c r="G69" s="160">
        <f t="shared" ref="G69:G119" si="13">50%*K69</f>
        <v>12.5</v>
      </c>
      <c r="H69" s="161">
        <f>SUMIF('[1]SALES BY PROMOTOR'!$D:$D,F69,'[1]SALES BY PROMOTOR'!$G:$G)</f>
        <v>3</v>
      </c>
      <c r="I69" s="162">
        <f t="shared" ref="I69:I120" si="14">H69/G69</f>
        <v>0.24</v>
      </c>
      <c r="J69" s="163">
        <f t="shared" ref="J69:J119" si="15">H69/$D$2*$E$2</f>
        <v>4.0434782608695654</v>
      </c>
      <c r="K69" s="164">
        <v>25</v>
      </c>
      <c r="L69" s="165">
        <f>SUMIF('[1]SALES BY PROMOTOR'!$D:$D,F69,'[1]SALES BY PROMOTOR'!$I:$I)</f>
        <v>8</v>
      </c>
      <c r="M69" s="166">
        <f t="shared" ref="M69:M120" si="16">L69/K69</f>
        <v>0.32</v>
      </c>
      <c r="N69" s="167">
        <f t="shared" ref="N69:N119" si="17">L69/$D$2*$E$2</f>
        <v>10.782608695652174</v>
      </c>
      <c r="O69" s="181">
        <f t="shared" ref="O69:O120" si="18">IFERROR(H69/L69,0)</f>
        <v>0.375</v>
      </c>
      <c r="P69" s="182">
        <f>SUMIF('[1]SALES BY PROMOTOR'!$D:$D,F69,'[1]SALES BY PROMOTOR'!$J:$J)</f>
        <v>40892000</v>
      </c>
      <c r="Q69" s="183">
        <f t="shared" ref="Q69:Q120" si="19">IFERROR(P69/L69,0)</f>
        <v>5111500</v>
      </c>
      <c r="R69" s="184">
        <f>IFERROR(VLOOKUP(F69,'[1]Sales By Promotor Last Month'!D:G,4,0),0)</f>
        <v>0</v>
      </c>
      <c r="S69" s="185">
        <f t="shared" ref="S69:S119" si="20">+H69</f>
        <v>3</v>
      </c>
      <c r="T69" s="186">
        <f t="shared" ref="T69:T119" si="21">S69-R69</f>
        <v>3</v>
      </c>
      <c r="U69" s="187">
        <f t="shared" ref="U69:U120" si="22">IFERROR(T69/R69,0)</f>
        <v>0</v>
      </c>
      <c r="V69" s="188">
        <f>IFERROR(VLOOKUP(F69,'[1]Sales By Promotor Last Month'!D:I,6,0),0)</f>
        <v>0</v>
      </c>
      <c r="W69" s="189">
        <f t="shared" ref="W69:W119" si="23">+L69</f>
        <v>8</v>
      </c>
      <c r="X69" s="190">
        <f t="shared" ref="X69:X119" si="24">W69-V69</f>
        <v>8</v>
      </c>
      <c r="Y69" s="191">
        <f t="shared" ref="Y69:Y120" si="25">IFERROR(X69/V69,0)</f>
        <v>0</v>
      </c>
    </row>
    <row r="70" spans="1:25" ht="18" x14ac:dyDescent="0.2">
      <c r="A70" s="178" t="s">
        <v>243</v>
      </c>
      <c r="B70" s="155">
        <v>6180706</v>
      </c>
      <c r="C70" s="159" t="s">
        <v>70</v>
      </c>
      <c r="D70" s="286">
        <v>3</v>
      </c>
      <c r="E70" s="180" t="s">
        <v>69</v>
      </c>
      <c r="F70" s="159" t="s">
        <v>244</v>
      </c>
      <c r="G70" s="160">
        <f t="shared" si="13"/>
        <v>17.5</v>
      </c>
      <c r="H70" s="161">
        <f>SUMIF('[1]SALES BY PROMOTOR'!$D:$D,F70,'[1]SALES BY PROMOTOR'!$G:$G)</f>
        <v>10</v>
      </c>
      <c r="I70" s="162">
        <f t="shared" si="14"/>
        <v>0.5714285714285714</v>
      </c>
      <c r="J70" s="163">
        <f t="shared" si="15"/>
        <v>13.478260869565217</v>
      </c>
      <c r="K70" s="164">
        <v>35</v>
      </c>
      <c r="L70" s="165">
        <f>SUMIF('[1]SALES BY PROMOTOR'!$D:$D,F70,'[1]SALES BY PROMOTOR'!$I:$I)</f>
        <v>25</v>
      </c>
      <c r="M70" s="166">
        <f t="shared" si="16"/>
        <v>0.7142857142857143</v>
      </c>
      <c r="N70" s="167">
        <f t="shared" si="17"/>
        <v>33.695652173913039</v>
      </c>
      <c r="O70" s="181">
        <f t="shared" si="18"/>
        <v>0.4</v>
      </c>
      <c r="P70" s="182">
        <f>SUMIF('[1]SALES BY PROMOTOR'!$D:$D,F70,'[1]SALES BY PROMOTOR'!$J:$J)</f>
        <v>94775000</v>
      </c>
      <c r="Q70" s="183">
        <f t="shared" si="19"/>
        <v>3791000</v>
      </c>
      <c r="R70" s="184">
        <f>IFERROR(VLOOKUP(F70,'[1]Sales By Promotor Last Month'!D:G,4,0),0)</f>
        <v>25</v>
      </c>
      <c r="S70" s="185">
        <f t="shared" si="20"/>
        <v>10</v>
      </c>
      <c r="T70" s="186">
        <f t="shared" si="21"/>
        <v>-15</v>
      </c>
      <c r="U70" s="187">
        <f t="shared" si="22"/>
        <v>-0.6</v>
      </c>
      <c r="V70" s="188">
        <f>IFERROR(VLOOKUP(F70,'[1]Sales By Promotor Last Month'!D:I,6,0),0)</f>
        <v>43</v>
      </c>
      <c r="W70" s="189">
        <f t="shared" si="23"/>
        <v>25</v>
      </c>
      <c r="X70" s="190">
        <f t="shared" si="24"/>
        <v>-18</v>
      </c>
      <c r="Y70" s="191">
        <f t="shared" si="25"/>
        <v>-0.41860465116279072</v>
      </c>
    </row>
    <row r="71" spans="1:25" ht="18" x14ac:dyDescent="0.2">
      <c r="A71" s="178" t="s">
        <v>243</v>
      </c>
      <c r="B71" s="155">
        <v>6180706</v>
      </c>
      <c r="C71" s="159" t="s">
        <v>70</v>
      </c>
      <c r="D71" s="287"/>
      <c r="E71" s="180" t="s">
        <v>69</v>
      </c>
      <c r="F71" s="159" t="s">
        <v>245</v>
      </c>
      <c r="G71" s="160">
        <f t="shared" si="13"/>
        <v>17.5</v>
      </c>
      <c r="H71" s="161">
        <f>SUMIF('[1]SALES BY PROMOTOR'!$D:$D,F71,'[1]SALES BY PROMOTOR'!$G:$G)</f>
        <v>18</v>
      </c>
      <c r="I71" s="162">
        <f t="shared" si="14"/>
        <v>1.0285714285714285</v>
      </c>
      <c r="J71" s="163">
        <f t="shared" si="15"/>
        <v>24.260869565217391</v>
      </c>
      <c r="K71" s="164">
        <v>35</v>
      </c>
      <c r="L71" s="165">
        <f>SUMIF('[1]SALES BY PROMOTOR'!$D:$D,F71,'[1]SALES BY PROMOTOR'!$I:$I)</f>
        <v>38</v>
      </c>
      <c r="M71" s="166">
        <f t="shared" si="16"/>
        <v>1.0857142857142856</v>
      </c>
      <c r="N71" s="167">
        <f t="shared" si="17"/>
        <v>51.217391304347828</v>
      </c>
      <c r="O71" s="181">
        <f t="shared" si="18"/>
        <v>0.47368421052631576</v>
      </c>
      <c r="P71" s="182">
        <f>SUMIF('[1]SALES BY PROMOTOR'!$D:$D,F71,'[1]SALES BY PROMOTOR'!$J:$J)</f>
        <v>148562000</v>
      </c>
      <c r="Q71" s="183">
        <f t="shared" si="19"/>
        <v>3909526.3157894737</v>
      </c>
      <c r="R71" s="184">
        <f>IFERROR(VLOOKUP(F71,'[1]Sales By Promotor Last Month'!D:G,4,0),0)</f>
        <v>47</v>
      </c>
      <c r="S71" s="185">
        <f t="shared" si="20"/>
        <v>18</v>
      </c>
      <c r="T71" s="186">
        <f t="shared" si="21"/>
        <v>-29</v>
      </c>
      <c r="U71" s="187">
        <f t="shared" si="22"/>
        <v>-0.61702127659574468</v>
      </c>
      <c r="V71" s="188">
        <f>IFERROR(VLOOKUP(F71,'[1]Sales By Promotor Last Month'!D:I,6,0),0)</f>
        <v>66</v>
      </c>
      <c r="W71" s="189">
        <f t="shared" si="23"/>
        <v>38</v>
      </c>
      <c r="X71" s="190">
        <f t="shared" si="24"/>
        <v>-28</v>
      </c>
      <c r="Y71" s="191">
        <f t="shared" si="25"/>
        <v>-0.42424242424242425</v>
      </c>
    </row>
    <row r="72" spans="1:25" ht="18" x14ac:dyDescent="0.2">
      <c r="A72" s="178" t="s">
        <v>243</v>
      </c>
      <c r="B72" s="155">
        <v>6180706</v>
      </c>
      <c r="C72" s="159" t="s">
        <v>70</v>
      </c>
      <c r="D72" s="288"/>
      <c r="E72" s="180" t="s">
        <v>69</v>
      </c>
      <c r="F72" s="159" t="s">
        <v>246</v>
      </c>
      <c r="G72" s="160">
        <f t="shared" si="13"/>
        <v>17.5</v>
      </c>
      <c r="H72" s="161">
        <f>SUMIF('[1]SALES BY PROMOTOR'!$D:$D,F72,'[1]SALES BY PROMOTOR'!$G:$G)</f>
        <v>10</v>
      </c>
      <c r="I72" s="162">
        <f t="shared" si="14"/>
        <v>0.5714285714285714</v>
      </c>
      <c r="J72" s="163">
        <f t="shared" si="15"/>
        <v>13.478260869565217</v>
      </c>
      <c r="K72" s="164">
        <v>35</v>
      </c>
      <c r="L72" s="165">
        <f>SUMIF('[1]SALES BY PROMOTOR'!$D:$D,F72,'[1]SALES BY PROMOTOR'!$I:$I)</f>
        <v>19</v>
      </c>
      <c r="M72" s="166">
        <f t="shared" si="16"/>
        <v>0.54285714285714282</v>
      </c>
      <c r="N72" s="167">
        <f t="shared" si="17"/>
        <v>25.608695652173914</v>
      </c>
      <c r="O72" s="181">
        <f t="shared" si="18"/>
        <v>0.52631578947368418</v>
      </c>
      <c r="P72" s="182">
        <f>SUMIF('[1]SALES BY PROMOTOR'!$D:$D,F72,'[1]SALES BY PROMOTOR'!$J:$J)</f>
        <v>78581000</v>
      </c>
      <c r="Q72" s="183">
        <f t="shared" si="19"/>
        <v>4135842.1052631577</v>
      </c>
      <c r="R72" s="184">
        <f>IFERROR(VLOOKUP(F72,'[1]Sales By Promotor Last Month'!D:G,4,0),0)</f>
        <v>4</v>
      </c>
      <c r="S72" s="185">
        <f t="shared" si="20"/>
        <v>10</v>
      </c>
      <c r="T72" s="186">
        <f t="shared" si="21"/>
        <v>6</v>
      </c>
      <c r="U72" s="187">
        <f t="shared" si="22"/>
        <v>1.5</v>
      </c>
      <c r="V72" s="188">
        <f>IFERROR(VLOOKUP(F72,'[1]Sales By Promotor Last Month'!D:I,6,0),0)</f>
        <v>7</v>
      </c>
      <c r="W72" s="189">
        <f t="shared" si="23"/>
        <v>19</v>
      </c>
      <c r="X72" s="190">
        <f t="shared" si="24"/>
        <v>12</v>
      </c>
      <c r="Y72" s="191">
        <f t="shared" si="25"/>
        <v>1.7142857142857142</v>
      </c>
    </row>
    <row r="73" spans="1:25" ht="18" x14ac:dyDescent="0.2">
      <c r="A73" s="178" t="s">
        <v>243</v>
      </c>
      <c r="B73" s="155">
        <v>6180707</v>
      </c>
      <c r="C73" s="159" t="s">
        <v>70</v>
      </c>
      <c r="D73" s="155">
        <v>1</v>
      </c>
      <c r="E73" s="180" t="s">
        <v>71</v>
      </c>
      <c r="F73" s="159" t="s">
        <v>247</v>
      </c>
      <c r="G73" s="160">
        <f t="shared" si="13"/>
        <v>12.5</v>
      </c>
      <c r="H73" s="161">
        <f>SUMIF('[1]SALES BY PROMOTOR'!$D:$D,F73,'[1]SALES BY PROMOTOR'!$G:$G)</f>
        <v>8</v>
      </c>
      <c r="I73" s="162">
        <f t="shared" si="14"/>
        <v>0.64</v>
      </c>
      <c r="J73" s="163">
        <f t="shared" si="15"/>
        <v>10.782608695652174</v>
      </c>
      <c r="K73" s="164">
        <v>25</v>
      </c>
      <c r="L73" s="165">
        <f>SUMIF('[1]SALES BY PROMOTOR'!$D:$D,F73,'[1]SALES BY PROMOTOR'!$I:$I)</f>
        <v>16</v>
      </c>
      <c r="M73" s="166">
        <f t="shared" si="16"/>
        <v>0.64</v>
      </c>
      <c r="N73" s="167">
        <f t="shared" si="17"/>
        <v>21.565217391304348</v>
      </c>
      <c r="O73" s="181">
        <f t="shared" si="18"/>
        <v>0.5</v>
      </c>
      <c r="P73" s="182">
        <f>SUMIF('[1]SALES BY PROMOTOR'!$D:$D,F73,'[1]SALES BY PROMOTOR'!$J:$J)</f>
        <v>65584000</v>
      </c>
      <c r="Q73" s="183">
        <f t="shared" si="19"/>
        <v>4099000</v>
      </c>
      <c r="R73" s="184">
        <f>IFERROR(VLOOKUP(F73,'[1]Sales By Promotor Last Month'!D:G,4,0),0)</f>
        <v>17</v>
      </c>
      <c r="S73" s="185">
        <f t="shared" si="20"/>
        <v>8</v>
      </c>
      <c r="T73" s="186">
        <f t="shared" si="21"/>
        <v>-9</v>
      </c>
      <c r="U73" s="187">
        <f t="shared" si="22"/>
        <v>-0.52941176470588236</v>
      </c>
      <c r="V73" s="188">
        <f>IFERROR(VLOOKUP(F73,'[1]Sales By Promotor Last Month'!D:I,6,0),0)</f>
        <v>31</v>
      </c>
      <c r="W73" s="189">
        <f t="shared" si="23"/>
        <v>16</v>
      </c>
      <c r="X73" s="190">
        <f t="shared" si="24"/>
        <v>-15</v>
      </c>
      <c r="Y73" s="191">
        <f t="shared" si="25"/>
        <v>-0.4838709677419355</v>
      </c>
    </row>
    <row r="74" spans="1:25" ht="18" x14ac:dyDescent="0.2">
      <c r="A74" s="178" t="s">
        <v>89</v>
      </c>
      <c r="B74" s="155">
        <v>6190701</v>
      </c>
      <c r="C74" s="159" t="s">
        <v>91</v>
      </c>
      <c r="D74" s="286">
        <v>2</v>
      </c>
      <c r="E74" s="180" t="s">
        <v>90</v>
      </c>
      <c r="F74" s="159" t="s">
        <v>248</v>
      </c>
      <c r="G74" s="160">
        <f t="shared" si="13"/>
        <v>17.5</v>
      </c>
      <c r="H74" s="161">
        <f>SUMIF('[1]SALES BY PROMOTOR'!$D:$D,F74,'[1]SALES BY PROMOTOR'!$G:$G)</f>
        <v>2</v>
      </c>
      <c r="I74" s="162">
        <f t="shared" si="14"/>
        <v>0.11428571428571428</v>
      </c>
      <c r="J74" s="163">
        <f t="shared" si="15"/>
        <v>2.6956521739130435</v>
      </c>
      <c r="K74" s="164">
        <v>35</v>
      </c>
      <c r="L74" s="165">
        <f>SUMIF('[1]SALES BY PROMOTOR'!$D:$D,F74,'[1]SALES BY PROMOTOR'!$I:$I)</f>
        <v>12</v>
      </c>
      <c r="M74" s="166">
        <f t="shared" si="16"/>
        <v>0.34285714285714286</v>
      </c>
      <c r="N74" s="167">
        <f t="shared" si="17"/>
        <v>16.173913043478262</v>
      </c>
      <c r="O74" s="181">
        <f t="shared" si="18"/>
        <v>0.16666666666666666</v>
      </c>
      <c r="P74" s="182">
        <f>SUMIF('[1]SALES BY PROMOTOR'!$D:$D,F74,'[1]SALES BY PROMOTOR'!$J:$J)</f>
        <v>34688000</v>
      </c>
      <c r="Q74" s="183">
        <f t="shared" si="19"/>
        <v>2890666.6666666665</v>
      </c>
      <c r="R74" s="184">
        <f>IFERROR(VLOOKUP(F74,'[1]Sales By Promotor Last Month'!D:G,4,0),0)</f>
        <v>17</v>
      </c>
      <c r="S74" s="185">
        <f t="shared" si="20"/>
        <v>2</v>
      </c>
      <c r="T74" s="186">
        <f t="shared" si="21"/>
        <v>-15</v>
      </c>
      <c r="U74" s="187">
        <f t="shared" si="22"/>
        <v>-0.88235294117647056</v>
      </c>
      <c r="V74" s="188">
        <f>IFERROR(VLOOKUP(F74,'[1]Sales By Promotor Last Month'!D:I,6,0),0)</f>
        <v>35</v>
      </c>
      <c r="W74" s="189">
        <f t="shared" si="23"/>
        <v>12</v>
      </c>
      <c r="X74" s="190">
        <f t="shared" si="24"/>
        <v>-23</v>
      </c>
      <c r="Y74" s="191">
        <f t="shared" si="25"/>
        <v>-0.65714285714285714</v>
      </c>
    </row>
    <row r="75" spans="1:25" ht="18" x14ac:dyDescent="0.2">
      <c r="A75" s="178" t="s">
        <v>89</v>
      </c>
      <c r="B75" s="155">
        <v>6190701</v>
      </c>
      <c r="C75" s="159" t="s">
        <v>91</v>
      </c>
      <c r="D75" s="288"/>
      <c r="E75" s="180" t="s">
        <v>90</v>
      </c>
      <c r="F75" s="199" t="s">
        <v>253</v>
      </c>
      <c r="G75" s="160">
        <f t="shared" si="13"/>
        <v>17.5</v>
      </c>
      <c r="H75" s="161">
        <f>SUMIF('[1]SALES BY PROMOTOR'!$D:$D,F75,'[1]SALES BY PROMOTOR'!$G:$G)</f>
        <v>9</v>
      </c>
      <c r="I75" s="162">
        <f t="shared" si="14"/>
        <v>0.51428571428571423</v>
      </c>
      <c r="J75" s="163">
        <f t="shared" si="15"/>
        <v>12.130434782608695</v>
      </c>
      <c r="K75" s="164">
        <v>35</v>
      </c>
      <c r="L75" s="165">
        <f>SUMIF('[1]SALES BY PROMOTOR'!$D:$D,F75,'[1]SALES BY PROMOTOR'!$I:$I)</f>
        <v>23</v>
      </c>
      <c r="M75" s="166">
        <f t="shared" si="16"/>
        <v>0.65714285714285714</v>
      </c>
      <c r="N75" s="167">
        <f t="shared" si="17"/>
        <v>31</v>
      </c>
      <c r="O75" s="181">
        <f t="shared" si="18"/>
        <v>0.39130434782608697</v>
      </c>
      <c r="P75" s="182">
        <f>SUMIF('[1]SALES BY PROMOTOR'!$D:$D,F75,'[1]SALES BY PROMOTOR'!$J:$J)</f>
        <v>71177000</v>
      </c>
      <c r="Q75" s="183">
        <f t="shared" si="19"/>
        <v>3094652.1739130435</v>
      </c>
      <c r="R75" s="184">
        <f>IFERROR(VLOOKUP(F75,'[1]Sales By Promotor Last Month'!D:G,4,0),0)</f>
        <v>7</v>
      </c>
      <c r="S75" s="185">
        <f t="shared" si="20"/>
        <v>9</v>
      </c>
      <c r="T75" s="186">
        <f t="shared" si="21"/>
        <v>2</v>
      </c>
      <c r="U75" s="187">
        <f t="shared" si="22"/>
        <v>0.2857142857142857</v>
      </c>
      <c r="V75" s="188">
        <f>IFERROR(VLOOKUP(F75,'[1]Sales By Promotor Last Month'!D:I,6,0),0)</f>
        <v>19</v>
      </c>
      <c r="W75" s="189">
        <f t="shared" si="23"/>
        <v>23</v>
      </c>
      <c r="X75" s="190">
        <f t="shared" si="24"/>
        <v>4</v>
      </c>
      <c r="Y75" s="191">
        <f t="shared" si="25"/>
        <v>0.21052631578947367</v>
      </c>
    </row>
    <row r="76" spans="1:25" ht="18" x14ac:dyDescent="0.2">
      <c r="A76" s="178" t="s">
        <v>89</v>
      </c>
      <c r="B76" s="155">
        <v>6190704</v>
      </c>
      <c r="C76" s="159" t="s">
        <v>95</v>
      </c>
      <c r="D76" s="286">
        <v>3</v>
      </c>
      <c r="E76" s="180" t="s">
        <v>94</v>
      </c>
      <c r="F76" s="159" t="s">
        <v>256</v>
      </c>
      <c r="G76" s="160">
        <f t="shared" si="13"/>
        <v>17.5</v>
      </c>
      <c r="H76" s="161">
        <f>SUMIF('[1]SALES BY PROMOTOR'!$D:$D,F76,'[1]SALES BY PROMOTOR'!$G:$G)</f>
        <v>9</v>
      </c>
      <c r="I76" s="162">
        <f t="shared" si="14"/>
        <v>0.51428571428571423</v>
      </c>
      <c r="J76" s="163">
        <f t="shared" si="15"/>
        <v>12.130434782608695</v>
      </c>
      <c r="K76" s="164">
        <v>35</v>
      </c>
      <c r="L76" s="165">
        <f>SUMIF('[1]SALES BY PROMOTOR'!$D:$D,F76,'[1]SALES BY PROMOTOR'!$I:$I)</f>
        <v>25</v>
      </c>
      <c r="M76" s="166">
        <f t="shared" si="16"/>
        <v>0.7142857142857143</v>
      </c>
      <c r="N76" s="167">
        <f t="shared" si="17"/>
        <v>33.695652173913039</v>
      </c>
      <c r="O76" s="181">
        <f t="shared" si="18"/>
        <v>0.36</v>
      </c>
      <c r="P76" s="182">
        <f>SUMIF('[1]SALES BY PROMOTOR'!$D:$D,F76,'[1]SALES BY PROMOTOR'!$J:$J)</f>
        <v>94275000</v>
      </c>
      <c r="Q76" s="183">
        <f t="shared" si="19"/>
        <v>3771000</v>
      </c>
      <c r="R76" s="184">
        <f>IFERROR(VLOOKUP(F76,'[1]Sales By Promotor Last Month'!D:G,4,0),0)</f>
        <v>16</v>
      </c>
      <c r="S76" s="185">
        <f t="shared" si="20"/>
        <v>9</v>
      </c>
      <c r="T76" s="186">
        <f t="shared" si="21"/>
        <v>-7</v>
      </c>
      <c r="U76" s="187">
        <f t="shared" si="22"/>
        <v>-0.4375</v>
      </c>
      <c r="V76" s="188">
        <f>IFERROR(VLOOKUP(F76,'[1]Sales By Promotor Last Month'!D:I,6,0),0)</f>
        <v>38</v>
      </c>
      <c r="W76" s="189">
        <f t="shared" si="23"/>
        <v>25</v>
      </c>
      <c r="X76" s="190">
        <f t="shared" si="24"/>
        <v>-13</v>
      </c>
      <c r="Y76" s="191">
        <f t="shared" si="25"/>
        <v>-0.34210526315789475</v>
      </c>
    </row>
    <row r="77" spans="1:25" ht="18" x14ac:dyDescent="0.2">
      <c r="A77" s="178" t="s">
        <v>89</v>
      </c>
      <c r="B77" s="155">
        <v>6190704</v>
      </c>
      <c r="C77" s="159" t="s">
        <v>95</v>
      </c>
      <c r="D77" s="287"/>
      <c r="E77" s="180" t="s">
        <v>94</v>
      </c>
      <c r="F77" s="159" t="s">
        <v>259</v>
      </c>
      <c r="G77" s="160">
        <f t="shared" si="13"/>
        <v>17.5</v>
      </c>
      <c r="H77" s="161">
        <f>SUMIF('[1]SALES BY PROMOTOR'!$D:$D,F77,'[1]SALES BY PROMOTOR'!$G:$G)</f>
        <v>14</v>
      </c>
      <c r="I77" s="162">
        <f t="shared" si="14"/>
        <v>0.8</v>
      </c>
      <c r="J77" s="163">
        <f t="shared" si="15"/>
        <v>18.869565217391305</v>
      </c>
      <c r="K77" s="164">
        <v>35</v>
      </c>
      <c r="L77" s="165">
        <f>SUMIF('[1]SALES BY PROMOTOR'!$D:$D,F77,'[1]SALES BY PROMOTOR'!$I:$I)</f>
        <v>28</v>
      </c>
      <c r="M77" s="166">
        <f t="shared" si="16"/>
        <v>0.8</v>
      </c>
      <c r="N77" s="167">
        <f t="shared" si="17"/>
        <v>37.739130434782609</v>
      </c>
      <c r="O77" s="181">
        <f t="shared" si="18"/>
        <v>0.5</v>
      </c>
      <c r="P77" s="182">
        <f>SUMIF('[1]SALES BY PROMOTOR'!$D:$D,F77,'[1]SALES BY PROMOTOR'!$J:$J)</f>
        <v>108272000</v>
      </c>
      <c r="Q77" s="183">
        <f t="shared" si="19"/>
        <v>3866857.1428571427</v>
      </c>
      <c r="R77" s="184">
        <f>IFERROR(VLOOKUP(F77,'[1]Sales By Promotor Last Month'!D:G,4,0),0)</f>
        <v>13</v>
      </c>
      <c r="S77" s="185">
        <f t="shared" si="20"/>
        <v>14</v>
      </c>
      <c r="T77" s="186">
        <f t="shared" si="21"/>
        <v>1</v>
      </c>
      <c r="U77" s="187">
        <f t="shared" si="22"/>
        <v>7.6923076923076927E-2</v>
      </c>
      <c r="V77" s="188">
        <f>IFERROR(VLOOKUP(F77,'[1]Sales By Promotor Last Month'!D:I,6,0),0)</f>
        <v>36</v>
      </c>
      <c r="W77" s="189">
        <f t="shared" si="23"/>
        <v>28</v>
      </c>
      <c r="X77" s="190">
        <f t="shared" si="24"/>
        <v>-8</v>
      </c>
      <c r="Y77" s="191">
        <f t="shared" si="25"/>
        <v>-0.22222222222222221</v>
      </c>
    </row>
    <row r="78" spans="1:25" ht="18" x14ac:dyDescent="0.2">
      <c r="A78" s="178" t="s">
        <v>89</v>
      </c>
      <c r="B78" s="155">
        <v>6190704</v>
      </c>
      <c r="C78" s="159" t="s">
        <v>95</v>
      </c>
      <c r="D78" s="287"/>
      <c r="E78" s="180" t="s">
        <v>94</v>
      </c>
      <c r="F78" s="159" t="s">
        <v>261</v>
      </c>
      <c r="G78" s="160">
        <f t="shared" si="13"/>
        <v>17.5</v>
      </c>
      <c r="H78" s="161">
        <f>SUMIF('[1]SALES BY PROMOTOR'!$D:$D,F78,'[1]SALES BY PROMOTOR'!$G:$G)</f>
        <v>11</v>
      </c>
      <c r="I78" s="162">
        <f t="shared" si="14"/>
        <v>0.62857142857142856</v>
      </c>
      <c r="J78" s="163">
        <f t="shared" si="15"/>
        <v>14.82608695652174</v>
      </c>
      <c r="K78" s="164">
        <v>35</v>
      </c>
      <c r="L78" s="165">
        <f>SUMIF('[1]SALES BY PROMOTOR'!$D:$D,F78,'[1]SALES BY PROMOTOR'!$I:$I)</f>
        <v>30</v>
      </c>
      <c r="M78" s="166">
        <f t="shared" si="16"/>
        <v>0.8571428571428571</v>
      </c>
      <c r="N78" s="167">
        <f t="shared" si="17"/>
        <v>40.434782608695656</v>
      </c>
      <c r="O78" s="181">
        <f t="shared" si="18"/>
        <v>0.36666666666666664</v>
      </c>
      <c r="P78" s="182">
        <f>SUMIF('[1]SALES BY PROMOTOR'!$D:$D,F78,'[1]SALES BY PROMOTOR'!$J:$J)</f>
        <v>135670000</v>
      </c>
      <c r="Q78" s="183">
        <f t="shared" si="19"/>
        <v>4522333.333333333</v>
      </c>
      <c r="R78" s="184">
        <f>IFERROR(VLOOKUP(F78,'[1]Sales By Promotor Last Month'!D:G,4,0),0)</f>
        <v>15</v>
      </c>
      <c r="S78" s="185">
        <f t="shared" si="20"/>
        <v>11</v>
      </c>
      <c r="T78" s="186">
        <f t="shared" si="21"/>
        <v>-4</v>
      </c>
      <c r="U78" s="187">
        <f t="shared" si="22"/>
        <v>-0.26666666666666666</v>
      </c>
      <c r="V78" s="188">
        <f>IFERROR(VLOOKUP(F78,'[1]Sales By Promotor Last Month'!D:I,6,0),0)</f>
        <v>38</v>
      </c>
      <c r="W78" s="189">
        <f t="shared" si="23"/>
        <v>30</v>
      </c>
      <c r="X78" s="190">
        <f t="shared" si="24"/>
        <v>-8</v>
      </c>
      <c r="Y78" s="191">
        <f t="shared" si="25"/>
        <v>-0.21052631578947367</v>
      </c>
    </row>
    <row r="79" spans="1:25" ht="18" x14ac:dyDescent="0.2">
      <c r="A79" s="178" t="s">
        <v>89</v>
      </c>
      <c r="B79" s="155">
        <v>6190705</v>
      </c>
      <c r="C79" s="159" t="s">
        <v>91</v>
      </c>
      <c r="D79" s="287">
        <v>2</v>
      </c>
      <c r="E79" s="180" t="s">
        <v>93</v>
      </c>
      <c r="F79" s="159" t="s">
        <v>249</v>
      </c>
      <c r="G79" s="160">
        <f t="shared" si="13"/>
        <v>17.5</v>
      </c>
      <c r="H79" s="161">
        <f>SUMIF('[1]SALES BY PROMOTOR'!$D:$D,F79,'[1]SALES BY PROMOTOR'!$G:$G)</f>
        <v>5</v>
      </c>
      <c r="I79" s="162">
        <f t="shared" si="14"/>
        <v>0.2857142857142857</v>
      </c>
      <c r="J79" s="163">
        <f t="shared" si="15"/>
        <v>6.7391304347826084</v>
      </c>
      <c r="K79" s="164">
        <v>35</v>
      </c>
      <c r="L79" s="165">
        <f>SUMIF('[1]SALES BY PROMOTOR'!$D:$D,F79,'[1]SALES BY PROMOTOR'!$I:$I)</f>
        <v>12</v>
      </c>
      <c r="M79" s="166">
        <f t="shared" si="16"/>
        <v>0.34285714285714286</v>
      </c>
      <c r="N79" s="167">
        <f t="shared" si="17"/>
        <v>16.173913043478262</v>
      </c>
      <c r="O79" s="181">
        <f t="shared" si="18"/>
        <v>0.41666666666666669</v>
      </c>
      <c r="P79" s="182">
        <f>SUMIF('[1]SALES BY PROMOTOR'!$D:$D,F79,'[1]SALES BY PROMOTOR'!$J:$J)</f>
        <v>44888000</v>
      </c>
      <c r="Q79" s="183">
        <f t="shared" si="19"/>
        <v>3740666.6666666665</v>
      </c>
      <c r="R79" s="184">
        <f>IFERROR(VLOOKUP(F79,'[1]Sales By Promotor Last Month'!D:G,4,0),0)</f>
        <v>6</v>
      </c>
      <c r="S79" s="185">
        <f t="shared" si="20"/>
        <v>5</v>
      </c>
      <c r="T79" s="186">
        <f t="shared" si="21"/>
        <v>-1</v>
      </c>
      <c r="U79" s="187">
        <f t="shared" si="22"/>
        <v>-0.16666666666666666</v>
      </c>
      <c r="V79" s="188">
        <f>IFERROR(VLOOKUP(F79,'[1]Sales By Promotor Last Month'!D:I,6,0),0)</f>
        <v>18</v>
      </c>
      <c r="W79" s="189">
        <f t="shared" si="23"/>
        <v>12</v>
      </c>
      <c r="X79" s="190">
        <f t="shared" si="24"/>
        <v>-6</v>
      </c>
      <c r="Y79" s="191">
        <f t="shared" si="25"/>
        <v>-0.33333333333333331</v>
      </c>
    </row>
    <row r="80" spans="1:25" ht="18" x14ac:dyDescent="0.2">
      <c r="A80" s="178" t="s">
        <v>89</v>
      </c>
      <c r="B80" s="155">
        <v>6190705</v>
      </c>
      <c r="C80" s="159" t="s">
        <v>91</v>
      </c>
      <c r="D80" s="287"/>
      <c r="E80" s="180" t="s">
        <v>93</v>
      </c>
      <c r="F80" s="159" t="s">
        <v>255</v>
      </c>
      <c r="G80" s="160">
        <f t="shared" si="13"/>
        <v>17.5</v>
      </c>
      <c r="H80" s="161">
        <f>SUMIF('[1]SALES BY PROMOTOR'!$D:$D,F80,'[1]SALES BY PROMOTOR'!$G:$G)</f>
        <v>5</v>
      </c>
      <c r="I80" s="162">
        <f t="shared" si="14"/>
        <v>0.2857142857142857</v>
      </c>
      <c r="J80" s="163">
        <f t="shared" si="15"/>
        <v>6.7391304347826084</v>
      </c>
      <c r="K80" s="164">
        <v>35</v>
      </c>
      <c r="L80" s="165">
        <f>SUMIF('[1]SALES BY PROMOTOR'!$D:$D,F80,'[1]SALES BY PROMOTOR'!$I:$I)</f>
        <v>12</v>
      </c>
      <c r="M80" s="166">
        <f t="shared" si="16"/>
        <v>0.34285714285714286</v>
      </c>
      <c r="N80" s="167">
        <f t="shared" si="17"/>
        <v>16.173913043478262</v>
      </c>
      <c r="O80" s="181">
        <f t="shared" si="18"/>
        <v>0.41666666666666669</v>
      </c>
      <c r="P80" s="182">
        <f>SUMIF('[1]SALES BY PROMOTOR'!$D:$D,F80,'[1]SALES BY PROMOTOR'!$J:$J)</f>
        <v>38488000</v>
      </c>
      <c r="Q80" s="183">
        <f t="shared" si="19"/>
        <v>3207333.3333333335</v>
      </c>
      <c r="R80" s="184">
        <f>IFERROR(VLOOKUP(F80,'[1]Sales By Promotor Last Month'!D:G,4,0),0)</f>
        <v>10</v>
      </c>
      <c r="S80" s="185">
        <f t="shared" si="20"/>
        <v>5</v>
      </c>
      <c r="T80" s="186">
        <f t="shared" si="21"/>
        <v>-5</v>
      </c>
      <c r="U80" s="187">
        <f t="shared" si="22"/>
        <v>-0.5</v>
      </c>
      <c r="V80" s="188">
        <f>IFERROR(VLOOKUP(F80,'[1]Sales By Promotor Last Month'!D:I,6,0),0)</f>
        <v>26</v>
      </c>
      <c r="W80" s="189">
        <f t="shared" si="23"/>
        <v>12</v>
      </c>
      <c r="X80" s="190">
        <f t="shared" si="24"/>
        <v>-14</v>
      </c>
      <c r="Y80" s="191">
        <f t="shared" si="25"/>
        <v>-0.53846153846153844</v>
      </c>
    </row>
    <row r="81" spans="1:25" ht="18" x14ac:dyDescent="0.2">
      <c r="A81" s="178" t="s">
        <v>89</v>
      </c>
      <c r="B81" s="155">
        <v>6190706</v>
      </c>
      <c r="C81" s="159" t="s">
        <v>91</v>
      </c>
      <c r="D81" s="287">
        <v>4</v>
      </c>
      <c r="E81" s="180" t="s">
        <v>92</v>
      </c>
      <c r="F81" s="159" t="s">
        <v>250</v>
      </c>
      <c r="G81" s="160">
        <f t="shared" si="13"/>
        <v>17.5</v>
      </c>
      <c r="H81" s="161">
        <f>SUMIF('[1]SALES BY PROMOTOR'!$D:$D,F81,'[1]SALES BY PROMOTOR'!$G:$G)</f>
        <v>9</v>
      </c>
      <c r="I81" s="162">
        <f t="shared" si="14"/>
        <v>0.51428571428571423</v>
      </c>
      <c r="J81" s="163">
        <f t="shared" si="15"/>
        <v>12.130434782608695</v>
      </c>
      <c r="K81" s="164">
        <v>35</v>
      </c>
      <c r="L81" s="165">
        <f>SUMIF('[1]SALES BY PROMOTOR'!$D:$D,F81,'[1]SALES BY PROMOTOR'!$I:$I)</f>
        <v>23</v>
      </c>
      <c r="M81" s="166">
        <f t="shared" si="16"/>
        <v>0.65714285714285714</v>
      </c>
      <c r="N81" s="167">
        <f t="shared" si="17"/>
        <v>31</v>
      </c>
      <c r="O81" s="181">
        <f t="shared" si="18"/>
        <v>0.39130434782608697</v>
      </c>
      <c r="P81" s="182">
        <f>SUMIF('[1]SALES BY PROMOTOR'!$D:$D,F81,'[1]SALES BY PROMOTOR'!$J:$J)</f>
        <v>99977000</v>
      </c>
      <c r="Q81" s="183">
        <f t="shared" si="19"/>
        <v>4346826.0869565215</v>
      </c>
      <c r="R81" s="184">
        <f>IFERROR(VLOOKUP(F81,'[1]Sales By Promotor Last Month'!D:G,4,0),0)</f>
        <v>10</v>
      </c>
      <c r="S81" s="185">
        <f t="shared" si="20"/>
        <v>9</v>
      </c>
      <c r="T81" s="186">
        <f t="shared" si="21"/>
        <v>-1</v>
      </c>
      <c r="U81" s="187">
        <f t="shared" si="22"/>
        <v>-0.1</v>
      </c>
      <c r="V81" s="188">
        <f>IFERROR(VLOOKUP(F81,'[1]Sales By Promotor Last Month'!D:I,6,0),0)</f>
        <v>35</v>
      </c>
      <c r="W81" s="189">
        <f t="shared" si="23"/>
        <v>23</v>
      </c>
      <c r="X81" s="190">
        <f t="shared" si="24"/>
        <v>-12</v>
      </c>
      <c r="Y81" s="191">
        <f t="shared" si="25"/>
        <v>-0.34285714285714286</v>
      </c>
    </row>
    <row r="82" spans="1:25" ht="18" x14ac:dyDescent="0.2">
      <c r="A82" s="178" t="s">
        <v>89</v>
      </c>
      <c r="B82" s="155">
        <v>6190706</v>
      </c>
      <c r="C82" s="159" t="s">
        <v>91</v>
      </c>
      <c r="D82" s="287"/>
      <c r="E82" s="180" t="s">
        <v>92</v>
      </c>
      <c r="F82" s="159" t="s">
        <v>251</v>
      </c>
      <c r="G82" s="160">
        <f t="shared" si="13"/>
        <v>17.5</v>
      </c>
      <c r="H82" s="161">
        <f>SUMIF('[1]SALES BY PROMOTOR'!$D:$D,F82,'[1]SALES BY PROMOTOR'!$G:$G)</f>
        <v>13</v>
      </c>
      <c r="I82" s="162">
        <f t="shared" si="14"/>
        <v>0.74285714285714288</v>
      </c>
      <c r="J82" s="163">
        <f t="shared" si="15"/>
        <v>17.521739130434781</v>
      </c>
      <c r="K82" s="164">
        <v>35</v>
      </c>
      <c r="L82" s="165">
        <f>SUMIF('[1]SALES BY PROMOTOR'!$D:$D,F82,'[1]SALES BY PROMOTOR'!$I:$I)</f>
        <v>24</v>
      </c>
      <c r="M82" s="166">
        <f t="shared" si="16"/>
        <v>0.68571428571428572</v>
      </c>
      <c r="N82" s="167">
        <f t="shared" si="17"/>
        <v>32.347826086956523</v>
      </c>
      <c r="O82" s="181">
        <f t="shared" si="18"/>
        <v>0.54166666666666663</v>
      </c>
      <c r="P82" s="182">
        <f>SUMIF('[1]SALES BY PROMOTOR'!$D:$D,F82,'[1]SALES BY PROMOTOR'!$J:$J)</f>
        <v>113776000</v>
      </c>
      <c r="Q82" s="183">
        <f t="shared" si="19"/>
        <v>4740666.666666667</v>
      </c>
      <c r="R82" s="184">
        <f>IFERROR(VLOOKUP(F82,'[1]Sales By Promotor Last Month'!D:G,4,0),0)</f>
        <v>17</v>
      </c>
      <c r="S82" s="185">
        <f t="shared" si="20"/>
        <v>13</v>
      </c>
      <c r="T82" s="186">
        <f t="shared" si="21"/>
        <v>-4</v>
      </c>
      <c r="U82" s="187">
        <f t="shared" si="22"/>
        <v>-0.23529411764705882</v>
      </c>
      <c r="V82" s="188">
        <f>IFERROR(VLOOKUP(F82,'[1]Sales By Promotor Last Month'!D:I,6,0),0)</f>
        <v>36</v>
      </c>
      <c r="W82" s="189">
        <f t="shared" si="23"/>
        <v>24</v>
      </c>
      <c r="X82" s="190">
        <f t="shared" si="24"/>
        <v>-12</v>
      </c>
      <c r="Y82" s="191">
        <f t="shared" si="25"/>
        <v>-0.33333333333333331</v>
      </c>
    </row>
    <row r="83" spans="1:25" ht="18" x14ac:dyDescent="0.2">
      <c r="A83" s="178" t="s">
        <v>89</v>
      </c>
      <c r="B83" s="155">
        <v>6190706</v>
      </c>
      <c r="C83" s="159" t="s">
        <v>91</v>
      </c>
      <c r="D83" s="287"/>
      <c r="E83" s="180" t="s">
        <v>92</v>
      </c>
      <c r="F83" s="159" t="s">
        <v>252</v>
      </c>
      <c r="G83" s="160">
        <f t="shared" si="13"/>
        <v>17.5</v>
      </c>
      <c r="H83" s="161">
        <f>SUMIF('[1]SALES BY PROMOTOR'!$D:$D,F83,'[1]SALES BY PROMOTOR'!$G:$G)</f>
        <v>10</v>
      </c>
      <c r="I83" s="162">
        <f t="shared" si="14"/>
        <v>0.5714285714285714</v>
      </c>
      <c r="J83" s="163">
        <f t="shared" si="15"/>
        <v>13.478260869565217</v>
      </c>
      <c r="K83" s="164">
        <v>35</v>
      </c>
      <c r="L83" s="165">
        <f>SUMIF('[1]SALES BY PROMOTOR'!$D:$D,F83,'[1]SALES BY PROMOTOR'!$I:$I)</f>
        <v>31</v>
      </c>
      <c r="M83" s="166">
        <f t="shared" si="16"/>
        <v>0.88571428571428568</v>
      </c>
      <c r="N83" s="167">
        <f t="shared" si="17"/>
        <v>41.782608695652172</v>
      </c>
      <c r="O83" s="181">
        <f t="shared" si="18"/>
        <v>0.32258064516129031</v>
      </c>
      <c r="P83" s="182">
        <f>SUMIF('[1]SALES BY PROMOTOR'!$D:$D,F83,'[1]SALES BY PROMOTOR'!$J:$J)</f>
        <v>126969000</v>
      </c>
      <c r="Q83" s="183">
        <f t="shared" si="19"/>
        <v>4095774.1935483869</v>
      </c>
      <c r="R83" s="184">
        <f>IFERROR(VLOOKUP(F83,'[1]Sales By Promotor Last Month'!D:G,4,0),0)</f>
        <v>17</v>
      </c>
      <c r="S83" s="185">
        <f t="shared" si="20"/>
        <v>10</v>
      </c>
      <c r="T83" s="186">
        <f t="shared" si="21"/>
        <v>-7</v>
      </c>
      <c r="U83" s="187">
        <f t="shared" si="22"/>
        <v>-0.41176470588235292</v>
      </c>
      <c r="V83" s="188">
        <f>IFERROR(VLOOKUP(F83,'[1]Sales By Promotor Last Month'!D:I,6,0),0)</f>
        <v>35</v>
      </c>
      <c r="W83" s="189">
        <f t="shared" si="23"/>
        <v>31</v>
      </c>
      <c r="X83" s="190">
        <f t="shared" si="24"/>
        <v>-4</v>
      </c>
      <c r="Y83" s="191">
        <f t="shared" si="25"/>
        <v>-0.11428571428571428</v>
      </c>
    </row>
    <row r="84" spans="1:25" ht="18" x14ac:dyDescent="0.2">
      <c r="A84" s="178" t="s">
        <v>89</v>
      </c>
      <c r="B84" s="155">
        <v>6190706</v>
      </c>
      <c r="C84" s="159" t="s">
        <v>91</v>
      </c>
      <c r="D84" s="287"/>
      <c r="E84" s="180" t="s">
        <v>92</v>
      </c>
      <c r="F84" s="159" t="s">
        <v>254</v>
      </c>
      <c r="G84" s="160">
        <f t="shared" si="13"/>
        <v>17.5</v>
      </c>
      <c r="H84" s="161">
        <f>SUMIF('[1]SALES BY PROMOTOR'!$D:$D,F84,'[1]SALES BY PROMOTOR'!$G:$G)</f>
        <v>12</v>
      </c>
      <c r="I84" s="162">
        <f t="shared" si="14"/>
        <v>0.68571428571428572</v>
      </c>
      <c r="J84" s="163">
        <f t="shared" si="15"/>
        <v>16.173913043478262</v>
      </c>
      <c r="K84" s="164">
        <v>35</v>
      </c>
      <c r="L84" s="165">
        <f>SUMIF('[1]SALES BY PROMOTOR'!$D:$D,F84,'[1]SALES BY PROMOTOR'!$I:$I)</f>
        <v>22</v>
      </c>
      <c r="M84" s="166">
        <f t="shared" si="16"/>
        <v>0.62857142857142856</v>
      </c>
      <c r="N84" s="167">
        <f t="shared" si="17"/>
        <v>29.65217391304348</v>
      </c>
      <c r="O84" s="181">
        <f t="shared" si="18"/>
        <v>0.54545454545454541</v>
      </c>
      <c r="P84" s="182">
        <f>SUMIF('[1]SALES BY PROMOTOR'!$D:$D,F84,'[1]SALES BY PROMOTOR'!$J:$J)</f>
        <v>111478000</v>
      </c>
      <c r="Q84" s="183">
        <f t="shared" si="19"/>
        <v>5067181.8181818184</v>
      </c>
      <c r="R84" s="184">
        <f>IFERROR(VLOOKUP(F84,'[1]Sales By Promotor Last Month'!D:G,4,0),0)</f>
        <v>18</v>
      </c>
      <c r="S84" s="185">
        <f t="shared" si="20"/>
        <v>12</v>
      </c>
      <c r="T84" s="186">
        <f t="shared" si="21"/>
        <v>-6</v>
      </c>
      <c r="U84" s="187">
        <f t="shared" si="22"/>
        <v>-0.33333333333333331</v>
      </c>
      <c r="V84" s="188">
        <f>IFERROR(VLOOKUP(F84,'[1]Sales By Promotor Last Month'!D:I,6,0),0)</f>
        <v>35</v>
      </c>
      <c r="W84" s="189">
        <f t="shared" si="23"/>
        <v>22</v>
      </c>
      <c r="X84" s="190">
        <f t="shared" si="24"/>
        <v>-13</v>
      </c>
      <c r="Y84" s="191">
        <f t="shared" si="25"/>
        <v>-0.37142857142857144</v>
      </c>
    </row>
    <row r="85" spans="1:25" ht="18" x14ac:dyDescent="0.2">
      <c r="A85" s="178" t="s">
        <v>89</v>
      </c>
      <c r="B85" s="155">
        <v>6190707</v>
      </c>
      <c r="C85" s="159" t="s">
        <v>95</v>
      </c>
      <c r="D85" s="287">
        <v>4</v>
      </c>
      <c r="E85" s="180" t="s">
        <v>96</v>
      </c>
      <c r="F85" s="159" t="s">
        <v>257</v>
      </c>
      <c r="G85" s="160">
        <f t="shared" si="13"/>
        <v>17.5</v>
      </c>
      <c r="H85" s="161">
        <f>SUMIF('[1]SALES BY PROMOTOR'!$D:$D,F85,'[1]SALES BY PROMOTOR'!$G:$G)</f>
        <v>11</v>
      </c>
      <c r="I85" s="162">
        <f t="shared" si="14"/>
        <v>0.62857142857142856</v>
      </c>
      <c r="J85" s="163">
        <f t="shared" si="15"/>
        <v>14.82608695652174</v>
      </c>
      <c r="K85" s="164">
        <v>35</v>
      </c>
      <c r="L85" s="165">
        <f>SUMIF('[1]SALES BY PROMOTOR'!$D:$D,F85,'[1]SALES BY PROMOTOR'!$I:$I)</f>
        <v>30</v>
      </c>
      <c r="M85" s="166">
        <f t="shared" si="16"/>
        <v>0.8571428571428571</v>
      </c>
      <c r="N85" s="167">
        <f t="shared" si="17"/>
        <v>40.434782608695656</v>
      </c>
      <c r="O85" s="181">
        <f t="shared" si="18"/>
        <v>0.36666666666666664</v>
      </c>
      <c r="P85" s="182">
        <f>SUMIF('[1]SALES BY PROMOTOR'!$D:$D,F85,'[1]SALES BY PROMOTOR'!$J:$J)</f>
        <v>124970000</v>
      </c>
      <c r="Q85" s="183">
        <f t="shared" si="19"/>
        <v>4165666.6666666665</v>
      </c>
      <c r="R85" s="184">
        <f>IFERROR(VLOOKUP(F85,'[1]Sales By Promotor Last Month'!D:G,4,0),0)</f>
        <v>19</v>
      </c>
      <c r="S85" s="185">
        <f t="shared" si="20"/>
        <v>11</v>
      </c>
      <c r="T85" s="186">
        <f t="shared" si="21"/>
        <v>-8</v>
      </c>
      <c r="U85" s="187">
        <f t="shared" si="22"/>
        <v>-0.42105263157894735</v>
      </c>
      <c r="V85" s="188">
        <f>IFERROR(VLOOKUP(F85,'[1]Sales By Promotor Last Month'!D:I,6,0),0)</f>
        <v>37</v>
      </c>
      <c r="W85" s="189">
        <f t="shared" si="23"/>
        <v>30</v>
      </c>
      <c r="X85" s="190">
        <f t="shared" si="24"/>
        <v>-7</v>
      </c>
      <c r="Y85" s="191">
        <f t="shared" si="25"/>
        <v>-0.1891891891891892</v>
      </c>
    </row>
    <row r="86" spans="1:25" ht="18" x14ac:dyDescent="0.2">
      <c r="A86" s="178" t="s">
        <v>89</v>
      </c>
      <c r="B86" s="203">
        <v>6190707</v>
      </c>
      <c r="C86" s="159" t="s">
        <v>95</v>
      </c>
      <c r="D86" s="287"/>
      <c r="E86" s="180" t="s">
        <v>96</v>
      </c>
      <c r="F86" s="159" t="s">
        <v>258</v>
      </c>
      <c r="G86" s="160">
        <f t="shared" si="13"/>
        <v>17.5</v>
      </c>
      <c r="H86" s="161">
        <f>SUMIF('[1]SALES BY PROMOTOR'!$D:$D,F86,'[1]SALES BY PROMOTOR'!$G:$G)</f>
        <v>7</v>
      </c>
      <c r="I86" s="162">
        <f t="shared" si="14"/>
        <v>0.4</v>
      </c>
      <c r="J86" s="163">
        <f t="shared" si="15"/>
        <v>9.4347826086956523</v>
      </c>
      <c r="K86" s="164">
        <v>35</v>
      </c>
      <c r="L86" s="165">
        <f>SUMIF('[1]SALES BY PROMOTOR'!$D:$D,F86,'[1]SALES BY PROMOTOR'!$I:$I)</f>
        <v>18</v>
      </c>
      <c r="M86" s="166">
        <f t="shared" si="16"/>
        <v>0.51428571428571423</v>
      </c>
      <c r="N86" s="167">
        <f t="shared" si="17"/>
        <v>24.260869565217391</v>
      </c>
      <c r="O86" s="181">
        <f t="shared" si="18"/>
        <v>0.3888888888888889</v>
      </c>
      <c r="P86" s="182">
        <f>SUMIF('[1]SALES BY PROMOTOR'!$D:$D,F86,'[1]SALES BY PROMOTOR'!$J:$J)</f>
        <v>67382000</v>
      </c>
      <c r="Q86" s="183">
        <f t="shared" si="19"/>
        <v>3743444.4444444445</v>
      </c>
      <c r="R86" s="184">
        <f>IFERROR(VLOOKUP(F86,'[1]Sales By Promotor Last Month'!D:G,4,0),0)</f>
        <v>17</v>
      </c>
      <c r="S86" s="185">
        <f t="shared" si="20"/>
        <v>7</v>
      </c>
      <c r="T86" s="186">
        <f t="shared" si="21"/>
        <v>-10</v>
      </c>
      <c r="U86" s="187">
        <f t="shared" si="22"/>
        <v>-0.58823529411764708</v>
      </c>
      <c r="V86" s="188">
        <f>IFERROR(VLOOKUP(F86,'[1]Sales By Promotor Last Month'!D:I,6,0),0)</f>
        <v>35</v>
      </c>
      <c r="W86" s="189">
        <f t="shared" si="23"/>
        <v>18</v>
      </c>
      <c r="X86" s="190">
        <f t="shared" si="24"/>
        <v>-17</v>
      </c>
      <c r="Y86" s="191">
        <f t="shared" si="25"/>
        <v>-0.48571428571428571</v>
      </c>
    </row>
    <row r="87" spans="1:25" ht="18" x14ac:dyDescent="0.2">
      <c r="A87" s="178" t="s">
        <v>89</v>
      </c>
      <c r="B87" s="203">
        <v>6190707</v>
      </c>
      <c r="C87" s="159" t="s">
        <v>95</v>
      </c>
      <c r="D87" s="287"/>
      <c r="E87" s="180" t="s">
        <v>96</v>
      </c>
      <c r="F87" s="159" t="s">
        <v>260</v>
      </c>
      <c r="G87" s="160">
        <f t="shared" si="13"/>
        <v>17.5</v>
      </c>
      <c r="H87" s="161">
        <f>SUMIF('[1]SALES BY PROMOTOR'!$D:$D,F87,'[1]SALES BY PROMOTOR'!$G:$G)</f>
        <v>5</v>
      </c>
      <c r="I87" s="162">
        <f t="shared" si="14"/>
        <v>0.2857142857142857</v>
      </c>
      <c r="J87" s="163">
        <f t="shared" si="15"/>
        <v>6.7391304347826084</v>
      </c>
      <c r="K87" s="164">
        <v>35</v>
      </c>
      <c r="L87" s="165">
        <f>SUMIF('[1]SALES BY PROMOTOR'!$D:$D,F87,'[1]SALES BY PROMOTOR'!$I:$I)</f>
        <v>24</v>
      </c>
      <c r="M87" s="166">
        <f t="shared" si="16"/>
        <v>0.68571428571428572</v>
      </c>
      <c r="N87" s="167">
        <f t="shared" si="17"/>
        <v>32.347826086956523</v>
      </c>
      <c r="O87" s="181">
        <f t="shared" si="18"/>
        <v>0.20833333333333334</v>
      </c>
      <c r="P87" s="182">
        <f>SUMIF('[1]SALES BY PROMOTOR'!$D:$D,F87,'[1]SALES BY PROMOTOR'!$J:$J)</f>
        <v>79276000</v>
      </c>
      <c r="Q87" s="183">
        <f t="shared" si="19"/>
        <v>3303166.6666666665</v>
      </c>
      <c r="R87" s="184">
        <f>IFERROR(VLOOKUP(F87,'[1]Sales By Promotor Last Month'!D:G,4,0),0)</f>
        <v>12</v>
      </c>
      <c r="S87" s="185">
        <f t="shared" si="20"/>
        <v>5</v>
      </c>
      <c r="T87" s="186">
        <f t="shared" si="21"/>
        <v>-7</v>
      </c>
      <c r="U87" s="187">
        <f t="shared" si="22"/>
        <v>-0.58333333333333337</v>
      </c>
      <c r="V87" s="188">
        <f>IFERROR(VLOOKUP(F87,'[1]Sales By Promotor Last Month'!D:I,6,0),0)</f>
        <v>35</v>
      </c>
      <c r="W87" s="189">
        <f t="shared" si="23"/>
        <v>24</v>
      </c>
      <c r="X87" s="190">
        <f t="shared" si="24"/>
        <v>-11</v>
      </c>
      <c r="Y87" s="191">
        <f t="shared" si="25"/>
        <v>-0.31428571428571428</v>
      </c>
    </row>
    <row r="88" spans="1:25" ht="18" x14ac:dyDescent="0.2">
      <c r="A88" s="178" t="s">
        <v>89</v>
      </c>
      <c r="B88" s="203">
        <v>6190707</v>
      </c>
      <c r="C88" s="159" t="s">
        <v>95</v>
      </c>
      <c r="D88" s="287"/>
      <c r="E88" s="180" t="s">
        <v>96</v>
      </c>
      <c r="F88" s="159" t="s">
        <v>262</v>
      </c>
      <c r="G88" s="160">
        <f t="shared" si="13"/>
        <v>17.5</v>
      </c>
      <c r="H88" s="161">
        <f>SUMIF('[1]SALES BY PROMOTOR'!$D:$D,F88,'[1]SALES BY PROMOTOR'!$G:$G)</f>
        <v>7</v>
      </c>
      <c r="I88" s="162">
        <f t="shared" si="14"/>
        <v>0.4</v>
      </c>
      <c r="J88" s="163">
        <f t="shared" si="15"/>
        <v>9.4347826086956523</v>
      </c>
      <c r="K88" s="164">
        <v>35</v>
      </c>
      <c r="L88" s="165">
        <f>SUMIF('[1]SALES BY PROMOTOR'!$D:$D,F88,'[1]SALES BY PROMOTOR'!$I:$I)</f>
        <v>16</v>
      </c>
      <c r="M88" s="166">
        <f t="shared" si="16"/>
        <v>0.45714285714285713</v>
      </c>
      <c r="N88" s="167">
        <f t="shared" si="17"/>
        <v>21.565217391304348</v>
      </c>
      <c r="O88" s="181">
        <f t="shared" si="18"/>
        <v>0.4375</v>
      </c>
      <c r="P88" s="182">
        <f>SUMIF('[1]SALES BY PROMOTOR'!$D:$D,F88,'[1]SALES BY PROMOTOR'!$J:$J)</f>
        <v>58784000</v>
      </c>
      <c r="Q88" s="183">
        <f t="shared" si="19"/>
        <v>3674000</v>
      </c>
      <c r="R88" s="184">
        <f>IFERROR(VLOOKUP(F88,'[1]Sales By Promotor Last Month'!D:G,4,0),0)</f>
        <v>18</v>
      </c>
      <c r="S88" s="185">
        <f t="shared" si="20"/>
        <v>7</v>
      </c>
      <c r="T88" s="186">
        <f t="shared" si="21"/>
        <v>-11</v>
      </c>
      <c r="U88" s="187">
        <f t="shared" si="22"/>
        <v>-0.61111111111111116</v>
      </c>
      <c r="V88" s="188">
        <f>IFERROR(VLOOKUP(F88,'[1]Sales By Promotor Last Month'!D:I,6,0),0)</f>
        <v>35</v>
      </c>
      <c r="W88" s="189">
        <f t="shared" si="23"/>
        <v>16</v>
      </c>
      <c r="X88" s="190">
        <f t="shared" si="24"/>
        <v>-19</v>
      </c>
      <c r="Y88" s="191">
        <f t="shared" si="25"/>
        <v>-0.54285714285714282</v>
      </c>
    </row>
    <row r="89" spans="1:25" ht="18" x14ac:dyDescent="0.2">
      <c r="A89" s="178" t="s">
        <v>89</v>
      </c>
      <c r="B89" s="203">
        <v>6190708</v>
      </c>
      <c r="C89" s="159" t="s">
        <v>95</v>
      </c>
      <c r="D89" s="179">
        <v>1</v>
      </c>
      <c r="E89" s="180" t="s">
        <v>97</v>
      </c>
      <c r="F89" s="159" t="s">
        <v>263</v>
      </c>
      <c r="G89" s="160">
        <f t="shared" si="13"/>
        <v>17.5</v>
      </c>
      <c r="H89" s="161">
        <f>SUMIF('[1]SALES BY PROMOTOR'!$D:$D,F89,'[1]SALES BY PROMOTOR'!$G:$G)</f>
        <v>3</v>
      </c>
      <c r="I89" s="162">
        <f t="shared" si="14"/>
        <v>0.17142857142857143</v>
      </c>
      <c r="J89" s="163">
        <f t="shared" si="15"/>
        <v>4.0434782608695654</v>
      </c>
      <c r="K89" s="164">
        <v>35</v>
      </c>
      <c r="L89" s="165">
        <f>SUMIF('[1]SALES BY PROMOTOR'!$D:$D,F89,'[1]SALES BY PROMOTOR'!$I:$I)</f>
        <v>12</v>
      </c>
      <c r="M89" s="166">
        <f t="shared" si="16"/>
        <v>0.34285714285714286</v>
      </c>
      <c r="N89" s="167">
        <f t="shared" si="17"/>
        <v>16.173913043478262</v>
      </c>
      <c r="O89" s="181">
        <f t="shared" si="18"/>
        <v>0.25</v>
      </c>
      <c r="P89" s="182">
        <f>SUMIF('[1]SALES BY PROMOTOR'!$D:$D,F89,'[1]SALES BY PROMOTOR'!$J:$J)</f>
        <v>40888000</v>
      </c>
      <c r="Q89" s="183">
        <f t="shared" si="19"/>
        <v>3407333.3333333335</v>
      </c>
      <c r="R89" s="184">
        <f>IFERROR(VLOOKUP(F89,'[1]Sales By Promotor Last Month'!D:G,4,0),0)</f>
        <v>7</v>
      </c>
      <c r="S89" s="185">
        <f t="shared" si="20"/>
        <v>3</v>
      </c>
      <c r="T89" s="186">
        <f t="shared" si="21"/>
        <v>-4</v>
      </c>
      <c r="U89" s="187">
        <f t="shared" si="22"/>
        <v>-0.5714285714285714</v>
      </c>
      <c r="V89" s="188">
        <f>IFERROR(VLOOKUP(F89,'[1]Sales By Promotor Last Month'!D:I,6,0),0)</f>
        <v>14</v>
      </c>
      <c r="W89" s="189">
        <f t="shared" si="23"/>
        <v>12</v>
      </c>
      <c r="X89" s="190">
        <f t="shared" si="24"/>
        <v>-2</v>
      </c>
      <c r="Y89" s="191">
        <f t="shared" si="25"/>
        <v>-0.14285714285714285</v>
      </c>
    </row>
    <row r="90" spans="1:25" ht="18" x14ac:dyDescent="0.2">
      <c r="A90" s="178" t="s">
        <v>264</v>
      </c>
      <c r="B90" s="155">
        <v>6170706</v>
      </c>
      <c r="C90" s="159" t="s">
        <v>78</v>
      </c>
      <c r="D90" s="286">
        <v>3</v>
      </c>
      <c r="E90" s="180" t="s">
        <v>79</v>
      </c>
      <c r="F90" s="159" t="s">
        <v>265</v>
      </c>
      <c r="G90" s="160">
        <f t="shared" si="13"/>
        <v>17.5</v>
      </c>
      <c r="H90" s="161">
        <f>SUMIF('[1]SALES BY PROMOTOR'!$D:$D,F90,'[1]SALES BY PROMOTOR'!$G:$G)</f>
        <v>7</v>
      </c>
      <c r="I90" s="162">
        <f t="shared" si="14"/>
        <v>0.4</v>
      </c>
      <c r="J90" s="163">
        <f t="shared" si="15"/>
        <v>9.4347826086956523</v>
      </c>
      <c r="K90" s="164">
        <v>35</v>
      </c>
      <c r="L90" s="165">
        <f>SUMIF('[1]SALES BY PROMOTOR'!$D:$D,F90,'[1]SALES BY PROMOTOR'!$I:$I)</f>
        <v>37</v>
      </c>
      <c r="M90" s="166">
        <f t="shared" si="16"/>
        <v>1.0571428571428572</v>
      </c>
      <c r="N90" s="167">
        <f t="shared" si="17"/>
        <v>49.869565217391305</v>
      </c>
      <c r="O90" s="181">
        <f t="shared" si="18"/>
        <v>0.1891891891891892</v>
      </c>
      <c r="P90" s="182">
        <f>SUMIF('[1]SALES BY PROMOTOR'!$D:$D,F90,'[1]SALES BY PROMOTOR'!$J:$J)</f>
        <v>113163000</v>
      </c>
      <c r="Q90" s="183">
        <f t="shared" si="19"/>
        <v>3058459.4594594594</v>
      </c>
      <c r="R90" s="184">
        <f>IFERROR(VLOOKUP(F90,'[1]Sales By Promotor Last Month'!D:G,4,0),0)</f>
        <v>17</v>
      </c>
      <c r="S90" s="185">
        <f t="shared" si="20"/>
        <v>7</v>
      </c>
      <c r="T90" s="186">
        <f t="shared" si="21"/>
        <v>-10</v>
      </c>
      <c r="U90" s="187">
        <f t="shared" si="22"/>
        <v>-0.58823529411764708</v>
      </c>
      <c r="V90" s="188">
        <f>IFERROR(VLOOKUP(F90,'[1]Sales By Promotor Last Month'!D:I,6,0),0)</f>
        <v>36</v>
      </c>
      <c r="W90" s="189">
        <f t="shared" si="23"/>
        <v>37</v>
      </c>
      <c r="X90" s="190">
        <f t="shared" si="24"/>
        <v>1</v>
      </c>
      <c r="Y90" s="191">
        <f t="shared" si="25"/>
        <v>2.7777777777777776E-2</v>
      </c>
    </row>
    <row r="91" spans="1:25" ht="18" x14ac:dyDescent="0.2">
      <c r="A91" s="178" t="s">
        <v>264</v>
      </c>
      <c r="B91" s="155">
        <v>6170706</v>
      </c>
      <c r="C91" s="159" t="s">
        <v>78</v>
      </c>
      <c r="D91" s="287"/>
      <c r="E91" s="180" t="s">
        <v>79</v>
      </c>
      <c r="F91" s="159" t="s">
        <v>266</v>
      </c>
      <c r="G91" s="160">
        <f t="shared" si="13"/>
        <v>17.5</v>
      </c>
      <c r="H91" s="161">
        <f>SUMIF('[1]SALES BY PROMOTOR'!$D:$D,F91,'[1]SALES BY PROMOTOR'!$G:$G)</f>
        <v>1</v>
      </c>
      <c r="I91" s="162">
        <f t="shared" si="14"/>
        <v>5.7142857142857141E-2</v>
      </c>
      <c r="J91" s="163">
        <f t="shared" si="15"/>
        <v>1.3478260869565217</v>
      </c>
      <c r="K91" s="164">
        <v>35</v>
      </c>
      <c r="L91" s="165">
        <f>SUMIF('[1]SALES BY PROMOTOR'!$D:$D,F91,'[1]SALES BY PROMOTOR'!$I:$I)</f>
        <v>13</v>
      </c>
      <c r="M91" s="166">
        <f t="shared" si="16"/>
        <v>0.37142857142857144</v>
      </c>
      <c r="N91" s="167">
        <f t="shared" si="17"/>
        <v>17.521739130434781</v>
      </c>
      <c r="O91" s="181">
        <f t="shared" si="18"/>
        <v>7.6923076923076927E-2</v>
      </c>
      <c r="P91" s="182">
        <f>SUMIF('[1]SALES BY PROMOTOR'!$D:$D,F91,'[1]SALES BY PROMOTOR'!$J:$J)</f>
        <v>34787000</v>
      </c>
      <c r="Q91" s="183">
        <f t="shared" si="19"/>
        <v>2675923.076923077</v>
      </c>
      <c r="R91" s="184">
        <f>IFERROR(VLOOKUP(F91,'[1]Sales By Promotor Last Month'!D:G,4,0),0)</f>
        <v>14</v>
      </c>
      <c r="S91" s="185">
        <f t="shared" si="20"/>
        <v>1</v>
      </c>
      <c r="T91" s="186">
        <f t="shared" si="21"/>
        <v>-13</v>
      </c>
      <c r="U91" s="187">
        <f t="shared" si="22"/>
        <v>-0.9285714285714286</v>
      </c>
      <c r="V91" s="188">
        <f>IFERROR(VLOOKUP(F91,'[1]Sales By Promotor Last Month'!D:I,6,0),0)</f>
        <v>23</v>
      </c>
      <c r="W91" s="189">
        <f t="shared" si="23"/>
        <v>13</v>
      </c>
      <c r="X91" s="190">
        <f t="shared" si="24"/>
        <v>-10</v>
      </c>
      <c r="Y91" s="191">
        <f t="shared" si="25"/>
        <v>-0.43478260869565216</v>
      </c>
    </row>
    <row r="92" spans="1:25" ht="18" x14ac:dyDescent="0.2">
      <c r="A92" s="178" t="s">
        <v>264</v>
      </c>
      <c r="B92" s="155">
        <v>6170706</v>
      </c>
      <c r="C92" s="159" t="s">
        <v>78</v>
      </c>
      <c r="D92" s="288"/>
      <c r="E92" s="180" t="s">
        <v>79</v>
      </c>
      <c r="F92" s="159" t="s">
        <v>267</v>
      </c>
      <c r="G92" s="160">
        <f t="shared" si="13"/>
        <v>17.5</v>
      </c>
      <c r="H92" s="161">
        <f>SUMIF('[1]SALES BY PROMOTOR'!$D:$D,F92,'[1]SALES BY PROMOTOR'!$G:$G)</f>
        <v>5</v>
      </c>
      <c r="I92" s="162">
        <f t="shared" si="14"/>
        <v>0.2857142857142857</v>
      </c>
      <c r="J92" s="163">
        <f t="shared" si="15"/>
        <v>6.7391304347826084</v>
      </c>
      <c r="K92" s="164">
        <v>35</v>
      </c>
      <c r="L92" s="165">
        <f>SUMIF('[1]SALES BY PROMOTOR'!$D:$D,F92,'[1]SALES BY PROMOTOR'!$I:$I)</f>
        <v>19</v>
      </c>
      <c r="M92" s="166">
        <f t="shared" si="16"/>
        <v>0.54285714285714282</v>
      </c>
      <c r="N92" s="167">
        <f t="shared" si="17"/>
        <v>25.608695652173914</v>
      </c>
      <c r="O92" s="181">
        <f t="shared" si="18"/>
        <v>0.26315789473684209</v>
      </c>
      <c r="P92" s="182">
        <f>SUMIF('[1]SALES BY PROMOTOR'!$D:$D,F92,'[1]SALES BY PROMOTOR'!$J:$J)</f>
        <v>62181000</v>
      </c>
      <c r="Q92" s="183">
        <f t="shared" si="19"/>
        <v>3272684.210526316</v>
      </c>
      <c r="R92" s="184">
        <f>IFERROR(VLOOKUP(F92,'[1]Sales By Promotor Last Month'!D:G,4,0),0)</f>
        <v>11</v>
      </c>
      <c r="S92" s="185">
        <f t="shared" si="20"/>
        <v>5</v>
      </c>
      <c r="T92" s="186">
        <f t="shared" si="21"/>
        <v>-6</v>
      </c>
      <c r="U92" s="187">
        <f t="shared" si="22"/>
        <v>-0.54545454545454541</v>
      </c>
      <c r="V92" s="188">
        <f>IFERROR(VLOOKUP(F92,'[1]Sales By Promotor Last Month'!D:I,6,0),0)</f>
        <v>35</v>
      </c>
      <c r="W92" s="189">
        <f t="shared" si="23"/>
        <v>19</v>
      </c>
      <c r="X92" s="190">
        <f t="shared" si="24"/>
        <v>-16</v>
      </c>
      <c r="Y92" s="191">
        <f t="shared" si="25"/>
        <v>-0.45714285714285713</v>
      </c>
    </row>
    <row r="93" spans="1:25" ht="18" x14ac:dyDescent="0.2">
      <c r="A93" s="178" t="s">
        <v>264</v>
      </c>
      <c r="B93" s="155">
        <v>6170707</v>
      </c>
      <c r="C93" s="159" t="s">
        <v>274</v>
      </c>
      <c r="D93" s="286">
        <v>3</v>
      </c>
      <c r="E93" s="180" t="s">
        <v>73</v>
      </c>
      <c r="F93" s="159" t="s">
        <v>275</v>
      </c>
      <c r="G93" s="160">
        <f t="shared" si="13"/>
        <v>17.5</v>
      </c>
      <c r="H93" s="161">
        <f>SUMIF('[1]SALES BY PROMOTOR'!$D:$D,F93,'[1]SALES BY PROMOTOR'!$G:$G)</f>
        <v>6</v>
      </c>
      <c r="I93" s="162">
        <f t="shared" si="14"/>
        <v>0.34285714285714286</v>
      </c>
      <c r="J93" s="163">
        <f t="shared" si="15"/>
        <v>8.0869565217391308</v>
      </c>
      <c r="K93" s="164">
        <v>35</v>
      </c>
      <c r="L93" s="165">
        <f>SUMIF('[1]SALES BY PROMOTOR'!$D:$D,F93,'[1]SALES BY PROMOTOR'!$I:$I)</f>
        <v>24</v>
      </c>
      <c r="M93" s="166">
        <f t="shared" si="16"/>
        <v>0.68571428571428572</v>
      </c>
      <c r="N93" s="167">
        <f t="shared" si="17"/>
        <v>32.347826086956523</v>
      </c>
      <c r="O93" s="181">
        <f t="shared" si="18"/>
        <v>0.25</v>
      </c>
      <c r="P93" s="182">
        <f>SUMIF('[1]SALES BY PROMOTOR'!$D:$D,F93,'[1]SALES BY PROMOTOR'!$J:$J)</f>
        <v>79576000</v>
      </c>
      <c r="Q93" s="183">
        <f t="shared" si="19"/>
        <v>3315666.6666666665</v>
      </c>
      <c r="R93" s="184">
        <f>IFERROR(VLOOKUP(F93,'[1]Sales By Promotor Last Month'!D:G,4,0),0)</f>
        <v>14</v>
      </c>
      <c r="S93" s="185">
        <f t="shared" si="20"/>
        <v>6</v>
      </c>
      <c r="T93" s="186">
        <f t="shared" si="21"/>
        <v>-8</v>
      </c>
      <c r="U93" s="187">
        <f t="shared" si="22"/>
        <v>-0.5714285714285714</v>
      </c>
      <c r="V93" s="188">
        <f>IFERROR(VLOOKUP(F93,'[1]Sales By Promotor Last Month'!D:I,6,0),0)</f>
        <v>36</v>
      </c>
      <c r="W93" s="189">
        <f t="shared" si="23"/>
        <v>24</v>
      </c>
      <c r="X93" s="190">
        <f t="shared" si="24"/>
        <v>-12</v>
      </c>
      <c r="Y93" s="191">
        <f t="shared" si="25"/>
        <v>-0.33333333333333331</v>
      </c>
    </row>
    <row r="94" spans="1:25" ht="18" x14ac:dyDescent="0.2">
      <c r="A94" s="178" t="s">
        <v>264</v>
      </c>
      <c r="B94" s="155">
        <v>6170707</v>
      </c>
      <c r="C94" s="159" t="s">
        <v>274</v>
      </c>
      <c r="D94" s="287"/>
      <c r="E94" s="180" t="s">
        <v>73</v>
      </c>
      <c r="F94" s="159" t="s">
        <v>276</v>
      </c>
      <c r="G94" s="160">
        <f t="shared" si="13"/>
        <v>17.5</v>
      </c>
      <c r="H94" s="161">
        <f>SUMIF('[1]SALES BY PROMOTOR'!$D:$D,F94,'[1]SALES BY PROMOTOR'!$G:$G)</f>
        <v>5</v>
      </c>
      <c r="I94" s="162">
        <f t="shared" si="14"/>
        <v>0.2857142857142857</v>
      </c>
      <c r="J94" s="163">
        <f t="shared" si="15"/>
        <v>6.7391304347826084</v>
      </c>
      <c r="K94" s="164">
        <v>35</v>
      </c>
      <c r="L94" s="165">
        <f>SUMIF('[1]SALES BY PROMOTOR'!$D:$D,F94,'[1]SALES BY PROMOTOR'!$I:$I)</f>
        <v>21</v>
      </c>
      <c r="M94" s="166">
        <f t="shared" si="16"/>
        <v>0.6</v>
      </c>
      <c r="N94" s="167">
        <f t="shared" si="17"/>
        <v>28.304347826086953</v>
      </c>
      <c r="O94" s="181">
        <f t="shared" si="18"/>
        <v>0.23809523809523808</v>
      </c>
      <c r="P94" s="182">
        <f>SUMIF('[1]SALES BY PROMOTOR'!$D:$D,F94,'[1]SALES BY PROMOTOR'!$J:$J)</f>
        <v>69179000</v>
      </c>
      <c r="Q94" s="183">
        <f t="shared" si="19"/>
        <v>3294238.0952380951</v>
      </c>
      <c r="R94" s="184">
        <f>IFERROR(VLOOKUP(F94,'[1]Sales By Promotor Last Month'!D:G,4,0),0)</f>
        <v>16</v>
      </c>
      <c r="S94" s="185">
        <f t="shared" si="20"/>
        <v>5</v>
      </c>
      <c r="T94" s="186">
        <f t="shared" si="21"/>
        <v>-11</v>
      </c>
      <c r="U94" s="187">
        <f t="shared" si="22"/>
        <v>-0.6875</v>
      </c>
      <c r="V94" s="188">
        <f>IFERROR(VLOOKUP(F94,'[1]Sales By Promotor Last Month'!D:I,6,0),0)</f>
        <v>35</v>
      </c>
      <c r="W94" s="189">
        <f t="shared" si="23"/>
        <v>21</v>
      </c>
      <c r="X94" s="190">
        <f t="shared" si="24"/>
        <v>-14</v>
      </c>
      <c r="Y94" s="191">
        <f t="shared" si="25"/>
        <v>-0.4</v>
      </c>
    </row>
    <row r="95" spans="1:25" ht="18" x14ac:dyDescent="0.2">
      <c r="A95" s="178" t="s">
        <v>264</v>
      </c>
      <c r="B95" s="155">
        <v>6170707</v>
      </c>
      <c r="C95" s="159" t="s">
        <v>274</v>
      </c>
      <c r="D95" s="288"/>
      <c r="E95" s="180" t="s">
        <v>73</v>
      </c>
      <c r="F95" s="159" t="s">
        <v>277</v>
      </c>
      <c r="G95" s="160">
        <f t="shared" si="13"/>
        <v>17.5</v>
      </c>
      <c r="H95" s="161">
        <f>SUMIF('[1]SALES BY PROMOTOR'!$D:$D,F95,'[1]SALES BY PROMOTOR'!$G:$G)</f>
        <v>3</v>
      </c>
      <c r="I95" s="162">
        <f t="shared" si="14"/>
        <v>0.17142857142857143</v>
      </c>
      <c r="J95" s="163">
        <f t="shared" si="15"/>
        <v>4.0434782608695654</v>
      </c>
      <c r="K95" s="164">
        <v>35</v>
      </c>
      <c r="L95" s="165">
        <f>SUMIF('[1]SALES BY PROMOTOR'!$D:$D,F95,'[1]SALES BY PROMOTOR'!$I:$I)</f>
        <v>11</v>
      </c>
      <c r="M95" s="166">
        <f t="shared" si="16"/>
        <v>0.31428571428571428</v>
      </c>
      <c r="N95" s="167">
        <f t="shared" si="17"/>
        <v>14.82608695652174</v>
      </c>
      <c r="O95" s="181">
        <f t="shared" si="18"/>
        <v>0.27272727272727271</v>
      </c>
      <c r="P95" s="182">
        <f>SUMIF('[1]SALES BY PROMOTOR'!$D:$D,F95,'[1]SALES BY PROMOTOR'!$J:$J)</f>
        <v>34889000</v>
      </c>
      <c r="Q95" s="183">
        <f t="shared" si="19"/>
        <v>3171727.2727272729</v>
      </c>
      <c r="R95" s="184">
        <f>IFERROR(VLOOKUP(F95,'[1]Sales By Promotor Last Month'!D:G,4,0),0)</f>
        <v>0</v>
      </c>
      <c r="S95" s="185">
        <f t="shared" si="20"/>
        <v>3</v>
      </c>
      <c r="T95" s="186">
        <f t="shared" si="21"/>
        <v>3</v>
      </c>
      <c r="U95" s="187">
        <f t="shared" si="22"/>
        <v>0</v>
      </c>
      <c r="V95" s="188">
        <f>IFERROR(VLOOKUP(F95,'[1]Sales By Promotor Last Month'!D:I,6,0),0)</f>
        <v>0</v>
      </c>
      <c r="W95" s="189">
        <f t="shared" si="23"/>
        <v>11</v>
      </c>
      <c r="X95" s="190">
        <f t="shared" si="24"/>
        <v>11</v>
      </c>
      <c r="Y95" s="191">
        <f t="shared" si="25"/>
        <v>0</v>
      </c>
    </row>
    <row r="96" spans="1:25" ht="18" x14ac:dyDescent="0.2">
      <c r="A96" s="178" t="s">
        <v>264</v>
      </c>
      <c r="B96" s="204">
        <v>6240701</v>
      </c>
      <c r="C96" s="159" t="s">
        <v>78</v>
      </c>
      <c r="D96" s="286">
        <v>3</v>
      </c>
      <c r="E96" s="205" t="s">
        <v>77</v>
      </c>
      <c r="F96" s="159" t="s">
        <v>268</v>
      </c>
      <c r="G96" s="160">
        <f t="shared" si="13"/>
        <v>17.5</v>
      </c>
      <c r="H96" s="161">
        <f>SUMIF('[1]SALES BY PROMOTOR'!$D:$D,F96,'[1]SALES BY PROMOTOR'!$G:$G)</f>
        <v>7</v>
      </c>
      <c r="I96" s="162">
        <f t="shared" si="14"/>
        <v>0.4</v>
      </c>
      <c r="J96" s="163">
        <f t="shared" si="15"/>
        <v>9.4347826086956523</v>
      </c>
      <c r="K96" s="164">
        <v>35</v>
      </c>
      <c r="L96" s="165">
        <f>SUMIF('[1]SALES BY PROMOTOR'!$D:$D,F96,'[1]SALES BY PROMOTOR'!$I:$I)</f>
        <v>24</v>
      </c>
      <c r="M96" s="166">
        <f t="shared" si="16"/>
        <v>0.68571428571428572</v>
      </c>
      <c r="N96" s="167">
        <f t="shared" si="17"/>
        <v>32.347826086956523</v>
      </c>
      <c r="O96" s="181">
        <f t="shared" si="18"/>
        <v>0.29166666666666669</v>
      </c>
      <c r="P96" s="182">
        <f>SUMIF('[1]SALES BY PROMOTOR'!$D:$D,F96,'[1]SALES BY PROMOTOR'!$J:$J)</f>
        <v>75076000</v>
      </c>
      <c r="Q96" s="183">
        <f t="shared" si="19"/>
        <v>3128166.6666666665</v>
      </c>
      <c r="R96" s="184">
        <f>IFERROR(VLOOKUP(F96,'[1]Sales By Promotor Last Month'!D:G,4,0),0)</f>
        <v>17</v>
      </c>
      <c r="S96" s="185">
        <f t="shared" si="20"/>
        <v>7</v>
      </c>
      <c r="T96" s="186">
        <f t="shared" si="21"/>
        <v>-10</v>
      </c>
      <c r="U96" s="187">
        <f t="shared" si="22"/>
        <v>-0.58823529411764708</v>
      </c>
      <c r="V96" s="188">
        <f>IFERROR(VLOOKUP(F96,'[1]Sales By Promotor Last Month'!D:I,6,0),0)</f>
        <v>36</v>
      </c>
      <c r="W96" s="189">
        <f t="shared" si="23"/>
        <v>24</v>
      </c>
      <c r="X96" s="190">
        <f t="shared" si="24"/>
        <v>-12</v>
      </c>
      <c r="Y96" s="191">
        <f t="shared" si="25"/>
        <v>-0.33333333333333331</v>
      </c>
    </row>
    <row r="97" spans="1:25" ht="18" x14ac:dyDescent="0.2">
      <c r="A97" s="178" t="s">
        <v>264</v>
      </c>
      <c r="B97" s="204">
        <v>6240701</v>
      </c>
      <c r="C97" s="159" t="s">
        <v>78</v>
      </c>
      <c r="D97" s="287"/>
      <c r="E97" s="205" t="s">
        <v>77</v>
      </c>
      <c r="F97" s="159" t="s">
        <v>269</v>
      </c>
      <c r="G97" s="160">
        <f t="shared" si="13"/>
        <v>17.5</v>
      </c>
      <c r="H97" s="161">
        <f>SUMIF('[1]SALES BY PROMOTOR'!$D:$D,F97,'[1]SALES BY PROMOTOR'!$G:$G)</f>
        <v>12</v>
      </c>
      <c r="I97" s="162">
        <f t="shared" si="14"/>
        <v>0.68571428571428572</v>
      </c>
      <c r="J97" s="163">
        <f t="shared" si="15"/>
        <v>16.173913043478262</v>
      </c>
      <c r="K97" s="164">
        <v>35</v>
      </c>
      <c r="L97" s="165">
        <f>SUMIF('[1]SALES BY PROMOTOR'!$D:$D,F97,'[1]SALES BY PROMOTOR'!$I:$I)</f>
        <v>24</v>
      </c>
      <c r="M97" s="166">
        <f t="shared" si="16"/>
        <v>0.68571428571428572</v>
      </c>
      <c r="N97" s="167">
        <f t="shared" si="17"/>
        <v>32.347826086956523</v>
      </c>
      <c r="O97" s="181">
        <f t="shared" si="18"/>
        <v>0.5</v>
      </c>
      <c r="P97" s="182">
        <f>SUMIF('[1]SALES BY PROMOTOR'!$D:$D,F97,'[1]SALES BY PROMOTOR'!$J:$J)</f>
        <v>88376000</v>
      </c>
      <c r="Q97" s="183">
        <f t="shared" si="19"/>
        <v>3682333.3333333335</v>
      </c>
      <c r="R97" s="184">
        <f>IFERROR(VLOOKUP(F97,'[1]Sales By Promotor Last Month'!D:G,4,0),0)</f>
        <v>13</v>
      </c>
      <c r="S97" s="185">
        <f t="shared" si="20"/>
        <v>12</v>
      </c>
      <c r="T97" s="186">
        <f t="shared" si="21"/>
        <v>-1</v>
      </c>
      <c r="U97" s="187">
        <f t="shared" si="22"/>
        <v>-7.6923076923076927E-2</v>
      </c>
      <c r="V97" s="188">
        <f>IFERROR(VLOOKUP(F97,'[1]Sales By Promotor Last Month'!D:I,6,0),0)</f>
        <v>35</v>
      </c>
      <c r="W97" s="189">
        <f t="shared" si="23"/>
        <v>24</v>
      </c>
      <c r="X97" s="190">
        <f t="shared" si="24"/>
        <v>-11</v>
      </c>
      <c r="Y97" s="191">
        <f t="shared" si="25"/>
        <v>-0.31428571428571428</v>
      </c>
    </row>
    <row r="98" spans="1:25" ht="18" x14ac:dyDescent="0.2">
      <c r="A98" s="178" t="s">
        <v>264</v>
      </c>
      <c r="B98" s="204">
        <v>6240701</v>
      </c>
      <c r="C98" s="159" t="s">
        <v>78</v>
      </c>
      <c r="D98" s="288"/>
      <c r="E98" s="205" t="s">
        <v>77</v>
      </c>
      <c r="F98" s="159" t="s">
        <v>270</v>
      </c>
      <c r="G98" s="160">
        <f t="shared" si="13"/>
        <v>17.5</v>
      </c>
      <c r="H98" s="161">
        <f>SUMIF('[1]SALES BY PROMOTOR'!$D:$D,F98,'[1]SALES BY PROMOTOR'!$G:$G)</f>
        <v>9</v>
      </c>
      <c r="I98" s="162">
        <f t="shared" si="14"/>
        <v>0.51428571428571423</v>
      </c>
      <c r="J98" s="163">
        <f t="shared" si="15"/>
        <v>12.130434782608695</v>
      </c>
      <c r="K98" s="164">
        <v>35</v>
      </c>
      <c r="L98" s="165">
        <f>SUMIF('[1]SALES BY PROMOTOR'!$D:$D,F98,'[1]SALES BY PROMOTOR'!$I:$I)</f>
        <v>27</v>
      </c>
      <c r="M98" s="166">
        <f t="shared" si="16"/>
        <v>0.77142857142857146</v>
      </c>
      <c r="N98" s="167">
        <f t="shared" si="17"/>
        <v>36.391304347826093</v>
      </c>
      <c r="O98" s="181">
        <f t="shared" si="18"/>
        <v>0.33333333333333331</v>
      </c>
      <c r="P98" s="182">
        <f>SUMIF('[1]SALES BY PROMOTOR'!$D:$D,F98,'[1]SALES BY PROMOTOR'!$J:$J)</f>
        <v>92573000</v>
      </c>
      <c r="Q98" s="183">
        <f t="shared" si="19"/>
        <v>3428629.6296296297</v>
      </c>
      <c r="R98" s="184">
        <f>IFERROR(VLOOKUP(F98,'[1]Sales By Promotor Last Month'!D:G,4,0),0)</f>
        <v>12</v>
      </c>
      <c r="S98" s="185">
        <f t="shared" si="20"/>
        <v>9</v>
      </c>
      <c r="T98" s="186">
        <f t="shared" si="21"/>
        <v>-3</v>
      </c>
      <c r="U98" s="187">
        <f t="shared" si="22"/>
        <v>-0.25</v>
      </c>
      <c r="V98" s="188">
        <f>IFERROR(VLOOKUP(F98,'[1]Sales By Promotor Last Month'!D:I,6,0),0)</f>
        <v>23</v>
      </c>
      <c r="W98" s="189">
        <f t="shared" si="23"/>
        <v>27</v>
      </c>
      <c r="X98" s="190">
        <f t="shared" si="24"/>
        <v>4</v>
      </c>
      <c r="Y98" s="191">
        <f t="shared" si="25"/>
        <v>0.17391304347826086</v>
      </c>
    </row>
    <row r="99" spans="1:25" ht="18" x14ac:dyDescent="0.2">
      <c r="A99" s="178" t="s">
        <v>264</v>
      </c>
      <c r="B99" s="155">
        <v>6240702</v>
      </c>
      <c r="C99" s="159" t="s">
        <v>274</v>
      </c>
      <c r="D99" s="286">
        <v>3</v>
      </c>
      <c r="E99" s="180" t="s">
        <v>75</v>
      </c>
      <c r="F99" s="159" t="s">
        <v>278</v>
      </c>
      <c r="G99" s="160">
        <f t="shared" si="13"/>
        <v>17.5</v>
      </c>
      <c r="H99" s="161">
        <f>SUMIF('[1]SALES BY PROMOTOR'!$D:$D,F99,'[1]SALES BY PROMOTOR'!$G:$G)</f>
        <v>7</v>
      </c>
      <c r="I99" s="162">
        <f t="shared" si="14"/>
        <v>0.4</v>
      </c>
      <c r="J99" s="163">
        <f t="shared" si="15"/>
        <v>9.4347826086956523</v>
      </c>
      <c r="K99" s="164">
        <v>35</v>
      </c>
      <c r="L99" s="165">
        <f>SUMIF('[1]SALES BY PROMOTOR'!$D:$D,F99,'[1]SALES BY PROMOTOR'!$I:$I)</f>
        <v>20</v>
      </c>
      <c r="M99" s="166">
        <f t="shared" si="16"/>
        <v>0.5714285714285714</v>
      </c>
      <c r="N99" s="167">
        <f t="shared" si="17"/>
        <v>26.956521739130434</v>
      </c>
      <c r="O99" s="181">
        <f t="shared" si="18"/>
        <v>0.35</v>
      </c>
      <c r="P99" s="182">
        <f>SUMIF('[1]SALES BY PROMOTOR'!$D:$D,F99,'[1]SALES BY PROMOTOR'!$J:$J)</f>
        <v>84580000</v>
      </c>
      <c r="Q99" s="183">
        <f t="shared" si="19"/>
        <v>4229000</v>
      </c>
      <c r="R99" s="184">
        <f>IFERROR(VLOOKUP(F99,'[1]Sales By Promotor Last Month'!D:G,4,0),0)</f>
        <v>19</v>
      </c>
      <c r="S99" s="185">
        <f t="shared" si="20"/>
        <v>7</v>
      </c>
      <c r="T99" s="186">
        <f t="shared" si="21"/>
        <v>-12</v>
      </c>
      <c r="U99" s="187">
        <f t="shared" si="22"/>
        <v>-0.63157894736842102</v>
      </c>
      <c r="V99" s="188">
        <f>IFERROR(VLOOKUP(F99,'[1]Sales By Promotor Last Month'!D:I,6,0),0)</f>
        <v>35</v>
      </c>
      <c r="W99" s="189">
        <f t="shared" si="23"/>
        <v>20</v>
      </c>
      <c r="X99" s="190">
        <f t="shared" si="24"/>
        <v>-15</v>
      </c>
      <c r="Y99" s="191">
        <f t="shared" si="25"/>
        <v>-0.42857142857142855</v>
      </c>
    </row>
    <row r="100" spans="1:25" ht="18" x14ac:dyDescent="0.2">
      <c r="A100" s="178" t="s">
        <v>264</v>
      </c>
      <c r="B100" s="155">
        <v>6240702</v>
      </c>
      <c r="C100" s="159" t="s">
        <v>274</v>
      </c>
      <c r="D100" s="287"/>
      <c r="E100" s="180" t="s">
        <v>75</v>
      </c>
      <c r="F100" s="159" t="s">
        <v>279</v>
      </c>
      <c r="G100" s="160">
        <f t="shared" si="13"/>
        <v>17.5</v>
      </c>
      <c r="H100" s="161">
        <f>SUMIF('[1]SALES BY PROMOTOR'!$D:$D,F100,'[1]SALES BY PROMOTOR'!$G:$G)</f>
        <v>8</v>
      </c>
      <c r="I100" s="162">
        <f t="shared" si="14"/>
        <v>0.45714285714285713</v>
      </c>
      <c r="J100" s="163">
        <f t="shared" si="15"/>
        <v>10.782608695652174</v>
      </c>
      <c r="K100" s="164">
        <v>35</v>
      </c>
      <c r="L100" s="165">
        <f>SUMIF('[1]SALES BY PROMOTOR'!$D:$D,F100,'[1]SALES BY PROMOTOR'!$I:$I)</f>
        <v>22</v>
      </c>
      <c r="M100" s="166">
        <f t="shared" si="16"/>
        <v>0.62857142857142856</v>
      </c>
      <c r="N100" s="167">
        <f t="shared" si="17"/>
        <v>29.65217391304348</v>
      </c>
      <c r="O100" s="181">
        <f t="shared" si="18"/>
        <v>0.36363636363636365</v>
      </c>
      <c r="P100" s="182">
        <f>SUMIF('[1]SALES BY PROMOTOR'!$D:$D,F100,'[1]SALES BY PROMOTOR'!$J:$J)</f>
        <v>79378000</v>
      </c>
      <c r="Q100" s="183">
        <f t="shared" si="19"/>
        <v>3608090.9090909092</v>
      </c>
      <c r="R100" s="184">
        <f>IFERROR(VLOOKUP(F100,'[1]Sales By Promotor Last Month'!D:G,4,0),0)</f>
        <v>17</v>
      </c>
      <c r="S100" s="185">
        <f t="shared" si="20"/>
        <v>8</v>
      </c>
      <c r="T100" s="186">
        <f t="shared" si="21"/>
        <v>-9</v>
      </c>
      <c r="U100" s="187">
        <f t="shared" si="22"/>
        <v>-0.52941176470588236</v>
      </c>
      <c r="V100" s="188">
        <f>IFERROR(VLOOKUP(F100,'[1]Sales By Promotor Last Month'!D:I,6,0),0)</f>
        <v>35</v>
      </c>
      <c r="W100" s="189">
        <f t="shared" si="23"/>
        <v>22</v>
      </c>
      <c r="X100" s="190">
        <f t="shared" si="24"/>
        <v>-13</v>
      </c>
      <c r="Y100" s="191">
        <f t="shared" si="25"/>
        <v>-0.37142857142857144</v>
      </c>
    </row>
    <row r="101" spans="1:25" ht="18" x14ac:dyDescent="0.2">
      <c r="A101" s="178" t="s">
        <v>264</v>
      </c>
      <c r="B101" s="155">
        <v>6240702</v>
      </c>
      <c r="C101" s="159" t="s">
        <v>274</v>
      </c>
      <c r="D101" s="287"/>
      <c r="E101" s="180" t="s">
        <v>75</v>
      </c>
      <c r="F101" s="159" t="s">
        <v>280</v>
      </c>
      <c r="G101" s="160">
        <f t="shared" si="13"/>
        <v>17.5</v>
      </c>
      <c r="H101" s="161">
        <f>SUMIF('[1]SALES BY PROMOTOR'!$D:$D,F101,'[1]SALES BY PROMOTOR'!$G:$G)</f>
        <v>10</v>
      </c>
      <c r="I101" s="162">
        <f t="shared" si="14"/>
        <v>0.5714285714285714</v>
      </c>
      <c r="J101" s="163">
        <f t="shared" si="15"/>
        <v>13.478260869565217</v>
      </c>
      <c r="K101" s="164">
        <v>35</v>
      </c>
      <c r="L101" s="165">
        <f>SUMIF('[1]SALES BY PROMOTOR'!$D:$D,F101,'[1]SALES BY PROMOTOR'!$I:$I)</f>
        <v>23</v>
      </c>
      <c r="M101" s="166">
        <f t="shared" si="16"/>
        <v>0.65714285714285714</v>
      </c>
      <c r="N101" s="167">
        <f t="shared" si="17"/>
        <v>31</v>
      </c>
      <c r="O101" s="181">
        <f t="shared" si="18"/>
        <v>0.43478260869565216</v>
      </c>
      <c r="P101" s="182">
        <f>SUMIF('[1]SALES BY PROMOTOR'!$D:$D,F101,'[1]SALES BY PROMOTOR'!$J:$J)</f>
        <v>91477000</v>
      </c>
      <c r="Q101" s="183">
        <f t="shared" si="19"/>
        <v>3977260.8695652173</v>
      </c>
      <c r="R101" s="184">
        <f>IFERROR(VLOOKUP(F101,'[1]Sales By Promotor Last Month'!D:G,4,0),0)</f>
        <v>18</v>
      </c>
      <c r="S101" s="185">
        <f t="shared" si="20"/>
        <v>10</v>
      </c>
      <c r="T101" s="186">
        <f t="shared" si="21"/>
        <v>-8</v>
      </c>
      <c r="U101" s="187">
        <f t="shared" si="22"/>
        <v>-0.44444444444444442</v>
      </c>
      <c r="V101" s="188">
        <f>IFERROR(VLOOKUP(F101,'[1]Sales By Promotor Last Month'!D:I,6,0),0)</f>
        <v>35</v>
      </c>
      <c r="W101" s="189">
        <f t="shared" si="23"/>
        <v>23</v>
      </c>
      <c r="X101" s="190">
        <f t="shared" si="24"/>
        <v>-12</v>
      </c>
      <c r="Y101" s="191">
        <f t="shared" si="25"/>
        <v>-0.34285714285714286</v>
      </c>
    </row>
    <row r="102" spans="1:25" ht="18" x14ac:dyDescent="0.2">
      <c r="A102" s="178" t="s">
        <v>264</v>
      </c>
      <c r="B102" s="155">
        <v>6240703</v>
      </c>
      <c r="C102" s="159" t="s">
        <v>78</v>
      </c>
      <c r="D102" s="287">
        <v>3</v>
      </c>
      <c r="E102" s="180" t="s">
        <v>80</v>
      </c>
      <c r="F102" s="159" t="s">
        <v>271</v>
      </c>
      <c r="G102" s="160">
        <f t="shared" si="13"/>
        <v>17.5</v>
      </c>
      <c r="H102" s="161">
        <f>SUMIF('[1]SALES BY PROMOTOR'!$D:$D,F102,'[1]SALES BY PROMOTOR'!$G:$G)</f>
        <v>15</v>
      </c>
      <c r="I102" s="162">
        <f t="shared" si="14"/>
        <v>0.8571428571428571</v>
      </c>
      <c r="J102" s="163">
        <f t="shared" si="15"/>
        <v>20.217391304347828</v>
      </c>
      <c r="K102" s="164">
        <v>35</v>
      </c>
      <c r="L102" s="165">
        <f>SUMIF('[1]SALES BY PROMOTOR'!$D:$D,F102,'[1]SALES BY PROMOTOR'!$I:$I)</f>
        <v>24</v>
      </c>
      <c r="M102" s="166">
        <f t="shared" si="16"/>
        <v>0.68571428571428572</v>
      </c>
      <c r="N102" s="167">
        <f t="shared" si="17"/>
        <v>32.347826086956523</v>
      </c>
      <c r="O102" s="181">
        <f t="shared" si="18"/>
        <v>0.625</v>
      </c>
      <c r="P102" s="182">
        <f>SUMIF('[1]SALES BY PROMOTOR'!$D:$D,F102,'[1]SALES BY PROMOTOR'!$J:$J)</f>
        <v>131076000</v>
      </c>
      <c r="Q102" s="183">
        <f t="shared" si="19"/>
        <v>5461500</v>
      </c>
      <c r="R102" s="184">
        <f>IFERROR(VLOOKUP(F102,'[1]Sales By Promotor Last Month'!D:G,4,0),0)</f>
        <v>15</v>
      </c>
      <c r="S102" s="185">
        <f t="shared" si="20"/>
        <v>15</v>
      </c>
      <c r="T102" s="186">
        <f t="shared" si="21"/>
        <v>0</v>
      </c>
      <c r="U102" s="187">
        <f t="shared" si="22"/>
        <v>0</v>
      </c>
      <c r="V102" s="188">
        <f>IFERROR(VLOOKUP(F102,'[1]Sales By Promotor Last Month'!D:I,6,0),0)</f>
        <v>35</v>
      </c>
      <c r="W102" s="189">
        <f t="shared" si="23"/>
        <v>24</v>
      </c>
      <c r="X102" s="190">
        <f t="shared" si="24"/>
        <v>-11</v>
      </c>
      <c r="Y102" s="191">
        <f t="shared" si="25"/>
        <v>-0.31428571428571428</v>
      </c>
    </row>
    <row r="103" spans="1:25" ht="18" x14ac:dyDescent="0.2">
      <c r="A103" s="178" t="s">
        <v>264</v>
      </c>
      <c r="B103" s="155">
        <v>6240703</v>
      </c>
      <c r="C103" s="159" t="s">
        <v>78</v>
      </c>
      <c r="D103" s="287"/>
      <c r="E103" s="180" t="s">
        <v>80</v>
      </c>
      <c r="F103" s="159" t="s">
        <v>272</v>
      </c>
      <c r="G103" s="160">
        <f t="shared" si="13"/>
        <v>17.5</v>
      </c>
      <c r="H103" s="161">
        <f>SUMIF('[1]SALES BY PROMOTOR'!$D:$D,F103,'[1]SALES BY PROMOTOR'!$G:$G)</f>
        <v>7</v>
      </c>
      <c r="I103" s="162">
        <f t="shared" si="14"/>
        <v>0.4</v>
      </c>
      <c r="J103" s="163">
        <f t="shared" si="15"/>
        <v>9.4347826086956523</v>
      </c>
      <c r="K103" s="164">
        <v>35</v>
      </c>
      <c r="L103" s="165">
        <f>SUMIF('[1]SALES BY PROMOTOR'!$D:$D,F103,'[1]SALES BY PROMOTOR'!$I:$I)</f>
        <v>27</v>
      </c>
      <c r="M103" s="166">
        <f t="shared" si="16"/>
        <v>0.77142857142857146</v>
      </c>
      <c r="N103" s="167">
        <f t="shared" si="17"/>
        <v>36.391304347826093</v>
      </c>
      <c r="O103" s="181">
        <f t="shared" si="18"/>
        <v>0.25925925925925924</v>
      </c>
      <c r="P103" s="182">
        <f>SUMIF('[1]SALES BY PROMOTOR'!$D:$D,F103,'[1]SALES BY PROMOTOR'!$J:$J)</f>
        <v>93573000</v>
      </c>
      <c r="Q103" s="183">
        <f t="shared" si="19"/>
        <v>3465666.6666666665</v>
      </c>
      <c r="R103" s="184">
        <f>IFERROR(VLOOKUP(F103,'[1]Sales By Promotor Last Month'!D:G,4,0),0)</f>
        <v>16</v>
      </c>
      <c r="S103" s="185">
        <f t="shared" si="20"/>
        <v>7</v>
      </c>
      <c r="T103" s="186">
        <f t="shared" si="21"/>
        <v>-9</v>
      </c>
      <c r="U103" s="187">
        <f t="shared" si="22"/>
        <v>-0.5625</v>
      </c>
      <c r="V103" s="188">
        <f>IFERROR(VLOOKUP(F103,'[1]Sales By Promotor Last Month'!D:I,6,0),0)</f>
        <v>35</v>
      </c>
      <c r="W103" s="189">
        <f t="shared" si="23"/>
        <v>27</v>
      </c>
      <c r="X103" s="190">
        <f t="shared" si="24"/>
        <v>-8</v>
      </c>
      <c r="Y103" s="191">
        <f t="shared" si="25"/>
        <v>-0.22857142857142856</v>
      </c>
    </row>
    <row r="104" spans="1:25" ht="18" x14ac:dyDescent="0.2">
      <c r="A104" s="178" t="s">
        <v>264</v>
      </c>
      <c r="B104" s="155">
        <v>6240703</v>
      </c>
      <c r="C104" s="159" t="s">
        <v>78</v>
      </c>
      <c r="D104" s="288"/>
      <c r="E104" s="180" t="s">
        <v>80</v>
      </c>
      <c r="F104" s="159" t="s">
        <v>273</v>
      </c>
      <c r="G104" s="160">
        <f t="shared" si="13"/>
        <v>17.5</v>
      </c>
      <c r="H104" s="161">
        <f>SUMIF('[1]SALES BY PROMOTOR'!$D:$D,F104,'[1]SALES BY PROMOTOR'!$G:$G)</f>
        <v>7</v>
      </c>
      <c r="I104" s="162">
        <f t="shared" si="14"/>
        <v>0.4</v>
      </c>
      <c r="J104" s="163">
        <f t="shared" si="15"/>
        <v>9.4347826086956523</v>
      </c>
      <c r="K104" s="164">
        <v>35</v>
      </c>
      <c r="L104" s="165">
        <f>SUMIF('[1]SALES BY PROMOTOR'!$D:$D,F104,'[1]SALES BY PROMOTOR'!$I:$I)</f>
        <v>12</v>
      </c>
      <c r="M104" s="166">
        <f t="shared" si="16"/>
        <v>0.34285714285714286</v>
      </c>
      <c r="N104" s="167">
        <f t="shared" si="17"/>
        <v>16.173913043478262</v>
      </c>
      <c r="O104" s="181">
        <f t="shared" si="18"/>
        <v>0.58333333333333337</v>
      </c>
      <c r="P104" s="182">
        <f>SUMIF('[1]SALES BY PROMOTOR'!$D:$D,F104,'[1]SALES BY PROMOTOR'!$J:$J)</f>
        <v>42288000</v>
      </c>
      <c r="Q104" s="183">
        <f t="shared" si="19"/>
        <v>3524000</v>
      </c>
      <c r="R104" s="184">
        <f>IFERROR(VLOOKUP(F104,'[1]Sales By Promotor Last Month'!D:G,4,0),0)</f>
        <v>18</v>
      </c>
      <c r="S104" s="185">
        <f t="shared" si="20"/>
        <v>7</v>
      </c>
      <c r="T104" s="186">
        <f t="shared" si="21"/>
        <v>-11</v>
      </c>
      <c r="U104" s="187">
        <f t="shared" si="22"/>
        <v>-0.61111111111111116</v>
      </c>
      <c r="V104" s="188">
        <f>IFERROR(VLOOKUP(F104,'[1]Sales By Promotor Last Month'!D:I,6,0),0)</f>
        <v>35</v>
      </c>
      <c r="W104" s="189">
        <f t="shared" si="23"/>
        <v>12</v>
      </c>
      <c r="X104" s="190">
        <f t="shared" si="24"/>
        <v>-23</v>
      </c>
      <c r="Y104" s="191">
        <f t="shared" si="25"/>
        <v>-0.65714285714285714</v>
      </c>
    </row>
    <row r="105" spans="1:25" ht="18" x14ac:dyDescent="0.2">
      <c r="A105" s="178" t="s">
        <v>264</v>
      </c>
      <c r="B105" s="204">
        <v>6240704</v>
      </c>
      <c r="C105" s="159" t="s">
        <v>274</v>
      </c>
      <c r="D105" s="286">
        <v>2</v>
      </c>
      <c r="E105" s="205" t="s">
        <v>76</v>
      </c>
      <c r="F105" s="159" t="s">
        <v>281</v>
      </c>
      <c r="G105" s="160">
        <f t="shared" si="13"/>
        <v>12.5</v>
      </c>
      <c r="H105" s="161">
        <f>SUMIF('[1]SALES BY PROMOTOR'!$D:$D,F105,'[1]SALES BY PROMOTOR'!$G:$G)</f>
        <v>1</v>
      </c>
      <c r="I105" s="162">
        <f t="shared" si="14"/>
        <v>0.08</v>
      </c>
      <c r="J105" s="163">
        <f t="shared" si="15"/>
        <v>1.3478260869565217</v>
      </c>
      <c r="K105" s="164">
        <v>25</v>
      </c>
      <c r="L105" s="165">
        <f>SUMIF('[1]SALES BY PROMOTOR'!$D:$D,F105,'[1]SALES BY PROMOTOR'!$I:$I)</f>
        <v>6</v>
      </c>
      <c r="M105" s="166">
        <f t="shared" si="16"/>
        <v>0.24</v>
      </c>
      <c r="N105" s="167">
        <f t="shared" si="17"/>
        <v>8.0869565217391308</v>
      </c>
      <c r="O105" s="181">
        <f t="shared" si="18"/>
        <v>0.16666666666666666</v>
      </c>
      <c r="P105" s="182">
        <f>SUMIF('[1]SALES BY PROMOTOR'!$D:$D,F105,'[1]SALES BY PROMOTOR'!$J:$J)</f>
        <v>16894000</v>
      </c>
      <c r="Q105" s="183">
        <f t="shared" si="19"/>
        <v>2815666.6666666665</v>
      </c>
      <c r="R105" s="184">
        <f>IFERROR(VLOOKUP(F105,'[1]Sales By Promotor Last Month'!D:G,4,0),0)</f>
        <v>6</v>
      </c>
      <c r="S105" s="185">
        <f t="shared" si="20"/>
        <v>1</v>
      </c>
      <c r="T105" s="186">
        <f t="shared" si="21"/>
        <v>-5</v>
      </c>
      <c r="U105" s="187">
        <f t="shared" si="22"/>
        <v>-0.83333333333333337</v>
      </c>
      <c r="V105" s="188">
        <f>IFERROR(VLOOKUP(F105,'[1]Sales By Promotor Last Month'!D:I,6,0),0)</f>
        <v>9</v>
      </c>
      <c r="W105" s="189">
        <f t="shared" si="23"/>
        <v>6</v>
      </c>
      <c r="X105" s="190">
        <f t="shared" si="24"/>
        <v>-3</v>
      </c>
      <c r="Y105" s="191">
        <f t="shared" si="25"/>
        <v>-0.33333333333333331</v>
      </c>
    </row>
    <row r="106" spans="1:25" ht="18" x14ac:dyDescent="0.2">
      <c r="A106" s="178" t="s">
        <v>264</v>
      </c>
      <c r="B106" s="204">
        <v>6240704</v>
      </c>
      <c r="C106" s="159" t="s">
        <v>274</v>
      </c>
      <c r="D106" s="288"/>
      <c r="E106" s="205" t="s">
        <v>76</v>
      </c>
      <c r="F106" s="159" t="s">
        <v>282</v>
      </c>
      <c r="G106" s="160">
        <f t="shared" si="13"/>
        <v>12.5</v>
      </c>
      <c r="H106" s="161">
        <f>SUMIF('[1]SALES BY PROMOTOR'!$D:$D,F106,'[1]SALES BY PROMOTOR'!$G:$G)</f>
        <v>2</v>
      </c>
      <c r="I106" s="162">
        <f t="shared" si="14"/>
        <v>0.16</v>
      </c>
      <c r="J106" s="163">
        <f t="shared" si="15"/>
        <v>2.6956521739130435</v>
      </c>
      <c r="K106" s="164">
        <v>25</v>
      </c>
      <c r="L106" s="165">
        <f>SUMIF('[1]SALES BY PROMOTOR'!$D:$D,F106,'[1]SALES BY PROMOTOR'!$I:$I)</f>
        <v>9</v>
      </c>
      <c r="M106" s="166">
        <f t="shared" si="16"/>
        <v>0.36</v>
      </c>
      <c r="N106" s="167">
        <f t="shared" si="17"/>
        <v>12.130434782608695</v>
      </c>
      <c r="O106" s="181">
        <f t="shared" si="18"/>
        <v>0.22222222222222221</v>
      </c>
      <c r="P106" s="182">
        <f>SUMIF('[1]SALES BY PROMOTOR'!$D:$D,F106,'[1]SALES BY PROMOTOR'!$J:$J)</f>
        <v>26091000</v>
      </c>
      <c r="Q106" s="183">
        <f t="shared" si="19"/>
        <v>2899000</v>
      </c>
      <c r="R106" s="184">
        <f>IFERROR(VLOOKUP(F106,'[1]Sales By Promotor Last Month'!D:G,4,0),0)</f>
        <v>4</v>
      </c>
      <c r="S106" s="185">
        <f t="shared" si="20"/>
        <v>2</v>
      </c>
      <c r="T106" s="186">
        <f t="shared" si="21"/>
        <v>-2</v>
      </c>
      <c r="U106" s="187">
        <f t="shared" si="22"/>
        <v>-0.5</v>
      </c>
      <c r="V106" s="188">
        <f>IFERROR(VLOOKUP(F106,'[1]Sales By Promotor Last Month'!D:I,6,0),0)</f>
        <v>12</v>
      </c>
      <c r="W106" s="189">
        <f t="shared" si="23"/>
        <v>9</v>
      </c>
      <c r="X106" s="190">
        <f t="shared" si="24"/>
        <v>-3</v>
      </c>
      <c r="Y106" s="191">
        <f t="shared" si="25"/>
        <v>-0.25</v>
      </c>
    </row>
    <row r="107" spans="1:25" ht="18" x14ac:dyDescent="0.2">
      <c r="A107" s="178" t="s">
        <v>264</v>
      </c>
      <c r="B107" s="157">
        <v>6240705</v>
      </c>
      <c r="C107" s="206" t="s">
        <v>283</v>
      </c>
      <c r="D107" s="297">
        <v>2</v>
      </c>
      <c r="E107" s="207" t="s">
        <v>284</v>
      </c>
      <c r="F107" s="159" t="s">
        <v>285</v>
      </c>
      <c r="G107" s="160">
        <f t="shared" si="13"/>
        <v>12.5</v>
      </c>
      <c r="H107" s="161">
        <f>SUMIF('[1]SALES BY PROMOTOR'!$D:$D,F107,'[1]SALES BY PROMOTOR'!$G:$G)</f>
        <v>11</v>
      </c>
      <c r="I107" s="162">
        <f t="shared" si="14"/>
        <v>0.88</v>
      </c>
      <c r="J107" s="163">
        <f t="shared" si="15"/>
        <v>14.82608695652174</v>
      </c>
      <c r="K107" s="164">
        <v>25</v>
      </c>
      <c r="L107" s="165">
        <f>SUMIF('[1]SALES BY PROMOTOR'!$D:$D,F107,'[1]SALES BY PROMOTOR'!$I:$I)</f>
        <v>18</v>
      </c>
      <c r="M107" s="166">
        <f t="shared" si="16"/>
        <v>0.72</v>
      </c>
      <c r="N107" s="167">
        <f t="shared" si="17"/>
        <v>24.260869565217391</v>
      </c>
      <c r="O107" s="181">
        <f t="shared" si="18"/>
        <v>0.61111111111111116</v>
      </c>
      <c r="P107" s="182">
        <f>SUMIF('[1]SALES BY PROMOTOR'!$D:$D,F107,'[1]SALES BY PROMOTOR'!$J:$J)</f>
        <v>100082000</v>
      </c>
      <c r="Q107" s="183">
        <f t="shared" si="19"/>
        <v>5560111.111111111</v>
      </c>
      <c r="R107" s="184">
        <f>IFERROR(VLOOKUP(F107,'[1]Sales By Promotor Last Month'!D:G,4,0),0)</f>
        <v>20</v>
      </c>
      <c r="S107" s="185">
        <f t="shared" si="20"/>
        <v>11</v>
      </c>
      <c r="T107" s="186">
        <f t="shared" si="21"/>
        <v>-9</v>
      </c>
      <c r="U107" s="187">
        <f t="shared" si="22"/>
        <v>-0.45</v>
      </c>
      <c r="V107" s="188">
        <f>IFERROR(VLOOKUP(F107,'[1]Sales By Promotor Last Month'!D:I,6,0),0)</f>
        <v>34</v>
      </c>
      <c r="W107" s="189">
        <f t="shared" si="23"/>
        <v>18</v>
      </c>
      <c r="X107" s="190">
        <f t="shared" si="24"/>
        <v>-16</v>
      </c>
      <c r="Y107" s="191">
        <f t="shared" si="25"/>
        <v>-0.47058823529411764</v>
      </c>
    </row>
    <row r="108" spans="1:25" ht="18" x14ac:dyDescent="0.2">
      <c r="A108" s="178" t="s">
        <v>264</v>
      </c>
      <c r="B108" s="157">
        <v>6240705</v>
      </c>
      <c r="C108" s="206" t="s">
        <v>283</v>
      </c>
      <c r="D108" s="298"/>
      <c r="E108" s="207" t="s">
        <v>284</v>
      </c>
      <c r="F108" s="159" t="s">
        <v>286</v>
      </c>
      <c r="G108" s="160">
        <f t="shared" si="13"/>
        <v>12.5</v>
      </c>
      <c r="H108" s="161">
        <f>SUMIF('[1]SALES BY PROMOTOR'!$D:$D,F108,'[1]SALES BY PROMOTOR'!$G:$G)</f>
        <v>0</v>
      </c>
      <c r="I108" s="162">
        <f t="shared" si="14"/>
        <v>0</v>
      </c>
      <c r="J108" s="163">
        <f t="shared" si="15"/>
        <v>0</v>
      </c>
      <c r="K108" s="164">
        <v>25</v>
      </c>
      <c r="L108" s="165">
        <f>SUMIF('[1]SALES BY PROMOTOR'!$D:$D,F108,'[1]SALES BY PROMOTOR'!$I:$I)</f>
        <v>0</v>
      </c>
      <c r="M108" s="166">
        <f t="shared" si="16"/>
        <v>0</v>
      </c>
      <c r="N108" s="167">
        <f t="shared" si="17"/>
        <v>0</v>
      </c>
      <c r="O108" s="181">
        <f t="shared" si="18"/>
        <v>0</v>
      </c>
      <c r="P108" s="182">
        <f>SUMIF('[1]SALES BY PROMOTOR'!$D:$D,F108,'[1]SALES BY PROMOTOR'!$J:$J)</f>
        <v>0</v>
      </c>
      <c r="Q108" s="183">
        <f t="shared" si="19"/>
        <v>0</v>
      </c>
      <c r="R108" s="184">
        <f>IFERROR(VLOOKUP(F108,'[1]Sales By Promotor Last Month'!D:G,4,0),0)</f>
        <v>0</v>
      </c>
      <c r="S108" s="185">
        <f t="shared" si="20"/>
        <v>0</v>
      </c>
      <c r="T108" s="186">
        <f t="shared" si="21"/>
        <v>0</v>
      </c>
      <c r="U108" s="187">
        <f t="shared" si="22"/>
        <v>0</v>
      </c>
      <c r="V108" s="188">
        <f>IFERROR(VLOOKUP(F108,'[1]Sales By Promotor Last Month'!D:I,6,0),0)</f>
        <v>0</v>
      </c>
      <c r="W108" s="189">
        <f t="shared" si="23"/>
        <v>0</v>
      </c>
      <c r="X108" s="190">
        <f t="shared" si="24"/>
        <v>0</v>
      </c>
      <c r="Y108" s="191">
        <f t="shared" si="25"/>
        <v>0</v>
      </c>
    </row>
    <row r="109" spans="1:25" ht="18" x14ac:dyDescent="0.2">
      <c r="A109" s="178" t="s">
        <v>264</v>
      </c>
      <c r="B109" s="155">
        <v>6240706</v>
      </c>
      <c r="C109" s="193" t="s">
        <v>87</v>
      </c>
      <c r="D109" s="299">
        <v>2</v>
      </c>
      <c r="E109" s="208" t="s">
        <v>288</v>
      </c>
      <c r="F109" s="159" t="s">
        <v>290</v>
      </c>
      <c r="G109" s="160">
        <f t="shared" si="13"/>
        <v>12.5</v>
      </c>
      <c r="H109" s="161">
        <f>SUMIF('[1]SALES BY PROMOTOR'!$D:$D,F109,'[1]SALES BY PROMOTOR'!$G:$G)</f>
        <v>7</v>
      </c>
      <c r="I109" s="162">
        <f t="shared" si="14"/>
        <v>0.56000000000000005</v>
      </c>
      <c r="J109" s="163">
        <f t="shared" si="15"/>
        <v>9.4347826086956523</v>
      </c>
      <c r="K109" s="164">
        <v>25</v>
      </c>
      <c r="L109" s="165">
        <f>SUMIF('[1]SALES BY PROMOTOR'!$D:$D,F109,'[1]SALES BY PROMOTOR'!$I:$I)</f>
        <v>15</v>
      </c>
      <c r="M109" s="166">
        <f t="shared" si="16"/>
        <v>0.6</v>
      </c>
      <c r="N109" s="167">
        <f t="shared" si="17"/>
        <v>20.217391304347828</v>
      </c>
      <c r="O109" s="181">
        <f t="shared" si="18"/>
        <v>0.46666666666666667</v>
      </c>
      <c r="P109" s="182">
        <f>SUMIF('[1]SALES BY PROMOTOR'!$D:$D,F109,'[1]SALES BY PROMOTOR'!$J:$J)</f>
        <v>63485000</v>
      </c>
      <c r="Q109" s="183">
        <f t="shared" si="19"/>
        <v>4232333.333333333</v>
      </c>
      <c r="R109" s="184">
        <f>IFERROR(VLOOKUP(F109,'[1]Sales By Promotor Last Month'!D:G,4,0),0)</f>
        <v>15</v>
      </c>
      <c r="S109" s="185">
        <f t="shared" si="20"/>
        <v>7</v>
      </c>
      <c r="T109" s="186">
        <f t="shared" si="21"/>
        <v>-8</v>
      </c>
      <c r="U109" s="187">
        <f t="shared" si="22"/>
        <v>-0.53333333333333333</v>
      </c>
      <c r="V109" s="188">
        <f>IFERROR(VLOOKUP(F109,'[1]Sales By Promotor Last Month'!D:I,6,0),0)</f>
        <v>22</v>
      </c>
      <c r="W109" s="189">
        <f t="shared" si="23"/>
        <v>15</v>
      </c>
      <c r="X109" s="190">
        <f t="shared" si="24"/>
        <v>-7</v>
      </c>
      <c r="Y109" s="191">
        <f t="shared" si="25"/>
        <v>-0.31818181818181818</v>
      </c>
    </row>
    <row r="110" spans="1:25" ht="18" x14ac:dyDescent="0.2">
      <c r="A110" s="178" t="s">
        <v>264</v>
      </c>
      <c r="B110" s="155">
        <v>6240706</v>
      </c>
      <c r="C110" s="193" t="s">
        <v>87</v>
      </c>
      <c r="D110" s="300"/>
      <c r="E110" s="197" t="s">
        <v>288</v>
      </c>
      <c r="F110" s="159" t="s">
        <v>291</v>
      </c>
      <c r="G110" s="160">
        <f t="shared" si="13"/>
        <v>12.5</v>
      </c>
      <c r="H110" s="161">
        <f>SUMIF('[1]SALES BY PROMOTOR'!$D:$D,F110,'[1]SALES BY PROMOTOR'!$G:$G)</f>
        <v>1</v>
      </c>
      <c r="I110" s="162">
        <f t="shared" si="14"/>
        <v>0.08</v>
      </c>
      <c r="J110" s="163">
        <f t="shared" si="15"/>
        <v>1.3478260869565217</v>
      </c>
      <c r="K110" s="164">
        <v>25</v>
      </c>
      <c r="L110" s="165">
        <f>SUMIF('[1]SALES BY PROMOTOR'!$D:$D,F110,'[1]SALES BY PROMOTOR'!$I:$I)</f>
        <v>4</v>
      </c>
      <c r="M110" s="166">
        <f t="shared" si="16"/>
        <v>0.16</v>
      </c>
      <c r="N110" s="167">
        <f t="shared" si="17"/>
        <v>5.3913043478260869</v>
      </c>
      <c r="O110" s="181">
        <f t="shared" si="18"/>
        <v>0.25</v>
      </c>
      <c r="P110" s="182">
        <f>SUMIF('[1]SALES BY PROMOTOR'!$D:$D,F110,'[1]SALES BY PROMOTOR'!$J:$J)</f>
        <v>14896000</v>
      </c>
      <c r="Q110" s="183">
        <f t="shared" si="19"/>
        <v>3724000</v>
      </c>
      <c r="R110" s="184">
        <f>IFERROR(VLOOKUP(F110,'[1]Sales By Promotor Last Month'!D:G,4,0),0)</f>
        <v>7</v>
      </c>
      <c r="S110" s="185">
        <f t="shared" si="20"/>
        <v>1</v>
      </c>
      <c r="T110" s="186">
        <f t="shared" si="21"/>
        <v>-6</v>
      </c>
      <c r="U110" s="187">
        <f t="shared" si="22"/>
        <v>-0.8571428571428571</v>
      </c>
      <c r="V110" s="188">
        <f>IFERROR(VLOOKUP(F110,'[1]Sales By Promotor Last Month'!D:I,6,0),0)</f>
        <v>8</v>
      </c>
      <c r="W110" s="189">
        <f t="shared" si="23"/>
        <v>4</v>
      </c>
      <c r="X110" s="190">
        <f t="shared" si="24"/>
        <v>-4</v>
      </c>
      <c r="Y110" s="191">
        <f t="shared" si="25"/>
        <v>-0.5</v>
      </c>
    </row>
    <row r="111" spans="1:25" ht="18" x14ac:dyDescent="0.2">
      <c r="A111" s="178" t="s">
        <v>264</v>
      </c>
      <c r="B111" s="155">
        <v>6240707</v>
      </c>
      <c r="C111" s="193" t="s">
        <v>87</v>
      </c>
      <c r="D111" s="301">
        <v>2</v>
      </c>
      <c r="E111" s="197" t="s">
        <v>303</v>
      </c>
      <c r="F111" s="159" t="s">
        <v>287</v>
      </c>
      <c r="G111" s="160">
        <f t="shared" si="13"/>
        <v>12.5</v>
      </c>
      <c r="H111" s="161">
        <f>SUMIF('[1]SALES BY PROMOTOR'!$D:$D,F111,'[1]SALES BY PROMOTOR'!$G:$G)</f>
        <v>7</v>
      </c>
      <c r="I111" s="162">
        <f t="shared" si="14"/>
        <v>0.56000000000000005</v>
      </c>
      <c r="J111" s="163">
        <f t="shared" si="15"/>
        <v>9.4347826086956523</v>
      </c>
      <c r="K111" s="164">
        <v>25</v>
      </c>
      <c r="L111" s="165">
        <f>SUMIF('[1]SALES BY PROMOTOR'!$D:$D,F111,'[1]SALES BY PROMOTOR'!$I:$I)</f>
        <v>7</v>
      </c>
      <c r="M111" s="166">
        <f t="shared" si="16"/>
        <v>0.28000000000000003</v>
      </c>
      <c r="N111" s="167">
        <f t="shared" si="17"/>
        <v>9.4347826086956523</v>
      </c>
      <c r="O111" s="181">
        <f t="shared" si="18"/>
        <v>1</v>
      </c>
      <c r="P111" s="182">
        <f>SUMIF('[1]SALES BY PROMOTOR'!$D:$D,F111,'[1]SALES BY PROMOTOR'!$J:$J)</f>
        <v>36393000</v>
      </c>
      <c r="Q111" s="183">
        <f t="shared" si="19"/>
        <v>5199000</v>
      </c>
      <c r="R111" s="184">
        <f>IFERROR(VLOOKUP(F111,'[1]Sales By Promotor Last Month'!D:G,4,0),0)</f>
        <v>0</v>
      </c>
      <c r="S111" s="185">
        <f t="shared" si="20"/>
        <v>7</v>
      </c>
      <c r="T111" s="186">
        <f t="shared" si="21"/>
        <v>7</v>
      </c>
      <c r="U111" s="187">
        <f t="shared" si="22"/>
        <v>0</v>
      </c>
      <c r="V111" s="188">
        <f>IFERROR(VLOOKUP(F111,'[1]Sales By Promotor Last Month'!D:I,6,0),0)</f>
        <v>0</v>
      </c>
      <c r="W111" s="189">
        <f t="shared" si="23"/>
        <v>7</v>
      </c>
      <c r="X111" s="190">
        <f t="shared" si="24"/>
        <v>7</v>
      </c>
      <c r="Y111" s="191">
        <f t="shared" si="25"/>
        <v>0</v>
      </c>
    </row>
    <row r="112" spans="1:25" ht="18" x14ac:dyDescent="0.2">
      <c r="A112" s="178" t="s">
        <v>264</v>
      </c>
      <c r="B112" s="155">
        <v>6240707</v>
      </c>
      <c r="C112" s="193" t="s">
        <v>87</v>
      </c>
      <c r="D112" s="293"/>
      <c r="E112" s="197" t="s">
        <v>303</v>
      </c>
      <c r="F112" s="159" t="s">
        <v>289</v>
      </c>
      <c r="G112" s="160">
        <f t="shared" si="13"/>
        <v>12.5</v>
      </c>
      <c r="H112" s="161">
        <f>SUMIF('[1]SALES BY PROMOTOR'!$D:$D,F112,'[1]SALES BY PROMOTOR'!$G:$G)</f>
        <v>6</v>
      </c>
      <c r="I112" s="162">
        <f t="shared" si="14"/>
        <v>0.48</v>
      </c>
      <c r="J112" s="163">
        <f t="shared" si="15"/>
        <v>8.0869565217391308</v>
      </c>
      <c r="K112" s="164">
        <v>25</v>
      </c>
      <c r="L112" s="165">
        <f>SUMIF('[1]SALES BY PROMOTOR'!$D:$D,F112,'[1]SALES BY PROMOTOR'!$I:$I)</f>
        <v>17</v>
      </c>
      <c r="M112" s="166">
        <f t="shared" si="16"/>
        <v>0.68</v>
      </c>
      <c r="N112" s="167">
        <f t="shared" si="17"/>
        <v>22.913043478260867</v>
      </c>
      <c r="O112" s="181">
        <f t="shared" si="18"/>
        <v>0.35294117647058826</v>
      </c>
      <c r="P112" s="182">
        <f>SUMIF('[1]SALES BY PROMOTOR'!$D:$D,F112,'[1]SALES BY PROMOTOR'!$J:$J)</f>
        <v>66683000</v>
      </c>
      <c r="Q112" s="183">
        <f t="shared" si="19"/>
        <v>3922529.411764706</v>
      </c>
      <c r="R112" s="184">
        <f>IFERROR(VLOOKUP(F112,'[1]Sales By Promotor Last Month'!D:G,4,0),0)</f>
        <v>9</v>
      </c>
      <c r="S112" s="185">
        <f t="shared" si="20"/>
        <v>6</v>
      </c>
      <c r="T112" s="186">
        <f t="shared" si="21"/>
        <v>-3</v>
      </c>
      <c r="U112" s="187">
        <f t="shared" si="22"/>
        <v>-0.33333333333333331</v>
      </c>
      <c r="V112" s="188">
        <f>IFERROR(VLOOKUP(F112,'[1]Sales By Promotor Last Month'!D:I,6,0),0)</f>
        <v>13</v>
      </c>
      <c r="W112" s="189">
        <f t="shared" si="23"/>
        <v>17</v>
      </c>
      <c r="X112" s="190">
        <f t="shared" si="24"/>
        <v>4</v>
      </c>
      <c r="Y112" s="191">
        <f t="shared" si="25"/>
        <v>0.30769230769230771</v>
      </c>
    </row>
    <row r="113" spans="1:25" ht="18" x14ac:dyDescent="0.2">
      <c r="A113" s="178" t="s">
        <v>264</v>
      </c>
      <c r="B113" s="155">
        <v>6240708</v>
      </c>
      <c r="C113" s="209" t="s">
        <v>292</v>
      </c>
      <c r="D113" s="294">
        <v>2</v>
      </c>
      <c r="E113" s="209" t="s">
        <v>85</v>
      </c>
      <c r="F113" s="159" t="s">
        <v>293</v>
      </c>
      <c r="G113" s="160">
        <f t="shared" si="13"/>
        <v>12.5</v>
      </c>
      <c r="H113" s="161">
        <f>SUMIF('[1]SALES BY PROMOTOR'!$D:$D,F113,'[1]SALES BY PROMOTOR'!$G:$G)</f>
        <v>4</v>
      </c>
      <c r="I113" s="162">
        <f t="shared" si="14"/>
        <v>0.32</v>
      </c>
      <c r="J113" s="163">
        <f t="shared" si="15"/>
        <v>5.3913043478260869</v>
      </c>
      <c r="K113" s="164">
        <v>25</v>
      </c>
      <c r="L113" s="165">
        <f>SUMIF('[1]SALES BY PROMOTOR'!$D:$D,F113,'[1]SALES BY PROMOTOR'!$I:$I)</f>
        <v>10</v>
      </c>
      <c r="M113" s="166">
        <f t="shared" si="16"/>
        <v>0.4</v>
      </c>
      <c r="N113" s="167">
        <f t="shared" si="17"/>
        <v>13.478260869565217</v>
      </c>
      <c r="O113" s="181">
        <f t="shared" si="18"/>
        <v>0.4</v>
      </c>
      <c r="P113" s="182">
        <f>SUMIF('[1]SALES BY PROMOTOR'!$D:$D,F113,'[1]SALES BY PROMOTOR'!$J:$J)</f>
        <v>35890000</v>
      </c>
      <c r="Q113" s="183">
        <f t="shared" si="19"/>
        <v>3589000</v>
      </c>
      <c r="R113" s="184">
        <f>IFERROR(VLOOKUP(F113,'[1]Sales By Promotor Last Month'!D:G,4,0),0)</f>
        <v>18</v>
      </c>
      <c r="S113" s="185">
        <f t="shared" si="20"/>
        <v>4</v>
      </c>
      <c r="T113" s="186">
        <f t="shared" si="21"/>
        <v>-14</v>
      </c>
      <c r="U113" s="187">
        <f t="shared" si="22"/>
        <v>-0.77777777777777779</v>
      </c>
      <c r="V113" s="188">
        <f>IFERROR(VLOOKUP(F113,'[1]Sales By Promotor Last Month'!D:I,6,0),0)</f>
        <v>28</v>
      </c>
      <c r="W113" s="189">
        <f t="shared" si="23"/>
        <v>10</v>
      </c>
      <c r="X113" s="190">
        <f t="shared" si="24"/>
        <v>-18</v>
      </c>
      <c r="Y113" s="191">
        <f t="shared" si="25"/>
        <v>-0.6428571428571429</v>
      </c>
    </row>
    <row r="114" spans="1:25" ht="18" x14ac:dyDescent="0.2">
      <c r="A114" s="178" t="s">
        <v>264</v>
      </c>
      <c r="B114" s="155">
        <v>6240708</v>
      </c>
      <c r="C114" s="209" t="s">
        <v>292</v>
      </c>
      <c r="D114" s="295"/>
      <c r="E114" s="209" t="s">
        <v>85</v>
      </c>
      <c r="F114" s="159" t="s">
        <v>295</v>
      </c>
      <c r="G114" s="160">
        <f t="shared" si="13"/>
        <v>12.5</v>
      </c>
      <c r="H114" s="161">
        <f>SUMIF('[1]SALES BY PROMOTOR'!$D:$D,F114,'[1]SALES BY PROMOTOR'!$G:$G)</f>
        <v>5</v>
      </c>
      <c r="I114" s="162">
        <f t="shared" si="14"/>
        <v>0.4</v>
      </c>
      <c r="J114" s="163">
        <f t="shared" si="15"/>
        <v>6.7391304347826084</v>
      </c>
      <c r="K114" s="164">
        <v>25</v>
      </c>
      <c r="L114" s="165">
        <f>SUMIF('[1]SALES BY PROMOTOR'!$D:$D,F114,'[1]SALES BY PROMOTOR'!$I:$I)</f>
        <v>6</v>
      </c>
      <c r="M114" s="166">
        <f t="shared" si="16"/>
        <v>0.24</v>
      </c>
      <c r="N114" s="167">
        <f t="shared" si="17"/>
        <v>8.0869565217391308</v>
      </c>
      <c r="O114" s="181">
        <f t="shared" si="18"/>
        <v>0.83333333333333337</v>
      </c>
      <c r="P114" s="182">
        <f>SUMIF('[1]SALES BY PROMOTOR'!$D:$D,F114,'[1]SALES BY PROMOTOR'!$J:$J)</f>
        <v>27794000</v>
      </c>
      <c r="Q114" s="183">
        <f t="shared" si="19"/>
        <v>4632333.333333333</v>
      </c>
      <c r="R114" s="184">
        <f>IFERROR(VLOOKUP(F114,'[1]Sales By Promotor Last Month'!D:G,4,0),0)</f>
        <v>6</v>
      </c>
      <c r="S114" s="185">
        <f t="shared" si="20"/>
        <v>5</v>
      </c>
      <c r="T114" s="186">
        <f t="shared" si="21"/>
        <v>-1</v>
      </c>
      <c r="U114" s="187">
        <f t="shared" si="22"/>
        <v>-0.16666666666666666</v>
      </c>
      <c r="V114" s="188">
        <f>IFERROR(VLOOKUP(F114,'[1]Sales By Promotor Last Month'!D:I,6,0),0)</f>
        <v>11</v>
      </c>
      <c r="W114" s="189">
        <f t="shared" si="23"/>
        <v>6</v>
      </c>
      <c r="X114" s="190">
        <f t="shared" si="24"/>
        <v>-5</v>
      </c>
      <c r="Y114" s="191">
        <f t="shared" si="25"/>
        <v>-0.45454545454545453</v>
      </c>
    </row>
    <row r="115" spans="1:25" ht="18" x14ac:dyDescent="0.2">
      <c r="A115" s="178" t="s">
        <v>264</v>
      </c>
      <c r="B115" s="155">
        <v>6240709</v>
      </c>
      <c r="C115" s="209" t="s">
        <v>292</v>
      </c>
      <c r="D115" s="192">
        <v>1</v>
      </c>
      <c r="E115" s="209" t="s">
        <v>84</v>
      </c>
      <c r="F115" s="199" t="s">
        <v>294</v>
      </c>
      <c r="G115" s="160">
        <f t="shared" si="13"/>
        <v>12.5</v>
      </c>
      <c r="H115" s="161">
        <f>SUMIF('[1]SALES BY PROMOTOR'!$D:$D,F115,'[1]SALES BY PROMOTOR'!$G:$G)</f>
        <v>10</v>
      </c>
      <c r="I115" s="162">
        <f t="shared" si="14"/>
        <v>0.8</v>
      </c>
      <c r="J115" s="163">
        <f t="shared" si="15"/>
        <v>13.478260869565217</v>
      </c>
      <c r="K115" s="164">
        <v>25</v>
      </c>
      <c r="L115" s="165">
        <f>SUMIF('[1]SALES BY PROMOTOR'!$D:$D,F115,'[1]SALES BY PROMOTOR'!$I:$I)</f>
        <v>12</v>
      </c>
      <c r="M115" s="166">
        <f t="shared" si="16"/>
        <v>0.48</v>
      </c>
      <c r="N115" s="167">
        <f t="shared" si="17"/>
        <v>16.173913043478262</v>
      </c>
      <c r="O115" s="181">
        <f t="shared" si="18"/>
        <v>0.83333333333333337</v>
      </c>
      <c r="P115" s="182">
        <f>SUMIF('[1]SALES BY PROMOTOR'!$D:$D,F115,'[1]SALES BY PROMOTOR'!$J:$J)</f>
        <v>54588000</v>
      </c>
      <c r="Q115" s="183">
        <f t="shared" si="19"/>
        <v>4549000</v>
      </c>
      <c r="R115" s="184">
        <f>IFERROR(VLOOKUP(F115,'[1]Sales By Promotor Last Month'!D:G,4,0),0)</f>
        <v>13</v>
      </c>
      <c r="S115" s="185">
        <f t="shared" si="20"/>
        <v>10</v>
      </c>
      <c r="T115" s="186">
        <f t="shared" si="21"/>
        <v>-3</v>
      </c>
      <c r="U115" s="187">
        <f t="shared" si="22"/>
        <v>-0.23076923076923078</v>
      </c>
      <c r="V115" s="188">
        <f>IFERROR(VLOOKUP(F115,'[1]Sales By Promotor Last Month'!D:I,6,0),0)</f>
        <v>19</v>
      </c>
      <c r="W115" s="189">
        <f t="shared" si="23"/>
        <v>12</v>
      </c>
      <c r="X115" s="190">
        <f t="shared" si="24"/>
        <v>-7</v>
      </c>
      <c r="Y115" s="191">
        <f t="shared" si="25"/>
        <v>-0.36842105263157893</v>
      </c>
    </row>
    <row r="116" spans="1:25" ht="18" x14ac:dyDescent="0.2">
      <c r="A116" s="178" t="s">
        <v>296</v>
      </c>
      <c r="B116" s="155">
        <v>6150702</v>
      </c>
      <c r="C116" s="159" t="s">
        <v>100</v>
      </c>
      <c r="D116" s="294">
        <v>2</v>
      </c>
      <c r="E116" s="209" t="s">
        <v>99</v>
      </c>
      <c r="F116" s="199" t="s">
        <v>297</v>
      </c>
      <c r="G116" s="160">
        <f t="shared" si="13"/>
        <v>7.5</v>
      </c>
      <c r="H116" s="161">
        <f>SUMIF('[1]SALES BY PROMOTOR'!$D:$D,F116,'[1]SALES BY PROMOTOR'!$G:$G)</f>
        <v>2</v>
      </c>
      <c r="I116" s="162">
        <f t="shared" si="14"/>
        <v>0.26666666666666666</v>
      </c>
      <c r="J116" s="163">
        <f t="shared" si="15"/>
        <v>2.6956521739130435</v>
      </c>
      <c r="K116" s="164">
        <v>15</v>
      </c>
      <c r="L116" s="165">
        <f>SUMIF('[1]SALES BY PROMOTOR'!$D:$D,F116,'[1]SALES BY PROMOTOR'!$I:$I)</f>
        <v>3</v>
      </c>
      <c r="M116" s="166">
        <f t="shared" si="16"/>
        <v>0.2</v>
      </c>
      <c r="N116" s="167">
        <f t="shared" si="17"/>
        <v>4.0434782608695654</v>
      </c>
      <c r="O116" s="181">
        <f t="shared" si="18"/>
        <v>0.66666666666666663</v>
      </c>
      <c r="P116" s="182">
        <f>SUMIF('[1]SALES BY PROMOTOR'!$D:$D,F116,'[1]SALES BY PROMOTOR'!$J:$J)</f>
        <v>13197000</v>
      </c>
      <c r="Q116" s="183">
        <f t="shared" si="19"/>
        <v>4399000</v>
      </c>
      <c r="R116" s="184">
        <f>IFERROR(VLOOKUP(F116,'[1]Sales By Promotor Last Month'!D:G,4,0),0)</f>
        <v>1</v>
      </c>
      <c r="S116" s="185">
        <f t="shared" si="20"/>
        <v>2</v>
      </c>
      <c r="T116" s="186">
        <f t="shared" si="21"/>
        <v>1</v>
      </c>
      <c r="U116" s="187">
        <f t="shared" si="22"/>
        <v>1</v>
      </c>
      <c r="V116" s="188">
        <f>IFERROR(VLOOKUP(F116,'[1]Sales By Promotor Last Month'!D:I,6,0),0)</f>
        <v>5</v>
      </c>
      <c r="W116" s="189">
        <f t="shared" si="23"/>
        <v>3</v>
      </c>
      <c r="X116" s="190">
        <f t="shared" si="24"/>
        <v>-2</v>
      </c>
      <c r="Y116" s="191">
        <f t="shared" si="25"/>
        <v>-0.4</v>
      </c>
    </row>
    <row r="117" spans="1:25" ht="18" x14ac:dyDescent="0.2">
      <c r="A117" s="178" t="s">
        <v>296</v>
      </c>
      <c r="B117" s="155">
        <v>6150702</v>
      </c>
      <c r="C117" s="159" t="s">
        <v>100</v>
      </c>
      <c r="D117" s="295"/>
      <c r="E117" s="209" t="s">
        <v>99</v>
      </c>
      <c r="F117" s="199" t="s">
        <v>298</v>
      </c>
      <c r="G117" s="160">
        <f t="shared" si="13"/>
        <v>7.5</v>
      </c>
      <c r="H117" s="161">
        <f>SUMIF('[1]SALES BY PROMOTOR'!$D:$D,F117,'[1]SALES BY PROMOTOR'!$G:$G)</f>
        <v>3</v>
      </c>
      <c r="I117" s="162">
        <f t="shared" si="14"/>
        <v>0.4</v>
      </c>
      <c r="J117" s="163">
        <f t="shared" si="15"/>
        <v>4.0434782608695654</v>
      </c>
      <c r="K117" s="164">
        <v>15</v>
      </c>
      <c r="L117" s="165">
        <f>SUMIF('[1]SALES BY PROMOTOR'!$D:$D,F117,'[1]SALES BY PROMOTOR'!$I:$I)</f>
        <v>3</v>
      </c>
      <c r="M117" s="166">
        <f t="shared" si="16"/>
        <v>0.2</v>
      </c>
      <c r="N117" s="167">
        <f t="shared" si="17"/>
        <v>4.0434782608695654</v>
      </c>
      <c r="O117" s="181">
        <f t="shared" si="18"/>
        <v>1</v>
      </c>
      <c r="P117" s="182">
        <f>SUMIF('[1]SALES BY PROMOTOR'!$D:$D,F117,'[1]SALES BY PROMOTOR'!$J:$J)</f>
        <v>14597000</v>
      </c>
      <c r="Q117" s="183">
        <f t="shared" si="19"/>
        <v>4865666.666666667</v>
      </c>
      <c r="R117" s="184">
        <f>IFERROR(VLOOKUP(F117,'[1]Sales By Promotor Last Month'!D:G,4,0),0)</f>
        <v>2</v>
      </c>
      <c r="S117" s="185">
        <f t="shared" si="20"/>
        <v>3</v>
      </c>
      <c r="T117" s="186">
        <f t="shared" si="21"/>
        <v>1</v>
      </c>
      <c r="U117" s="187">
        <f t="shared" si="22"/>
        <v>0.5</v>
      </c>
      <c r="V117" s="188">
        <f>IFERROR(VLOOKUP(F117,'[1]Sales By Promotor Last Month'!D:I,6,0),0)</f>
        <v>3</v>
      </c>
      <c r="W117" s="189">
        <f t="shared" si="23"/>
        <v>3</v>
      </c>
      <c r="X117" s="190">
        <f t="shared" si="24"/>
        <v>0</v>
      </c>
      <c r="Y117" s="191">
        <f t="shared" si="25"/>
        <v>0</v>
      </c>
    </row>
    <row r="118" spans="1:25" ht="18" x14ac:dyDescent="0.2">
      <c r="A118" s="206" t="s">
        <v>299</v>
      </c>
      <c r="B118" s="155">
        <v>6170703</v>
      </c>
      <c r="C118" s="210" t="s">
        <v>82</v>
      </c>
      <c r="D118" s="286">
        <v>2</v>
      </c>
      <c r="E118" s="206" t="s">
        <v>81</v>
      </c>
      <c r="F118" s="159" t="s">
        <v>300</v>
      </c>
      <c r="G118" s="160">
        <f t="shared" si="13"/>
        <v>7.5</v>
      </c>
      <c r="H118" s="161">
        <f>SUMIF('[1]SALES BY PROMOTOR'!$D:$D,F118,'[1]SALES BY PROMOTOR'!$G:$G)</f>
        <v>5</v>
      </c>
      <c r="I118" s="162">
        <f t="shared" si="14"/>
        <v>0.66666666666666663</v>
      </c>
      <c r="J118" s="163">
        <f t="shared" si="15"/>
        <v>6.7391304347826084</v>
      </c>
      <c r="K118" s="211">
        <v>15</v>
      </c>
      <c r="L118" s="165">
        <f>SUMIF('[1]SALES BY PROMOTOR'!$D:$D,F118,'[1]SALES BY PROMOTOR'!$I:$I)</f>
        <v>9</v>
      </c>
      <c r="M118" s="166">
        <f t="shared" si="16"/>
        <v>0.6</v>
      </c>
      <c r="N118" s="167">
        <f t="shared" si="17"/>
        <v>12.130434782608695</v>
      </c>
      <c r="O118" s="181">
        <f t="shared" si="18"/>
        <v>0.55555555555555558</v>
      </c>
      <c r="P118" s="182">
        <f>SUMIF('[1]SALES BY PROMOTOR'!$D:$D,F118,'[1]SALES BY PROMOTOR'!$J:$J)</f>
        <v>42291000</v>
      </c>
      <c r="Q118" s="183">
        <f t="shared" si="19"/>
        <v>4699000</v>
      </c>
      <c r="R118" s="184">
        <f>IFERROR(VLOOKUP(F118,'[1]Sales By Promotor Last Month'!D:G,4,0),0)</f>
        <v>8</v>
      </c>
      <c r="S118" s="185">
        <f t="shared" si="20"/>
        <v>5</v>
      </c>
      <c r="T118" s="186">
        <f t="shared" si="21"/>
        <v>-3</v>
      </c>
      <c r="U118" s="187">
        <f t="shared" si="22"/>
        <v>-0.375</v>
      </c>
      <c r="V118" s="188">
        <f>IFERROR(VLOOKUP(F118,'[1]Sales By Promotor Last Month'!D:I,6,0),0)</f>
        <v>13</v>
      </c>
      <c r="W118" s="189">
        <f t="shared" si="23"/>
        <v>9</v>
      </c>
      <c r="X118" s="190">
        <f t="shared" si="24"/>
        <v>-4</v>
      </c>
      <c r="Y118" s="191">
        <f t="shared" si="25"/>
        <v>-0.30769230769230771</v>
      </c>
    </row>
    <row r="119" spans="1:25" ht="19" thickBot="1" x14ac:dyDescent="0.25">
      <c r="A119" s="212" t="s">
        <v>299</v>
      </c>
      <c r="B119" s="157">
        <v>6170703</v>
      </c>
      <c r="C119" s="213" t="s">
        <v>82</v>
      </c>
      <c r="D119" s="296"/>
      <c r="E119" s="212" t="s">
        <v>81</v>
      </c>
      <c r="F119" s="214" t="s">
        <v>301</v>
      </c>
      <c r="G119" s="160">
        <f t="shared" si="13"/>
        <v>7.5</v>
      </c>
      <c r="H119" s="215">
        <f>SUMIF('[1]SALES BY PROMOTOR'!$D:$D,F119,'[1]SALES BY PROMOTOR'!$G:$G)</f>
        <v>3</v>
      </c>
      <c r="I119" s="216">
        <f t="shared" si="14"/>
        <v>0.4</v>
      </c>
      <c r="J119" s="195">
        <f t="shared" si="15"/>
        <v>4.0434782608695654</v>
      </c>
      <c r="K119" s="217">
        <v>15</v>
      </c>
      <c r="L119" s="218">
        <f>SUMIF('[1]SALES BY PROMOTOR'!$D:$D,F119,'[1]SALES BY PROMOTOR'!$I:$I)</f>
        <v>5</v>
      </c>
      <c r="M119" s="216">
        <f t="shared" si="16"/>
        <v>0.33333333333333331</v>
      </c>
      <c r="N119" s="219">
        <f t="shared" si="17"/>
        <v>6.7391304347826084</v>
      </c>
      <c r="O119" s="220">
        <f t="shared" si="18"/>
        <v>0.6</v>
      </c>
      <c r="P119" s="221">
        <f>SUMIF('[1]SALES BY PROMOTOR'!$D:$D,F119,'[1]SALES BY PROMOTOR'!$J:$J)</f>
        <v>25195000</v>
      </c>
      <c r="Q119" s="222">
        <f t="shared" si="19"/>
        <v>5039000</v>
      </c>
      <c r="R119" s="223">
        <f>IFERROR(VLOOKUP(F119,'[1]Sales By Promotor Last Month'!D:G,4,0),0)</f>
        <v>12</v>
      </c>
      <c r="S119" s="224">
        <f t="shared" si="20"/>
        <v>3</v>
      </c>
      <c r="T119" s="225">
        <f t="shared" si="21"/>
        <v>-9</v>
      </c>
      <c r="U119" s="226">
        <f t="shared" si="22"/>
        <v>-0.75</v>
      </c>
      <c r="V119" s="227">
        <f>IFERROR(VLOOKUP(F119,'[1]Sales By Promotor Last Month'!D:I,6,0),0)</f>
        <v>17</v>
      </c>
      <c r="W119" s="228">
        <f t="shared" si="23"/>
        <v>5</v>
      </c>
      <c r="X119" s="229">
        <f t="shared" si="24"/>
        <v>-12</v>
      </c>
      <c r="Y119" s="230">
        <f t="shared" si="25"/>
        <v>-0.70588235294117652</v>
      </c>
    </row>
    <row r="120" spans="1:25" x14ac:dyDescent="0.2">
      <c r="A120" s="231"/>
      <c r="B120" s="232"/>
      <c r="C120" s="233" t="s">
        <v>110</v>
      </c>
      <c r="D120" s="232">
        <f>SUM(D5:D119)</f>
        <v>115</v>
      </c>
      <c r="E120" s="231"/>
      <c r="F120" s="234"/>
      <c r="G120" s="235">
        <f>SUM(G5:G119)</f>
        <v>1867.5</v>
      </c>
      <c r="H120" s="236">
        <f>SUM(H5:H119)</f>
        <v>937</v>
      </c>
      <c r="I120" s="237">
        <f t="shared" si="14"/>
        <v>0.5017402945113788</v>
      </c>
      <c r="J120" s="238">
        <f>SUM(J5:J119)</f>
        <v>1262.913043478261</v>
      </c>
      <c r="K120" s="235">
        <f>SUM(K5:K119)</f>
        <v>3735</v>
      </c>
      <c r="L120" s="236">
        <f>SUM(L5:L119)</f>
        <v>2458</v>
      </c>
      <c r="M120" s="237">
        <f t="shared" si="16"/>
        <v>0.65809906291833997</v>
      </c>
      <c r="N120" s="238">
        <f>SUM(N5:N119)</f>
        <v>3312.9565217391314</v>
      </c>
      <c r="O120" s="239">
        <f t="shared" si="18"/>
        <v>0.38120423108218066</v>
      </c>
      <c r="P120" s="240">
        <f>SUM(P5:P119)</f>
        <v>9436942000</v>
      </c>
      <c r="Q120" s="241">
        <f t="shared" si="19"/>
        <v>3839276.6476810416</v>
      </c>
      <c r="R120" s="242">
        <f>SUM(R5:R119)</f>
        <v>1532</v>
      </c>
      <c r="S120" s="243">
        <f>SUM(S5:S119)</f>
        <v>937</v>
      </c>
      <c r="T120" s="244">
        <f>SUM(T5:T119)</f>
        <v>-595</v>
      </c>
      <c r="U120" s="245">
        <f t="shared" si="22"/>
        <v>-0.38838120104438645</v>
      </c>
      <c r="V120" s="242">
        <f>SUM(V5:V119)</f>
        <v>3263</v>
      </c>
      <c r="W120" s="243">
        <f>SUM(W5:W119)</f>
        <v>2458</v>
      </c>
      <c r="X120" s="244">
        <f>SUM(X5:X119)</f>
        <v>-805</v>
      </c>
      <c r="Y120" s="244">
        <f t="shared" si="25"/>
        <v>-0.24670548574931045</v>
      </c>
    </row>
  </sheetData>
  <mergeCells count="66">
    <mergeCell ref="D116:D117"/>
    <mergeCell ref="D118:D119"/>
    <mergeCell ref="D102:D104"/>
    <mergeCell ref="D105:D106"/>
    <mergeCell ref="D107:D108"/>
    <mergeCell ref="D109:D110"/>
    <mergeCell ref="D111:D112"/>
    <mergeCell ref="D113:D114"/>
    <mergeCell ref="D99:D101"/>
    <mergeCell ref="D63:D66"/>
    <mergeCell ref="D67:D69"/>
    <mergeCell ref="D70:D72"/>
    <mergeCell ref="D74:D75"/>
    <mergeCell ref="D76:D78"/>
    <mergeCell ref="D79:D80"/>
    <mergeCell ref="D81:D84"/>
    <mergeCell ref="D85:D88"/>
    <mergeCell ref="D90:D92"/>
    <mergeCell ref="D93:D95"/>
    <mergeCell ref="D96:D98"/>
    <mergeCell ref="D61:D62"/>
    <mergeCell ref="D33:D35"/>
    <mergeCell ref="D36:D37"/>
    <mergeCell ref="D38:D40"/>
    <mergeCell ref="D41:D43"/>
    <mergeCell ref="D44:D45"/>
    <mergeCell ref="D46:D48"/>
    <mergeCell ref="D50:D51"/>
    <mergeCell ref="D52:D53"/>
    <mergeCell ref="D54:D55"/>
    <mergeCell ref="D56:D57"/>
    <mergeCell ref="D58:D59"/>
    <mergeCell ref="D30:D32"/>
    <mergeCell ref="P3:P4"/>
    <mergeCell ref="Q3:Q4"/>
    <mergeCell ref="R3:S3"/>
    <mergeCell ref="T3:U3"/>
    <mergeCell ref="D5:D10"/>
    <mergeCell ref="D11:D16"/>
    <mergeCell ref="D17:D19"/>
    <mergeCell ref="D20:D22"/>
    <mergeCell ref="D23:D29"/>
    <mergeCell ref="V3:W3"/>
    <mergeCell ref="X3:Y3"/>
    <mergeCell ref="J3:J4"/>
    <mergeCell ref="K3:K4"/>
    <mergeCell ref="L3:L4"/>
    <mergeCell ref="M3:M4"/>
    <mergeCell ref="N3:N4"/>
    <mergeCell ref="O3:O4"/>
    <mergeCell ref="V1:Y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A1:C2"/>
    <mergeCell ref="G1:J2"/>
    <mergeCell ref="K1:N2"/>
    <mergeCell ref="O1:O2"/>
    <mergeCell ref="P1:Q2"/>
    <mergeCell ref="R1:U2"/>
  </mergeCells>
  <conditionalFormatting sqref="A5:Y5 A6:C10 E6:Y10 A11:Y11 A12:C16 E12:Y16 A17:Y17 A18:C19 E18:Y19 A20:Y20 A21:C22 E21:Y22 A23:Y23 A24:C29 E24:Y29 A30:Y30 A31:C32 E31:Y32 A33:Y33 A34:C35 E34:Y35 A36:Y36 A37:C37 E37:Y37 A38:Y38 A39:C40 E39:Y40 A41:Y41 A42:C43 E42:Y43 A44:Y44 A45:C45 E45:Y45 A46:Y46 A47:C48 E47:Y48 A49:Y50 A51:C51 E51:Y51 A52:Y52 A53:C55 E53:Y55 A56:Y56 A57:C57 E57:Y57 A58:Y58 A59:C59 E59:Y59 A60:Y61 A62:C62 E62:Y62 A63:Y63 A64:C66 E64:Y66 A67:Y67 A68:C72 E68:Y72 A73:Y74 A75:C75 E75:Y75 A76:Y76 A77:C78 E77:Y78 A79:Y79 A80:C80 E80:Y80 A81:Y81 A82:C84 E82:Y84 A85:Y85 A86:C88 E86:Y88 A89:Y90 A91:C92 E91:Y92 A93:Y93 A94:C95 E94:Y95 A96:Y96 A97:C98 E97:Y98 A99:Y99 A100:C101 E100:Y101 A102:Y102 A103:C104 E103:Y104 A105:Y105 A106:C106 E106:Y106 A107:Y107 A108:C108 E108:Y108 A109:Y109 A110:C110 E110:Y110 A111:Y111 A112:C112 E112:Y112 A113:Y113 A114:C114 E114:Y114 A115:Y116 A117:C117 E117:Y117 A118:Y118 A119:C119 E119:Y119">
    <cfRule type="expression" dxfId="1" priority="1">
      <formula>MOD(ROW(),2)=0</formula>
    </cfRule>
  </conditionalFormatting>
  <conditionalFormatting sqref="I5:I119 M5:M119">
    <cfRule type="dataBar" priority="3">
      <dataBar>
        <cfvo type="num" val="0"/>
        <cfvo type="num" val="1"/>
        <color rgb="FF8DB4E2"/>
      </dataBar>
      <extLst>
        <ext xmlns:x14="http://schemas.microsoft.com/office/spreadsheetml/2009/9/main" uri="{B025F937-C7B1-47D3-B67F-A62EFF666E3E}">
          <x14:id>{925BF16A-33BE-084D-A1F6-464E6C593BB1}</x14:id>
        </ext>
      </extLst>
    </cfRule>
  </conditionalFormatting>
  <conditionalFormatting sqref="T5:U119 X5:Y119">
    <cfRule type="cellIs" dxfId="0" priority="2" operator="lessThan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5BF16A-33BE-084D-A1F6-464E6C593BB1}">
            <x14:dataBar minLength="0" maxLength="100" gradient="0" direction="leftToRight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I5:I119 M5:M119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83969-67FE-A341-A2DE-371D03D063B5}">
  <dimension ref="A1:EG48"/>
  <sheetViews>
    <sheetView tabSelected="1" zoomScale="84" workbookViewId="0">
      <selection activeCell="H14" sqref="A1:EG48"/>
    </sheetView>
  </sheetViews>
  <sheetFormatPr baseColWidth="10" defaultRowHeight="16" x14ac:dyDescent="0.2"/>
  <sheetData>
    <row r="1" spans="1:137" x14ac:dyDescent="0.2">
      <c r="A1" s="350"/>
      <c r="B1" s="351"/>
      <c r="C1" s="351"/>
      <c r="D1" s="351" t="s">
        <v>305</v>
      </c>
      <c r="E1" s="351" t="s">
        <v>306</v>
      </c>
      <c r="F1" s="351" t="s">
        <v>307</v>
      </c>
      <c r="G1" s="351"/>
      <c r="H1" s="351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1"/>
      <c r="AC1" s="351"/>
      <c r="AD1" s="351"/>
      <c r="AE1" s="351"/>
      <c r="AF1" s="351"/>
      <c r="AG1" s="351"/>
      <c r="AH1" s="351"/>
      <c r="AI1" s="351"/>
      <c r="AJ1" s="351"/>
      <c r="AK1" s="351"/>
      <c r="AL1" s="351"/>
      <c r="AM1" s="351"/>
      <c r="AN1" s="351"/>
      <c r="AO1" s="351"/>
      <c r="AP1" s="351"/>
      <c r="AQ1" s="351"/>
      <c r="AR1" s="351"/>
      <c r="AS1" s="351"/>
      <c r="AT1" s="351"/>
      <c r="AU1" s="351"/>
      <c r="AV1" s="351"/>
      <c r="AW1" s="351"/>
      <c r="AX1" s="351"/>
      <c r="AY1" s="351"/>
      <c r="AZ1" s="351"/>
      <c r="BA1" s="351"/>
      <c r="BB1" s="351"/>
      <c r="BC1" s="351"/>
      <c r="BD1" s="351"/>
      <c r="BE1" s="351"/>
      <c r="BF1" s="351"/>
      <c r="BG1" s="351"/>
      <c r="BH1" s="351"/>
      <c r="BI1" s="351"/>
      <c r="BJ1" s="351"/>
      <c r="BK1" s="351"/>
      <c r="BL1" s="351"/>
      <c r="BM1" s="351"/>
      <c r="BN1" s="351"/>
      <c r="BO1" s="351"/>
      <c r="BP1" s="351"/>
      <c r="BQ1" s="351"/>
      <c r="BR1" s="351"/>
      <c r="BS1" s="351"/>
      <c r="BT1" s="351"/>
      <c r="BU1" s="351"/>
      <c r="BV1" s="351"/>
      <c r="BW1" s="351"/>
      <c r="BX1" s="351"/>
      <c r="BY1" s="351"/>
      <c r="BZ1" s="351"/>
      <c r="CA1" s="351"/>
      <c r="CB1" s="351"/>
      <c r="CC1" s="351"/>
      <c r="CD1" s="351"/>
      <c r="CE1" s="351"/>
      <c r="CF1" s="351"/>
      <c r="CG1" s="351"/>
      <c r="CH1" s="351"/>
      <c r="CI1" s="351"/>
      <c r="CJ1" s="351"/>
      <c r="CK1" s="351"/>
      <c r="CL1" s="351"/>
      <c r="CM1" s="351"/>
      <c r="CN1" s="351"/>
      <c r="CO1" s="351"/>
      <c r="CP1" s="351"/>
      <c r="CQ1" s="351"/>
      <c r="CR1" s="351"/>
      <c r="CS1" s="351"/>
      <c r="CT1" s="351"/>
      <c r="CU1" s="351"/>
      <c r="CV1" s="351"/>
      <c r="CW1" s="351"/>
      <c r="CX1" s="351"/>
      <c r="CY1" s="351"/>
      <c r="CZ1" s="351"/>
      <c r="DA1" s="351"/>
      <c r="DB1" s="351"/>
      <c r="DC1" s="351"/>
      <c r="DD1" s="351"/>
      <c r="DE1" s="351"/>
      <c r="DF1" s="351"/>
      <c r="DG1" s="351"/>
      <c r="DH1" s="351"/>
      <c r="DI1" s="351"/>
      <c r="DJ1" s="351"/>
      <c r="DK1" s="351"/>
      <c r="DL1" s="351"/>
      <c r="DM1" s="351"/>
      <c r="DN1" s="351"/>
      <c r="DO1" s="351"/>
      <c r="DP1" s="351"/>
      <c r="DQ1" s="351"/>
      <c r="DR1" s="351"/>
      <c r="DS1" s="351"/>
      <c r="DT1" s="351"/>
      <c r="DU1" s="351"/>
      <c r="DV1" s="351"/>
      <c r="DW1" s="351"/>
      <c r="DX1" s="351"/>
      <c r="DY1" s="351"/>
      <c r="DZ1" s="351"/>
      <c r="EA1" s="351"/>
      <c r="EB1" s="351"/>
      <c r="EC1" s="351"/>
      <c r="ED1" s="351"/>
      <c r="EE1" s="351"/>
      <c r="EF1" s="351"/>
      <c r="EG1" s="352"/>
    </row>
    <row r="2" spans="1:137" x14ac:dyDescent="0.2">
      <c r="A2" s="353"/>
      <c r="B2" s="354"/>
      <c r="C2" s="354"/>
      <c r="D2" s="355">
        <v>46239</v>
      </c>
      <c r="E2" s="354"/>
      <c r="F2" s="354"/>
      <c r="G2" s="354"/>
      <c r="H2" s="356" t="s">
        <v>308</v>
      </c>
      <c r="I2" s="356" t="s">
        <v>309</v>
      </c>
      <c r="J2" s="355">
        <v>46238</v>
      </c>
      <c r="K2" s="354"/>
      <c r="L2" s="354"/>
      <c r="M2" s="354"/>
      <c r="N2" s="356" t="s">
        <v>310</v>
      </c>
      <c r="O2" s="356" t="s">
        <v>311</v>
      </c>
      <c r="P2" s="355">
        <v>46237</v>
      </c>
      <c r="Q2" s="354"/>
      <c r="R2" s="354"/>
      <c r="S2" s="354"/>
      <c r="T2" s="356" t="s">
        <v>312</v>
      </c>
      <c r="U2" s="356" t="s">
        <v>313</v>
      </c>
      <c r="V2" s="355">
        <v>46236</v>
      </c>
      <c r="W2" s="354"/>
      <c r="X2" s="354"/>
      <c r="Y2" s="354"/>
      <c r="Z2" s="356" t="s">
        <v>314</v>
      </c>
      <c r="AA2" s="356" t="s">
        <v>315</v>
      </c>
      <c r="AB2" s="355">
        <v>46240</v>
      </c>
      <c r="AC2" s="354"/>
      <c r="AD2" s="354"/>
      <c r="AE2" s="354"/>
      <c r="AF2" s="356" t="s">
        <v>316</v>
      </c>
      <c r="AG2" s="356" t="s">
        <v>317</v>
      </c>
      <c r="AH2" s="355">
        <v>46243</v>
      </c>
      <c r="AI2" s="354"/>
      <c r="AJ2" s="354"/>
      <c r="AK2" s="354"/>
      <c r="AL2" s="356" t="s">
        <v>318</v>
      </c>
      <c r="AM2" s="356" t="s">
        <v>319</v>
      </c>
      <c r="AN2" s="355">
        <v>46242</v>
      </c>
      <c r="AO2" s="354"/>
      <c r="AP2" s="354"/>
      <c r="AQ2" s="354"/>
      <c r="AR2" s="356" t="s">
        <v>320</v>
      </c>
      <c r="AS2" s="356" t="s">
        <v>321</v>
      </c>
      <c r="AT2" s="355">
        <v>46241</v>
      </c>
      <c r="AU2" s="354"/>
      <c r="AV2" s="354"/>
      <c r="AW2" s="354"/>
      <c r="AX2" s="356" t="s">
        <v>322</v>
      </c>
      <c r="AY2" s="356" t="s">
        <v>323</v>
      </c>
      <c r="AZ2" s="355">
        <v>46245</v>
      </c>
      <c r="BA2" s="354"/>
      <c r="BB2" s="354"/>
      <c r="BC2" s="354"/>
      <c r="BD2" s="356" t="s">
        <v>324</v>
      </c>
      <c r="BE2" s="356" t="s">
        <v>325</v>
      </c>
      <c r="BF2" s="355">
        <v>46244</v>
      </c>
      <c r="BG2" s="354"/>
      <c r="BH2" s="354"/>
      <c r="BI2" s="354"/>
      <c r="BJ2" s="356" t="s">
        <v>326</v>
      </c>
      <c r="BK2" s="356" t="s">
        <v>327</v>
      </c>
      <c r="BL2" s="355">
        <v>46246</v>
      </c>
      <c r="BM2" s="354"/>
      <c r="BN2" s="354"/>
      <c r="BO2" s="354"/>
      <c r="BP2" s="356" t="s">
        <v>328</v>
      </c>
      <c r="BQ2" s="356" t="s">
        <v>329</v>
      </c>
      <c r="BR2" s="355">
        <v>46247</v>
      </c>
      <c r="BS2" s="354"/>
      <c r="BT2" s="354"/>
      <c r="BU2" s="354"/>
      <c r="BV2" s="356" t="s">
        <v>330</v>
      </c>
      <c r="BW2" s="356" t="s">
        <v>331</v>
      </c>
      <c r="BX2" s="355">
        <v>46248</v>
      </c>
      <c r="BY2" s="354"/>
      <c r="BZ2" s="354"/>
      <c r="CA2" s="354"/>
      <c r="CB2" s="356" t="s">
        <v>332</v>
      </c>
      <c r="CC2" s="356" t="s">
        <v>333</v>
      </c>
      <c r="CD2" s="355">
        <v>46251</v>
      </c>
      <c r="CE2" s="354"/>
      <c r="CF2" s="354"/>
      <c r="CG2" s="354"/>
      <c r="CH2" s="356" t="s">
        <v>334</v>
      </c>
      <c r="CI2" s="356" t="s">
        <v>335</v>
      </c>
      <c r="CJ2" s="355">
        <v>46250</v>
      </c>
      <c r="CK2" s="354"/>
      <c r="CL2" s="354"/>
      <c r="CM2" s="354"/>
      <c r="CN2" s="356" t="s">
        <v>336</v>
      </c>
      <c r="CO2" s="356" t="s">
        <v>337</v>
      </c>
      <c r="CP2" s="355">
        <v>46249</v>
      </c>
      <c r="CQ2" s="354"/>
      <c r="CR2" s="354"/>
      <c r="CS2" s="354"/>
      <c r="CT2" s="356" t="s">
        <v>338</v>
      </c>
      <c r="CU2" s="356" t="s">
        <v>339</v>
      </c>
      <c r="CV2" s="355">
        <v>46252</v>
      </c>
      <c r="CW2" s="354"/>
      <c r="CX2" s="354"/>
      <c r="CY2" s="354"/>
      <c r="CZ2" s="356" t="s">
        <v>340</v>
      </c>
      <c r="DA2" s="356" t="s">
        <v>341</v>
      </c>
      <c r="DB2" s="355">
        <v>46253</v>
      </c>
      <c r="DC2" s="354"/>
      <c r="DD2" s="354"/>
      <c r="DE2" s="354"/>
      <c r="DF2" s="356" t="s">
        <v>342</v>
      </c>
      <c r="DG2" s="356" t="s">
        <v>343</v>
      </c>
      <c r="DH2" s="355">
        <v>46254</v>
      </c>
      <c r="DI2" s="354"/>
      <c r="DJ2" s="354"/>
      <c r="DK2" s="354"/>
      <c r="DL2" s="356" t="s">
        <v>344</v>
      </c>
      <c r="DM2" s="356" t="s">
        <v>345</v>
      </c>
      <c r="DN2" s="355">
        <v>46255</v>
      </c>
      <c r="DO2" s="354"/>
      <c r="DP2" s="354"/>
      <c r="DQ2" s="354"/>
      <c r="DR2" s="356" t="s">
        <v>346</v>
      </c>
      <c r="DS2" s="356" t="s">
        <v>347</v>
      </c>
      <c r="DT2" s="355">
        <v>46257</v>
      </c>
      <c r="DU2" s="354"/>
      <c r="DV2" s="354"/>
      <c r="DW2" s="354"/>
      <c r="DX2" s="356" t="s">
        <v>348</v>
      </c>
      <c r="DY2" s="356" t="s">
        <v>349</v>
      </c>
      <c r="DZ2" s="355">
        <v>46256</v>
      </c>
      <c r="EA2" s="354"/>
      <c r="EB2" s="354"/>
      <c r="EC2" s="354"/>
      <c r="ED2" s="356" t="s">
        <v>350</v>
      </c>
      <c r="EE2" s="356" t="s">
        <v>351</v>
      </c>
      <c r="EF2" s="357" t="s">
        <v>352</v>
      </c>
      <c r="EG2" s="358" t="s">
        <v>353</v>
      </c>
    </row>
    <row r="3" spans="1:137" x14ac:dyDescent="0.2">
      <c r="A3" s="353"/>
      <c r="B3" s="354"/>
      <c r="C3" s="354"/>
      <c r="D3" s="357" t="s">
        <v>117</v>
      </c>
      <c r="E3" s="357"/>
      <c r="F3" s="357" t="s">
        <v>118</v>
      </c>
      <c r="G3" s="357"/>
      <c r="H3" s="356"/>
      <c r="I3" s="356"/>
      <c r="J3" s="357" t="s">
        <v>117</v>
      </c>
      <c r="K3" s="357"/>
      <c r="L3" s="357" t="s">
        <v>118</v>
      </c>
      <c r="M3" s="357"/>
      <c r="N3" s="356"/>
      <c r="O3" s="356"/>
      <c r="P3" s="357" t="s">
        <v>117</v>
      </c>
      <c r="Q3" s="357"/>
      <c r="R3" s="357" t="s">
        <v>118</v>
      </c>
      <c r="S3" s="357"/>
      <c r="T3" s="356"/>
      <c r="U3" s="356"/>
      <c r="V3" s="357" t="s">
        <v>117</v>
      </c>
      <c r="W3" s="357"/>
      <c r="X3" s="357" t="s">
        <v>118</v>
      </c>
      <c r="Y3" s="357"/>
      <c r="Z3" s="356"/>
      <c r="AA3" s="356"/>
      <c r="AB3" s="357" t="s">
        <v>117</v>
      </c>
      <c r="AC3" s="357"/>
      <c r="AD3" s="357" t="s">
        <v>118</v>
      </c>
      <c r="AE3" s="357"/>
      <c r="AF3" s="356"/>
      <c r="AG3" s="356"/>
      <c r="AH3" s="357" t="s">
        <v>117</v>
      </c>
      <c r="AI3" s="357"/>
      <c r="AJ3" s="357" t="s">
        <v>118</v>
      </c>
      <c r="AK3" s="357"/>
      <c r="AL3" s="356"/>
      <c r="AM3" s="356"/>
      <c r="AN3" s="357" t="s">
        <v>117</v>
      </c>
      <c r="AO3" s="357"/>
      <c r="AP3" s="357" t="s">
        <v>118</v>
      </c>
      <c r="AQ3" s="357"/>
      <c r="AR3" s="356"/>
      <c r="AS3" s="356"/>
      <c r="AT3" s="357" t="s">
        <v>117</v>
      </c>
      <c r="AU3" s="357"/>
      <c r="AV3" s="357" t="s">
        <v>118</v>
      </c>
      <c r="AW3" s="357"/>
      <c r="AX3" s="356"/>
      <c r="AY3" s="356"/>
      <c r="AZ3" s="357" t="s">
        <v>117</v>
      </c>
      <c r="BA3" s="357"/>
      <c r="BB3" s="357" t="s">
        <v>118</v>
      </c>
      <c r="BC3" s="357"/>
      <c r="BD3" s="356"/>
      <c r="BE3" s="356"/>
      <c r="BF3" s="357" t="s">
        <v>117</v>
      </c>
      <c r="BG3" s="357"/>
      <c r="BH3" s="357" t="s">
        <v>118</v>
      </c>
      <c r="BI3" s="357"/>
      <c r="BJ3" s="356"/>
      <c r="BK3" s="356"/>
      <c r="BL3" s="357" t="s">
        <v>117</v>
      </c>
      <c r="BM3" s="357"/>
      <c r="BN3" s="357" t="s">
        <v>118</v>
      </c>
      <c r="BO3" s="357"/>
      <c r="BP3" s="356"/>
      <c r="BQ3" s="356"/>
      <c r="BR3" s="357" t="s">
        <v>117</v>
      </c>
      <c r="BS3" s="357"/>
      <c r="BT3" s="357" t="s">
        <v>118</v>
      </c>
      <c r="BU3" s="357"/>
      <c r="BV3" s="356"/>
      <c r="BW3" s="356"/>
      <c r="BX3" s="357" t="s">
        <v>117</v>
      </c>
      <c r="BY3" s="357"/>
      <c r="BZ3" s="357" t="s">
        <v>118</v>
      </c>
      <c r="CA3" s="357"/>
      <c r="CB3" s="356"/>
      <c r="CC3" s="356"/>
      <c r="CD3" s="357" t="s">
        <v>117</v>
      </c>
      <c r="CE3" s="357"/>
      <c r="CF3" s="357" t="s">
        <v>118</v>
      </c>
      <c r="CG3" s="357"/>
      <c r="CH3" s="356"/>
      <c r="CI3" s="356"/>
      <c r="CJ3" s="357" t="s">
        <v>117</v>
      </c>
      <c r="CK3" s="357"/>
      <c r="CL3" s="357" t="s">
        <v>118</v>
      </c>
      <c r="CM3" s="357"/>
      <c r="CN3" s="356"/>
      <c r="CO3" s="356"/>
      <c r="CP3" s="357" t="s">
        <v>117</v>
      </c>
      <c r="CQ3" s="357"/>
      <c r="CR3" s="357" t="s">
        <v>118</v>
      </c>
      <c r="CS3" s="357"/>
      <c r="CT3" s="356"/>
      <c r="CU3" s="356"/>
      <c r="CV3" s="357" t="s">
        <v>117</v>
      </c>
      <c r="CW3" s="357"/>
      <c r="CX3" s="357" t="s">
        <v>118</v>
      </c>
      <c r="CY3" s="357"/>
      <c r="CZ3" s="356"/>
      <c r="DA3" s="356"/>
      <c r="DB3" s="357" t="s">
        <v>117</v>
      </c>
      <c r="DC3" s="357"/>
      <c r="DD3" s="357" t="s">
        <v>118</v>
      </c>
      <c r="DE3" s="357"/>
      <c r="DF3" s="356"/>
      <c r="DG3" s="356"/>
      <c r="DH3" s="357" t="s">
        <v>117</v>
      </c>
      <c r="DI3" s="357"/>
      <c r="DJ3" s="357" t="s">
        <v>118</v>
      </c>
      <c r="DK3" s="357"/>
      <c r="DL3" s="356"/>
      <c r="DM3" s="356"/>
      <c r="DN3" s="357" t="s">
        <v>117</v>
      </c>
      <c r="DO3" s="357"/>
      <c r="DP3" s="357" t="s">
        <v>118</v>
      </c>
      <c r="DQ3" s="357"/>
      <c r="DR3" s="356"/>
      <c r="DS3" s="356"/>
      <c r="DT3" s="357" t="s">
        <v>117</v>
      </c>
      <c r="DU3" s="357"/>
      <c r="DV3" s="357" t="s">
        <v>118</v>
      </c>
      <c r="DW3" s="357"/>
      <c r="DX3" s="356"/>
      <c r="DY3" s="356"/>
      <c r="DZ3" s="357" t="s">
        <v>117</v>
      </c>
      <c r="EA3" s="357"/>
      <c r="EB3" s="357" t="s">
        <v>118</v>
      </c>
      <c r="EC3" s="357"/>
      <c r="ED3" s="356"/>
      <c r="EE3" s="356"/>
      <c r="EF3" s="357"/>
      <c r="EG3" s="358"/>
    </row>
    <row r="4" spans="1:137" x14ac:dyDescent="0.2">
      <c r="A4" s="359" t="s">
        <v>16</v>
      </c>
      <c r="B4" s="360" t="s">
        <v>17</v>
      </c>
      <c r="C4" s="360" t="s">
        <v>354</v>
      </c>
      <c r="D4" s="361" t="s">
        <v>355</v>
      </c>
      <c r="E4" s="361" t="s">
        <v>356</v>
      </c>
      <c r="F4" s="361" t="s">
        <v>355</v>
      </c>
      <c r="G4" s="361" t="s">
        <v>356</v>
      </c>
      <c r="H4" s="362"/>
      <c r="I4" s="362"/>
      <c r="J4" s="361" t="s">
        <v>355</v>
      </c>
      <c r="K4" s="361" t="s">
        <v>356</v>
      </c>
      <c r="L4" s="361" t="s">
        <v>355</v>
      </c>
      <c r="M4" s="361" t="s">
        <v>356</v>
      </c>
      <c r="N4" s="362"/>
      <c r="O4" s="362"/>
      <c r="P4" s="361" t="s">
        <v>355</v>
      </c>
      <c r="Q4" s="361" t="s">
        <v>356</v>
      </c>
      <c r="R4" s="361" t="s">
        <v>355</v>
      </c>
      <c r="S4" s="361" t="s">
        <v>356</v>
      </c>
      <c r="T4" s="362"/>
      <c r="U4" s="362"/>
      <c r="V4" s="361" t="s">
        <v>355</v>
      </c>
      <c r="W4" s="361" t="s">
        <v>356</v>
      </c>
      <c r="X4" s="361" t="s">
        <v>355</v>
      </c>
      <c r="Y4" s="361" t="s">
        <v>356</v>
      </c>
      <c r="Z4" s="362"/>
      <c r="AA4" s="362"/>
      <c r="AB4" s="361" t="s">
        <v>355</v>
      </c>
      <c r="AC4" s="361" t="s">
        <v>356</v>
      </c>
      <c r="AD4" s="361" t="s">
        <v>355</v>
      </c>
      <c r="AE4" s="361" t="s">
        <v>356</v>
      </c>
      <c r="AF4" s="362"/>
      <c r="AG4" s="362"/>
      <c r="AH4" s="361" t="s">
        <v>355</v>
      </c>
      <c r="AI4" s="361" t="s">
        <v>356</v>
      </c>
      <c r="AJ4" s="361" t="s">
        <v>355</v>
      </c>
      <c r="AK4" s="361" t="s">
        <v>356</v>
      </c>
      <c r="AL4" s="362"/>
      <c r="AM4" s="362"/>
      <c r="AN4" s="361" t="s">
        <v>355</v>
      </c>
      <c r="AO4" s="361" t="s">
        <v>356</v>
      </c>
      <c r="AP4" s="361" t="s">
        <v>355</v>
      </c>
      <c r="AQ4" s="361" t="s">
        <v>356</v>
      </c>
      <c r="AR4" s="362"/>
      <c r="AS4" s="362"/>
      <c r="AT4" s="361" t="s">
        <v>355</v>
      </c>
      <c r="AU4" s="361" t="s">
        <v>356</v>
      </c>
      <c r="AV4" s="361" t="s">
        <v>355</v>
      </c>
      <c r="AW4" s="361" t="s">
        <v>356</v>
      </c>
      <c r="AX4" s="362"/>
      <c r="AY4" s="362"/>
      <c r="AZ4" s="361" t="s">
        <v>355</v>
      </c>
      <c r="BA4" s="361" t="s">
        <v>356</v>
      </c>
      <c r="BB4" s="361" t="s">
        <v>355</v>
      </c>
      <c r="BC4" s="361" t="s">
        <v>356</v>
      </c>
      <c r="BD4" s="362"/>
      <c r="BE4" s="362"/>
      <c r="BF4" s="361" t="s">
        <v>355</v>
      </c>
      <c r="BG4" s="361" t="s">
        <v>356</v>
      </c>
      <c r="BH4" s="361" t="s">
        <v>355</v>
      </c>
      <c r="BI4" s="361" t="s">
        <v>356</v>
      </c>
      <c r="BJ4" s="362"/>
      <c r="BK4" s="362"/>
      <c r="BL4" s="361" t="s">
        <v>355</v>
      </c>
      <c r="BM4" s="361" t="s">
        <v>356</v>
      </c>
      <c r="BN4" s="361" t="s">
        <v>355</v>
      </c>
      <c r="BO4" s="361" t="s">
        <v>356</v>
      </c>
      <c r="BP4" s="362"/>
      <c r="BQ4" s="362"/>
      <c r="BR4" s="361" t="s">
        <v>355</v>
      </c>
      <c r="BS4" s="361" t="s">
        <v>356</v>
      </c>
      <c r="BT4" s="361" t="s">
        <v>355</v>
      </c>
      <c r="BU4" s="361" t="s">
        <v>356</v>
      </c>
      <c r="BV4" s="362"/>
      <c r="BW4" s="362"/>
      <c r="BX4" s="361" t="s">
        <v>355</v>
      </c>
      <c r="BY4" s="361" t="s">
        <v>356</v>
      </c>
      <c r="BZ4" s="361" t="s">
        <v>355</v>
      </c>
      <c r="CA4" s="361" t="s">
        <v>356</v>
      </c>
      <c r="CB4" s="362"/>
      <c r="CC4" s="362"/>
      <c r="CD4" s="361" t="s">
        <v>355</v>
      </c>
      <c r="CE4" s="361" t="s">
        <v>356</v>
      </c>
      <c r="CF4" s="361" t="s">
        <v>355</v>
      </c>
      <c r="CG4" s="361" t="s">
        <v>356</v>
      </c>
      <c r="CH4" s="362"/>
      <c r="CI4" s="362"/>
      <c r="CJ4" s="361" t="s">
        <v>355</v>
      </c>
      <c r="CK4" s="361" t="s">
        <v>356</v>
      </c>
      <c r="CL4" s="361" t="s">
        <v>355</v>
      </c>
      <c r="CM4" s="361" t="s">
        <v>356</v>
      </c>
      <c r="CN4" s="362"/>
      <c r="CO4" s="362"/>
      <c r="CP4" s="361" t="s">
        <v>355</v>
      </c>
      <c r="CQ4" s="361" t="s">
        <v>356</v>
      </c>
      <c r="CR4" s="361" t="s">
        <v>355</v>
      </c>
      <c r="CS4" s="361" t="s">
        <v>356</v>
      </c>
      <c r="CT4" s="362"/>
      <c r="CU4" s="362"/>
      <c r="CV4" s="361" t="s">
        <v>355</v>
      </c>
      <c r="CW4" s="361" t="s">
        <v>356</v>
      </c>
      <c r="CX4" s="361" t="s">
        <v>355</v>
      </c>
      <c r="CY4" s="361" t="s">
        <v>356</v>
      </c>
      <c r="CZ4" s="362"/>
      <c r="DA4" s="362"/>
      <c r="DB4" s="361" t="s">
        <v>355</v>
      </c>
      <c r="DC4" s="361" t="s">
        <v>356</v>
      </c>
      <c r="DD4" s="361" t="s">
        <v>355</v>
      </c>
      <c r="DE4" s="361" t="s">
        <v>356</v>
      </c>
      <c r="DF4" s="362"/>
      <c r="DG4" s="362"/>
      <c r="DH4" s="361" t="s">
        <v>355</v>
      </c>
      <c r="DI4" s="361" t="s">
        <v>356</v>
      </c>
      <c r="DJ4" s="361" t="s">
        <v>355</v>
      </c>
      <c r="DK4" s="361" t="s">
        <v>356</v>
      </c>
      <c r="DL4" s="362"/>
      <c r="DM4" s="362"/>
      <c r="DN4" s="361" t="s">
        <v>355</v>
      </c>
      <c r="DO4" s="361" t="s">
        <v>356</v>
      </c>
      <c r="DP4" s="361" t="s">
        <v>355</v>
      </c>
      <c r="DQ4" s="361" t="s">
        <v>356</v>
      </c>
      <c r="DR4" s="362"/>
      <c r="DS4" s="362"/>
      <c r="DT4" s="361" t="s">
        <v>355</v>
      </c>
      <c r="DU4" s="361" t="s">
        <v>356</v>
      </c>
      <c r="DV4" s="361" t="s">
        <v>355</v>
      </c>
      <c r="DW4" s="361" t="s">
        <v>356</v>
      </c>
      <c r="DX4" s="362"/>
      <c r="DY4" s="362"/>
      <c r="DZ4" s="361" t="s">
        <v>355</v>
      </c>
      <c r="EA4" s="361" t="s">
        <v>356</v>
      </c>
      <c r="EB4" s="361" t="s">
        <v>355</v>
      </c>
      <c r="EC4" s="361" t="s">
        <v>356</v>
      </c>
      <c r="ED4" s="362"/>
      <c r="EE4" s="362"/>
      <c r="EF4" s="360"/>
      <c r="EG4" s="363"/>
    </row>
    <row r="5" spans="1:137" x14ac:dyDescent="0.2">
      <c r="A5" s="364" t="s">
        <v>72</v>
      </c>
      <c r="B5" s="365">
        <v>6170706</v>
      </c>
      <c r="C5" s="366" t="s">
        <v>357</v>
      </c>
      <c r="D5" s="367">
        <v>4</v>
      </c>
      <c r="E5" s="368">
        <v>9796000</v>
      </c>
      <c r="F5" s="367"/>
      <c r="G5" s="368"/>
      <c r="H5" s="369">
        <v>4</v>
      </c>
      <c r="I5" s="370">
        <v>9796000</v>
      </c>
      <c r="J5" s="367"/>
      <c r="K5" s="368"/>
      <c r="L5" s="367">
        <v>3</v>
      </c>
      <c r="M5" s="368">
        <v>14997000</v>
      </c>
      <c r="N5" s="369">
        <v>3</v>
      </c>
      <c r="O5" s="370">
        <v>14997000</v>
      </c>
      <c r="P5" s="367"/>
      <c r="Q5" s="368"/>
      <c r="R5" s="367"/>
      <c r="S5" s="368"/>
      <c r="T5" s="369"/>
      <c r="U5" s="370"/>
      <c r="V5" s="367">
        <v>11</v>
      </c>
      <c r="W5" s="368">
        <v>27989000</v>
      </c>
      <c r="X5" s="367"/>
      <c r="Y5" s="368"/>
      <c r="Z5" s="369">
        <v>11</v>
      </c>
      <c r="AA5" s="370">
        <v>27989000</v>
      </c>
      <c r="AB5" s="367">
        <v>3</v>
      </c>
      <c r="AC5" s="368">
        <v>7997000</v>
      </c>
      <c r="AD5" s="367">
        <v>1</v>
      </c>
      <c r="AE5" s="368">
        <v>6299000</v>
      </c>
      <c r="AF5" s="369">
        <v>4</v>
      </c>
      <c r="AG5" s="370">
        <v>14296000</v>
      </c>
      <c r="AH5" s="367">
        <v>4</v>
      </c>
      <c r="AI5" s="368">
        <v>10096000</v>
      </c>
      <c r="AJ5" s="367">
        <v>1</v>
      </c>
      <c r="AK5" s="368">
        <v>5899000</v>
      </c>
      <c r="AL5" s="369">
        <v>5</v>
      </c>
      <c r="AM5" s="370">
        <v>15995000</v>
      </c>
      <c r="AN5" s="367">
        <v>7</v>
      </c>
      <c r="AO5" s="368">
        <v>18793000</v>
      </c>
      <c r="AP5" s="367"/>
      <c r="AQ5" s="368"/>
      <c r="AR5" s="369">
        <v>7</v>
      </c>
      <c r="AS5" s="370">
        <v>18793000</v>
      </c>
      <c r="AT5" s="367">
        <v>1</v>
      </c>
      <c r="AU5" s="368">
        <v>2399000</v>
      </c>
      <c r="AV5" s="367">
        <v>1</v>
      </c>
      <c r="AW5" s="368">
        <v>5899000</v>
      </c>
      <c r="AX5" s="369">
        <v>2</v>
      </c>
      <c r="AY5" s="370">
        <v>8298000</v>
      </c>
      <c r="AZ5" s="367">
        <v>1</v>
      </c>
      <c r="BA5" s="368">
        <v>2299000</v>
      </c>
      <c r="BB5" s="367">
        <v>1</v>
      </c>
      <c r="BC5" s="368">
        <v>3899000</v>
      </c>
      <c r="BD5" s="369">
        <v>2</v>
      </c>
      <c r="BE5" s="370">
        <v>6198000</v>
      </c>
      <c r="BF5" s="367">
        <v>2</v>
      </c>
      <c r="BG5" s="368">
        <v>4498000</v>
      </c>
      <c r="BH5" s="367"/>
      <c r="BI5" s="368"/>
      <c r="BJ5" s="369">
        <v>2</v>
      </c>
      <c r="BK5" s="370">
        <v>4498000</v>
      </c>
      <c r="BL5" s="367">
        <v>1</v>
      </c>
      <c r="BM5" s="368">
        <v>2599000</v>
      </c>
      <c r="BN5" s="367"/>
      <c r="BO5" s="368"/>
      <c r="BP5" s="369">
        <v>1</v>
      </c>
      <c r="BQ5" s="370">
        <v>2599000</v>
      </c>
      <c r="BR5" s="367"/>
      <c r="BS5" s="368"/>
      <c r="BT5" s="367"/>
      <c r="BU5" s="368"/>
      <c r="BV5" s="369"/>
      <c r="BW5" s="370"/>
      <c r="BX5" s="367">
        <v>2</v>
      </c>
      <c r="BY5" s="368">
        <v>4898000</v>
      </c>
      <c r="BZ5" s="367"/>
      <c r="CA5" s="368"/>
      <c r="CB5" s="369">
        <v>2</v>
      </c>
      <c r="CC5" s="370">
        <v>4898000</v>
      </c>
      <c r="CD5" s="367">
        <v>2</v>
      </c>
      <c r="CE5" s="368">
        <v>4598000</v>
      </c>
      <c r="CF5" s="367"/>
      <c r="CG5" s="368"/>
      <c r="CH5" s="369">
        <v>2</v>
      </c>
      <c r="CI5" s="370">
        <v>4598000</v>
      </c>
      <c r="CJ5" s="367">
        <v>6</v>
      </c>
      <c r="CK5" s="368">
        <v>15294000</v>
      </c>
      <c r="CL5" s="367"/>
      <c r="CM5" s="368"/>
      <c r="CN5" s="369">
        <v>6</v>
      </c>
      <c r="CO5" s="370">
        <v>15294000</v>
      </c>
      <c r="CP5" s="367">
        <v>4</v>
      </c>
      <c r="CQ5" s="368">
        <v>10196000</v>
      </c>
      <c r="CR5" s="367">
        <v>2</v>
      </c>
      <c r="CS5" s="368">
        <v>7898000</v>
      </c>
      <c r="CT5" s="369">
        <v>6</v>
      </c>
      <c r="CU5" s="370">
        <v>18094000</v>
      </c>
      <c r="CV5" s="367">
        <v>2</v>
      </c>
      <c r="CW5" s="368">
        <v>4898000</v>
      </c>
      <c r="CX5" s="367">
        <v>1</v>
      </c>
      <c r="CY5" s="368">
        <v>7999000</v>
      </c>
      <c r="CZ5" s="369">
        <v>3</v>
      </c>
      <c r="DA5" s="370">
        <v>12897000</v>
      </c>
      <c r="DB5" s="367"/>
      <c r="DC5" s="368"/>
      <c r="DD5" s="367"/>
      <c r="DE5" s="368"/>
      <c r="DF5" s="369"/>
      <c r="DG5" s="370"/>
      <c r="DH5" s="367">
        <v>2</v>
      </c>
      <c r="DI5" s="368">
        <v>4998000</v>
      </c>
      <c r="DJ5" s="367">
        <v>1</v>
      </c>
      <c r="DK5" s="368">
        <v>8399000</v>
      </c>
      <c r="DL5" s="369">
        <v>3</v>
      </c>
      <c r="DM5" s="370">
        <v>13397000</v>
      </c>
      <c r="DN5" s="367">
        <v>2</v>
      </c>
      <c r="DO5" s="368">
        <v>4498000</v>
      </c>
      <c r="DP5" s="367"/>
      <c r="DQ5" s="368"/>
      <c r="DR5" s="369">
        <v>2</v>
      </c>
      <c r="DS5" s="370">
        <v>4498000</v>
      </c>
      <c r="DT5" s="367">
        <v>2</v>
      </c>
      <c r="DU5" s="368">
        <v>5098000</v>
      </c>
      <c r="DV5" s="367">
        <v>1</v>
      </c>
      <c r="DW5" s="368">
        <v>4299000</v>
      </c>
      <c r="DX5" s="369">
        <v>3</v>
      </c>
      <c r="DY5" s="370">
        <v>9397000</v>
      </c>
      <c r="DZ5" s="367"/>
      <c r="EA5" s="368"/>
      <c r="EB5" s="367">
        <v>1</v>
      </c>
      <c r="EC5" s="368">
        <v>3599000</v>
      </c>
      <c r="ED5" s="369">
        <v>1</v>
      </c>
      <c r="EE5" s="370">
        <v>3599000</v>
      </c>
      <c r="EF5" s="367">
        <v>69</v>
      </c>
      <c r="EG5" s="371">
        <v>210131000</v>
      </c>
    </row>
    <row r="6" spans="1:137" x14ac:dyDescent="0.2">
      <c r="A6" s="364"/>
      <c r="B6" s="365">
        <v>6170707</v>
      </c>
      <c r="C6" s="366" t="s">
        <v>358</v>
      </c>
      <c r="D6" s="367">
        <v>1</v>
      </c>
      <c r="E6" s="368">
        <v>2299000</v>
      </c>
      <c r="F6" s="367">
        <v>1</v>
      </c>
      <c r="G6" s="368">
        <v>5499000</v>
      </c>
      <c r="H6" s="369">
        <v>2</v>
      </c>
      <c r="I6" s="370">
        <v>7798000</v>
      </c>
      <c r="J6" s="367">
        <v>3</v>
      </c>
      <c r="K6" s="368">
        <v>7297000</v>
      </c>
      <c r="L6" s="367">
        <v>1</v>
      </c>
      <c r="M6" s="368">
        <v>5299000</v>
      </c>
      <c r="N6" s="369">
        <v>4</v>
      </c>
      <c r="O6" s="370">
        <v>12596000</v>
      </c>
      <c r="P6" s="367">
        <v>1</v>
      </c>
      <c r="Q6" s="368">
        <v>2799000</v>
      </c>
      <c r="R6" s="367"/>
      <c r="S6" s="368"/>
      <c r="T6" s="369">
        <v>1</v>
      </c>
      <c r="U6" s="370">
        <v>2799000</v>
      </c>
      <c r="V6" s="367">
        <v>8</v>
      </c>
      <c r="W6" s="368">
        <v>21192000</v>
      </c>
      <c r="X6" s="367"/>
      <c r="Y6" s="368"/>
      <c r="Z6" s="369">
        <v>8</v>
      </c>
      <c r="AA6" s="370">
        <v>21192000</v>
      </c>
      <c r="AB6" s="367">
        <v>1</v>
      </c>
      <c r="AC6" s="368">
        <v>2299000</v>
      </c>
      <c r="AD6" s="367"/>
      <c r="AE6" s="368"/>
      <c r="AF6" s="369">
        <v>1</v>
      </c>
      <c r="AG6" s="370">
        <v>2299000</v>
      </c>
      <c r="AH6" s="367">
        <v>2</v>
      </c>
      <c r="AI6" s="368">
        <v>4898000</v>
      </c>
      <c r="AJ6" s="367">
        <v>2</v>
      </c>
      <c r="AK6" s="368">
        <v>12898000</v>
      </c>
      <c r="AL6" s="369">
        <v>4</v>
      </c>
      <c r="AM6" s="370">
        <v>17796000</v>
      </c>
      <c r="AN6" s="367">
        <v>2</v>
      </c>
      <c r="AO6" s="368">
        <v>5198000</v>
      </c>
      <c r="AP6" s="367"/>
      <c r="AQ6" s="368"/>
      <c r="AR6" s="369">
        <v>2</v>
      </c>
      <c r="AS6" s="370">
        <v>5198000</v>
      </c>
      <c r="AT6" s="367"/>
      <c r="AU6" s="368"/>
      <c r="AV6" s="367"/>
      <c r="AW6" s="368"/>
      <c r="AX6" s="369"/>
      <c r="AY6" s="370"/>
      <c r="AZ6" s="367"/>
      <c r="BA6" s="368"/>
      <c r="BB6" s="367"/>
      <c r="BC6" s="368"/>
      <c r="BD6" s="369"/>
      <c r="BE6" s="370"/>
      <c r="BF6" s="367">
        <v>1</v>
      </c>
      <c r="BG6" s="368">
        <v>2799000</v>
      </c>
      <c r="BH6" s="367"/>
      <c r="BI6" s="368"/>
      <c r="BJ6" s="369">
        <v>1</v>
      </c>
      <c r="BK6" s="370">
        <v>2799000</v>
      </c>
      <c r="BL6" s="367"/>
      <c r="BM6" s="368"/>
      <c r="BN6" s="367"/>
      <c r="BO6" s="368"/>
      <c r="BP6" s="369"/>
      <c r="BQ6" s="370"/>
      <c r="BR6" s="367">
        <v>3</v>
      </c>
      <c r="BS6" s="368">
        <v>7997000</v>
      </c>
      <c r="BT6" s="367">
        <v>2</v>
      </c>
      <c r="BU6" s="368">
        <v>9398000</v>
      </c>
      <c r="BV6" s="369">
        <v>5</v>
      </c>
      <c r="BW6" s="370">
        <v>17395000</v>
      </c>
      <c r="BX6" s="367">
        <v>4</v>
      </c>
      <c r="BY6" s="368">
        <v>9596000</v>
      </c>
      <c r="BZ6" s="367">
        <v>3</v>
      </c>
      <c r="CA6" s="368">
        <v>19397000</v>
      </c>
      <c r="CB6" s="369">
        <v>7</v>
      </c>
      <c r="CC6" s="370">
        <v>28993000</v>
      </c>
      <c r="CD6" s="367">
        <v>2</v>
      </c>
      <c r="CE6" s="368">
        <v>4398000</v>
      </c>
      <c r="CF6" s="367">
        <v>1</v>
      </c>
      <c r="CG6" s="368">
        <v>4899000</v>
      </c>
      <c r="CH6" s="369">
        <v>3</v>
      </c>
      <c r="CI6" s="370">
        <v>9297000</v>
      </c>
      <c r="CJ6" s="367">
        <v>1</v>
      </c>
      <c r="CK6" s="368">
        <v>2799000</v>
      </c>
      <c r="CL6" s="367">
        <v>1</v>
      </c>
      <c r="CM6" s="368">
        <v>4899000</v>
      </c>
      <c r="CN6" s="369">
        <v>2</v>
      </c>
      <c r="CO6" s="370">
        <v>7698000</v>
      </c>
      <c r="CP6" s="367">
        <v>2</v>
      </c>
      <c r="CQ6" s="368">
        <v>5098000</v>
      </c>
      <c r="CR6" s="367">
        <v>1</v>
      </c>
      <c r="CS6" s="368">
        <v>5899000</v>
      </c>
      <c r="CT6" s="369">
        <v>3</v>
      </c>
      <c r="CU6" s="370">
        <v>10997000</v>
      </c>
      <c r="CV6" s="367">
        <v>3</v>
      </c>
      <c r="CW6" s="368">
        <v>7097000</v>
      </c>
      <c r="CX6" s="367"/>
      <c r="CY6" s="368"/>
      <c r="CZ6" s="369">
        <v>3</v>
      </c>
      <c r="DA6" s="370">
        <v>7097000</v>
      </c>
      <c r="DB6" s="367">
        <v>3</v>
      </c>
      <c r="DC6" s="368">
        <v>6797000</v>
      </c>
      <c r="DD6" s="367"/>
      <c r="DE6" s="368"/>
      <c r="DF6" s="369">
        <v>3</v>
      </c>
      <c r="DG6" s="370">
        <v>6797000</v>
      </c>
      <c r="DH6" s="367">
        <v>1</v>
      </c>
      <c r="DI6" s="368">
        <v>2099000</v>
      </c>
      <c r="DJ6" s="367"/>
      <c r="DK6" s="368"/>
      <c r="DL6" s="369">
        <v>1</v>
      </c>
      <c r="DM6" s="370">
        <v>2099000</v>
      </c>
      <c r="DN6" s="367">
        <v>1</v>
      </c>
      <c r="DO6" s="368">
        <v>2599000</v>
      </c>
      <c r="DP6" s="367">
        <v>1</v>
      </c>
      <c r="DQ6" s="368">
        <v>6899000</v>
      </c>
      <c r="DR6" s="369">
        <v>2</v>
      </c>
      <c r="DS6" s="370">
        <v>9498000</v>
      </c>
      <c r="DT6" s="367">
        <v>1</v>
      </c>
      <c r="DU6" s="368">
        <v>2299000</v>
      </c>
      <c r="DV6" s="367">
        <v>1</v>
      </c>
      <c r="DW6" s="368">
        <v>3599000</v>
      </c>
      <c r="DX6" s="369">
        <v>2</v>
      </c>
      <c r="DY6" s="370">
        <v>5898000</v>
      </c>
      <c r="DZ6" s="367">
        <v>2</v>
      </c>
      <c r="EA6" s="368">
        <v>5398000</v>
      </c>
      <c r="EB6" s="367"/>
      <c r="EC6" s="368"/>
      <c r="ED6" s="369">
        <v>2</v>
      </c>
      <c r="EE6" s="370">
        <v>5398000</v>
      </c>
      <c r="EF6" s="367">
        <v>56</v>
      </c>
      <c r="EG6" s="371">
        <v>183644000</v>
      </c>
    </row>
    <row r="7" spans="1:137" x14ac:dyDescent="0.2">
      <c r="A7" s="364"/>
      <c r="B7" s="365">
        <v>6240702</v>
      </c>
      <c r="C7" s="366" t="s">
        <v>359</v>
      </c>
      <c r="D7" s="367">
        <v>2</v>
      </c>
      <c r="E7" s="368">
        <v>4798000</v>
      </c>
      <c r="F7" s="367"/>
      <c r="G7" s="368"/>
      <c r="H7" s="369">
        <v>2</v>
      </c>
      <c r="I7" s="370">
        <v>4798000</v>
      </c>
      <c r="J7" s="367">
        <v>2</v>
      </c>
      <c r="K7" s="368">
        <v>4498000</v>
      </c>
      <c r="L7" s="367">
        <v>6</v>
      </c>
      <c r="M7" s="368">
        <v>34294000</v>
      </c>
      <c r="N7" s="369">
        <v>8</v>
      </c>
      <c r="O7" s="370">
        <v>38792000</v>
      </c>
      <c r="P7" s="367">
        <v>1</v>
      </c>
      <c r="Q7" s="368">
        <v>2299000</v>
      </c>
      <c r="R7" s="367"/>
      <c r="S7" s="368"/>
      <c r="T7" s="369">
        <v>1</v>
      </c>
      <c r="U7" s="370">
        <v>2299000</v>
      </c>
      <c r="V7" s="367">
        <v>5</v>
      </c>
      <c r="W7" s="368">
        <v>12395000</v>
      </c>
      <c r="X7" s="367">
        <v>2</v>
      </c>
      <c r="Y7" s="368">
        <v>15498000</v>
      </c>
      <c r="Z7" s="369">
        <v>7</v>
      </c>
      <c r="AA7" s="370">
        <v>27893000</v>
      </c>
      <c r="AB7" s="367">
        <v>1</v>
      </c>
      <c r="AC7" s="368">
        <v>2399000</v>
      </c>
      <c r="AD7" s="367"/>
      <c r="AE7" s="368"/>
      <c r="AF7" s="369">
        <v>1</v>
      </c>
      <c r="AG7" s="370">
        <v>2399000</v>
      </c>
      <c r="AH7" s="367">
        <v>5</v>
      </c>
      <c r="AI7" s="368">
        <v>12095000</v>
      </c>
      <c r="AJ7" s="367">
        <v>3</v>
      </c>
      <c r="AK7" s="368">
        <v>18797000</v>
      </c>
      <c r="AL7" s="369">
        <v>8</v>
      </c>
      <c r="AM7" s="370">
        <v>30892000</v>
      </c>
      <c r="AN7" s="367">
        <v>1</v>
      </c>
      <c r="AO7" s="368">
        <v>2799000</v>
      </c>
      <c r="AP7" s="367">
        <v>4</v>
      </c>
      <c r="AQ7" s="368">
        <v>20496000</v>
      </c>
      <c r="AR7" s="369">
        <v>5</v>
      </c>
      <c r="AS7" s="370">
        <v>23295000</v>
      </c>
      <c r="AT7" s="367">
        <v>1</v>
      </c>
      <c r="AU7" s="368">
        <v>2599000</v>
      </c>
      <c r="AV7" s="367"/>
      <c r="AW7" s="368"/>
      <c r="AX7" s="369">
        <v>1</v>
      </c>
      <c r="AY7" s="370">
        <v>2599000</v>
      </c>
      <c r="AZ7" s="367">
        <v>1</v>
      </c>
      <c r="BA7" s="368">
        <v>2099000</v>
      </c>
      <c r="BB7" s="367">
        <v>1</v>
      </c>
      <c r="BC7" s="368">
        <v>4899000</v>
      </c>
      <c r="BD7" s="369">
        <v>2</v>
      </c>
      <c r="BE7" s="370">
        <v>6998000</v>
      </c>
      <c r="BF7" s="367">
        <v>1</v>
      </c>
      <c r="BG7" s="368">
        <v>2599000</v>
      </c>
      <c r="BH7" s="367"/>
      <c r="BI7" s="368"/>
      <c r="BJ7" s="369">
        <v>1</v>
      </c>
      <c r="BK7" s="370">
        <v>2599000</v>
      </c>
      <c r="BL7" s="367">
        <v>1</v>
      </c>
      <c r="BM7" s="368">
        <v>2099000</v>
      </c>
      <c r="BN7" s="367"/>
      <c r="BO7" s="368"/>
      <c r="BP7" s="369">
        <v>1</v>
      </c>
      <c r="BQ7" s="370">
        <v>2099000</v>
      </c>
      <c r="BR7" s="367">
        <v>1</v>
      </c>
      <c r="BS7" s="368">
        <v>2399000</v>
      </c>
      <c r="BT7" s="367"/>
      <c r="BU7" s="368"/>
      <c r="BV7" s="369">
        <v>1</v>
      </c>
      <c r="BW7" s="370">
        <v>2399000</v>
      </c>
      <c r="BX7" s="367">
        <v>2</v>
      </c>
      <c r="BY7" s="368">
        <v>4698000</v>
      </c>
      <c r="BZ7" s="367">
        <v>2</v>
      </c>
      <c r="CA7" s="368">
        <v>11898000</v>
      </c>
      <c r="CB7" s="369">
        <v>4</v>
      </c>
      <c r="CC7" s="370">
        <v>16596000</v>
      </c>
      <c r="CD7" s="367">
        <v>3</v>
      </c>
      <c r="CE7" s="368">
        <v>7997000</v>
      </c>
      <c r="CF7" s="367"/>
      <c r="CG7" s="368"/>
      <c r="CH7" s="369">
        <v>3</v>
      </c>
      <c r="CI7" s="370">
        <v>7997000</v>
      </c>
      <c r="CJ7" s="367">
        <v>4</v>
      </c>
      <c r="CK7" s="368">
        <v>9996000</v>
      </c>
      <c r="CL7" s="367"/>
      <c r="CM7" s="368"/>
      <c r="CN7" s="369">
        <v>4</v>
      </c>
      <c r="CO7" s="370">
        <v>9996000</v>
      </c>
      <c r="CP7" s="367">
        <v>1</v>
      </c>
      <c r="CQ7" s="368">
        <v>2599000</v>
      </c>
      <c r="CR7" s="367">
        <v>1</v>
      </c>
      <c r="CS7" s="368">
        <v>7999000</v>
      </c>
      <c r="CT7" s="369">
        <v>2</v>
      </c>
      <c r="CU7" s="370">
        <v>10598000</v>
      </c>
      <c r="CV7" s="367">
        <v>2</v>
      </c>
      <c r="CW7" s="368">
        <v>4898000</v>
      </c>
      <c r="CX7" s="367"/>
      <c r="CY7" s="368"/>
      <c r="CZ7" s="369">
        <v>2</v>
      </c>
      <c r="DA7" s="370">
        <v>4898000</v>
      </c>
      <c r="DB7" s="367"/>
      <c r="DC7" s="368"/>
      <c r="DD7" s="367">
        <v>1</v>
      </c>
      <c r="DE7" s="368">
        <v>3599000</v>
      </c>
      <c r="DF7" s="369">
        <v>1</v>
      </c>
      <c r="DG7" s="370">
        <v>3599000</v>
      </c>
      <c r="DH7" s="367">
        <v>4</v>
      </c>
      <c r="DI7" s="368">
        <v>8796000</v>
      </c>
      <c r="DJ7" s="367">
        <v>1</v>
      </c>
      <c r="DK7" s="368">
        <v>5499000</v>
      </c>
      <c r="DL7" s="369">
        <v>5</v>
      </c>
      <c r="DM7" s="370">
        <v>14295000</v>
      </c>
      <c r="DN7" s="367"/>
      <c r="DO7" s="368"/>
      <c r="DP7" s="367"/>
      <c r="DQ7" s="368"/>
      <c r="DR7" s="369"/>
      <c r="DS7" s="370"/>
      <c r="DT7" s="367">
        <v>2</v>
      </c>
      <c r="DU7" s="368">
        <v>4898000</v>
      </c>
      <c r="DV7" s="367">
        <v>2</v>
      </c>
      <c r="DW7" s="368">
        <v>17498000</v>
      </c>
      <c r="DX7" s="369">
        <v>4</v>
      </c>
      <c r="DY7" s="370">
        <v>22396000</v>
      </c>
      <c r="DZ7" s="367"/>
      <c r="EA7" s="368"/>
      <c r="EB7" s="367">
        <v>2</v>
      </c>
      <c r="EC7" s="368">
        <v>17998000</v>
      </c>
      <c r="ED7" s="369">
        <v>2</v>
      </c>
      <c r="EE7" s="370">
        <v>17998000</v>
      </c>
      <c r="EF7" s="367">
        <v>65</v>
      </c>
      <c r="EG7" s="371">
        <v>255435000</v>
      </c>
    </row>
    <row r="8" spans="1:137" x14ac:dyDescent="0.2">
      <c r="A8" s="364"/>
      <c r="B8" s="365">
        <v>6240701</v>
      </c>
      <c r="C8" s="366" t="s">
        <v>360</v>
      </c>
      <c r="D8" s="367">
        <v>2</v>
      </c>
      <c r="E8" s="368">
        <v>4898000</v>
      </c>
      <c r="F8" s="367"/>
      <c r="G8" s="368"/>
      <c r="H8" s="369">
        <v>2</v>
      </c>
      <c r="I8" s="370">
        <v>4898000</v>
      </c>
      <c r="J8" s="367">
        <v>1</v>
      </c>
      <c r="K8" s="368">
        <v>2399000</v>
      </c>
      <c r="L8" s="367">
        <v>5</v>
      </c>
      <c r="M8" s="368">
        <v>25895000</v>
      </c>
      <c r="N8" s="369">
        <v>6</v>
      </c>
      <c r="O8" s="370">
        <v>28294000</v>
      </c>
      <c r="P8" s="367">
        <v>5</v>
      </c>
      <c r="Q8" s="368">
        <v>12995000</v>
      </c>
      <c r="R8" s="367"/>
      <c r="S8" s="368"/>
      <c r="T8" s="369">
        <v>5</v>
      </c>
      <c r="U8" s="370">
        <v>12995000</v>
      </c>
      <c r="V8" s="367">
        <v>10</v>
      </c>
      <c r="W8" s="368">
        <v>25090000</v>
      </c>
      <c r="X8" s="367">
        <v>1</v>
      </c>
      <c r="Y8" s="368">
        <v>3599000</v>
      </c>
      <c r="Z8" s="369">
        <v>11</v>
      </c>
      <c r="AA8" s="370">
        <v>28689000</v>
      </c>
      <c r="AB8" s="367">
        <v>1</v>
      </c>
      <c r="AC8" s="368">
        <v>2399000</v>
      </c>
      <c r="AD8" s="367">
        <v>1</v>
      </c>
      <c r="AE8" s="368">
        <v>5499000</v>
      </c>
      <c r="AF8" s="369">
        <v>2</v>
      </c>
      <c r="AG8" s="370">
        <v>7898000</v>
      </c>
      <c r="AH8" s="367">
        <v>1</v>
      </c>
      <c r="AI8" s="368">
        <v>2099000</v>
      </c>
      <c r="AJ8" s="367">
        <v>4</v>
      </c>
      <c r="AK8" s="368">
        <v>23696000</v>
      </c>
      <c r="AL8" s="369">
        <v>5</v>
      </c>
      <c r="AM8" s="370">
        <v>25795000</v>
      </c>
      <c r="AN8" s="367">
        <v>3</v>
      </c>
      <c r="AO8" s="368">
        <v>7097000</v>
      </c>
      <c r="AP8" s="367">
        <v>1</v>
      </c>
      <c r="AQ8" s="368">
        <v>5499000</v>
      </c>
      <c r="AR8" s="369">
        <v>4</v>
      </c>
      <c r="AS8" s="370">
        <v>12596000</v>
      </c>
      <c r="AT8" s="367">
        <v>1</v>
      </c>
      <c r="AU8" s="368">
        <v>2799000</v>
      </c>
      <c r="AV8" s="367"/>
      <c r="AW8" s="368"/>
      <c r="AX8" s="369">
        <v>1</v>
      </c>
      <c r="AY8" s="370">
        <v>2799000</v>
      </c>
      <c r="AZ8" s="367">
        <v>2</v>
      </c>
      <c r="BA8" s="368">
        <v>4898000</v>
      </c>
      <c r="BB8" s="367">
        <v>2</v>
      </c>
      <c r="BC8" s="368">
        <v>8198000</v>
      </c>
      <c r="BD8" s="369">
        <v>4</v>
      </c>
      <c r="BE8" s="370">
        <v>13096000</v>
      </c>
      <c r="BF8" s="367">
        <v>1</v>
      </c>
      <c r="BG8" s="368">
        <v>2799000</v>
      </c>
      <c r="BH8" s="367">
        <v>2</v>
      </c>
      <c r="BI8" s="368">
        <v>11598000</v>
      </c>
      <c r="BJ8" s="369">
        <v>3</v>
      </c>
      <c r="BK8" s="370">
        <v>14397000</v>
      </c>
      <c r="BL8" s="367"/>
      <c r="BM8" s="368"/>
      <c r="BN8" s="367">
        <v>1</v>
      </c>
      <c r="BO8" s="368">
        <v>3899000</v>
      </c>
      <c r="BP8" s="369">
        <v>1</v>
      </c>
      <c r="BQ8" s="370">
        <v>3899000</v>
      </c>
      <c r="BR8" s="367">
        <v>7</v>
      </c>
      <c r="BS8" s="368">
        <v>17293000</v>
      </c>
      <c r="BT8" s="367">
        <v>1</v>
      </c>
      <c r="BU8" s="368">
        <v>4299000</v>
      </c>
      <c r="BV8" s="369">
        <v>8</v>
      </c>
      <c r="BW8" s="370">
        <v>21592000</v>
      </c>
      <c r="BX8" s="367"/>
      <c r="BY8" s="368"/>
      <c r="BZ8" s="367"/>
      <c r="CA8" s="368"/>
      <c r="CB8" s="369"/>
      <c r="CC8" s="370"/>
      <c r="CD8" s="367">
        <v>2</v>
      </c>
      <c r="CE8" s="368">
        <v>5398000</v>
      </c>
      <c r="CF8" s="367">
        <v>2</v>
      </c>
      <c r="CG8" s="368">
        <v>10398000</v>
      </c>
      <c r="CH8" s="369">
        <v>4</v>
      </c>
      <c r="CI8" s="370">
        <v>15796000</v>
      </c>
      <c r="CJ8" s="367">
        <v>2</v>
      </c>
      <c r="CK8" s="368">
        <v>5598000</v>
      </c>
      <c r="CL8" s="367"/>
      <c r="CM8" s="368"/>
      <c r="CN8" s="369">
        <v>2</v>
      </c>
      <c r="CO8" s="370">
        <v>5598000</v>
      </c>
      <c r="CP8" s="367">
        <v>2</v>
      </c>
      <c r="CQ8" s="368">
        <v>4398000</v>
      </c>
      <c r="CR8" s="367">
        <v>2</v>
      </c>
      <c r="CS8" s="368">
        <v>9198000</v>
      </c>
      <c r="CT8" s="369">
        <v>4</v>
      </c>
      <c r="CU8" s="370">
        <v>13596000</v>
      </c>
      <c r="CV8" s="367">
        <v>1</v>
      </c>
      <c r="CW8" s="368">
        <v>2599000</v>
      </c>
      <c r="CX8" s="367"/>
      <c r="CY8" s="368"/>
      <c r="CZ8" s="369">
        <v>1</v>
      </c>
      <c r="DA8" s="370">
        <v>2599000</v>
      </c>
      <c r="DB8" s="367"/>
      <c r="DC8" s="368"/>
      <c r="DD8" s="367"/>
      <c r="DE8" s="368"/>
      <c r="DF8" s="369"/>
      <c r="DG8" s="370"/>
      <c r="DH8" s="367">
        <v>1</v>
      </c>
      <c r="DI8" s="368">
        <v>2299000</v>
      </c>
      <c r="DJ8" s="367"/>
      <c r="DK8" s="368"/>
      <c r="DL8" s="369">
        <v>1</v>
      </c>
      <c r="DM8" s="370">
        <v>2299000</v>
      </c>
      <c r="DN8" s="367">
        <v>1</v>
      </c>
      <c r="DO8" s="368">
        <v>2799000</v>
      </c>
      <c r="DP8" s="367">
        <v>2</v>
      </c>
      <c r="DQ8" s="368">
        <v>9098000</v>
      </c>
      <c r="DR8" s="369">
        <v>3</v>
      </c>
      <c r="DS8" s="370">
        <v>11897000</v>
      </c>
      <c r="DT8" s="367"/>
      <c r="DU8" s="368"/>
      <c r="DV8" s="367">
        <v>2</v>
      </c>
      <c r="DW8" s="368">
        <v>10198000</v>
      </c>
      <c r="DX8" s="369">
        <v>2</v>
      </c>
      <c r="DY8" s="370">
        <v>10198000</v>
      </c>
      <c r="DZ8" s="367">
        <v>4</v>
      </c>
      <c r="EA8" s="368">
        <v>9196000</v>
      </c>
      <c r="EB8" s="367">
        <v>2</v>
      </c>
      <c r="EC8" s="368">
        <v>7898000</v>
      </c>
      <c r="ED8" s="369">
        <v>6</v>
      </c>
      <c r="EE8" s="370">
        <v>17094000</v>
      </c>
      <c r="EF8" s="367">
        <v>75</v>
      </c>
      <c r="EG8" s="371">
        <v>256025000</v>
      </c>
    </row>
    <row r="9" spans="1:137" x14ac:dyDescent="0.2">
      <c r="A9" s="364"/>
      <c r="B9" s="365">
        <v>6170703</v>
      </c>
      <c r="C9" s="366" t="s">
        <v>361</v>
      </c>
      <c r="D9" s="367"/>
      <c r="E9" s="368"/>
      <c r="F9" s="367"/>
      <c r="G9" s="368"/>
      <c r="H9" s="369"/>
      <c r="I9" s="370"/>
      <c r="J9" s="367"/>
      <c r="K9" s="368"/>
      <c r="L9" s="367">
        <v>2</v>
      </c>
      <c r="M9" s="368">
        <v>16898000</v>
      </c>
      <c r="N9" s="369">
        <v>2</v>
      </c>
      <c r="O9" s="370">
        <v>16898000</v>
      </c>
      <c r="P9" s="367"/>
      <c r="Q9" s="368"/>
      <c r="R9" s="367"/>
      <c r="S9" s="368"/>
      <c r="T9" s="369"/>
      <c r="U9" s="370"/>
      <c r="V9" s="367">
        <v>1</v>
      </c>
      <c r="W9" s="368">
        <v>2399000</v>
      </c>
      <c r="X9" s="367"/>
      <c r="Y9" s="368"/>
      <c r="Z9" s="369">
        <v>1</v>
      </c>
      <c r="AA9" s="370">
        <v>2399000</v>
      </c>
      <c r="AB9" s="367"/>
      <c r="AC9" s="368"/>
      <c r="AD9" s="367">
        <v>1</v>
      </c>
      <c r="AE9" s="368">
        <v>6999000</v>
      </c>
      <c r="AF9" s="369">
        <v>1</v>
      </c>
      <c r="AG9" s="370">
        <v>6999000</v>
      </c>
      <c r="AH9" s="367">
        <v>1</v>
      </c>
      <c r="AI9" s="368">
        <v>2399000</v>
      </c>
      <c r="AJ9" s="367"/>
      <c r="AK9" s="368"/>
      <c r="AL9" s="369">
        <v>1</v>
      </c>
      <c r="AM9" s="370">
        <v>2399000</v>
      </c>
      <c r="AN9" s="367"/>
      <c r="AO9" s="368"/>
      <c r="AP9" s="367">
        <v>1</v>
      </c>
      <c r="AQ9" s="368">
        <v>11999000</v>
      </c>
      <c r="AR9" s="369">
        <v>1</v>
      </c>
      <c r="AS9" s="370">
        <v>11999000</v>
      </c>
      <c r="AT9" s="367"/>
      <c r="AU9" s="368"/>
      <c r="AV9" s="367">
        <v>1</v>
      </c>
      <c r="AW9" s="368">
        <v>5499000</v>
      </c>
      <c r="AX9" s="369">
        <v>1</v>
      </c>
      <c r="AY9" s="370">
        <v>5499000</v>
      </c>
      <c r="AZ9" s="367">
        <v>1</v>
      </c>
      <c r="BA9" s="368">
        <v>2599000</v>
      </c>
      <c r="BB9" s="367"/>
      <c r="BC9" s="368"/>
      <c r="BD9" s="369">
        <v>1</v>
      </c>
      <c r="BE9" s="370">
        <v>2599000</v>
      </c>
      <c r="BF9" s="367"/>
      <c r="BG9" s="368"/>
      <c r="BH9" s="367">
        <v>1</v>
      </c>
      <c r="BI9" s="368">
        <v>3599000</v>
      </c>
      <c r="BJ9" s="369">
        <v>1</v>
      </c>
      <c r="BK9" s="370">
        <v>3599000</v>
      </c>
      <c r="BL9" s="367"/>
      <c r="BM9" s="368"/>
      <c r="BN9" s="367"/>
      <c r="BO9" s="368"/>
      <c r="BP9" s="369"/>
      <c r="BQ9" s="370"/>
      <c r="BR9" s="367"/>
      <c r="BS9" s="368"/>
      <c r="BT9" s="367"/>
      <c r="BU9" s="368"/>
      <c r="BV9" s="369"/>
      <c r="BW9" s="370"/>
      <c r="BX9" s="367"/>
      <c r="BY9" s="368"/>
      <c r="BZ9" s="367"/>
      <c r="CA9" s="368"/>
      <c r="CB9" s="369"/>
      <c r="CC9" s="370"/>
      <c r="CD9" s="367"/>
      <c r="CE9" s="368"/>
      <c r="CF9" s="367">
        <v>1</v>
      </c>
      <c r="CG9" s="368">
        <v>4299000</v>
      </c>
      <c r="CH9" s="369">
        <v>1</v>
      </c>
      <c r="CI9" s="370">
        <v>4299000</v>
      </c>
      <c r="CJ9" s="367">
        <v>1</v>
      </c>
      <c r="CK9" s="368">
        <v>2299000</v>
      </c>
      <c r="CL9" s="367"/>
      <c r="CM9" s="368"/>
      <c r="CN9" s="369">
        <v>1</v>
      </c>
      <c r="CO9" s="370">
        <v>2299000</v>
      </c>
      <c r="CP9" s="367">
        <v>1</v>
      </c>
      <c r="CQ9" s="368">
        <v>2799000</v>
      </c>
      <c r="CR9" s="367">
        <v>1</v>
      </c>
      <c r="CS9" s="368">
        <v>3599000</v>
      </c>
      <c r="CT9" s="369">
        <v>2</v>
      </c>
      <c r="CU9" s="370">
        <v>6398000</v>
      </c>
      <c r="CV9" s="367"/>
      <c r="CW9" s="368"/>
      <c r="CX9" s="367"/>
      <c r="CY9" s="368"/>
      <c r="CZ9" s="369"/>
      <c r="DA9" s="370"/>
      <c r="DB9" s="367">
        <v>1</v>
      </c>
      <c r="DC9" s="368">
        <v>2099000</v>
      </c>
      <c r="DD9" s="367"/>
      <c r="DE9" s="368"/>
      <c r="DF9" s="369">
        <v>1</v>
      </c>
      <c r="DG9" s="370">
        <v>2099000</v>
      </c>
      <c r="DH9" s="367"/>
      <c r="DI9" s="368"/>
      <c r="DJ9" s="367"/>
      <c r="DK9" s="368"/>
      <c r="DL9" s="369"/>
      <c r="DM9" s="370"/>
      <c r="DN9" s="367"/>
      <c r="DO9" s="368"/>
      <c r="DP9" s="367"/>
      <c r="DQ9" s="368"/>
      <c r="DR9" s="369"/>
      <c r="DS9" s="370"/>
      <c r="DT9" s="367"/>
      <c r="DU9" s="368"/>
      <c r="DV9" s="367"/>
      <c r="DW9" s="368"/>
      <c r="DX9" s="369"/>
      <c r="DY9" s="370"/>
      <c r="DZ9" s="367"/>
      <c r="EA9" s="368"/>
      <c r="EB9" s="367"/>
      <c r="EC9" s="368"/>
      <c r="ED9" s="369"/>
      <c r="EE9" s="370"/>
      <c r="EF9" s="367">
        <v>14</v>
      </c>
      <c r="EG9" s="371">
        <v>67486000</v>
      </c>
    </row>
    <row r="10" spans="1:137" x14ac:dyDescent="0.2">
      <c r="A10" s="364"/>
      <c r="B10" s="365">
        <v>6240704</v>
      </c>
      <c r="C10" s="366" t="s">
        <v>362</v>
      </c>
      <c r="D10" s="367"/>
      <c r="E10" s="368"/>
      <c r="F10" s="367"/>
      <c r="G10" s="368"/>
      <c r="H10" s="369"/>
      <c r="I10" s="370"/>
      <c r="J10" s="367"/>
      <c r="K10" s="368"/>
      <c r="L10" s="367"/>
      <c r="M10" s="368"/>
      <c r="N10" s="369"/>
      <c r="O10" s="370"/>
      <c r="P10" s="367">
        <v>1</v>
      </c>
      <c r="Q10" s="368">
        <v>2099000</v>
      </c>
      <c r="R10" s="367"/>
      <c r="S10" s="368"/>
      <c r="T10" s="369">
        <v>1</v>
      </c>
      <c r="U10" s="370">
        <v>2099000</v>
      </c>
      <c r="V10" s="367">
        <v>1</v>
      </c>
      <c r="W10" s="368">
        <v>2099000</v>
      </c>
      <c r="X10" s="367"/>
      <c r="Y10" s="368"/>
      <c r="Z10" s="369">
        <v>1</v>
      </c>
      <c r="AA10" s="370">
        <v>2099000</v>
      </c>
      <c r="AB10" s="367"/>
      <c r="AC10" s="368"/>
      <c r="AD10" s="367"/>
      <c r="AE10" s="368"/>
      <c r="AF10" s="369"/>
      <c r="AG10" s="370"/>
      <c r="AH10" s="367">
        <v>1</v>
      </c>
      <c r="AI10" s="368">
        <v>2099000</v>
      </c>
      <c r="AJ10" s="367"/>
      <c r="AK10" s="368"/>
      <c r="AL10" s="369">
        <v>1</v>
      </c>
      <c r="AM10" s="370">
        <v>2099000</v>
      </c>
      <c r="AN10" s="367"/>
      <c r="AO10" s="368"/>
      <c r="AP10" s="367"/>
      <c r="AQ10" s="368"/>
      <c r="AR10" s="369"/>
      <c r="AS10" s="370"/>
      <c r="AT10" s="367">
        <v>1</v>
      </c>
      <c r="AU10" s="368">
        <v>2099000</v>
      </c>
      <c r="AV10" s="367"/>
      <c r="AW10" s="368"/>
      <c r="AX10" s="369">
        <v>1</v>
      </c>
      <c r="AY10" s="370">
        <v>2099000</v>
      </c>
      <c r="AZ10" s="367">
        <v>1</v>
      </c>
      <c r="BA10" s="368">
        <v>2799000</v>
      </c>
      <c r="BB10" s="367"/>
      <c r="BC10" s="368"/>
      <c r="BD10" s="369">
        <v>1</v>
      </c>
      <c r="BE10" s="370">
        <v>2799000</v>
      </c>
      <c r="BF10" s="367"/>
      <c r="BG10" s="368"/>
      <c r="BH10" s="367">
        <v>1</v>
      </c>
      <c r="BI10" s="368">
        <v>5499000</v>
      </c>
      <c r="BJ10" s="369">
        <v>1</v>
      </c>
      <c r="BK10" s="370">
        <v>5499000</v>
      </c>
      <c r="BL10" s="367"/>
      <c r="BM10" s="368"/>
      <c r="BN10" s="367"/>
      <c r="BO10" s="368"/>
      <c r="BP10" s="369"/>
      <c r="BQ10" s="370"/>
      <c r="BR10" s="367">
        <v>1</v>
      </c>
      <c r="BS10" s="368">
        <v>2099000</v>
      </c>
      <c r="BT10" s="367"/>
      <c r="BU10" s="368"/>
      <c r="BV10" s="369">
        <v>1</v>
      </c>
      <c r="BW10" s="370">
        <v>2099000</v>
      </c>
      <c r="BX10" s="367"/>
      <c r="BY10" s="368"/>
      <c r="BZ10" s="367"/>
      <c r="CA10" s="368"/>
      <c r="CB10" s="369"/>
      <c r="CC10" s="370"/>
      <c r="CD10" s="367">
        <v>1</v>
      </c>
      <c r="CE10" s="368">
        <v>2099000</v>
      </c>
      <c r="CF10" s="367"/>
      <c r="CG10" s="368"/>
      <c r="CH10" s="369">
        <v>1</v>
      </c>
      <c r="CI10" s="370">
        <v>2099000</v>
      </c>
      <c r="CJ10" s="367"/>
      <c r="CK10" s="368"/>
      <c r="CL10" s="367"/>
      <c r="CM10" s="368"/>
      <c r="CN10" s="369"/>
      <c r="CO10" s="370"/>
      <c r="CP10" s="367">
        <v>2</v>
      </c>
      <c r="CQ10" s="368">
        <v>5598000</v>
      </c>
      <c r="CR10" s="367">
        <v>1</v>
      </c>
      <c r="CS10" s="368">
        <v>4299000</v>
      </c>
      <c r="CT10" s="369">
        <v>3</v>
      </c>
      <c r="CU10" s="370">
        <v>9897000</v>
      </c>
      <c r="CV10" s="367"/>
      <c r="CW10" s="368"/>
      <c r="CX10" s="367"/>
      <c r="CY10" s="368"/>
      <c r="CZ10" s="369"/>
      <c r="DA10" s="370"/>
      <c r="DB10" s="367"/>
      <c r="DC10" s="368"/>
      <c r="DD10" s="367"/>
      <c r="DE10" s="368"/>
      <c r="DF10" s="369"/>
      <c r="DG10" s="370"/>
      <c r="DH10" s="367">
        <v>1</v>
      </c>
      <c r="DI10" s="368">
        <v>2799000</v>
      </c>
      <c r="DJ10" s="367"/>
      <c r="DK10" s="368"/>
      <c r="DL10" s="369">
        <v>1</v>
      </c>
      <c r="DM10" s="370">
        <v>2799000</v>
      </c>
      <c r="DN10" s="367"/>
      <c r="DO10" s="368"/>
      <c r="DP10" s="367"/>
      <c r="DQ10" s="368"/>
      <c r="DR10" s="369"/>
      <c r="DS10" s="370"/>
      <c r="DT10" s="367">
        <v>1</v>
      </c>
      <c r="DU10" s="368">
        <v>2799000</v>
      </c>
      <c r="DV10" s="367">
        <v>1</v>
      </c>
      <c r="DW10" s="368">
        <v>4299000</v>
      </c>
      <c r="DX10" s="369">
        <v>2</v>
      </c>
      <c r="DY10" s="370">
        <v>7098000</v>
      </c>
      <c r="DZ10" s="367">
        <v>1</v>
      </c>
      <c r="EA10" s="368">
        <v>2299000</v>
      </c>
      <c r="EB10" s="367"/>
      <c r="EC10" s="368"/>
      <c r="ED10" s="369">
        <v>1</v>
      </c>
      <c r="EE10" s="370">
        <v>2299000</v>
      </c>
      <c r="EF10" s="367">
        <v>15</v>
      </c>
      <c r="EG10" s="371">
        <v>42985000</v>
      </c>
    </row>
    <row r="11" spans="1:137" x14ac:dyDescent="0.2">
      <c r="A11" s="364"/>
      <c r="B11" s="365">
        <v>6240703</v>
      </c>
      <c r="C11" s="366" t="s">
        <v>363</v>
      </c>
      <c r="D11" s="367"/>
      <c r="E11" s="368"/>
      <c r="F11" s="367">
        <v>2</v>
      </c>
      <c r="G11" s="368">
        <v>29898000</v>
      </c>
      <c r="H11" s="369">
        <v>2</v>
      </c>
      <c r="I11" s="370">
        <v>29898000</v>
      </c>
      <c r="J11" s="367"/>
      <c r="K11" s="368"/>
      <c r="L11" s="367">
        <v>3</v>
      </c>
      <c r="M11" s="368">
        <v>16197000</v>
      </c>
      <c r="N11" s="369">
        <v>3</v>
      </c>
      <c r="O11" s="370">
        <v>16197000</v>
      </c>
      <c r="P11" s="367">
        <v>2</v>
      </c>
      <c r="Q11" s="368">
        <v>5098000</v>
      </c>
      <c r="R11" s="367"/>
      <c r="S11" s="368"/>
      <c r="T11" s="369">
        <v>2</v>
      </c>
      <c r="U11" s="370">
        <v>5098000</v>
      </c>
      <c r="V11" s="367">
        <v>6</v>
      </c>
      <c r="W11" s="368">
        <v>14794000</v>
      </c>
      <c r="X11" s="367">
        <v>1</v>
      </c>
      <c r="Y11" s="368">
        <v>9999000</v>
      </c>
      <c r="Z11" s="369">
        <v>7</v>
      </c>
      <c r="AA11" s="370">
        <v>24793000</v>
      </c>
      <c r="AB11" s="367"/>
      <c r="AC11" s="368"/>
      <c r="AD11" s="367">
        <v>3</v>
      </c>
      <c r="AE11" s="368">
        <v>13397000</v>
      </c>
      <c r="AF11" s="369">
        <v>3</v>
      </c>
      <c r="AG11" s="370">
        <v>13397000</v>
      </c>
      <c r="AH11" s="367">
        <v>4</v>
      </c>
      <c r="AI11" s="368">
        <v>9096000</v>
      </c>
      <c r="AJ11" s="367">
        <v>3</v>
      </c>
      <c r="AK11" s="368">
        <v>13097000</v>
      </c>
      <c r="AL11" s="369">
        <v>7</v>
      </c>
      <c r="AM11" s="370">
        <v>22193000</v>
      </c>
      <c r="AN11" s="367">
        <v>2</v>
      </c>
      <c r="AO11" s="368">
        <v>4198000</v>
      </c>
      <c r="AP11" s="367">
        <v>2</v>
      </c>
      <c r="AQ11" s="368">
        <v>11898000</v>
      </c>
      <c r="AR11" s="369">
        <v>4</v>
      </c>
      <c r="AS11" s="370">
        <v>16096000</v>
      </c>
      <c r="AT11" s="367">
        <v>2</v>
      </c>
      <c r="AU11" s="368">
        <v>4598000</v>
      </c>
      <c r="AV11" s="367">
        <v>3</v>
      </c>
      <c r="AW11" s="368">
        <v>13797000</v>
      </c>
      <c r="AX11" s="369">
        <v>5</v>
      </c>
      <c r="AY11" s="370">
        <v>18395000</v>
      </c>
      <c r="AZ11" s="367"/>
      <c r="BA11" s="368"/>
      <c r="BB11" s="367"/>
      <c r="BC11" s="368"/>
      <c r="BD11" s="369"/>
      <c r="BE11" s="370"/>
      <c r="BF11" s="367">
        <v>1</v>
      </c>
      <c r="BG11" s="368">
        <v>2599000</v>
      </c>
      <c r="BH11" s="367"/>
      <c r="BI11" s="368"/>
      <c r="BJ11" s="369">
        <v>1</v>
      </c>
      <c r="BK11" s="370">
        <v>2599000</v>
      </c>
      <c r="BL11" s="367">
        <v>1</v>
      </c>
      <c r="BM11" s="368">
        <v>2799000</v>
      </c>
      <c r="BN11" s="367">
        <v>2</v>
      </c>
      <c r="BO11" s="368">
        <v>13498000</v>
      </c>
      <c r="BP11" s="369">
        <v>3</v>
      </c>
      <c r="BQ11" s="370">
        <v>16297000</v>
      </c>
      <c r="BR11" s="367"/>
      <c r="BS11" s="368"/>
      <c r="BT11" s="367">
        <v>2</v>
      </c>
      <c r="BU11" s="368">
        <v>10498000</v>
      </c>
      <c r="BV11" s="369">
        <v>2</v>
      </c>
      <c r="BW11" s="370">
        <v>10498000</v>
      </c>
      <c r="BX11" s="367">
        <v>1</v>
      </c>
      <c r="BY11" s="368">
        <v>2799000</v>
      </c>
      <c r="BZ11" s="367"/>
      <c r="CA11" s="368"/>
      <c r="CB11" s="369">
        <v>1</v>
      </c>
      <c r="CC11" s="370">
        <v>2799000</v>
      </c>
      <c r="CD11" s="367">
        <v>3</v>
      </c>
      <c r="CE11" s="368">
        <v>7997000</v>
      </c>
      <c r="CF11" s="367">
        <v>1</v>
      </c>
      <c r="CG11" s="368">
        <v>3599000</v>
      </c>
      <c r="CH11" s="369">
        <v>4</v>
      </c>
      <c r="CI11" s="370">
        <v>11596000</v>
      </c>
      <c r="CJ11" s="367">
        <v>1</v>
      </c>
      <c r="CK11" s="368">
        <v>2599000</v>
      </c>
      <c r="CL11" s="367">
        <v>2</v>
      </c>
      <c r="CM11" s="368">
        <v>13898000</v>
      </c>
      <c r="CN11" s="369">
        <v>3</v>
      </c>
      <c r="CO11" s="370">
        <v>16497000</v>
      </c>
      <c r="CP11" s="367"/>
      <c r="CQ11" s="368"/>
      <c r="CR11" s="367"/>
      <c r="CS11" s="368"/>
      <c r="CT11" s="369"/>
      <c r="CU11" s="370"/>
      <c r="CV11" s="367"/>
      <c r="CW11" s="368"/>
      <c r="CX11" s="367"/>
      <c r="CY11" s="368"/>
      <c r="CZ11" s="369"/>
      <c r="DA11" s="370"/>
      <c r="DB11" s="367">
        <v>1</v>
      </c>
      <c r="DC11" s="368">
        <v>2299000</v>
      </c>
      <c r="DD11" s="367">
        <v>1</v>
      </c>
      <c r="DE11" s="368">
        <v>3599000</v>
      </c>
      <c r="DF11" s="369">
        <v>2</v>
      </c>
      <c r="DG11" s="370">
        <v>5898000</v>
      </c>
      <c r="DH11" s="367"/>
      <c r="DI11" s="368"/>
      <c r="DJ11" s="367"/>
      <c r="DK11" s="368"/>
      <c r="DL11" s="369"/>
      <c r="DM11" s="370"/>
      <c r="DN11" s="367">
        <v>6</v>
      </c>
      <c r="DO11" s="368">
        <v>14394000</v>
      </c>
      <c r="DP11" s="367"/>
      <c r="DQ11" s="368"/>
      <c r="DR11" s="369">
        <v>6</v>
      </c>
      <c r="DS11" s="370">
        <v>14394000</v>
      </c>
      <c r="DT11" s="367">
        <v>2</v>
      </c>
      <c r="DU11" s="368">
        <v>5198000</v>
      </c>
      <c r="DV11" s="367">
        <v>2</v>
      </c>
      <c r="DW11" s="368">
        <v>11598000</v>
      </c>
      <c r="DX11" s="369">
        <v>4</v>
      </c>
      <c r="DY11" s="370">
        <v>16796000</v>
      </c>
      <c r="DZ11" s="367">
        <v>2</v>
      </c>
      <c r="EA11" s="368">
        <v>5598000</v>
      </c>
      <c r="EB11" s="367">
        <v>2</v>
      </c>
      <c r="EC11" s="368">
        <v>17898000</v>
      </c>
      <c r="ED11" s="369">
        <v>4</v>
      </c>
      <c r="EE11" s="370">
        <v>23496000</v>
      </c>
      <c r="EF11" s="367">
        <v>63</v>
      </c>
      <c r="EG11" s="371">
        <v>266937000</v>
      </c>
    </row>
    <row r="12" spans="1:137" x14ac:dyDescent="0.2">
      <c r="A12" s="364"/>
      <c r="B12" s="365">
        <v>6240705</v>
      </c>
      <c r="C12" s="366" t="s">
        <v>83</v>
      </c>
      <c r="D12" s="367"/>
      <c r="E12" s="368"/>
      <c r="F12" s="367">
        <v>1</v>
      </c>
      <c r="G12" s="368">
        <v>8399000</v>
      </c>
      <c r="H12" s="369">
        <v>1</v>
      </c>
      <c r="I12" s="370">
        <v>8399000</v>
      </c>
      <c r="J12" s="367"/>
      <c r="K12" s="368"/>
      <c r="L12" s="367">
        <v>1</v>
      </c>
      <c r="M12" s="368">
        <v>6499000</v>
      </c>
      <c r="N12" s="369">
        <v>1</v>
      </c>
      <c r="O12" s="370">
        <v>6499000</v>
      </c>
      <c r="P12" s="367"/>
      <c r="Q12" s="368"/>
      <c r="R12" s="367">
        <v>1</v>
      </c>
      <c r="S12" s="368">
        <v>5499000</v>
      </c>
      <c r="T12" s="369">
        <v>1</v>
      </c>
      <c r="U12" s="370">
        <v>5499000</v>
      </c>
      <c r="V12" s="367">
        <v>2</v>
      </c>
      <c r="W12" s="368">
        <v>5398000</v>
      </c>
      <c r="X12" s="367">
        <v>1</v>
      </c>
      <c r="Y12" s="368">
        <v>6899000</v>
      </c>
      <c r="Z12" s="369">
        <v>3</v>
      </c>
      <c r="AA12" s="370">
        <v>12297000</v>
      </c>
      <c r="AB12" s="367"/>
      <c r="AC12" s="368"/>
      <c r="AD12" s="367"/>
      <c r="AE12" s="368"/>
      <c r="AF12" s="369"/>
      <c r="AG12" s="370"/>
      <c r="AH12" s="367"/>
      <c r="AI12" s="368"/>
      <c r="AJ12" s="367">
        <v>1</v>
      </c>
      <c r="AK12" s="368">
        <v>9999000</v>
      </c>
      <c r="AL12" s="369">
        <v>1</v>
      </c>
      <c r="AM12" s="370">
        <v>9999000</v>
      </c>
      <c r="AN12" s="367"/>
      <c r="AO12" s="368"/>
      <c r="AP12" s="367">
        <v>1</v>
      </c>
      <c r="AQ12" s="368">
        <v>7999000</v>
      </c>
      <c r="AR12" s="369">
        <v>1</v>
      </c>
      <c r="AS12" s="370">
        <v>7999000</v>
      </c>
      <c r="AT12" s="367">
        <v>1</v>
      </c>
      <c r="AU12" s="368">
        <v>2799000</v>
      </c>
      <c r="AV12" s="367"/>
      <c r="AW12" s="368"/>
      <c r="AX12" s="369">
        <v>1</v>
      </c>
      <c r="AY12" s="370">
        <v>2799000</v>
      </c>
      <c r="AZ12" s="367"/>
      <c r="BA12" s="368"/>
      <c r="BB12" s="367"/>
      <c r="BC12" s="368"/>
      <c r="BD12" s="369"/>
      <c r="BE12" s="370"/>
      <c r="BF12" s="367"/>
      <c r="BG12" s="368"/>
      <c r="BH12" s="367">
        <v>1</v>
      </c>
      <c r="BI12" s="368">
        <v>11999000</v>
      </c>
      <c r="BJ12" s="369">
        <v>1</v>
      </c>
      <c r="BK12" s="370">
        <v>11999000</v>
      </c>
      <c r="BL12" s="367"/>
      <c r="BM12" s="368"/>
      <c r="BN12" s="367"/>
      <c r="BO12" s="368"/>
      <c r="BP12" s="369"/>
      <c r="BQ12" s="370"/>
      <c r="BR12" s="367"/>
      <c r="BS12" s="368"/>
      <c r="BT12" s="367"/>
      <c r="BU12" s="368"/>
      <c r="BV12" s="369"/>
      <c r="BW12" s="370"/>
      <c r="BX12" s="367">
        <v>1</v>
      </c>
      <c r="BY12" s="368">
        <v>2799000</v>
      </c>
      <c r="BZ12" s="367"/>
      <c r="CA12" s="368"/>
      <c r="CB12" s="369">
        <v>1</v>
      </c>
      <c r="CC12" s="370">
        <v>2799000</v>
      </c>
      <c r="CD12" s="367"/>
      <c r="CE12" s="368"/>
      <c r="CF12" s="367">
        <v>1</v>
      </c>
      <c r="CG12" s="368">
        <v>7999000</v>
      </c>
      <c r="CH12" s="369">
        <v>1</v>
      </c>
      <c r="CI12" s="370">
        <v>7999000</v>
      </c>
      <c r="CJ12" s="367">
        <v>1</v>
      </c>
      <c r="CK12" s="368">
        <v>2799000</v>
      </c>
      <c r="CL12" s="367">
        <v>1</v>
      </c>
      <c r="CM12" s="368">
        <v>6299000</v>
      </c>
      <c r="CN12" s="369">
        <v>2</v>
      </c>
      <c r="CO12" s="370">
        <v>9098000</v>
      </c>
      <c r="CP12" s="367"/>
      <c r="CQ12" s="368"/>
      <c r="CR12" s="367">
        <v>1</v>
      </c>
      <c r="CS12" s="368">
        <v>3899000</v>
      </c>
      <c r="CT12" s="369">
        <v>1</v>
      </c>
      <c r="CU12" s="370">
        <v>3899000</v>
      </c>
      <c r="CV12" s="367">
        <v>4</v>
      </c>
      <c r="CW12" s="368">
        <v>9896000</v>
      </c>
      <c r="CX12" s="367">
        <v>6</v>
      </c>
      <c r="CY12" s="368">
        <v>36094000</v>
      </c>
      <c r="CZ12" s="369">
        <v>10</v>
      </c>
      <c r="DA12" s="370">
        <v>45990000</v>
      </c>
      <c r="DB12" s="367"/>
      <c r="DC12" s="368"/>
      <c r="DD12" s="367"/>
      <c r="DE12" s="368"/>
      <c r="DF12" s="369"/>
      <c r="DG12" s="370"/>
      <c r="DH12" s="367"/>
      <c r="DI12" s="368"/>
      <c r="DJ12" s="367"/>
      <c r="DK12" s="368"/>
      <c r="DL12" s="369"/>
      <c r="DM12" s="370"/>
      <c r="DN12" s="367"/>
      <c r="DO12" s="368"/>
      <c r="DP12" s="367"/>
      <c r="DQ12" s="368"/>
      <c r="DR12" s="369"/>
      <c r="DS12" s="370"/>
      <c r="DT12" s="367"/>
      <c r="DU12" s="368"/>
      <c r="DV12" s="367">
        <v>2</v>
      </c>
      <c r="DW12" s="368">
        <v>13898000</v>
      </c>
      <c r="DX12" s="369">
        <v>2</v>
      </c>
      <c r="DY12" s="370">
        <v>13898000</v>
      </c>
      <c r="DZ12" s="367">
        <v>2</v>
      </c>
      <c r="EA12" s="368">
        <v>4698000</v>
      </c>
      <c r="EB12" s="367"/>
      <c r="EC12" s="368"/>
      <c r="ED12" s="369">
        <v>2</v>
      </c>
      <c r="EE12" s="370">
        <v>4698000</v>
      </c>
      <c r="EF12" s="367">
        <v>29</v>
      </c>
      <c r="EG12" s="371">
        <v>153871000</v>
      </c>
    </row>
    <row r="13" spans="1:137" x14ac:dyDescent="0.2">
      <c r="A13" s="364"/>
      <c r="B13" s="365">
        <v>6240707</v>
      </c>
      <c r="C13" s="366" t="s">
        <v>364</v>
      </c>
      <c r="D13" s="367"/>
      <c r="E13" s="368"/>
      <c r="F13" s="367"/>
      <c r="G13" s="368"/>
      <c r="H13" s="369"/>
      <c r="I13" s="370"/>
      <c r="J13" s="367"/>
      <c r="K13" s="368"/>
      <c r="L13" s="367">
        <v>1</v>
      </c>
      <c r="M13" s="368">
        <v>4299000</v>
      </c>
      <c r="N13" s="369">
        <v>1</v>
      </c>
      <c r="O13" s="370">
        <v>4299000</v>
      </c>
      <c r="P13" s="367">
        <v>3</v>
      </c>
      <c r="Q13" s="368">
        <v>7697000</v>
      </c>
      <c r="R13" s="367"/>
      <c r="S13" s="368"/>
      <c r="T13" s="369">
        <v>3</v>
      </c>
      <c r="U13" s="370">
        <v>7697000</v>
      </c>
      <c r="V13" s="367"/>
      <c r="W13" s="368"/>
      <c r="X13" s="367"/>
      <c r="Y13" s="368"/>
      <c r="Z13" s="369"/>
      <c r="AA13" s="370"/>
      <c r="AB13" s="367"/>
      <c r="AC13" s="368"/>
      <c r="AD13" s="367"/>
      <c r="AE13" s="368"/>
      <c r="AF13" s="369"/>
      <c r="AG13" s="370"/>
      <c r="AH13" s="367"/>
      <c r="AI13" s="368"/>
      <c r="AJ13" s="367"/>
      <c r="AK13" s="368"/>
      <c r="AL13" s="369"/>
      <c r="AM13" s="370"/>
      <c r="AN13" s="367">
        <v>1</v>
      </c>
      <c r="AO13" s="368">
        <v>2099000</v>
      </c>
      <c r="AP13" s="367"/>
      <c r="AQ13" s="368"/>
      <c r="AR13" s="369">
        <v>1</v>
      </c>
      <c r="AS13" s="370">
        <v>2099000</v>
      </c>
      <c r="AT13" s="367">
        <v>1</v>
      </c>
      <c r="AU13" s="368">
        <v>2799000</v>
      </c>
      <c r="AV13" s="367"/>
      <c r="AW13" s="368"/>
      <c r="AX13" s="369">
        <v>1</v>
      </c>
      <c r="AY13" s="370">
        <v>2799000</v>
      </c>
      <c r="AZ13" s="367"/>
      <c r="BA13" s="368"/>
      <c r="BB13" s="367">
        <v>1</v>
      </c>
      <c r="BC13" s="368">
        <v>4299000</v>
      </c>
      <c r="BD13" s="369">
        <v>1</v>
      </c>
      <c r="BE13" s="370">
        <v>4299000</v>
      </c>
      <c r="BF13" s="367"/>
      <c r="BG13" s="368"/>
      <c r="BH13" s="367"/>
      <c r="BI13" s="368"/>
      <c r="BJ13" s="369"/>
      <c r="BK13" s="370"/>
      <c r="BL13" s="367">
        <v>1</v>
      </c>
      <c r="BM13" s="368">
        <v>2599000</v>
      </c>
      <c r="BN13" s="367"/>
      <c r="BO13" s="368"/>
      <c r="BP13" s="369">
        <v>1</v>
      </c>
      <c r="BQ13" s="370">
        <v>2599000</v>
      </c>
      <c r="BR13" s="367"/>
      <c r="BS13" s="368"/>
      <c r="BT13" s="367"/>
      <c r="BU13" s="368"/>
      <c r="BV13" s="369"/>
      <c r="BW13" s="370"/>
      <c r="BX13" s="367">
        <v>2</v>
      </c>
      <c r="BY13" s="368">
        <v>5398000</v>
      </c>
      <c r="BZ13" s="367">
        <v>1</v>
      </c>
      <c r="CA13" s="368">
        <v>5499000</v>
      </c>
      <c r="CB13" s="369">
        <v>3</v>
      </c>
      <c r="CC13" s="370">
        <v>10897000</v>
      </c>
      <c r="CD13" s="367">
        <v>1</v>
      </c>
      <c r="CE13" s="368">
        <v>2099000</v>
      </c>
      <c r="CF13" s="367">
        <v>4</v>
      </c>
      <c r="CG13" s="368">
        <v>26896000</v>
      </c>
      <c r="CH13" s="369">
        <v>5</v>
      </c>
      <c r="CI13" s="370">
        <v>28995000</v>
      </c>
      <c r="CJ13" s="367"/>
      <c r="CK13" s="368"/>
      <c r="CL13" s="367">
        <v>1</v>
      </c>
      <c r="CM13" s="368">
        <v>3599000</v>
      </c>
      <c r="CN13" s="369">
        <v>1</v>
      </c>
      <c r="CO13" s="370">
        <v>3599000</v>
      </c>
      <c r="CP13" s="367"/>
      <c r="CQ13" s="368"/>
      <c r="CR13" s="367">
        <v>2</v>
      </c>
      <c r="CS13" s="368">
        <v>11798000</v>
      </c>
      <c r="CT13" s="369">
        <v>2</v>
      </c>
      <c r="CU13" s="370">
        <v>11798000</v>
      </c>
      <c r="CV13" s="367"/>
      <c r="CW13" s="368"/>
      <c r="CX13" s="367">
        <v>1</v>
      </c>
      <c r="CY13" s="368">
        <v>3599000</v>
      </c>
      <c r="CZ13" s="369">
        <v>1</v>
      </c>
      <c r="DA13" s="370">
        <v>3599000</v>
      </c>
      <c r="DB13" s="367"/>
      <c r="DC13" s="368"/>
      <c r="DD13" s="367">
        <v>2</v>
      </c>
      <c r="DE13" s="368">
        <v>15498000</v>
      </c>
      <c r="DF13" s="369">
        <v>2</v>
      </c>
      <c r="DG13" s="370">
        <v>15498000</v>
      </c>
      <c r="DH13" s="367"/>
      <c r="DI13" s="368"/>
      <c r="DJ13" s="367"/>
      <c r="DK13" s="368"/>
      <c r="DL13" s="369"/>
      <c r="DM13" s="370"/>
      <c r="DN13" s="367">
        <v>2</v>
      </c>
      <c r="DO13" s="368">
        <v>4898000</v>
      </c>
      <c r="DP13" s="367"/>
      <c r="DQ13" s="368"/>
      <c r="DR13" s="369">
        <v>2</v>
      </c>
      <c r="DS13" s="370">
        <v>4898000</v>
      </c>
      <c r="DT13" s="367"/>
      <c r="DU13" s="368"/>
      <c r="DV13" s="367"/>
      <c r="DW13" s="368"/>
      <c r="DX13" s="369"/>
      <c r="DY13" s="370"/>
      <c r="DZ13" s="367"/>
      <c r="EA13" s="368"/>
      <c r="EB13" s="367"/>
      <c r="EC13" s="368"/>
      <c r="ED13" s="369"/>
      <c r="EE13" s="370"/>
      <c r="EF13" s="367">
        <v>24</v>
      </c>
      <c r="EG13" s="371">
        <v>103076000</v>
      </c>
    </row>
    <row r="14" spans="1:137" x14ac:dyDescent="0.2">
      <c r="A14" s="364"/>
      <c r="B14" s="365">
        <v>6240706</v>
      </c>
      <c r="C14" s="366" t="s">
        <v>365</v>
      </c>
      <c r="D14" s="367">
        <v>1</v>
      </c>
      <c r="E14" s="368">
        <v>2799000</v>
      </c>
      <c r="F14" s="367"/>
      <c r="G14" s="368"/>
      <c r="H14" s="369">
        <v>1</v>
      </c>
      <c r="I14" s="370">
        <v>2799000</v>
      </c>
      <c r="J14" s="367"/>
      <c r="K14" s="368"/>
      <c r="L14" s="367">
        <v>3</v>
      </c>
      <c r="M14" s="368">
        <v>14697000</v>
      </c>
      <c r="N14" s="369">
        <v>3</v>
      </c>
      <c r="O14" s="370">
        <v>14697000</v>
      </c>
      <c r="P14" s="367">
        <v>1</v>
      </c>
      <c r="Q14" s="368">
        <v>2399000</v>
      </c>
      <c r="R14" s="367"/>
      <c r="S14" s="368"/>
      <c r="T14" s="369">
        <v>1</v>
      </c>
      <c r="U14" s="370">
        <v>2399000</v>
      </c>
      <c r="V14" s="367"/>
      <c r="W14" s="368"/>
      <c r="X14" s="367"/>
      <c r="Y14" s="368"/>
      <c r="Z14" s="369"/>
      <c r="AA14" s="370"/>
      <c r="AB14" s="367"/>
      <c r="AC14" s="368"/>
      <c r="AD14" s="367"/>
      <c r="AE14" s="368"/>
      <c r="AF14" s="369"/>
      <c r="AG14" s="370"/>
      <c r="AH14" s="367">
        <v>1</v>
      </c>
      <c r="AI14" s="368">
        <v>2299000</v>
      </c>
      <c r="AJ14" s="367"/>
      <c r="AK14" s="368"/>
      <c r="AL14" s="369">
        <v>1</v>
      </c>
      <c r="AM14" s="370">
        <v>2299000</v>
      </c>
      <c r="AN14" s="367"/>
      <c r="AO14" s="368"/>
      <c r="AP14" s="367"/>
      <c r="AQ14" s="368"/>
      <c r="AR14" s="369"/>
      <c r="AS14" s="370"/>
      <c r="AT14" s="367">
        <v>1</v>
      </c>
      <c r="AU14" s="368">
        <v>2099000</v>
      </c>
      <c r="AV14" s="367"/>
      <c r="AW14" s="368"/>
      <c r="AX14" s="369">
        <v>1</v>
      </c>
      <c r="AY14" s="370">
        <v>2099000</v>
      </c>
      <c r="AZ14" s="367">
        <v>1</v>
      </c>
      <c r="BA14" s="368">
        <v>2299000</v>
      </c>
      <c r="BB14" s="367"/>
      <c r="BC14" s="368"/>
      <c r="BD14" s="369">
        <v>1</v>
      </c>
      <c r="BE14" s="370">
        <v>2299000</v>
      </c>
      <c r="BF14" s="367">
        <v>1</v>
      </c>
      <c r="BG14" s="368">
        <v>2799000</v>
      </c>
      <c r="BH14" s="367">
        <v>1</v>
      </c>
      <c r="BI14" s="368">
        <v>9999000</v>
      </c>
      <c r="BJ14" s="369">
        <v>2</v>
      </c>
      <c r="BK14" s="370">
        <v>12798000</v>
      </c>
      <c r="BL14" s="367"/>
      <c r="BM14" s="368"/>
      <c r="BN14" s="367"/>
      <c r="BO14" s="368"/>
      <c r="BP14" s="369"/>
      <c r="BQ14" s="370"/>
      <c r="BR14" s="367"/>
      <c r="BS14" s="368"/>
      <c r="BT14" s="367">
        <v>1</v>
      </c>
      <c r="BU14" s="368">
        <v>6899000</v>
      </c>
      <c r="BV14" s="369">
        <v>1</v>
      </c>
      <c r="BW14" s="370">
        <v>6899000</v>
      </c>
      <c r="BX14" s="367">
        <v>1</v>
      </c>
      <c r="BY14" s="368">
        <v>2799000</v>
      </c>
      <c r="BZ14" s="367">
        <v>1</v>
      </c>
      <c r="CA14" s="368">
        <v>6999000</v>
      </c>
      <c r="CB14" s="369">
        <v>2</v>
      </c>
      <c r="CC14" s="370">
        <v>9798000</v>
      </c>
      <c r="CD14" s="367"/>
      <c r="CE14" s="368"/>
      <c r="CF14" s="367">
        <v>1</v>
      </c>
      <c r="CG14" s="368">
        <v>4299000</v>
      </c>
      <c r="CH14" s="369">
        <v>1</v>
      </c>
      <c r="CI14" s="370">
        <v>4299000</v>
      </c>
      <c r="CJ14" s="367">
        <v>2</v>
      </c>
      <c r="CK14" s="368">
        <v>4898000</v>
      </c>
      <c r="CL14" s="367">
        <v>1</v>
      </c>
      <c r="CM14" s="368">
        <v>7999000</v>
      </c>
      <c r="CN14" s="369">
        <v>3</v>
      </c>
      <c r="CO14" s="370">
        <v>12897000</v>
      </c>
      <c r="CP14" s="367">
        <v>1</v>
      </c>
      <c r="CQ14" s="368">
        <v>2299000</v>
      </c>
      <c r="CR14" s="367"/>
      <c r="CS14" s="368"/>
      <c r="CT14" s="369">
        <v>1</v>
      </c>
      <c r="CU14" s="370">
        <v>2299000</v>
      </c>
      <c r="CV14" s="367"/>
      <c r="CW14" s="368"/>
      <c r="CX14" s="367"/>
      <c r="CY14" s="368"/>
      <c r="CZ14" s="369"/>
      <c r="DA14" s="370"/>
      <c r="DB14" s="367"/>
      <c r="DC14" s="368"/>
      <c r="DD14" s="367"/>
      <c r="DE14" s="368"/>
      <c r="DF14" s="369"/>
      <c r="DG14" s="370"/>
      <c r="DH14" s="367"/>
      <c r="DI14" s="368"/>
      <c r="DJ14" s="367"/>
      <c r="DK14" s="368"/>
      <c r="DL14" s="369"/>
      <c r="DM14" s="370"/>
      <c r="DN14" s="367">
        <v>1</v>
      </c>
      <c r="DO14" s="368">
        <v>2799000</v>
      </c>
      <c r="DP14" s="367"/>
      <c r="DQ14" s="368"/>
      <c r="DR14" s="369">
        <v>1</v>
      </c>
      <c r="DS14" s="370">
        <v>2799000</v>
      </c>
      <c r="DT14" s="367"/>
      <c r="DU14" s="368"/>
      <c r="DV14" s="367"/>
      <c r="DW14" s="368"/>
      <c r="DX14" s="369"/>
      <c r="DY14" s="370"/>
      <c r="DZ14" s="367"/>
      <c r="EA14" s="368"/>
      <c r="EB14" s="367"/>
      <c r="EC14" s="368"/>
      <c r="ED14" s="369"/>
      <c r="EE14" s="370"/>
      <c r="EF14" s="367">
        <v>19</v>
      </c>
      <c r="EG14" s="371">
        <v>78381000</v>
      </c>
    </row>
    <row r="15" spans="1:137" x14ac:dyDescent="0.2">
      <c r="A15" s="364"/>
      <c r="B15" s="365">
        <v>6240709</v>
      </c>
      <c r="C15" s="366" t="s">
        <v>84</v>
      </c>
      <c r="D15" s="367"/>
      <c r="E15" s="368"/>
      <c r="F15" s="367">
        <v>1</v>
      </c>
      <c r="G15" s="368">
        <v>5499000</v>
      </c>
      <c r="H15" s="369">
        <v>1</v>
      </c>
      <c r="I15" s="370">
        <v>5499000</v>
      </c>
      <c r="J15" s="367"/>
      <c r="K15" s="368"/>
      <c r="L15" s="367">
        <v>3</v>
      </c>
      <c r="M15" s="368">
        <v>14697000</v>
      </c>
      <c r="N15" s="369">
        <v>3</v>
      </c>
      <c r="O15" s="370">
        <v>14697000</v>
      </c>
      <c r="P15" s="367">
        <v>2</v>
      </c>
      <c r="Q15" s="368">
        <v>4698000</v>
      </c>
      <c r="R15" s="367"/>
      <c r="S15" s="368"/>
      <c r="T15" s="369">
        <v>2</v>
      </c>
      <c r="U15" s="370">
        <v>4698000</v>
      </c>
      <c r="V15" s="367"/>
      <c r="W15" s="368"/>
      <c r="X15" s="367"/>
      <c r="Y15" s="368"/>
      <c r="Z15" s="369"/>
      <c r="AA15" s="370"/>
      <c r="AB15" s="367"/>
      <c r="AC15" s="368"/>
      <c r="AD15" s="367"/>
      <c r="AE15" s="368"/>
      <c r="AF15" s="369"/>
      <c r="AG15" s="370"/>
      <c r="AH15" s="367"/>
      <c r="AI15" s="368"/>
      <c r="AJ15" s="367">
        <v>1</v>
      </c>
      <c r="AK15" s="368">
        <v>4299000</v>
      </c>
      <c r="AL15" s="369">
        <v>1</v>
      </c>
      <c r="AM15" s="370">
        <v>4299000</v>
      </c>
      <c r="AN15" s="367"/>
      <c r="AO15" s="368"/>
      <c r="AP15" s="367"/>
      <c r="AQ15" s="368"/>
      <c r="AR15" s="369"/>
      <c r="AS15" s="370"/>
      <c r="AT15" s="367"/>
      <c r="AU15" s="368"/>
      <c r="AV15" s="367"/>
      <c r="AW15" s="368"/>
      <c r="AX15" s="369"/>
      <c r="AY15" s="370"/>
      <c r="AZ15" s="367"/>
      <c r="BA15" s="368"/>
      <c r="BB15" s="367"/>
      <c r="BC15" s="368"/>
      <c r="BD15" s="369"/>
      <c r="BE15" s="370"/>
      <c r="BF15" s="367"/>
      <c r="BG15" s="368"/>
      <c r="BH15" s="367">
        <v>1</v>
      </c>
      <c r="BI15" s="368">
        <v>5699000</v>
      </c>
      <c r="BJ15" s="369">
        <v>1</v>
      </c>
      <c r="BK15" s="370">
        <v>5699000</v>
      </c>
      <c r="BL15" s="367"/>
      <c r="BM15" s="368"/>
      <c r="BN15" s="367"/>
      <c r="BO15" s="368"/>
      <c r="BP15" s="369"/>
      <c r="BQ15" s="370"/>
      <c r="BR15" s="367"/>
      <c r="BS15" s="368"/>
      <c r="BT15" s="367"/>
      <c r="BU15" s="368"/>
      <c r="BV15" s="369"/>
      <c r="BW15" s="370"/>
      <c r="BX15" s="367"/>
      <c r="BY15" s="368"/>
      <c r="BZ15" s="367">
        <v>1</v>
      </c>
      <c r="CA15" s="368">
        <v>3899000</v>
      </c>
      <c r="CB15" s="369">
        <v>1</v>
      </c>
      <c r="CC15" s="370">
        <v>3899000</v>
      </c>
      <c r="CD15" s="367"/>
      <c r="CE15" s="368"/>
      <c r="CF15" s="367"/>
      <c r="CG15" s="368"/>
      <c r="CH15" s="369"/>
      <c r="CI15" s="370"/>
      <c r="CJ15" s="367"/>
      <c r="CK15" s="368"/>
      <c r="CL15" s="367"/>
      <c r="CM15" s="368"/>
      <c r="CN15" s="369"/>
      <c r="CO15" s="370"/>
      <c r="CP15" s="367"/>
      <c r="CQ15" s="368"/>
      <c r="CR15" s="367">
        <v>1</v>
      </c>
      <c r="CS15" s="368">
        <v>5899000</v>
      </c>
      <c r="CT15" s="369">
        <v>1</v>
      </c>
      <c r="CU15" s="370">
        <v>5899000</v>
      </c>
      <c r="CV15" s="367"/>
      <c r="CW15" s="368"/>
      <c r="CX15" s="367"/>
      <c r="CY15" s="368"/>
      <c r="CZ15" s="369"/>
      <c r="DA15" s="370"/>
      <c r="DB15" s="367"/>
      <c r="DC15" s="368"/>
      <c r="DD15" s="367"/>
      <c r="DE15" s="368"/>
      <c r="DF15" s="369"/>
      <c r="DG15" s="370"/>
      <c r="DH15" s="367"/>
      <c r="DI15" s="368"/>
      <c r="DJ15" s="367"/>
      <c r="DK15" s="368"/>
      <c r="DL15" s="369"/>
      <c r="DM15" s="370"/>
      <c r="DN15" s="367"/>
      <c r="DO15" s="368"/>
      <c r="DP15" s="367">
        <v>1</v>
      </c>
      <c r="DQ15" s="368">
        <v>3599000</v>
      </c>
      <c r="DR15" s="369">
        <v>1</v>
      </c>
      <c r="DS15" s="370">
        <v>3599000</v>
      </c>
      <c r="DT15" s="367">
        <v>1</v>
      </c>
      <c r="DU15" s="368">
        <v>2099000</v>
      </c>
      <c r="DV15" s="367"/>
      <c r="DW15" s="368"/>
      <c r="DX15" s="369">
        <v>1</v>
      </c>
      <c r="DY15" s="370">
        <v>2099000</v>
      </c>
      <c r="DZ15" s="367"/>
      <c r="EA15" s="368"/>
      <c r="EB15" s="367">
        <v>2</v>
      </c>
      <c r="EC15" s="368">
        <v>10198000</v>
      </c>
      <c r="ED15" s="369">
        <v>2</v>
      </c>
      <c r="EE15" s="370">
        <v>10198000</v>
      </c>
      <c r="EF15" s="367">
        <v>14</v>
      </c>
      <c r="EG15" s="371">
        <v>60586000</v>
      </c>
    </row>
    <row r="16" spans="1:137" x14ac:dyDescent="0.2">
      <c r="A16" s="372"/>
      <c r="B16" s="365">
        <v>6240708</v>
      </c>
      <c r="C16" s="366" t="s">
        <v>85</v>
      </c>
      <c r="D16" s="367"/>
      <c r="E16" s="368"/>
      <c r="F16" s="367"/>
      <c r="G16" s="368"/>
      <c r="H16" s="369"/>
      <c r="I16" s="370"/>
      <c r="J16" s="367"/>
      <c r="K16" s="368"/>
      <c r="L16" s="367">
        <v>1</v>
      </c>
      <c r="M16" s="368">
        <v>3899000</v>
      </c>
      <c r="N16" s="369">
        <v>1</v>
      </c>
      <c r="O16" s="370">
        <v>3899000</v>
      </c>
      <c r="P16" s="367">
        <v>2</v>
      </c>
      <c r="Q16" s="368">
        <v>5598000</v>
      </c>
      <c r="R16" s="367">
        <v>1</v>
      </c>
      <c r="S16" s="368">
        <v>7999000</v>
      </c>
      <c r="T16" s="369">
        <v>3</v>
      </c>
      <c r="U16" s="370">
        <v>13597000</v>
      </c>
      <c r="V16" s="367"/>
      <c r="W16" s="368"/>
      <c r="X16" s="367">
        <v>1</v>
      </c>
      <c r="Y16" s="368">
        <v>3599000</v>
      </c>
      <c r="Z16" s="369">
        <v>1</v>
      </c>
      <c r="AA16" s="370">
        <v>3599000</v>
      </c>
      <c r="AB16" s="367">
        <v>1</v>
      </c>
      <c r="AC16" s="368">
        <v>2099000</v>
      </c>
      <c r="AD16" s="367"/>
      <c r="AE16" s="368"/>
      <c r="AF16" s="369">
        <v>1</v>
      </c>
      <c r="AG16" s="370">
        <v>2099000</v>
      </c>
      <c r="AH16" s="367"/>
      <c r="AI16" s="368"/>
      <c r="AJ16" s="367">
        <v>1</v>
      </c>
      <c r="AK16" s="368">
        <v>3899000</v>
      </c>
      <c r="AL16" s="369">
        <v>1</v>
      </c>
      <c r="AM16" s="370">
        <v>3899000</v>
      </c>
      <c r="AN16" s="367"/>
      <c r="AO16" s="368"/>
      <c r="AP16" s="367">
        <v>1</v>
      </c>
      <c r="AQ16" s="368">
        <v>4299000</v>
      </c>
      <c r="AR16" s="369">
        <v>1</v>
      </c>
      <c r="AS16" s="370">
        <v>4299000</v>
      </c>
      <c r="AT16" s="367"/>
      <c r="AU16" s="368"/>
      <c r="AV16" s="367"/>
      <c r="AW16" s="368"/>
      <c r="AX16" s="369"/>
      <c r="AY16" s="370"/>
      <c r="AZ16" s="367"/>
      <c r="BA16" s="368"/>
      <c r="BB16" s="367"/>
      <c r="BC16" s="368"/>
      <c r="BD16" s="369"/>
      <c r="BE16" s="370"/>
      <c r="BF16" s="367"/>
      <c r="BG16" s="368"/>
      <c r="BH16" s="367"/>
      <c r="BI16" s="368"/>
      <c r="BJ16" s="369"/>
      <c r="BK16" s="370"/>
      <c r="BL16" s="367"/>
      <c r="BM16" s="368"/>
      <c r="BN16" s="367">
        <v>1</v>
      </c>
      <c r="BO16" s="368">
        <v>3899000</v>
      </c>
      <c r="BP16" s="369">
        <v>1</v>
      </c>
      <c r="BQ16" s="370">
        <v>3899000</v>
      </c>
      <c r="BR16" s="367"/>
      <c r="BS16" s="368"/>
      <c r="BT16" s="367"/>
      <c r="BU16" s="368"/>
      <c r="BV16" s="369"/>
      <c r="BW16" s="370"/>
      <c r="BX16" s="367"/>
      <c r="BY16" s="368"/>
      <c r="BZ16" s="367">
        <v>1</v>
      </c>
      <c r="CA16" s="368">
        <v>7999000</v>
      </c>
      <c r="CB16" s="369">
        <v>1</v>
      </c>
      <c r="CC16" s="370">
        <v>7999000</v>
      </c>
      <c r="CD16" s="367"/>
      <c r="CE16" s="368"/>
      <c r="CF16" s="367"/>
      <c r="CG16" s="368"/>
      <c r="CH16" s="369"/>
      <c r="CI16" s="370"/>
      <c r="CJ16" s="367"/>
      <c r="CK16" s="368"/>
      <c r="CL16" s="367">
        <v>2</v>
      </c>
      <c r="CM16" s="368">
        <v>9798000</v>
      </c>
      <c r="CN16" s="369">
        <v>2</v>
      </c>
      <c r="CO16" s="370">
        <v>9798000</v>
      </c>
      <c r="CP16" s="367"/>
      <c r="CQ16" s="368"/>
      <c r="CR16" s="367"/>
      <c r="CS16" s="368"/>
      <c r="CT16" s="369"/>
      <c r="CU16" s="370"/>
      <c r="CV16" s="367"/>
      <c r="CW16" s="368"/>
      <c r="CX16" s="367"/>
      <c r="CY16" s="368"/>
      <c r="CZ16" s="369"/>
      <c r="DA16" s="370"/>
      <c r="DB16" s="367"/>
      <c r="DC16" s="368"/>
      <c r="DD16" s="367"/>
      <c r="DE16" s="368"/>
      <c r="DF16" s="369"/>
      <c r="DG16" s="370"/>
      <c r="DH16" s="367">
        <v>1</v>
      </c>
      <c r="DI16" s="368">
        <v>2399000</v>
      </c>
      <c r="DJ16" s="367"/>
      <c r="DK16" s="368"/>
      <c r="DL16" s="369">
        <v>1</v>
      </c>
      <c r="DM16" s="370">
        <v>2399000</v>
      </c>
      <c r="DN16" s="367">
        <v>1</v>
      </c>
      <c r="DO16" s="368">
        <v>2799000</v>
      </c>
      <c r="DP16" s="367"/>
      <c r="DQ16" s="368"/>
      <c r="DR16" s="369">
        <v>1</v>
      </c>
      <c r="DS16" s="370">
        <v>2799000</v>
      </c>
      <c r="DT16" s="367">
        <v>1</v>
      </c>
      <c r="DU16" s="368">
        <v>2799000</v>
      </c>
      <c r="DV16" s="367"/>
      <c r="DW16" s="368"/>
      <c r="DX16" s="369">
        <v>1</v>
      </c>
      <c r="DY16" s="370">
        <v>2799000</v>
      </c>
      <c r="DZ16" s="367">
        <v>1</v>
      </c>
      <c r="EA16" s="368">
        <v>2599000</v>
      </c>
      <c r="EB16" s="367"/>
      <c r="EC16" s="368"/>
      <c r="ED16" s="369">
        <v>1</v>
      </c>
      <c r="EE16" s="370">
        <v>2599000</v>
      </c>
      <c r="EF16" s="367">
        <v>16</v>
      </c>
      <c r="EG16" s="371">
        <v>63684000</v>
      </c>
    </row>
    <row r="17" spans="1:137" x14ac:dyDescent="0.2">
      <c r="A17" s="364" t="s">
        <v>62</v>
      </c>
      <c r="B17" s="365">
        <v>6220701</v>
      </c>
      <c r="C17" s="366" t="s">
        <v>366</v>
      </c>
      <c r="D17" s="367">
        <v>1</v>
      </c>
      <c r="E17" s="368">
        <v>2799000</v>
      </c>
      <c r="F17" s="367"/>
      <c r="G17" s="368"/>
      <c r="H17" s="369">
        <v>1</v>
      </c>
      <c r="I17" s="370">
        <v>2799000</v>
      </c>
      <c r="J17" s="367">
        <v>4</v>
      </c>
      <c r="K17" s="368">
        <v>9996000</v>
      </c>
      <c r="L17" s="367">
        <v>3</v>
      </c>
      <c r="M17" s="368">
        <v>15997000</v>
      </c>
      <c r="N17" s="369">
        <v>7</v>
      </c>
      <c r="O17" s="370">
        <v>25993000</v>
      </c>
      <c r="P17" s="367">
        <v>2</v>
      </c>
      <c r="Q17" s="368">
        <v>5098000</v>
      </c>
      <c r="R17" s="367"/>
      <c r="S17" s="368"/>
      <c r="T17" s="369">
        <v>2</v>
      </c>
      <c r="U17" s="370">
        <v>5098000</v>
      </c>
      <c r="V17" s="367">
        <v>1</v>
      </c>
      <c r="W17" s="368">
        <v>2799000</v>
      </c>
      <c r="X17" s="367"/>
      <c r="Y17" s="368"/>
      <c r="Z17" s="369">
        <v>1</v>
      </c>
      <c r="AA17" s="370">
        <v>2799000</v>
      </c>
      <c r="AB17" s="367"/>
      <c r="AC17" s="368"/>
      <c r="AD17" s="367">
        <v>1</v>
      </c>
      <c r="AE17" s="368">
        <v>6299000</v>
      </c>
      <c r="AF17" s="369">
        <v>1</v>
      </c>
      <c r="AG17" s="370">
        <v>6299000</v>
      </c>
      <c r="AH17" s="367">
        <v>1</v>
      </c>
      <c r="AI17" s="368">
        <v>2099000</v>
      </c>
      <c r="AJ17" s="367">
        <v>1</v>
      </c>
      <c r="AK17" s="368">
        <v>3899000</v>
      </c>
      <c r="AL17" s="369">
        <v>2</v>
      </c>
      <c r="AM17" s="370">
        <v>5998000</v>
      </c>
      <c r="AN17" s="367">
        <v>1</v>
      </c>
      <c r="AO17" s="368">
        <v>2799000</v>
      </c>
      <c r="AP17" s="367">
        <v>1</v>
      </c>
      <c r="AQ17" s="368">
        <v>4299000</v>
      </c>
      <c r="AR17" s="369">
        <v>2</v>
      </c>
      <c r="AS17" s="370">
        <v>7098000</v>
      </c>
      <c r="AT17" s="367"/>
      <c r="AU17" s="368"/>
      <c r="AV17" s="367"/>
      <c r="AW17" s="368"/>
      <c r="AX17" s="369"/>
      <c r="AY17" s="370"/>
      <c r="AZ17" s="367">
        <v>1</v>
      </c>
      <c r="BA17" s="368">
        <v>2299000</v>
      </c>
      <c r="BB17" s="367"/>
      <c r="BC17" s="368"/>
      <c r="BD17" s="369">
        <v>1</v>
      </c>
      <c r="BE17" s="370">
        <v>2299000</v>
      </c>
      <c r="BF17" s="367"/>
      <c r="BG17" s="368"/>
      <c r="BH17" s="367">
        <v>1</v>
      </c>
      <c r="BI17" s="368">
        <v>4299000</v>
      </c>
      <c r="BJ17" s="369">
        <v>1</v>
      </c>
      <c r="BK17" s="370">
        <v>4299000</v>
      </c>
      <c r="BL17" s="367"/>
      <c r="BM17" s="368"/>
      <c r="BN17" s="367"/>
      <c r="BO17" s="368"/>
      <c r="BP17" s="369"/>
      <c r="BQ17" s="370"/>
      <c r="BR17" s="367">
        <v>2</v>
      </c>
      <c r="BS17" s="368">
        <v>4598000</v>
      </c>
      <c r="BT17" s="367"/>
      <c r="BU17" s="368"/>
      <c r="BV17" s="369">
        <v>2</v>
      </c>
      <c r="BW17" s="370">
        <v>4598000</v>
      </c>
      <c r="BX17" s="367">
        <v>1</v>
      </c>
      <c r="BY17" s="368">
        <v>2299000</v>
      </c>
      <c r="BZ17" s="367"/>
      <c r="CA17" s="368"/>
      <c r="CB17" s="369">
        <v>1</v>
      </c>
      <c r="CC17" s="370">
        <v>2299000</v>
      </c>
      <c r="CD17" s="367">
        <v>4</v>
      </c>
      <c r="CE17" s="368">
        <v>9296000</v>
      </c>
      <c r="CF17" s="367">
        <v>2</v>
      </c>
      <c r="CG17" s="368">
        <v>7898000</v>
      </c>
      <c r="CH17" s="369">
        <v>6</v>
      </c>
      <c r="CI17" s="370">
        <v>17194000</v>
      </c>
      <c r="CJ17" s="367">
        <v>2</v>
      </c>
      <c r="CK17" s="368">
        <v>4598000</v>
      </c>
      <c r="CL17" s="367">
        <v>1</v>
      </c>
      <c r="CM17" s="368">
        <v>4299000</v>
      </c>
      <c r="CN17" s="369">
        <v>3</v>
      </c>
      <c r="CO17" s="370">
        <v>8897000</v>
      </c>
      <c r="CP17" s="367"/>
      <c r="CQ17" s="368"/>
      <c r="CR17" s="367">
        <v>1</v>
      </c>
      <c r="CS17" s="368">
        <v>9999000</v>
      </c>
      <c r="CT17" s="369">
        <v>1</v>
      </c>
      <c r="CU17" s="370">
        <v>9999000</v>
      </c>
      <c r="CV17" s="367"/>
      <c r="CW17" s="368"/>
      <c r="CX17" s="367">
        <v>2</v>
      </c>
      <c r="CY17" s="368">
        <v>11598000</v>
      </c>
      <c r="CZ17" s="369">
        <v>2</v>
      </c>
      <c r="DA17" s="370">
        <v>11598000</v>
      </c>
      <c r="DB17" s="367">
        <v>1</v>
      </c>
      <c r="DC17" s="368">
        <v>2799000</v>
      </c>
      <c r="DD17" s="367"/>
      <c r="DE17" s="368"/>
      <c r="DF17" s="369">
        <v>1</v>
      </c>
      <c r="DG17" s="370">
        <v>2799000</v>
      </c>
      <c r="DH17" s="367">
        <v>1</v>
      </c>
      <c r="DI17" s="368">
        <v>2799000</v>
      </c>
      <c r="DJ17" s="367">
        <v>1</v>
      </c>
      <c r="DK17" s="368">
        <v>9999000</v>
      </c>
      <c r="DL17" s="369">
        <v>2</v>
      </c>
      <c r="DM17" s="370">
        <v>12798000</v>
      </c>
      <c r="DN17" s="367">
        <v>5</v>
      </c>
      <c r="DO17" s="368">
        <v>13595000</v>
      </c>
      <c r="DP17" s="367"/>
      <c r="DQ17" s="368"/>
      <c r="DR17" s="369">
        <v>5</v>
      </c>
      <c r="DS17" s="370">
        <v>13595000</v>
      </c>
      <c r="DT17" s="367">
        <v>1</v>
      </c>
      <c r="DU17" s="368">
        <v>2799000</v>
      </c>
      <c r="DV17" s="367">
        <v>2</v>
      </c>
      <c r="DW17" s="368">
        <v>11998000</v>
      </c>
      <c r="DX17" s="369">
        <v>3</v>
      </c>
      <c r="DY17" s="370">
        <v>14797000</v>
      </c>
      <c r="DZ17" s="367">
        <v>1</v>
      </c>
      <c r="EA17" s="368">
        <v>2599000</v>
      </c>
      <c r="EB17" s="367"/>
      <c r="EC17" s="368"/>
      <c r="ED17" s="369">
        <v>1</v>
      </c>
      <c r="EE17" s="370">
        <v>2599000</v>
      </c>
      <c r="EF17" s="367">
        <v>45</v>
      </c>
      <c r="EG17" s="371">
        <v>163855000</v>
      </c>
    </row>
    <row r="18" spans="1:137" x14ac:dyDescent="0.2">
      <c r="A18" s="364"/>
      <c r="B18" s="365">
        <v>6050701</v>
      </c>
      <c r="C18" s="366" t="s">
        <v>367</v>
      </c>
      <c r="D18" s="367"/>
      <c r="E18" s="368"/>
      <c r="F18" s="367"/>
      <c r="G18" s="368"/>
      <c r="H18" s="369"/>
      <c r="I18" s="370"/>
      <c r="J18" s="367"/>
      <c r="K18" s="368"/>
      <c r="L18" s="367">
        <v>2</v>
      </c>
      <c r="M18" s="368">
        <v>11798000</v>
      </c>
      <c r="N18" s="369">
        <v>2</v>
      </c>
      <c r="O18" s="370">
        <v>11798000</v>
      </c>
      <c r="P18" s="367">
        <v>3</v>
      </c>
      <c r="Q18" s="368">
        <v>8397000</v>
      </c>
      <c r="R18" s="367">
        <v>1</v>
      </c>
      <c r="S18" s="368">
        <v>6899000</v>
      </c>
      <c r="T18" s="369">
        <v>4</v>
      </c>
      <c r="U18" s="370">
        <v>15296000</v>
      </c>
      <c r="V18" s="367">
        <v>2</v>
      </c>
      <c r="W18" s="368">
        <v>4898000</v>
      </c>
      <c r="X18" s="367">
        <v>1</v>
      </c>
      <c r="Y18" s="368">
        <v>9999000</v>
      </c>
      <c r="Z18" s="369">
        <v>3</v>
      </c>
      <c r="AA18" s="370">
        <v>14897000</v>
      </c>
      <c r="AB18" s="367"/>
      <c r="AC18" s="368"/>
      <c r="AD18" s="367">
        <v>1</v>
      </c>
      <c r="AE18" s="368">
        <v>4299000</v>
      </c>
      <c r="AF18" s="369">
        <v>1</v>
      </c>
      <c r="AG18" s="370">
        <v>4299000</v>
      </c>
      <c r="AH18" s="367"/>
      <c r="AI18" s="368"/>
      <c r="AJ18" s="367"/>
      <c r="AK18" s="368"/>
      <c r="AL18" s="369"/>
      <c r="AM18" s="370"/>
      <c r="AN18" s="367">
        <v>1</v>
      </c>
      <c r="AO18" s="368">
        <v>2299000</v>
      </c>
      <c r="AP18" s="367">
        <v>1</v>
      </c>
      <c r="AQ18" s="368">
        <v>9999000</v>
      </c>
      <c r="AR18" s="369">
        <v>2</v>
      </c>
      <c r="AS18" s="370">
        <v>12298000</v>
      </c>
      <c r="AT18" s="367"/>
      <c r="AU18" s="368"/>
      <c r="AV18" s="367">
        <v>1</v>
      </c>
      <c r="AW18" s="368">
        <v>6899000</v>
      </c>
      <c r="AX18" s="369">
        <v>1</v>
      </c>
      <c r="AY18" s="370">
        <v>6899000</v>
      </c>
      <c r="AZ18" s="367">
        <v>1</v>
      </c>
      <c r="BA18" s="368">
        <v>2799000</v>
      </c>
      <c r="BB18" s="367">
        <v>3</v>
      </c>
      <c r="BC18" s="368">
        <v>18397000</v>
      </c>
      <c r="BD18" s="369">
        <v>4</v>
      </c>
      <c r="BE18" s="370">
        <v>21196000</v>
      </c>
      <c r="BF18" s="367"/>
      <c r="BG18" s="368"/>
      <c r="BH18" s="367">
        <v>1</v>
      </c>
      <c r="BI18" s="368">
        <v>5499000</v>
      </c>
      <c r="BJ18" s="369">
        <v>1</v>
      </c>
      <c r="BK18" s="370">
        <v>5499000</v>
      </c>
      <c r="BL18" s="367"/>
      <c r="BM18" s="368"/>
      <c r="BN18" s="367"/>
      <c r="BO18" s="368"/>
      <c r="BP18" s="369"/>
      <c r="BQ18" s="370"/>
      <c r="BR18" s="367"/>
      <c r="BS18" s="368"/>
      <c r="BT18" s="367">
        <v>1</v>
      </c>
      <c r="BU18" s="368">
        <v>6899000</v>
      </c>
      <c r="BV18" s="369">
        <v>1</v>
      </c>
      <c r="BW18" s="370">
        <v>6899000</v>
      </c>
      <c r="BX18" s="367"/>
      <c r="BY18" s="368"/>
      <c r="BZ18" s="367"/>
      <c r="CA18" s="368"/>
      <c r="CB18" s="369"/>
      <c r="CC18" s="370"/>
      <c r="CD18" s="367"/>
      <c r="CE18" s="368"/>
      <c r="CF18" s="367">
        <v>2</v>
      </c>
      <c r="CG18" s="368">
        <v>7898000</v>
      </c>
      <c r="CH18" s="369">
        <v>2</v>
      </c>
      <c r="CI18" s="370">
        <v>7898000</v>
      </c>
      <c r="CJ18" s="367">
        <v>2</v>
      </c>
      <c r="CK18" s="368">
        <v>5398000</v>
      </c>
      <c r="CL18" s="367"/>
      <c r="CM18" s="368"/>
      <c r="CN18" s="369">
        <v>2</v>
      </c>
      <c r="CO18" s="370">
        <v>5398000</v>
      </c>
      <c r="CP18" s="367"/>
      <c r="CQ18" s="368"/>
      <c r="CR18" s="367"/>
      <c r="CS18" s="368"/>
      <c r="CT18" s="369"/>
      <c r="CU18" s="370"/>
      <c r="CV18" s="367"/>
      <c r="CW18" s="368"/>
      <c r="CX18" s="367"/>
      <c r="CY18" s="368"/>
      <c r="CZ18" s="369"/>
      <c r="DA18" s="370"/>
      <c r="DB18" s="367"/>
      <c r="DC18" s="368"/>
      <c r="DD18" s="367">
        <v>2</v>
      </c>
      <c r="DE18" s="368">
        <v>16898000</v>
      </c>
      <c r="DF18" s="369">
        <v>2</v>
      </c>
      <c r="DG18" s="370">
        <v>16898000</v>
      </c>
      <c r="DH18" s="367"/>
      <c r="DI18" s="368"/>
      <c r="DJ18" s="367"/>
      <c r="DK18" s="368"/>
      <c r="DL18" s="369"/>
      <c r="DM18" s="370"/>
      <c r="DN18" s="367"/>
      <c r="DO18" s="368"/>
      <c r="DP18" s="367"/>
      <c r="DQ18" s="368"/>
      <c r="DR18" s="369"/>
      <c r="DS18" s="370"/>
      <c r="DT18" s="367">
        <v>1</v>
      </c>
      <c r="DU18" s="368">
        <v>2799000</v>
      </c>
      <c r="DV18" s="367">
        <v>5</v>
      </c>
      <c r="DW18" s="368">
        <v>46895000</v>
      </c>
      <c r="DX18" s="369">
        <v>6</v>
      </c>
      <c r="DY18" s="370">
        <v>49694000</v>
      </c>
      <c r="DZ18" s="367"/>
      <c r="EA18" s="368"/>
      <c r="EB18" s="367">
        <v>1</v>
      </c>
      <c r="EC18" s="368">
        <v>3899000</v>
      </c>
      <c r="ED18" s="369">
        <v>1</v>
      </c>
      <c r="EE18" s="370">
        <v>3899000</v>
      </c>
      <c r="EF18" s="367">
        <v>32</v>
      </c>
      <c r="EG18" s="371">
        <v>182868000</v>
      </c>
    </row>
    <row r="19" spans="1:137" x14ac:dyDescent="0.2">
      <c r="A19" s="364"/>
      <c r="B19" s="365">
        <v>6050705</v>
      </c>
      <c r="C19" s="366" t="s">
        <v>66</v>
      </c>
      <c r="D19" s="367"/>
      <c r="E19" s="368"/>
      <c r="F19" s="367"/>
      <c r="G19" s="368"/>
      <c r="H19" s="369"/>
      <c r="I19" s="370"/>
      <c r="J19" s="367"/>
      <c r="K19" s="368"/>
      <c r="L19" s="367">
        <v>3</v>
      </c>
      <c r="M19" s="368">
        <v>17397000</v>
      </c>
      <c r="N19" s="369">
        <v>3</v>
      </c>
      <c r="O19" s="370">
        <v>17397000</v>
      </c>
      <c r="P19" s="367">
        <v>2</v>
      </c>
      <c r="Q19" s="368">
        <v>5198000</v>
      </c>
      <c r="R19" s="367">
        <v>2</v>
      </c>
      <c r="S19" s="368">
        <v>16298000</v>
      </c>
      <c r="T19" s="369">
        <v>4</v>
      </c>
      <c r="U19" s="370">
        <v>21496000</v>
      </c>
      <c r="V19" s="367">
        <v>2</v>
      </c>
      <c r="W19" s="368">
        <v>4498000</v>
      </c>
      <c r="X19" s="367"/>
      <c r="Y19" s="368"/>
      <c r="Z19" s="369">
        <v>2</v>
      </c>
      <c r="AA19" s="370">
        <v>4498000</v>
      </c>
      <c r="AB19" s="367"/>
      <c r="AC19" s="368"/>
      <c r="AD19" s="367"/>
      <c r="AE19" s="368"/>
      <c r="AF19" s="369"/>
      <c r="AG19" s="370"/>
      <c r="AH19" s="367"/>
      <c r="AI19" s="368"/>
      <c r="AJ19" s="367">
        <v>1</v>
      </c>
      <c r="AK19" s="368">
        <v>3599000</v>
      </c>
      <c r="AL19" s="369">
        <v>1</v>
      </c>
      <c r="AM19" s="370">
        <v>3599000</v>
      </c>
      <c r="AN19" s="367"/>
      <c r="AO19" s="368"/>
      <c r="AP19" s="367">
        <v>1</v>
      </c>
      <c r="AQ19" s="368">
        <v>4899000</v>
      </c>
      <c r="AR19" s="369">
        <v>1</v>
      </c>
      <c r="AS19" s="370">
        <v>4899000</v>
      </c>
      <c r="AT19" s="367"/>
      <c r="AU19" s="368"/>
      <c r="AV19" s="367"/>
      <c r="AW19" s="368"/>
      <c r="AX19" s="369"/>
      <c r="AY19" s="370"/>
      <c r="AZ19" s="367"/>
      <c r="BA19" s="368"/>
      <c r="BB19" s="367"/>
      <c r="BC19" s="368"/>
      <c r="BD19" s="369"/>
      <c r="BE19" s="370"/>
      <c r="BF19" s="367"/>
      <c r="BG19" s="368"/>
      <c r="BH19" s="367">
        <v>2</v>
      </c>
      <c r="BI19" s="368">
        <v>10198000</v>
      </c>
      <c r="BJ19" s="369">
        <v>2</v>
      </c>
      <c r="BK19" s="370">
        <v>10198000</v>
      </c>
      <c r="BL19" s="367"/>
      <c r="BM19" s="368"/>
      <c r="BN19" s="367"/>
      <c r="BO19" s="368"/>
      <c r="BP19" s="369"/>
      <c r="BQ19" s="370"/>
      <c r="BR19" s="367">
        <v>1</v>
      </c>
      <c r="BS19" s="368">
        <v>2799000</v>
      </c>
      <c r="BT19" s="367"/>
      <c r="BU19" s="368"/>
      <c r="BV19" s="369">
        <v>1</v>
      </c>
      <c r="BW19" s="370">
        <v>2799000</v>
      </c>
      <c r="BX19" s="367"/>
      <c r="BY19" s="368"/>
      <c r="BZ19" s="367">
        <v>1</v>
      </c>
      <c r="CA19" s="368">
        <v>3899000</v>
      </c>
      <c r="CB19" s="369">
        <v>1</v>
      </c>
      <c r="CC19" s="370">
        <v>3899000</v>
      </c>
      <c r="CD19" s="367">
        <v>1</v>
      </c>
      <c r="CE19" s="368">
        <v>2099000</v>
      </c>
      <c r="CF19" s="367"/>
      <c r="CG19" s="368"/>
      <c r="CH19" s="369">
        <v>1</v>
      </c>
      <c r="CI19" s="370">
        <v>2099000</v>
      </c>
      <c r="CJ19" s="367"/>
      <c r="CK19" s="368"/>
      <c r="CL19" s="367"/>
      <c r="CM19" s="368"/>
      <c r="CN19" s="369"/>
      <c r="CO19" s="370"/>
      <c r="CP19" s="367"/>
      <c r="CQ19" s="368"/>
      <c r="CR19" s="367">
        <v>1</v>
      </c>
      <c r="CS19" s="368">
        <v>9999000</v>
      </c>
      <c r="CT19" s="369">
        <v>1</v>
      </c>
      <c r="CU19" s="370">
        <v>9999000</v>
      </c>
      <c r="CV19" s="367"/>
      <c r="CW19" s="368"/>
      <c r="CX19" s="367"/>
      <c r="CY19" s="368"/>
      <c r="CZ19" s="369"/>
      <c r="DA19" s="370"/>
      <c r="DB19" s="367"/>
      <c r="DC19" s="368"/>
      <c r="DD19" s="367">
        <v>2</v>
      </c>
      <c r="DE19" s="368">
        <v>16898000</v>
      </c>
      <c r="DF19" s="369">
        <v>2</v>
      </c>
      <c r="DG19" s="370">
        <v>16898000</v>
      </c>
      <c r="DH19" s="367"/>
      <c r="DI19" s="368"/>
      <c r="DJ19" s="367"/>
      <c r="DK19" s="368"/>
      <c r="DL19" s="369"/>
      <c r="DM19" s="370"/>
      <c r="DN19" s="367"/>
      <c r="DO19" s="368"/>
      <c r="DP19" s="367"/>
      <c r="DQ19" s="368"/>
      <c r="DR19" s="369"/>
      <c r="DS19" s="370"/>
      <c r="DT19" s="367"/>
      <c r="DU19" s="368"/>
      <c r="DV19" s="367"/>
      <c r="DW19" s="368"/>
      <c r="DX19" s="369"/>
      <c r="DY19" s="370"/>
      <c r="DZ19" s="367"/>
      <c r="EA19" s="368"/>
      <c r="EB19" s="367">
        <v>1</v>
      </c>
      <c r="EC19" s="368">
        <v>3599000</v>
      </c>
      <c r="ED19" s="369">
        <v>1</v>
      </c>
      <c r="EE19" s="370">
        <v>3599000</v>
      </c>
      <c r="EF19" s="367">
        <v>20</v>
      </c>
      <c r="EG19" s="371">
        <v>101380000</v>
      </c>
    </row>
    <row r="20" spans="1:137" x14ac:dyDescent="0.2">
      <c r="A20" s="372"/>
      <c r="B20" s="365">
        <v>6050706</v>
      </c>
      <c r="C20" s="366" t="s">
        <v>67</v>
      </c>
      <c r="D20" s="367">
        <v>1</v>
      </c>
      <c r="E20" s="368">
        <v>2799000</v>
      </c>
      <c r="F20" s="367"/>
      <c r="G20" s="368"/>
      <c r="H20" s="369">
        <v>1</v>
      </c>
      <c r="I20" s="370">
        <v>2799000</v>
      </c>
      <c r="J20" s="367"/>
      <c r="K20" s="368"/>
      <c r="L20" s="367">
        <v>1</v>
      </c>
      <c r="M20" s="368">
        <v>5499000</v>
      </c>
      <c r="N20" s="369">
        <v>1</v>
      </c>
      <c r="O20" s="370">
        <v>5499000</v>
      </c>
      <c r="P20" s="367">
        <v>9</v>
      </c>
      <c r="Q20" s="368">
        <v>23991000</v>
      </c>
      <c r="R20" s="367">
        <v>1</v>
      </c>
      <c r="S20" s="368">
        <v>6299000</v>
      </c>
      <c r="T20" s="369">
        <v>10</v>
      </c>
      <c r="U20" s="370">
        <v>30290000</v>
      </c>
      <c r="V20" s="367">
        <v>2</v>
      </c>
      <c r="W20" s="368">
        <v>4698000</v>
      </c>
      <c r="X20" s="367"/>
      <c r="Y20" s="368"/>
      <c r="Z20" s="369">
        <v>2</v>
      </c>
      <c r="AA20" s="370">
        <v>4698000</v>
      </c>
      <c r="AB20" s="367"/>
      <c r="AC20" s="368"/>
      <c r="AD20" s="367">
        <v>1</v>
      </c>
      <c r="AE20" s="368">
        <v>6999000</v>
      </c>
      <c r="AF20" s="369">
        <v>1</v>
      </c>
      <c r="AG20" s="370">
        <v>6999000</v>
      </c>
      <c r="AH20" s="367">
        <v>1</v>
      </c>
      <c r="AI20" s="368">
        <v>2599000</v>
      </c>
      <c r="AJ20" s="367">
        <v>2</v>
      </c>
      <c r="AK20" s="368">
        <v>11198000</v>
      </c>
      <c r="AL20" s="369">
        <v>3</v>
      </c>
      <c r="AM20" s="370">
        <v>13797000</v>
      </c>
      <c r="AN20" s="367"/>
      <c r="AO20" s="368"/>
      <c r="AP20" s="367"/>
      <c r="AQ20" s="368"/>
      <c r="AR20" s="369"/>
      <c r="AS20" s="370"/>
      <c r="AT20" s="367"/>
      <c r="AU20" s="368"/>
      <c r="AV20" s="367"/>
      <c r="AW20" s="368"/>
      <c r="AX20" s="369"/>
      <c r="AY20" s="370"/>
      <c r="AZ20" s="367">
        <v>1</v>
      </c>
      <c r="BA20" s="368">
        <v>2399000</v>
      </c>
      <c r="BB20" s="367"/>
      <c r="BC20" s="368"/>
      <c r="BD20" s="369">
        <v>1</v>
      </c>
      <c r="BE20" s="370">
        <v>2399000</v>
      </c>
      <c r="BF20" s="367"/>
      <c r="BG20" s="368"/>
      <c r="BH20" s="367"/>
      <c r="BI20" s="368"/>
      <c r="BJ20" s="369"/>
      <c r="BK20" s="370"/>
      <c r="BL20" s="367"/>
      <c r="BM20" s="368"/>
      <c r="BN20" s="367">
        <v>2</v>
      </c>
      <c r="BO20" s="368">
        <v>9798000</v>
      </c>
      <c r="BP20" s="369">
        <v>2</v>
      </c>
      <c r="BQ20" s="370">
        <v>9798000</v>
      </c>
      <c r="BR20" s="367"/>
      <c r="BS20" s="368"/>
      <c r="BT20" s="367"/>
      <c r="BU20" s="368"/>
      <c r="BV20" s="369"/>
      <c r="BW20" s="370"/>
      <c r="BX20" s="367"/>
      <c r="BY20" s="368"/>
      <c r="BZ20" s="367"/>
      <c r="CA20" s="368"/>
      <c r="CB20" s="369"/>
      <c r="CC20" s="370"/>
      <c r="CD20" s="367"/>
      <c r="CE20" s="368"/>
      <c r="CF20" s="367">
        <v>2</v>
      </c>
      <c r="CG20" s="368">
        <v>11898000</v>
      </c>
      <c r="CH20" s="369">
        <v>2</v>
      </c>
      <c r="CI20" s="370">
        <v>11898000</v>
      </c>
      <c r="CJ20" s="367"/>
      <c r="CK20" s="368"/>
      <c r="CL20" s="367">
        <v>1</v>
      </c>
      <c r="CM20" s="368">
        <v>3599000</v>
      </c>
      <c r="CN20" s="369">
        <v>1</v>
      </c>
      <c r="CO20" s="370">
        <v>3599000</v>
      </c>
      <c r="CP20" s="367">
        <v>2</v>
      </c>
      <c r="CQ20" s="368">
        <v>4898000</v>
      </c>
      <c r="CR20" s="367">
        <v>1</v>
      </c>
      <c r="CS20" s="368">
        <v>3899000</v>
      </c>
      <c r="CT20" s="369">
        <v>3</v>
      </c>
      <c r="CU20" s="370">
        <v>8797000</v>
      </c>
      <c r="CV20" s="367"/>
      <c r="CW20" s="368"/>
      <c r="CX20" s="367"/>
      <c r="CY20" s="368"/>
      <c r="CZ20" s="369"/>
      <c r="DA20" s="370"/>
      <c r="DB20" s="367">
        <v>2</v>
      </c>
      <c r="DC20" s="368">
        <v>4898000</v>
      </c>
      <c r="DD20" s="367">
        <v>1</v>
      </c>
      <c r="DE20" s="368">
        <v>4299000</v>
      </c>
      <c r="DF20" s="369">
        <v>3</v>
      </c>
      <c r="DG20" s="370">
        <v>9197000</v>
      </c>
      <c r="DH20" s="367"/>
      <c r="DI20" s="368"/>
      <c r="DJ20" s="367"/>
      <c r="DK20" s="368"/>
      <c r="DL20" s="369"/>
      <c r="DM20" s="370"/>
      <c r="DN20" s="367"/>
      <c r="DO20" s="368"/>
      <c r="DP20" s="367"/>
      <c r="DQ20" s="368"/>
      <c r="DR20" s="369"/>
      <c r="DS20" s="370"/>
      <c r="DT20" s="367">
        <v>1</v>
      </c>
      <c r="DU20" s="368">
        <v>2799000</v>
      </c>
      <c r="DV20" s="367"/>
      <c r="DW20" s="368"/>
      <c r="DX20" s="369">
        <v>1</v>
      </c>
      <c r="DY20" s="370">
        <v>2799000</v>
      </c>
      <c r="DZ20" s="367">
        <v>1</v>
      </c>
      <c r="EA20" s="368">
        <v>2099000</v>
      </c>
      <c r="EB20" s="367"/>
      <c r="EC20" s="368"/>
      <c r="ED20" s="369">
        <v>1</v>
      </c>
      <c r="EE20" s="370">
        <v>2099000</v>
      </c>
      <c r="EF20" s="367">
        <v>32</v>
      </c>
      <c r="EG20" s="371">
        <v>114668000</v>
      </c>
    </row>
    <row r="21" spans="1:137" x14ac:dyDescent="0.2">
      <c r="A21" s="364" t="s">
        <v>89</v>
      </c>
      <c r="B21" s="365">
        <v>6190704</v>
      </c>
      <c r="C21" s="366" t="s">
        <v>368</v>
      </c>
      <c r="D21" s="367">
        <v>1</v>
      </c>
      <c r="E21" s="368">
        <v>2799000</v>
      </c>
      <c r="F21" s="367">
        <v>2</v>
      </c>
      <c r="G21" s="368">
        <v>13498000</v>
      </c>
      <c r="H21" s="369">
        <v>3</v>
      </c>
      <c r="I21" s="370">
        <v>16297000</v>
      </c>
      <c r="J21" s="367">
        <v>4</v>
      </c>
      <c r="K21" s="368">
        <v>8696000</v>
      </c>
      <c r="L21" s="367">
        <v>6</v>
      </c>
      <c r="M21" s="368">
        <v>39294000</v>
      </c>
      <c r="N21" s="369">
        <v>10</v>
      </c>
      <c r="O21" s="370">
        <v>47990000</v>
      </c>
      <c r="P21" s="367">
        <v>12</v>
      </c>
      <c r="Q21" s="368">
        <v>28088000</v>
      </c>
      <c r="R21" s="367">
        <v>2</v>
      </c>
      <c r="S21" s="368">
        <v>9798000</v>
      </c>
      <c r="T21" s="369">
        <v>14</v>
      </c>
      <c r="U21" s="370">
        <v>37886000</v>
      </c>
      <c r="V21" s="367"/>
      <c r="W21" s="368"/>
      <c r="X21" s="367"/>
      <c r="Y21" s="368"/>
      <c r="Z21" s="369"/>
      <c r="AA21" s="370"/>
      <c r="AB21" s="367">
        <v>2</v>
      </c>
      <c r="AC21" s="368">
        <v>4498000</v>
      </c>
      <c r="AD21" s="367">
        <v>1</v>
      </c>
      <c r="AE21" s="368">
        <v>5499000</v>
      </c>
      <c r="AF21" s="369">
        <v>3</v>
      </c>
      <c r="AG21" s="370">
        <v>9997000</v>
      </c>
      <c r="AH21" s="367">
        <v>6</v>
      </c>
      <c r="AI21" s="368">
        <v>12794000</v>
      </c>
      <c r="AJ21" s="367">
        <v>3</v>
      </c>
      <c r="AK21" s="368">
        <v>15897000</v>
      </c>
      <c r="AL21" s="369">
        <v>9</v>
      </c>
      <c r="AM21" s="370">
        <v>28691000</v>
      </c>
      <c r="AN21" s="367">
        <v>2</v>
      </c>
      <c r="AO21" s="368">
        <v>4698000</v>
      </c>
      <c r="AP21" s="367"/>
      <c r="AQ21" s="368"/>
      <c r="AR21" s="369">
        <v>2</v>
      </c>
      <c r="AS21" s="370">
        <v>4698000</v>
      </c>
      <c r="AT21" s="367">
        <v>2</v>
      </c>
      <c r="AU21" s="368">
        <v>4798000</v>
      </c>
      <c r="AV21" s="367"/>
      <c r="AW21" s="368"/>
      <c r="AX21" s="369">
        <v>2</v>
      </c>
      <c r="AY21" s="370">
        <v>4798000</v>
      </c>
      <c r="AZ21" s="367">
        <v>1</v>
      </c>
      <c r="BA21" s="368">
        <v>2599000</v>
      </c>
      <c r="BB21" s="367">
        <v>1</v>
      </c>
      <c r="BC21" s="368">
        <v>11999000</v>
      </c>
      <c r="BD21" s="369">
        <v>2</v>
      </c>
      <c r="BE21" s="370">
        <v>14598000</v>
      </c>
      <c r="BF21" s="367">
        <v>1</v>
      </c>
      <c r="BG21" s="368">
        <v>2099000</v>
      </c>
      <c r="BH21" s="367"/>
      <c r="BI21" s="368"/>
      <c r="BJ21" s="369">
        <v>1</v>
      </c>
      <c r="BK21" s="370">
        <v>2099000</v>
      </c>
      <c r="BL21" s="367">
        <v>6</v>
      </c>
      <c r="BM21" s="368">
        <v>13094000</v>
      </c>
      <c r="BN21" s="367">
        <v>1</v>
      </c>
      <c r="BO21" s="368">
        <v>3899000</v>
      </c>
      <c r="BP21" s="369">
        <v>7</v>
      </c>
      <c r="BQ21" s="370">
        <v>16993000</v>
      </c>
      <c r="BR21" s="367">
        <v>1</v>
      </c>
      <c r="BS21" s="368">
        <v>2399000</v>
      </c>
      <c r="BT21" s="367">
        <v>1</v>
      </c>
      <c r="BU21" s="368">
        <v>3899000</v>
      </c>
      <c r="BV21" s="369">
        <v>2</v>
      </c>
      <c r="BW21" s="370">
        <v>6298000</v>
      </c>
      <c r="BX21" s="367">
        <v>1</v>
      </c>
      <c r="BY21" s="368">
        <v>2099000</v>
      </c>
      <c r="BZ21" s="367"/>
      <c r="CA21" s="368"/>
      <c r="CB21" s="369">
        <v>1</v>
      </c>
      <c r="CC21" s="370">
        <v>2099000</v>
      </c>
      <c r="CD21" s="367"/>
      <c r="CE21" s="368"/>
      <c r="CF21" s="367">
        <v>2</v>
      </c>
      <c r="CG21" s="368">
        <v>13598000</v>
      </c>
      <c r="CH21" s="369">
        <v>2</v>
      </c>
      <c r="CI21" s="370">
        <v>13598000</v>
      </c>
      <c r="CJ21" s="367"/>
      <c r="CK21" s="368"/>
      <c r="CL21" s="367">
        <v>4</v>
      </c>
      <c r="CM21" s="368">
        <v>20896000</v>
      </c>
      <c r="CN21" s="369">
        <v>4</v>
      </c>
      <c r="CO21" s="370">
        <v>20896000</v>
      </c>
      <c r="CP21" s="367">
        <v>3</v>
      </c>
      <c r="CQ21" s="368">
        <v>6997000</v>
      </c>
      <c r="CR21" s="367">
        <v>2</v>
      </c>
      <c r="CS21" s="368">
        <v>15598000</v>
      </c>
      <c r="CT21" s="369">
        <v>5</v>
      </c>
      <c r="CU21" s="370">
        <v>22595000</v>
      </c>
      <c r="CV21" s="367">
        <v>3</v>
      </c>
      <c r="CW21" s="368">
        <v>7197000</v>
      </c>
      <c r="CX21" s="367">
        <v>1</v>
      </c>
      <c r="CY21" s="368">
        <v>25999000</v>
      </c>
      <c r="CZ21" s="369">
        <v>4</v>
      </c>
      <c r="DA21" s="370">
        <v>33196000</v>
      </c>
      <c r="DB21" s="367">
        <v>1</v>
      </c>
      <c r="DC21" s="368">
        <v>2399000</v>
      </c>
      <c r="DD21" s="367">
        <v>2</v>
      </c>
      <c r="DE21" s="368">
        <v>14298000</v>
      </c>
      <c r="DF21" s="369">
        <v>3</v>
      </c>
      <c r="DG21" s="370">
        <v>16697000</v>
      </c>
      <c r="DH21" s="367"/>
      <c r="DI21" s="368"/>
      <c r="DJ21" s="367"/>
      <c r="DK21" s="368"/>
      <c r="DL21" s="369"/>
      <c r="DM21" s="370"/>
      <c r="DN21" s="367"/>
      <c r="DO21" s="368"/>
      <c r="DP21" s="367"/>
      <c r="DQ21" s="368"/>
      <c r="DR21" s="369"/>
      <c r="DS21" s="370"/>
      <c r="DT21" s="367">
        <v>2</v>
      </c>
      <c r="DU21" s="368">
        <v>4798000</v>
      </c>
      <c r="DV21" s="367">
        <v>3</v>
      </c>
      <c r="DW21" s="368">
        <v>13397000</v>
      </c>
      <c r="DX21" s="369">
        <v>5</v>
      </c>
      <c r="DY21" s="370">
        <v>18195000</v>
      </c>
      <c r="DZ21" s="367">
        <v>1</v>
      </c>
      <c r="EA21" s="368">
        <v>2399000</v>
      </c>
      <c r="EB21" s="367">
        <v>3</v>
      </c>
      <c r="EC21" s="368">
        <v>18197000</v>
      </c>
      <c r="ED21" s="369">
        <v>4</v>
      </c>
      <c r="EE21" s="370">
        <v>20596000</v>
      </c>
      <c r="EF21" s="367">
        <v>83</v>
      </c>
      <c r="EG21" s="371">
        <v>338217000</v>
      </c>
    </row>
    <row r="22" spans="1:137" x14ac:dyDescent="0.2">
      <c r="A22" s="364"/>
      <c r="B22" s="365">
        <v>6190701</v>
      </c>
      <c r="C22" s="366" t="s">
        <v>369</v>
      </c>
      <c r="D22" s="367"/>
      <c r="E22" s="368"/>
      <c r="F22" s="367">
        <v>1</v>
      </c>
      <c r="G22" s="368">
        <v>3899000</v>
      </c>
      <c r="H22" s="369">
        <v>1</v>
      </c>
      <c r="I22" s="370">
        <v>3899000</v>
      </c>
      <c r="J22" s="367">
        <v>1</v>
      </c>
      <c r="K22" s="368">
        <v>2099000</v>
      </c>
      <c r="L22" s="367">
        <v>1</v>
      </c>
      <c r="M22" s="368">
        <v>3899000</v>
      </c>
      <c r="N22" s="369">
        <v>2</v>
      </c>
      <c r="O22" s="370">
        <v>5998000</v>
      </c>
      <c r="P22" s="367">
        <v>3</v>
      </c>
      <c r="Q22" s="368">
        <v>7697000</v>
      </c>
      <c r="R22" s="367"/>
      <c r="S22" s="368"/>
      <c r="T22" s="369">
        <v>3</v>
      </c>
      <c r="U22" s="370">
        <v>7697000</v>
      </c>
      <c r="V22" s="367"/>
      <c r="W22" s="368"/>
      <c r="X22" s="367"/>
      <c r="Y22" s="368"/>
      <c r="Z22" s="369"/>
      <c r="AA22" s="370"/>
      <c r="AB22" s="367">
        <v>3</v>
      </c>
      <c r="AC22" s="368">
        <v>7897000</v>
      </c>
      <c r="AD22" s="367">
        <v>1</v>
      </c>
      <c r="AE22" s="368">
        <v>3899000</v>
      </c>
      <c r="AF22" s="369">
        <v>4</v>
      </c>
      <c r="AG22" s="370">
        <v>11796000</v>
      </c>
      <c r="AH22" s="367"/>
      <c r="AI22" s="368"/>
      <c r="AJ22" s="367">
        <v>1</v>
      </c>
      <c r="AK22" s="368">
        <v>6899000</v>
      </c>
      <c r="AL22" s="369">
        <v>1</v>
      </c>
      <c r="AM22" s="370">
        <v>6899000</v>
      </c>
      <c r="AN22" s="367"/>
      <c r="AO22" s="368"/>
      <c r="AP22" s="367">
        <v>1</v>
      </c>
      <c r="AQ22" s="368">
        <v>3599000</v>
      </c>
      <c r="AR22" s="369">
        <v>1</v>
      </c>
      <c r="AS22" s="370">
        <v>3599000</v>
      </c>
      <c r="AT22" s="367"/>
      <c r="AU22" s="368"/>
      <c r="AV22" s="367">
        <v>1</v>
      </c>
      <c r="AW22" s="368">
        <v>5299000</v>
      </c>
      <c r="AX22" s="369">
        <v>1</v>
      </c>
      <c r="AY22" s="370">
        <v>5299000</v>
      </c>
      <c r="AZ22" s="367">
        <v>1</v>
      </c>
      <c r="BA22" s="368">
        <v>2099000</v>
      </c>
      <c r="BB22" s="367"/>
      <c r="BC22" s="368"/>
      <c r="BD22" s="369">
        <v>1</v>
      </c>
      <c r="BE22" s="370">
        <v>2099000</v>
      </c>
      <c r="BF22" s="367">
        <v>3</v>
      </c>
      <c r="BG22" s="368">
        <v>6597000</v>
      </c>
      <c r="BH22" s="367"/>
      <c r="BI22" s="368"/>
      <c r="BJ22" s="369">
        <v>3</v>
      </c>
      <c r="BK22" s="370">
        <v>6597000</v>
      </c>
      <c r="BL22" s="367">
        <v>3</v>
      </c>
      <c r="BM22" s="368">
        <v>6597000</v>
      </c>
      <c r="BN22" s="367"/>
      <c r="BO22" s="368"/>
      <c r="BP22" s="369">
        <v>3</v>
      </c>
      <c r="BQ22" s="370">
        <v>6597000</v>
      </c>
      <c r="BR22" s="367">
        <v>1</v>
      </c>
      <c r="BS22" s="368">
        <v>2399000</v>
      </c>
      <c r="BT22" s="367">
        <v>1</v>
      </c>
      <c r="BU22" s="368">
        <v>3899000</v>
      </c>
      <c r="BV22" s="369">
        <v>2</v>
      </c>
      <c r="BW22" s="370">
        <v>6298000</v>
      </c>
      <c r="BX22" s="367">
        <v>1</v>
      </c>
      <c r="BY22" s="368">
        <v>2299000</v>
      </c>
      <c r="BZ22" s="367"/>
      <c r="CA22" s="368"/>
      <c r="CB22" s="369">
        <v>1</v>
      </c>
      <c r="CC22" s="370">
        <v>2299000</v>
      </c>
      <c r="CD22" s="367"/>
      <c r="CE22" s="368"/>
      <c r="CF22" s="367"/>
      <c r="CG22" s="368"/>
      <c r="CH22" s="369"/>
      <c r="CI22" s="370"/>
      <c r="CJ22" s="367"/>
      <c r="CK22" s="368"/>
      <c r="CL22" s="367">
        <v>1</v>
      </c>
      <c r="CM22" s="368">
        <v>3899000</v>
      </c>
      <c r="CN22" s="369">
        <v>1</v>
      </c>
      <c r="CO22" s="370">
        <v>3899000</v>
      </c>
      <c r="CP22" s="367">
        <v>1</v>
      </c>
      <c r="CQ22" s="368">
        <v>2399000</v>
      </c>
      <c r="CR22" s="367">
        <v>1</v>
      </c>
      <c r="CS22" s="368">
        <v>3899000</v>
      </c>
      <c r="CT22" s="369">
        <v>2</v>
      </c>
      <c r="CU22" s="370">
        <v>6298000</v>
      </c>
      <c r="CV22" s="367">
        <v>1</v>
      </c>
      <c r="CW22" s="368">
        <v>2099000</v>
      </c>
      <c r="CX22" s="367"/>
      <c r="CY22" s="368"/>
      <c r="CZ22" s="369">
        <v>1</v>
      </c>
      <c r="DA22" s="370">
        <v>2099000</v>
      </c>
      <c r="DB22" s="367">
        <v>3</v>
      </c>
      <c r="DC22" s="368">
        <v>7797000</v>
      </c>
      <c r="DD22" s="367">
        <v>1</v>
      </c>
      <c r="DE22" s="368">
        <v>4299000</v>
      </c>
      <c r="DF22" s="369">
        <v>4</v>
      </c>
      <c r="DG22" s="370">
        <v>12096000</v>
      </c>
      <c r="DH22" s="367">
        <v>1</v>
      </c>
      <c r="DI22" s="368">
        <v>2299000</v>
      </c>
      <c r="DJ22" s="367"/>
      <c r="DK22" s="368"/>
      <c r="DL22" s="369">
        <v>1</v>
      </c>
      <c r="DM22" s="370">
        <v>2299000</v>
      </c>
      <c r="DN22" s="367"/>
      <c r="DO22" s="368"/>
      <c r="DP22" s="367">
        <v>1</v>
      </c>
      <c r="DQ22" s="368">
        <v>5699000</v>
      </c>
      <c r="DR22" s="369">
        <v>1</v>
      </c>
      <c r="DS22" s="370">
        <v>5699000</v>
      </c>
      <c r="DT22" s="367">
        <v>1</v>
      </c>
      <c r="DU22" s="368">
        <v>2099000</v>
      </c>
      <c r="DV22" s="367"/>
      <c r="DW22" s="368"/>
      <c r="DX22" s="369">
        <v>1</v>
      </c>
      <c r="DY22" s="370">
        <v>2099000</v>
      </c>
      <c r="DZ22" s="367">
        <v>1</v>
      </c>
      <c r="EA22" s="368">
        <v>2299000</v>
      </c>
      <c r="EB22" s="367"/>
      <c r="EC22" s="368"/>
      <c r="ED22" s="369">
        <v>1</v>
      </c>
      <c r="EE22" s="370">
        <v>2299000</v>
      </c>
      <c r="EF22" s="367">
        <v>35</v>
      </c>
      <c r="EG22" s="371">
        <v>105865000</v>
      </c>
    </row>
    <row r="23" spans="1:137" x14ac:dyDescent="0.2">
      <c r="A23" s="364"/>
      <c r="B23" s="365">
        <v>6190706</v>
      </c>
      <c r="C23" s="366" t="s">
        <v>370</v>
      </c>
      <c r="D23" s="367"/>
      <c r="E23" s="368"/>
      <c r="F23" s="367">
        <v>3</v>
      </c>
      <c r="G23" s="368">
        <v>16597000</v>
      </c>
      <c r="H23" s="369">
        <v>3</v>
      </c>
      <c r="I23" s="370">
        <v>16597000</v>
      </c>
      <c r="J23" s="367">
        <v>1</v>
      </c>
      <c r="K23" s="368">
        <v>2799000</v>
      </c>
      <c r="L23" s="367">
        <v>6</v>
      </c>
      <c r="M23" s="368">
        <v>35394000</v>
      </c>
      <c r="N23" s="369">
        <v>7</v>
      </c>
      <c r="O23" s="370">
        <v>38193000</v>
      </c>
      <c r="P23" s="367">
        <v>3</v>
      </c>
      <c r="Q23" s="368">
        <v>6897000</v>
      </c>
      <c r="R23" s="367">
        <v>1</v>
      </c>
      <c r="S23" s="368">
        <v>6899000</v>
      </c>
      <c r="T23" s="369">
        <v>4</v>
      </c>
      <c r="U23" s="370">
        <v>13796000</v>
      </c>
      <c r="V23" s="367"/>
      <c r="W23" s="368"/>
      <c r="X23" s="367"/>
      <c r="Y23" s="368"/>
      <c r="Z23" s="369"/>
      <c r="AA23" s="370"/>
      <c r="AB23" s="367">
        <v>8</v>
      </c>
      <c r="AC23" s="368">
        <v>19992000</v>
      </c>
      <c r="AD23" s="367">
        <v>4</v>
      </c>
      <c r="AE23" s="368">
        <v>42196000</v>
      </c>
      <c r="AF23" s="369">
        <v>12</v>
      </c>
      <c r="AG23" s="370">
        <v>62188000</v>
      </c>
      <c r="AH23" s="367">
        <v>4</v>
      </c>
      <c r="AI23" s="368">
        <v>9396000</v>
      </c>
      <c r="AJ23" s="367">
        <v>3</v>
      </c>
      <c r="AK23" s="368">
        <v>17397000</v>
      </c>
      <c r="AL23" s="369">
        <v>7</v>
      </c>
      <c r="AM23" s="370">
        <v>26793000</v>
      </c>
      <c r="AN23" s="367">
        <v>3</v>
      </c>
      <c r="AO23" s="368">
        <v>7697000</v>
      </c>
      <c r="AP23" s="367">
        <v>3</v>
      </c>
      <c r="AQ23" s="368">
        <v>41497000</v>
      </c>
      <c r="AR23" s="369">
        <v>6</v>
      </c>
      <c r="AS23" s="370">
        <v>49194000</v>
      </c>
      <c r="AT23" s="367">
        <v>3</v>
      </c>
      <c r="AU23" s="368">
        <v>7797000</v>
      </c>
      <c r="AV23" s="367">
        <v>1</v>
      </c>
      <c r="AW23" s="368">
        <v>5499000</v>
      </c>
      <c r="AX23" s="369">
        <v>4</v>
      </c>
      <c r="AY23" s="370">
        <v>13296000</v>
      </c>
      <c r="AZ23" s="367">
        <v>1</v>
      </c>
      <c r="BA23" s="368">
        <v>2399000</v>
      </c>
      <c r="BB23" s="367"/>
      <c r="BC23" s="368"/>
      <c r="BD23" s="369">
        <v>1</v>
      </c>
      <c r="BE23" s="370">
        <v>2399000</v>
      </c>
      <c r="BF23" s="367">
        <v>3</v>
      </c>
      <c r="BG23" s="368">
        <v>7797000</v>
      </c>
      <c r="BH23" s="367">
        <v>2</v>
      </c>
      <c r="BI23" s="368">
        <v>12398000</v>
      </c>
      <c r="BJ23" s="369">
        <v>5</v>
      </c>
      <c r="BK23" s="370">
        <v>20195000</v>
      </c>
      <c r="BL23" s="367">
        <v>1</v>
      </c>
      <c r="BM23" s="368">
        <v>2299000</v>
      </c>
      <c r="BN23" s="367"/>
      <c r="BO23" s="368"/>
      <c r="BP23" s="369">
        <v>1</v>
      </c>
      <c r="BQ23" s="370">
        <v>2299000</v>
      </c>
      <c r="BR23" s="367">
        <v>1</v>
      </c>
      <c r="BS23" s="368">
        <v>2399000</v>
      </c>
      <c r="BT23" s="367">
        <v>2</v>
      </c>
      <c r="BU23" s="368">
        <v>11198000</v>
      </c>
      <c r="BV23" s="369">
        <v>3</v>
      </c>
      <c r="BW23" s="370">
        <v>13597000</v>
      </c>
      <c r="BX23" s="367">
        <v>2</v>
      </c>
      <c r="BY23" s="368">
        <v>4998000</v>
      </c>
      <c r="BZ23" s="367"/>
      <c r="CA23" s="368"/>
      <c r="CB23" s="369">
        <v>2</v>
      </c>
      <c r="CC23" s="370">
        <v>4998000</v>
      </c>
      <c r="CD23" s="367">
        <v>4</v>
      </c>
      <c r="CE23" s="368">
        <v>9796000</v>
      </c>
      <c r="CF23" s="367">
        <v>3</v>
      </c>
      <c r="CG23" s="368">
        <v>17297000</v>
      </c>
      <c r="CH23" s="369">
        <v>7</v>
      </c>
      <c r="CI23" s="370">
        <v>27093000</v>
      </c>
      <c r="CJ23" s="367">
        <v>2</v>
      </c>
      <c r="CK23" s="368">
        <v>5398000</v>
      </c>
      <c r="CL23" s="367">
        <v>3</v>
      </c>
      <c r="CM23" s="368">
        <v>14097000</v>
      </c>
      <c r="CN23" s="369">
        <v>5</v>
      </c>
      <c r="CO23" s="370">
        <v>19495000</v>
      </c>
      <c r="CP23" s="367">
        <v>3</v>
      </c>
      <c r="CQ23" s="368">
        <v>7997000</v>
      </c>
      <c r="CR23" s="367">
        <v>2</v>
      </c>
      <c r="CS23" s="368">
        <v>9298000</v>
      </c>
      <c r="CT23" s="369">
        <v>5</v>
      </c>
      <c r="CU23" s="370">
        <v>17295000</v>
      </c>
      <c r="CV23" s="367">
        <v>2</v>
      </c>
      <c r="CW23" s="368">
        <v>5598000</v>
      </c>
      <c r="CX23" s="367"/>
      <c r="CY23" s="368"/>
      <c r="CZ23" s="369">
        <v>2</v>
      </c>
      <c r="DA23" s="370">
        <v>5598000</v>
      </c>
      <c r="DB23" s="367">
        <v>2</v>
      </c>
      <c r="DC23" s="368">
        <v>5098000</v>
      </c>
      <c r="DD23" s="367">
        <v>3</v>
      </c>
      <c r="DE23" s="368">
        <v>14697000</v>
      </c>
      <c r="DF23" s="369">
        <v>5</v>
      </c>
      <c r="DG23" s="370">
        <v>19795000</v>
      </c>
      <c r="DH23" s="367">
        <v>3</v>
      </c>
      <c r="DI23" s="368">
        <v>6697000</v>
      </c>
      <c r="DJ23" s="367">
        <v>1</v>
      </c>
      <c r="DK23" s="368">
        <v>25999000</v>
      </c>
      <c r="DL23" s="369">
        <v>4</v>
      </c>
      <c r="DM23" s="370">
        <v>32696000</v>
      </c>
      <c r="DN23" s="367">
        <v>1</v>
      </c>
      <c r="DO23" s="368">
        <v>2099000</v>
      </c>
      <c r="DP23" s="367"/>
      <c r="DQ23" s="368"/>
      <c r="DR23" s="369">
        <v>1</v>
      </c>
      <c r="DS23" s="370">
        <v>2099000</v>
      </c>
      <c r="DT23" s="367">
        <v>4</v>
      </c>
      <c r="DU23" s="368">
        <v>9696000</v>
      </c>
      <c r="DV23" s="367">
        <v>3</v>
      </c>
      <c r="DW23" s="368">
        <v>23397000</v>
      </c>
      <c r="DX23" s="369">
        <v>7</v>
      </c>
      <c r="DY23" s="370">
        <v>33093000</v>
      </c>
      <c r="DZ23" s="367">
        <v>5</v>
      </c>
      <c r="EA23" s="368">
        <v>12295000</v>
      </c>
      <c r="EB23" s="367">
        <v>4</v>
      </c>
      <c r="EC23" s="368">
        <v>19196000</v>
      </c>
      <c r="ED23" s="369">
        <v>9</v>
      </c>
      <c r="EE23" s="370">
        <v>31491000</v>
      </c>
      <c r="EF23" s="367">
        <v>100</v>
      </c>
      <c r="EG23" s="371">
        <v>452200000</v>
      </c>
    </row>
    <row r="24" spans="1:137" x14ac:dyDescent="0.2">
      <c r="A24" s="364"/>
      <c r="B24" s="365">
        <v>6190705</v>
      </c>
      <c r="C24" s="366" t="s">
        <v>371</v>
      </c>
      <c r="D24" s="367"/>
      <c r="E24" s="368"/>
      <c r="F24" s="367"/>
      <c r="G24" s="368"/>
      <c r="H24" s="369"/>
      <c r="I24" s="370"/>
      <c r="J24" s="367"/>
      <c r="K24" s="368"/>
      <c r="L24" s="367"/>
      <c r="M24" s="368"/>
      <c r="N24" s="369"/>
      <c r="O24" s="370"/>
      <c r="P24" s="367"/>
      <c r="Q24" s="368"/>
      <c r="R24" s="367"/>
      <c r="S24" s="368"/>
      <c r="T24" s="369"/>
      <c r="U24" s="370"/>
      <c r="V24" s="367"/>
      <c r="W24" s="368"/>
      <c r="X24" s="367"/>
      <c r="Y24" s="368"/>
      <c r="Z24" s="369"/>
      <c r="AA24" s="370"/>
      <c r="AB24" s="367">
        <v>5</v>
      </c>
      <c r="AC24" s="368">
        <v>11995000</v>
      </c>
      <c r="AD24" s="367">
        <v>4</v>
      </c>
      <c r="AE24" s="368">
        <v>23396000</v>
      </c>
      <c r="AF24" s="369">
        <v>9</v>
      </c>
      <c r="AG24" s="370">
        <v>35391000</v>
      </c>
      <c r="AH24" s="367">
        <v>2</v>
      </c>
      <c r="AI24" s="368">
        <v>4398000</v>
      </c>
      <c r="AJ24" s="367"/>
      <c r="AK24" s="368"/>
      <c r="AL24" s="369">
        <v>2</v>
      </c>
      <c r="AM24" s="370">
        <v>4398000</v>
      </c>
      <c r="AN24" s="367"/>
      <c r="AO24" s="368"/>
      <c r="AP24" s="367">
        <v>1</v>
      </c>
      <c r="AQ24" s="368">
        <v>3899000</v>
      </c>
      <c r="AR24" s="369">
        <v>1</v>
      </c>
      <c r="AS24" s="370">
        <v>3899000</v>
      </c>
      <c r="AT24" s="367"/>
      <c r="AU24" s="368"/>
      <c r="AV24" s="367"/>
      <c r="AW24" s="368"/>
      <c r="AX24" s="369"/>
      <c r="AY24" s="370"/>
      <c r="AZ24" s="367"/>
      <c r="BA24" s="368"/>
      <c r="BB24" s="367"/>
      <c r="BC24" s="368"/>
      <c r="BD24" s="369"/>
      <c r="BE24" s="370"/>
      <c r="BF24" s="367"/>
      <c r="BG24" s="368"/>
      <c r="BH24" s="367"/>
      <c r="BI24" s="368"/>
      <c r="BJ24" s="369"/>
      <c r="BK24" s="370"/>
      <c r="BL24" s="367"/>
      <c r="BM24" s="368"/>
      <c r="BN24" s="367">
        <v>1</v>
      </c>
      <c r="BO24" s="368">
        <v>3899000</v>
      </c>
      <c r="BP24" s="369">
        <v>1</v>
      </c>
      <c r="BQ24" s="370">
        <v>3899000</v>
      </c>
      <c r="BR24" s="367"/>
      <c r="BS24" s="368"/>
      <c r="BT24" s="367">
        <v>2</v>
      </c>
      <c r="BU24" s="368">
        <v>7798000</v>
      </c>
      <c r="BV24" s="369">
        <v>2</v>
      </c>
      <c r="BW24" s="370">
        <v>7798000</v>
      </c>
      <c r="BX24" s="367"/>
      <c r="BY24" s="368"/>
      <c r="BZ24" s="367"/>
      <c r="CA24" s="368"/>
      <c r="CB24" s="369"/>
      <c r="CC24" s="370"/>
      <c r="CD24" s="367"/>
      <c r="CE24" s="368"/>
      <c r="CF24" s="367"/>
      <c r="CG24" s="368"/>
      <c r="CH24" s="369"/>
      <c r="CI24" s="370"/>
      <c r="CJ24" s="367">
        <v>1</v>
      </c>
      <c r="CK24" s="368">
        <v>2599000</v>
      </c>
      <c r="CL24" s="367">
        <v>1</v>
      </c>
      <c r="CM24" s="368">
        <v>4899000</v>
      </c>
      <c r="CN24" s="369">
        <v>2</v>
      </c>
      <c r="CO24" s="370">
        <v>7498000</v>
      </c>
      <c r="CP24" s="367"/>
      <c r="CQ24" s="368"/>
      <c r="CR24" s="367"/>
      <c r="CS24" s="368"/>
      <c r="CT24" s="369"/>
      <c r="CU24" s="370"/>
      <c r="CV24" s="367"/>
      <c r="CW24" s="368"/>
      <c r="CX24" s="367"/>
      <c r="CY24" s="368"/>
      <c r="CZ24" s="369"/>
      <c r="DA24" s="370"/>
      <c r="DB24" s="367"/>
      <c r="DC24" s="368"/>
      <c r="DD24" s="367"/>
      <c r="DE24" s="368"/>
      <c r="DF24" s="369"/>
      <c r="DG24" s="370"/>
      <c r="DH24" s="367">
        <v>1</v>
      </c>
      <c r="DI24" s="368">
        <v>2799000</v>
      </c>
      <c r="DJ24" s="367">
        <v>1</v>
      </c>
      <c r="DK24" s="368">
        <v>5499000</v>
      </c>
      <c r="DL24" s="369">
        <v>2</v>
      </c>
      <c r="DM24" s="370">
        <v>8298000</v>
      </c>
      <c r="DN24" s="367">
        <v>1</v>
      </c>
      <c r="DO24" s="368">
        <v>2399000</v>
      </c>
      <c r="DP24" s="367"/>
      <c r="DQ24" s="368"/>
      <c r="DR24" s="369">
        <v>1</v>
      </c>
      <c r="DS24" s="370">
        <v>2399000</v>
      </c>
      <c r="DT24" s="367">
        <v>2</v>
      </c>
      <c r="DU24" s="368">
        <v>4998000</v>
      </c>
      <c r="DV24" s="367"/>
      <c r="DW24" s="368"/>
      <c r="DX24" s="369">
        <v>2</v>
      </c>
      <c r="DY24" s="370">
        <v>4998000</v>
      </c>
      <c r="DZ24" s="367">
        <v>2</v>
      </c>
      <c r="EA24" s="368">
        <v>4798000</v>
      </c>
      <c r="EB24" s="367"/>
      <c r="EC24" s="368"/>
      <c r="ED24" s="369">
        <v>2</v>
      </c>
      <c r="EE24" s="370">
        <v>4798000</v>
      </c>
      <c r="EF24" s="367">
        <v>24</v>
      </c>
      <c r="EG24" s="371">
        <v>83376000</v>
      </c>
    </row>
    <row r="25" spans="1:137" x14ac:dyDescent="0.2">
      <c r="A25" s="364"/>
      <c r="B25" s="365">
        <v>6190707</v>
      </c>
      <c r="C25" s="366" t="s">
        <v>372</v>
      </c>
      <c r="D25" s="367">
        <v>3</v>
      </c>
      <c r="E25" s="368">
        <v>7897000</v>
      </c>
      <c r="F25" s="367">
        <v>1</v>
      </c>
      <c r="G25" s="368">
        <v>3899000</v>
      </c>
      <c r="H25" s="369">
        <v>4</v>
      </c>
      <c r="I25" s="370">
        <v>11796000</v>
      </c>
      <c r="J25" s="367">
        <v>2</v>
      </c>
      <c r="K25" s="368">
        <v>4498000</v>
      </c>
      <c r="L25" s="367">
        <v>4</v>
      </c>
      <c r="M25" s="368">
        <v>20396000</v>
      </c>
      <c r="N25" s="369">
        <v>6</v>
      </c>
      <c r="O25" s="370">
        <v>24894000</v>
      </c>
      <c r="P25" s="367">
        <v>13</v>
      </c>
      <c r="Q25" s="368">
        <v>32287000</v>
      </c>
      <c r="R25" s="367">
        <v>1</v>
      </c>
      <c r="S25" s="368">
        <v>6899000</v>
      </c>
      <c r="T25" s="369">
        <v>14</v>
      </c>
      <c r="U25" s="370">
        <v>39186000</v>
      </c>
      <c r="V25" s="367"/>
      <c r="W25" s="368"/>
      <c r="X25" s="367"/>
      <c r="Y25" s="368"/>
      <c r="Z25" s="369"/>
      <c r="AA25" s="370"/>
      <c r="AB25" s="367">
        <v>4</v>
      </c>
      <c r="AC25" s="368">
        <v>9296000</v>
      </c>
      <c r="AD25" s="367">
        <v>1</v>
      </c>
      <c r="AE25" s="368">
        <v>5499000</v>
      </c>
      <c r="AF25" s="369">
        <v>5</v>
      </c>
      <c r="AG25" s="370">
        <v>14795000</v>
      </c>
      <c r="AH25" s="367">
        <v>1</v>
      </c>
      <c r="AI25" s="368">
        <v>2599000</v>
      </c>
      <c r="AJ25" s="367">
        <v>4</v>
      </c>
      <c r="AK25" s="368">
        <v>22196000</v>
      </c>
      <c r="AL25" s="369">
        <v>5</v>
      </c>
      <c r="AM25" s="370">
        <v>24795000</v>
      </c>
      <c r="AN25" s="367">
        <v>3</v>
      </c>
      <c r="AO25" s="368">
        <v>7497000</v>
      </c>
      <c r="AP25" s="367"/>
      <c r="AQ25" s="368"/>
      <c r="AR25" s="369">
        <v>3</v>
      </c>
      <c r="AS25" s="370">
        <v>7497000</v>
      </c>
      <c r="AT25" s="367">
        <v>2</v>
      </c>
      <c r="AU25" s="368">
        <v>5598000</v>
      </c>
      <c r="AV25" s="367">
        <v>2</v>
      </c>
      <c r="AW25" s="368">
        <v>17498000</v>
      </c>
      <c r="AX25" s="369">
        <v>4</v>
      </c>
      <c r="AY25" s="370">
        <v>23096000</v>
      </c>
      <c r="AZ25" s="367">
        <v>1</v>
      </c>
      <c r="BA25" s="368">
        <v>2599000</v>
      </c>
      <c r="BB25" s="367"/>
      <c r="BC25" s="368"/>
      <c r="BD25" s="369">
        <v>1</v>
      </c>
      <c r="BE25" s="370">
        <v>2599000</v>
      </c>
      <c r="BF25" s="367">
        <v>2</v>
      </c>
      <c r="BG25" s="368">
        <v>4698000</v>
      </c>
      <c r="BH25" s="367">
        <v>4</v>
      </c>
      <c r="BI25" s="368">
        <v>28796000</v>
      </c>
      <c r="BJ25" s="369">
        <v>6</v>
      </c>
      <c r="BK25" s="370">
        <v>33494000</v>
      </c>
      <c r="BL25" s="367">
        <v>1</v>
      </c>
      <c r="BM25" s="368">
        <v>2299000</v>
      </c>
      <c r="BN25" s="367">
        <v>2</v>
      </c>
      <c r="BO25" s="368">
        <v>15898000</v>
      </c>
      <c r="BP25" s="369">
        <v>3</v>
      </c>
      <c r="BQ25" s="370">
        <v>18197000</v>
      </c>
      <c r="BR25" s="367">
        <v>2</v>
      </c>
      <c r="BS25" s="368">
        <v>4698000</v>
      </c>
      <c r="BT25" s="367"/>
      <c r="BU25" s="368"/>
      <c r="BV25" s="369">
        <v>2</v>
      </c>
      <c r="BW25" s="370">
        <v>4698000</v>
      </c>
      <c r="BX25" s="367">
        <v>2</v>
      </c>
      <c r="BY25" s="368">
        <v>4698000</v>
      </c>
      <c r="BZ25" s="367">
        <v>1</v>
      </c>
      <c r="CA25" s="368">
        <v>3899000</v>
      </c>
      <c r="CB25" s="369">
        <v>3</v>
      </c>
      <c r="CC25" s="370">
        <v>8597000</v>
      </c>
      <c r="CD25" s="367">
        <v>5</v>
      </c>
      <c r="CE25" s="368">
        <v>12395000</v>
      </c>
      <c r="CF25" s="367"/>
      <c r="CG25" s="368"/>
      <c r="CH25" s="369">
        <v>5</v>
      </c>
      <c r="CI25" s="370">
        <v>12395000</v>
      </c>
      <c r="CJ25" s="367">
        <v>2</v>
      </c>
      <c r="CK25" s="368">
        <v>4898000</v>
      </c>
      <c r="CL25" s="367">
        <v>2</v>
      </c>
      <c r="CM25" s="368">
        <v>11198000</v>
      </c>
      <c r="CN25" s="369">
        <v>4</v>
      </c>
      <c r="CO25" s="370">
        <v>16096000</v>
      </c>
      <c r="CP25" s="367">
        <v>1</v>
      </c>
      <c r="CQ25" s="368">
        <v>2299000</v>
      </c>
      <c r="CR25" s="367">
        <v>4</v>
      </c>
      <c r="CS25" s="368">
        <v>28496000</v>
      </c>
      <c r="CT25" s="369">
        <v>5</v>
      </c>
      <c r="CU25" s="370">
        <v>30795000</v>
      </c>
      <c r="CV25" s="367">
        <v>1</v>
      </c>
      <c r="CW25" s="368">
        <v>2099000</v>
      </c>
      <c r="CX25" s="367">
        <v>1</v>
      </c>
      <c r="CY25" s="368">
        <v>5899000</v>
      </c>
      <c r="CZ25" s="369">
        <v>2</v>
      </c>
      <c r="DA25" s="370">
        <v>7998000</v>
      </c>
      <c r="DB25" s="367">
        <v>2</v>
      </c>
      <c r="DC25" s="368">
        <v>5198000</v>
      </c>
      <c r="DD25" s="367">
        <v>1</v>
      </c>
      <c r="DE25" s="368">
        <v>5899000</v>
      </c>
      <c r="DF25" s="369">
        <v>3</v>
      </c>
      <c r="DG25" s="370">
        <v>11097000</v>
      </c>
      <c r="DH25" s="367">
        <v>2</v>
      </c>
      <c r="DI25" s="368">
        <v>5098000</v>
      </c>
      <c r="DJ25" s="367"/>
      <c r="DK25" s="368"/>
      <c r="DL25" s="369">
        <v>2</v>
      </c>
      <c r="DM25" s="370">
        <v>5098000</v>
      </c>
      <c r="DN25" s="367">
        <v>1</v>
      </c>
      <c r="DO25" s="368">
        <v>2399000</v>
      </c>
      <c r="DP25" s="367"/>
      <c r="DQ25" s="368"/>
      <c r="DR25" s="369">
        <v>1</v>
      </c>
      <c r="DS25" s="370">
        <v>2399000</v>
      </c>
      <c r="DT25" s="367">
        <v>3</v>
      </c>
      <c r="DU25" s="368">
        <v>7997000</v>
      </c>
      <c r="DV25" s="367">
        <v>2</v>
      </c>
      <c r="DW25" s="368">
        <v>9798000</v>
      </c>
      <c r="DX25" s="369">
        <v>5</v>
      </c>
      <c r="DY25" s="370">
        <v>17795000</v>
      </c>
      <c r="DZ25" s="367">
        <v>5</v>
      </c>
      <c r="EA25" s="368">
        <v>13095000</v>
      </c>
      <c r="EB25" s="367"/>
      <c r="EC25" s="368"/>
      <c r="ED25" s="369">
        <v>5</v>
      </c>
      <c r="EE25" s="370">
        <v>13095000</v>
      </c>
      <c r="EF25" s="367">
        <v>88</v>
      </c>
      <c r="EG25" s="371">
        <v>330412000</v>
      </c>
    </row>
    <row r="26" spans="1:137" x14ac:dyDescent="0.2">
      <c r="A26" s="372"/>
      <c r="B26" s="365">
        <v>6190708</v>
      </c>
      <c r="C26" s="366" t="s">
        <v>97</v>
      </c>
      <c r="D26" s="367"/>
      <c r="E26" s="368"/>
      <c r="F26" s="367"/>
      <c r="G26" s="368"/>
      <c r="H26" s="369"/>
      <c r="I26" s="370"/>
      <c r="J26" s="367"/>
      <c r="K26" s="368"/>
      <c r="L26" s="367"/>
      <c r="M26" s="368"/>
      <c r="N26" s="369"/>
      <c r="O26" s="370"/>
      <c r="P26" s="367"/>
      <c r="Q26" s="368"/>
      <c r="R26" s="367">
        <v>1</v>
      </c>
      <c r="S26" s="368">
        <v>9999000</v>
      </c>
      <c r="T26" s="369">
        <v>1</v>
      </c>
      <c r="U26" s="370">
        <v>9999000</v>
      </c>
      <c r="V26" s="367"/>
      <c r="W26" s="368"/>
      <c r="X26" s="367"/>
      <c r="Y26" s="368"/>
      <c r="Z26" s="369"/>
      <c r="AA26" s="370"/>
      <c r="AB26" s="367"/>
      <c r="AC26" s="368"/>
      <c r="AD26" s="367"/>
      <c r="AE26" s="368"/>
      <c r="AF26" s="369"/>
      <c r="AG26" s="370"/>
      <c r="AH26" s="367"/>
      <c r="AI26" s="368"/>
      <c r="AJ26" s="367"/>
      <c r="AK26" s="368"/>
      <c r="AL26" s="369"/>
      <c r="AM26" s="370"/>
      <c r="AN26" s="367"/>
      <c r="AO26" s="368"/>
      <c r="AP26" s="367">
        <v>1</v>
      </c>
      <c r="AQ26" s="368">
        <v>4299000</v>
      </c>
      <c r="AR26" s="369">
        <v>1</v>
      </c>
      <c r="AS26" s="370">
        <v>4299000</v>
      </c>
      <c r="AT26" s="367">
        <v>1</v>
      </c>
      <c r="AU26" s="368">
        <v>2799000</v>
      </c>
      <c r="AV26" s="367"/>
      <c r="AW26" s="368"/>
      <c r="AX26" s="369">
        <v>1</v>
      </c>
      <c r="AY26" s="370">
        <v>2799000</v>
      </c>
      <c r="AZ26" s="367">
        <v>1</v>
      </c>
      <c r="BA26" s="368">
        <v>2399000</v>
      </c>
      <c r="BB26" s="367"/>
      <c r="BC26" s="368"/>
      <c r="BD26" s="369">
        <v>1</v>
      </c>
      <c r="BE26" s="370">
        <v>2399000</v>
      </c>
      <c r="BF26" s="367"/>
      <c r="BG26" s="368"/>
      <c r="BH26" s="367"/>
      <c r="BI26" s="368"/>
      <c r="BJ26" s="369"/>
      <c r="BK26" s="370"/>
      <c r="BL26" s="367"/>
      <c r="BM26" s="368"/>
      <c r="BN26" s="367"/>
      <c r="BO26" s="368"/>
      <c r="BP26" s="369"/>
      <c r="BQ26" s="370"/>
      <c r="BR26" s="367"/>
      <c r="BS26" s="368"/>
      <c r="BT26" s="367"/>
      <c r="BU26" s="368"/>
      <c r="BV26" s="369"/>
      <c r="BW26" s="370"/>
      <c r="BX26" s="367"/>
      <c r="BY26" s="368"/>
      <c r="BZ26" s="367">
        <v>1</v>
      </c>
      <c r="CA26" s="368">
        <v>3899000</v>
      </c>
      <c r="CB26" s="369">
        <v>1</v>
      </c>
      <c r="CC26" s="370">
        <v>3899000</v>
      </c>
      <c r="CD26" s="367"/>
      <c r="CE26" s="368"/>
      <c r="CF26" s="367"/>
      <c r="CG26" s="368"/>
      <c r="CH26" s="369"/>
      <c r="CI26" s="370"/>
      <c r="CJ26" s="367">
        <v>1</v>
      </c>
      <c r="CK26" s="368">
        <v>2799000</v>
      </c>
      <c r="CL26" s="367"/>
      <c r="CM26" s="368"/>
      <c r="CN26" s="369">
        <v>1</v>
      </c>
      <c r="CO26" s="370">
        <v>2799000</v>
      </c>
      <c r="CP26" s="367"/>
      <c r="CQ26" s="368"/>
      <c r="CR26" s="367"/>
      <c r="CS26" s="368"/>
      <c r="CT26" s="369"/>
      <c r="CU26" s="370"/>
      <c r="CV26" s="367"/>
      <c r="CW26" s="368"/>
      <c r="CX26" s="367"/>
      <c r="CY26" s="368"/>
      <c r="CZ26" s="369"/>
      <c r="DA26" s="370"/>
      <c r="DB26" s="367">
        <v>4</v>
      </c>
      <c r="DC26" s="368">
        <v>10196000</v>
      </c>
      <c r="DD26" s="367"/>
      <c r="DE26" s="368"/>
      <c r="DF26" s="369">
        <v>4</v>
      </c>
      <c r="DG26" s="370">
        <v>10196000</v>
      </c>
      <c r="DH26" s="367"/>
      <c r="DI26" s="368"/>
      <c r="DJ26" s="367"/>
      <c r="DK26" s="368"/>
      <c r="DL26" s="369"/>
      <c r="DM26" s="370"/>
      <c r="DN26" s="367"/>
      <c r="DO26" s="368"/>
      <c r="DP26" s="367"/>
      <c r="DQ26" s="368"/>
      <c r="DR26" s="369"/>
      <c r="DS26" s="370"/>
      <c r="DT26" s="367">
        <v>1</v>
      </c>
      <c r="DU26" s="368">
        <v>2099000</v>
      </c>
      <c r="DV26" s="367"/>
      <c r="DW26" s="368"/>
      <c r="DX26" s="369">
        <v>1</v>
      </c>
      <c r="DY26" s="370">
        <v>2099000</v>
      </c>
      <c r="DZ26" s="367">
        <v>1</v>
      </c>
      <c r="EA26" s="368">
        <v>2399000</v>
      </c>
      <c r="EB26" s="367"/>
      <c r="EC26" s="368"/>
      <c r="ED26" s="369">
        <v>1</v>
      </c>
      <c r="EE26" s="370">
        <v>2399000</v>
      </c>
      <c r="EF26" s="367">
        <v>12</v>
      </c>
      <c r="EG26" s="371">
        <v>40888000</v>
      </c>
    </row>
    <row r="27" spans="1:137" x14ac:dyDescent="0.2">
      <c r="A27" s="364" t="s">
        <v>68</v>
      </c>
      <c r="B27" s="365">
        <v>6180706</v>
      </c>
      <c r="C27" s="366" t="s">
        <v>373</v>
      </c>
      <c r="D27" s="367">
        <v>2</v>
      </c>
      <c r="E27" s="368">
        <v>4698000</v>
      </c>
      <c r="F27" s="367">
        <v>1</v>
      </c>
      <c r="G27" s="368">
        <v>9999000</v>
      </c>
      <c r="H27" s="369">
        <v>3</v>
      </c>
      <c r="I27" s="370">
        <v>14697000</v>
      </c>
      <c r="J27" s="367">
        <v>3</v>
      </c>
      <c r="K27" s="368">
        <v>6797000</v>
      </c>
      <c r="L27" s="367">
        <v>3</v>
      </c>
      <c r="M27" s="368">
        <v>16897000</v>
      </c>
      <c r="N27" s="369">
        <v>6</v>
      </c>
      <c r="O27" s="370">
        <v>23694000</v>
      </c>
      <c r="P27" s="367">
        <v>10</v>
      </c>
      <c r="Q27" s="368">
        <v>23090000</v>
      </c>
      <c r="R27" s="367">
        <v>2</v>
      </c>
      <c r="S27" s="368">
        <v>17998000</v>
      </c>
      <c r="T27" s="369">
        <v>12</v>
      </c>
      <c r="U27" s="370">
        <v>41088000</v>
      </c>
      <c r="V27" s="367"/>
      <c r="W27" s="368"/>
      <c r="X27" s="367"/>
      <c r="Y27" s="368"/>
      <c r="Z27" s="369"/>
      <c r="AA27" s="370"/>
      <c r="AB27" s="367">
        <v>1</v>
      </c>
      <c r="AC27" s="368">
        <v>2299000</v>
      </c>
      <c r="AD27" s="367">
        <v>2</v>
      </c>
      <c r="AE27" s="368">
        <v>11898000</v>
      </c>
      <c r="AF27" s="369">
        <v>3</v>
      </c>
      <c r="AG27" s="370">
        <v>14197000</v>
      </c>
      <c r="AH27" s="367">
        <v>2</v>
      </c>
      <c r="AI27" s="368">
        <v>4198000</v>
      </c>
      <c r="AJ27" s="367">
        <v>2</v>
      </c>
      <c r="AK27" s="368">
        <v>9998000</v>
      </c>
      <c r="AL27" s="369">
        <v>4</v>
      </c>
      <c r="AM27" s="370">
        <v>14196000</v>
      </c>
      <c r="AN27" s="367">
        <v>2</v>
      </c>
      <c r="AO27" s="368">
        <v>4898000</v>
      </c>
      <c r="AP27" s="367">
        <v>2</v>
      </c>
      <c r="AQ27" s="368">
        <v>9398000</v>
      </c>
      <c r="AR27" s="369">
        <v>4</v>
      </c>
      <c r="AS27" s="370">
        <v>14296000</v>
      </c>
      <c r="AT27" s="367">
        <v>2</v>
      </c>
      <c r="AU27" s="368">
        <v>4698000</v>
      </c>
      <c r="AV27" s="367">
        <v>1</v>
      </c>
      <c r="AW27" s="368">
        <v>6899000</v>
      </c>
      <c r="AX27" s="369">
        <v>3</v>
      </c>
      <c r="AY27" s="370">
        <v>11597000</v>
      </c>
      <c r="AZ27" s="367">
        <v>2</v>
      </c>
      <c r="BA27" s="368">
        <v>5198000</v>
      </c>
      <c r="BB27" s="367"/>
      <c r="BC27" s="368"/>
      <c r="BD27" s="369">
        <v>2</v>
      </c>
      <c r="BE27" s="370">
        <v>5198000</v>
      </c>
      <c r="BF27" s="367">
        <v>2</v>
      </c>
      <c r="BG27" s="368">
        <v>4898000</v>
      </c>
      <c r="BH27" s="367">
        <v>2</v>
      </c>
      <c r="BI27" s="368">
        <v>7498000</v>
      </c>
      <c r="BJ27" s="369">
        <v>4</v>
      </c>
      <c r="BK27" s="370">
        <v>12396000</v>
      </c>
      <c r="BL27" s="367"/>
      <c r="BM27" s="368"/>
      <c r="BN27" s="367"/>
      <c r="BO27" s="368"/>
      <c r="BP27" s="369"/>
      <c r="BQ27" s="370"/>
      <c r="BR27" s="367"/>
      <c r="BS27" s="368"/>
      <c r="BT27" s="367">
        <v>2</v>
      </c>
      <c r="BU27" s="368">
        <v>13698000</v>
      </c>
      <c r="BV27" s="369">
        <v>2</v>
      </c>
      <c r="BW27" s="370">
        <v>13698000</v>
      </c>
      <c r="BX27" s="367">
        <v>2</v>
      </c>
      <c r="BY27" s="368">
        <v>4198000</v>
      </c>
      <c r="BZ27" s="367">
        <v>6</v>
      </c>
      <c r="CA27" s="368">
        <v>31794000</v>
      </c>
      <c r="CB27" s="369">
        <v>8</v>
      </c>
      <c r="CC27" s="370">
        <v>35992000</v>
      </c>
      <c r="CD27" s="367">
        <v>2</v>
      </c>
      <c r="CE27" s="368">
        <v>5198000</v>
      </c>
      <c r="CF27" s="367">
        <v>3</v>
      </c>
      <c r="CG27" s="368">
        <v>17297000</v>
      </c>
      <c r="CH27" s="369">
        <v>5</v>
      </c>
      <c r="CI27" s="370">
        <v>22495000</v>
      </c>
      <c r="CJ27" s="367">
        <v>4</v>
      </c>
      <c r="CK27" s="368">
        <v>10096000</v>
      </c>
      <c r="CL27" s="367">
        <v>3</v>
      </c>
      <c r="CM27" s="368">
        <v>17697000</v>
      </c>
      <c r="CN27" s="369">
        <v>7</v>
      </c>
      <c r="CO27" s="370">
        <v>27793000</v>
      </c>
      <c r="CP27" s="367">
        <v>2</v>
      </c>
      <c r="CQ27" s="368">
        <v>4898000</v>
      </c>
      <c r="CR27" s="367">
        <v>1</v>
      </c>
      <c r="CS27" s="368">
        <v>7999000</v>
      </c>
      <c r="CT27" s="369">
        <v>3</v>
      </c>
      <c r="CU27" s="370">
        <v>12897000</v>
      </c>
      <c r="CV27" s="367"/>
      <c r="CW27" s="368"/>
      <c r="CX27" s="367">
        <v>1</v>
      </c>
      <c r="CY27" s="368">
        <v>3599000</v>
      </c>
      <c r="CZ27" s="369">
        <v>1</v>
      </c>
      <c r="DA27" s="370">
        <v>3599000</v>
      </c>
      <c r="DB27" s="367">
        <v>1</v>
      </c>
      <c r="DC27" s="368">
        <v>2399000</v>
      </c>
      <c r="DD27" s="367">
        <v>1</v>
      </c>
      <c r="DE27" s="368">
        <v>5499000</v>
      </c>
      <c r="DF27" s="369">
        <v>2</v>
      </c>
      <c r="DG27" s="370">
        <v>7898000</v>
      </c>
      <c r="DH27" s="367">
        <v>2</v>
      </c>
      <c r="DI27" s="368">
        <v>4698000</v>
      </c>
      <c r="DJ27" s="367"/>
      <c r="DK27" s="368"/>
      <c r="DL27" s="369">
        <v>2</v>
      </c>
      <c r="DM27" s="370">
        <v>4698000</v>
      </c>
      <c r="DN27" s="367">
        <v>1</v>
      </c>
      <c r="DO27" s="368">
        <v>2799000</v>
      </c>
      <c r="DP27" s="367">
        <v>2</v>
      </c>
      <c r="DQ27" s="368">
        <v>11398000</v>
      </c>
      <c r="DR27" s="369">
        <v>3</v>
      </c>
      <c r="DS27" s="370">
        <v>14197000</v>
      </c>
      <c r="DT27" s="367">
        <v>2</v>
      </c>
      <c r="DU27" s="368">
        <v>4498000</v>
      </c>
      <c r="DV27" s="367">
        <v>2</v>
      </c>
      <c r="DW27" s="368">
        <v>7898000</v>
      </c>
      <c r="DX27" s="369">
        <v>4</v>
      </c>
      <c r="DY27" s="370">
        <v>12396000</v>
      </c>
      <c r="DZ27" s="367">
        <v>2</v>
      </c>
      <c r="EA27" s="368">
        <v>5398000</v>
      </c>
      <c r="EB27" s="367">
        <v>2</v>
      </c>
      <c r="EC27" s="368">
        <v>9498000</v>
      </c>
      <c r="ED27" s="369">
        <v>4</v>
      </c>
      <c r="EE27" s="370">
        <v>14896000</v>
      </c>
      <c r="EF27" s="367">
        <v>82</v>
      </c>
      <c r="EG27" s="371">
        <v>321918000</v>
      </c>
    </row>
    <row r="28" spans="1:137" x14ac:dyDescent="0.2">
      <c r="A28" s="372"/>
      <c r="B28" s="365">
        <v>6180707</v>
      </c>
      <c r="C28" s="366" t="s">
        <v>374</v>
      </c>
      <c r="D28" s="367"/>
      <c r="E28" s="368"/>
      <c r="F28" s="367"/>
      <c r="G28" s="368"/>
      <c r="H28" s="369"/>
      <c r="I28" s="370"/>
      <c r="J28" s="367"/>
      <c r="K28" s="368"/>
      <c r="L28" s="367">
        <v>1</v>
      </c>
      <c r="M28" s="368">
        <v>4899000</v>
      </c>
      <c r="N28" s="369">
        <v>1</v>
      </c>
      <c r="O28" s="370">
        <v>4899000</v>
      </c>
      <c r="P28" s="367">
        <v>1</v>
      </c>
      <c r="Q28" s="368">
        <v>2799000</v>
      </c>
      <c r="R28" s="367"/>
      <c r="S28" s="368"/>
      <c r="T28" s="369">
        <v>1</v>
      </c>
      <c r="U28" s="370">
        <v>2799000</v>
      </c>
      <c r="V28" s="367"/>
      <c r="W28" s="368"/>
      <c r="X28" s="367"/>
      <c r="Y28" s="368"/>
      <c r="Z28" s="369"/>
      <c r="AA28" s="370"/>
      <c r="AB28" s="367"/>
      <c r="AC28" s="368"/>
      <c r="AD28" s="367"/>
      <c r="AE28" s="368"/>
      <c r="AF28" s="369"/>
      <c r="AG28" s="370"/>
      <c r="AH28" s="367">
        <v>1</v>
      </c>
      <c r="AI28" s="368">
        <v>2399000</v>
      </c>
      <c r="AJ28" s="367">
        <v>1</v>
      </c>
      <c r="AK28" s="368">
        <v>3599000</v>
      </c>
      <c r="AL28" s="369">
        <v>2</v>
      </c>
      <c r="AM28" s="370">
        <v>5998000</v>
      </c>
      <c r="AN28" s="367">
        <v>1</v>
      </c>
      <c r="AO28" s="368">
        <v>2399000</v>
      </c>
      <c r="AP28" s="367"/>
      <c r="AQ28" s="368"/>
      <c r="AR28" s="369">
        <v>1</v>
      </c>
      <c r="AS28" s="370">
        <v>2399000</v>
      </c>
      <c r="AT28" s="367">
        <v>1</v>
      </c>
      <c r="AU28" s="368">
        <v>2799000</v>
      </c>
      <c r="AV28" s="367"/>
      <c r="AW28" s="368"/>
      <c r="AX28" s="369">
        <v>1</v>
      </c>
      <c r="AY28" s="370">
        <v>2799000</v>
      </c>
      <c r="AZ28" s="367"/>
      <c r="BA28" s="368"/>
      <c r="BB28" s="367"/>
      <c r="BC28" s="368"/>
      <c r="BD28" s="369"/>
      <c r="BE28" s="370"/>
      <c r="BF28" s="367"/>
      <c r="BG28" s="368"/>
      <c r="BH28" s="367"/>
      <c r="BI28" s="368"/>
      <c r="BJ28" s="369"/>
      <c r="BK28" s="370"/>
      <c r="BL28" s="367"/>
      <c r="BM28" s="368"/>
      <c r="BN28" s="367"/>
      <c r="BO28" s="368"/>
      <c r="BP28" s="369"/>
      <c r="BQ28" s="370"/>
      <c r="BR28" s="367">
        <v>2</v>
      </c>
      <c r="BS28" s="368">
        <v>4898000</v>
      </c>
      <c r="BT28" s="367">
        <v>2</v>
      </c>
      <c r="BU28" s="368">
        <v>13998000</v>
      </c>
      <c r="BV28" s="369">
        <v>4</v>
      </c>
      <c r="BW28" s="370">
        <v>18896000</v>
      </c>
      <c r="BX28" s="367"/>
      <c r="BY28" s="368"/>
      <c r="BZ28" s="367"/>
      <c r="CA28" s="368"/>
      <c r="CB28" s="369"/>
      <c r="CC28" s="370"/>
      <c r="CD28" s="367"/>
      <c r="CE28" s="368"/>
      <c r="CF28" s="367"/>
      <c r="CG28" s="368"/>
      <c r="CH28" s="369"/>
      <c r="CI28" s="370"/>
      <c r="CJ28" s="367">
        <v>1</v>
      </c>
      <c r="CK28" s="368">
        <v>2599000</v>
      </c>
      <c r="CL28" s="367"/>
      <c r="CM28" s="368"/>
      <c r="CN28" s="369">
        <v>1</v>
      </c>
      <c r="CO28" s="370">
        <v>2599000</v>
      </c>
      <c r="CP28" s="367">
        <v>1</v>
      </c>
      <c r="CQ28" s="368">
        <v>2799000</v>
      </c>
      <c r="CR28" s="367">
        <v>1</v>
      </c>
      <c r="CS28" s="368">
        <v>7999000</v>
      </c>
      <c r="CT28" s="369">
        <v>2</v>
      </c>
      <c r="CU28" s="370">
        <v>10798000</v>
      </c>
      <c r="CV28" s="367"/>
      <c r="CW28" s="368"/>
      <c r="CX28" s="367"/>
      <c r="CY28" s="368"/>
      <c r="CZ28" s="369"/>
      <c r="DA28" s="370"/>
      <c r="DB28" s="367"/>
      <c r="DC28" s="368"/>
      <c r="DD28" s="367"/>
      <c r="DE28" s="368"/>
      <c r="DF28" s="369"/>
      <c r="DG28" s="370"/>
      <c r="DH28" s="367"/>
      <c r="DI28" s="368"/>
      <c r="DJ28" s="367"/>
      <c r="DK28" s="368"/>
      <c r="DL28" s="369"/>
      <c r="DM28" s="370"/>
      <c r="DN28" s="367"/>
      <c r="DO28" s="368"/>
      <c r="DP28" s="367">
        <v>1</v>
      </c>
      <c r="DQ28" s="368">
        <v>5899000</v>
      </c>
      <c r="DR28" s="369">
        <v>1</v>
      </c>
      <c r="DS28" s="370">
        <v>5899000</v>
      </c>
      <c r="DT28" s="367"/>
      <c r="DU28" s="368"/>
      <c r="DV28" s="367">
        <v>2</v>
      </c>
      <c r="DW28" s="368">
        <v>8498000</v>
      </c>
      <c r="DX28" s="369">
        <v>2</v>
      </c>
      <c r="DY28" s="370">
        <v>8498000</v>
      </c>
      <c r="DZ28" s="367"/>
      <c r="EA28" s="368"/>
      <c r="EB28" s="367"/>
      <c r="EC28" s="368"/>
      <c r="ED28" s="369"/>
      <c r="EE28" s="370"/>
      <c r="EF28" s="367">
        <v>16</v>
      </c>
      <c r="EG28" s="371">
        <v>65584000</v>
      </c>
    </row>
    <row r="29" spans="1:137" x14ac:dyDescent="0.2">
      <c r="A29" s="364" t="s">
        <v>104</v>
      </c>
      <c r="B29" s="365">
        <v>6130702</v>
      </c>
      <c r="C29" s="366" t="s">
        <v>102</v>
      </c>
      <c r="D29" s="367">
        <v>1</v>
      </c>
      <c r="E29" s="368">
        <v>2299000</v>
      </c>
      <c r="F29" s="367"/>
      <c r="G29" s="368"/>
      <c r="H29" s="369">
        <v>1</v>
      </c>
      <c r="I29" s="370">
        <v>2299000</v>
      </c>
      <c r="J29" s="367"/>
      <c r="K29" s="368"/>
      <c r="L29" s="367">
        <v>4</v>
      </c>
      <c r="M29" s="368">
        <v>28396000</v>
      </c>
      <c r="N29" s="369">
        <v>4</v>
      </c>
      <c r="O29" s="370">
        <v>28396000</v>
      </c>
      <c r="P29" s="367">
        <v>1</v>
      </c>
      <c r="Q29" s="368">
        <v>2299000</v>
      </c>
      <c r="R29" s="367"/>
      <c r="S29" s="368"/>
      <c r="T29" s="369">
        <v>1</v>
      </c>
      <c r="U29" s="370">
        <v>2299000</v>
      </c>
      <c r="V29" s="367"/>
      <c r="W29" s="368"/>
      <c r="X29" s="367"/>
      <c r="Y29" s="368"/>
      <c r="Z29" s="369"/>
      <c r="AA29" s="370"/>
      <c r="AB29" s="367"/>
      <c r="AC29" s="368"/>
      <c r="AD29" s="367">
        <v>2</v>
      </c>
      <c r="AE29" s="368">
        <v>11898000</v>
      </c>
      <c r="AF29" s="369">
        <v>2</v>
      </c>
      <c r="AG29" s="370">
        <v>11898000</v>
      </c>
      <c r="AH29" s="367"/>
      <c r="AI29" s="368"/>
      <c r="AJ29" s="367">
        <v>3</v>
      </c>
      <c r="AK29" s="368">
        <v>30297000</v>
      </c>
      <c r="AL29" s="369">
        <v>3</v>
      </c>
      <c r="AM29" s="370">
        <v>30297000</v>
      </c>
      <c r="AN29" s="367"/>
      <c r="AO29" s="368"/>
      <c r="AP29" s="367"/>
      <c r="AQ29" s="368"/>
      <c r="AR29" s="369"/>
      <c r="AS29" s="370"/>
      <c r="AT29" s="367">
        <v>1</v>
      </c>
      <c r="AU29" s="368">
        <v>2799000</v>
      </c>
      <c r="AV29" s="367">
        <v>1</v>
      </c>
      <c r="AW29" s="368">
        <v>6999000</v>
      </c>
      <c r="AX29" s="369">
        <v>2</v>
      </c>
      <c r="AY29" s="370">
        <v>9798000</v>
      </c>
      <c r="AZ29" s="367"/>
      <c r="BA29" s="368"/>
      <c r="BB29" s="367">
        <v>1</v>
      </c>
      <c r="BC29" s="368">
        <v>3899000</v>
      </c>
      <c r="BD29" s="369">
        <v>1</v>
      </c>
      <c r="BE29" s="370">
        <v>3899000</v>
      </c>
      <c r="BF29" s="367">
        <v>1</v>
      </c>
      <c r="BG29" s="368">
        <v>2099000</v>
      </c>
      <c r="BH29" s="367"/>
      <c r="BI29" s="368"/>
      <c r="BJ29" s="369">
        <v>1</v>
      </c>
      <c r="BK29" s="370">
        <v>2099000</v>
      </c>
      <c r="BL29" s="367">
        <v>1</v>
      </c>
      <c r="BM29" s="368">
        <v>2399000</v>
      </c>
      <c r="BN29" s="367">
        <v>1</v>
      </c>
      <c r="BO29" s="368">
        <v>5899000</v>
      </c>
      <c r="BP29" s="369">
        <v>2</v>
      </c>
      <c r="BQ29" s="370">
        <v>8298000</v>
      </c>
      <c r="BR29" s="367">
        <v>1</v>
      </c>
      <c r="BS29" s="368">
        <v>2799000</v>
      </c>
      <c r="BT29" s="367"/>
      <c r="BU29" s="368"/>
      <c r="BV29" s="369">
        <v>1</v>
      </c>
      <c r="BW29" s="370">
        <v>2799000</v>
      </c>
      <c r="BX29" s="367">
        <v>1</v>
      </c>
      <c r="BY29" s="368">
        <v>2099000</v>
      </c>
      <c r="BZ29" s="367">
        <v>1</v>
      </c>
      <c r="CA29" s="368">
        <v>5699000</v>
      </c>
      <c r="CB29" s="369">
        <v>2</v>
      </c>
      <c r="CC29" s="370">
        <v>7798000</v>
      </c>
      <c r="CD29" s="367">
        <v>2</v>
      </c>
      <c r="CE29" s="368">
        <v>4798000</v>
      </c>
      <c r="CF29" s="367">
        <v>2</v>
      </c>
      <c r="CG29" s="368">
        <v>9498000</v>
      </c>
      <c r="CH29" s="369">
        <v>4</v>
      </c>
      <c r="CI29" s="370">
        <v>14296000</v>
      </c>
      <c r="CJ29" s="367">
        <v>1</v>
      </c>
      <c r="CK29" s="368">
        <v>2399000</v>
      </c>
      <c r="CL29" s="367">
        <v>2</v>
      </c>
      <c r="CM29" s="368">
        <v>14298000</v>
      </c>
      <c r="CN29" s="369">
        <v>3</v>
      </c>
      <c r="CO29" s="370">
        <v>16697000</v>
      </c>
      <c r="CP29" s="367">
        <v>2</v>
      </c>
      <c r="CQ29" s="368">
        <v>5598000</v>
      </c>
      <c r="CR29" s="367">
        <v>1</v>
      </c>
      <c r="CS29" s="368">
        <v>4299000</v>
      </c>
      <c r="CT29" s="369">
        <v>3</v>
      </c>
      <c r="CU29" s="370">
        <v>9897000</v>
      </c>
      <c r="CV29" s="367">
        <v>1</v>
      </c>
      <c r="CW29" s="368">
        <v>2099000</v>
      </c>
      <c r="CX29" s="367">
        <v>2</v>
      </c>
      <c r="CY29" s="368">
        <v>9798000</v>
      </c>
      <c r="CZ29" s="369">
        <v>3</v>
      </c>
      <c r="DA29" s="370">
        <v>11897000</v>
      </c>
      <c r="DB29" s="367">
        <v>1</v>
      </c>
      <c r="DC29" s="368">
        <v>2799000</v>
      </c>
      <c r="DD29" s="367"/>
      <c r="DE29" s="368"/>
      <c r="DF29" s="369">
        <v>1</v>
      </c>
      <c r="DG29" s="370">
        <v>2799000</v>
      </c>
      <c r="DH29" s="367"/>
      <c r="DI29" s="368"/>
      <c r="DJ29" s="367"/>
      <c r="DK29" s="368"/>
      <c r="DL29" s="369"/>
      <c r="DM29" s="370"/>
      <c r="DN29" s="367">
        <v>1</v>
      </c>
      <c r="DO29" s="368">
        <v>2799000</v>
      </c>
      <c r="DP29" s="367"/>
      <c r="DQ29" s="368"/>
      <c r="DR29" s="369">
        <v>1</v>
      </c>
      <c r="DS29" s="370">
        <v>2799000</v>
      </c>
      <c r="DT29" s="367">
        <v>4</v>
      </c>
      <c r="DU29" s="368">
        <v>10196000</v>
      </c>
      <c r="DV29" s="367">
        <v>3</v>
      </c>
      <c r="DW29" s="368">
        <v>26897000</v>
      </c>
      <c r="DX29" s="369">
        <v>7</v>
      </c>
      <c r="DY29" s="370">
        <v>37093000</v>
      </c>
      <c r="DZ29" s="367">
        <v>1</v>
      </c>
      <c r="EA29" s="368">
        <v>2099000</v>
      </c>
      <c r="EB29" s="367">
        <v>2</v>
      </c>
      <c r="EC29" s="368">
        <v>9198000</v>
      </c>
      <c r="ED29" s="369">
        <v>3</v>
      </c>
      <c r="EE29" s="370">
        <v>11297000</v>
      </c>
      <c r="EF29" s="367">
        <v>45</v>
      </c>
      <c r="EG29" s="371">
        <v>216655000</v>
      </c>
    </row>
    <row r="30" spans="1:137" x14ac:dyDescent="0.2">
      <c r="A30" s="364"/>
      <c r="B30" s="365">
        <v>6140705</v>
      </c>
      <c r="C30" s="366" t="s">
        <v>108</v>
      </c>
      <c r="D30" s="367">
        <v>1</v>
      </c>
      <c r="E30" s="368">
        <v>2399000</v>
      </c>
      <c r="F30" s="367"/>
      <c r="G30" s="368"/>
      <c r="H30" s="369">
        <v>1</v>
      </c>
      <c r="I30" s="370">
        <v>2399000</v>
      </c>
      <c r="J30" s="367"/>
      <c r="K30" s="368"/>
      <c r="L30" s="367">
        <v>4</v>
      </c>
      <c r="M30" s="368">
        <v>25596000</v>
      </c>
      <c r="N30" s="369">
        <v>4</v>
      </c>
      <c r="O30" s="370">
        <v>25596000</v>
      </c>
      <c r="P30" s="367"/>
      <c r="Q30" s="368"/>
      <c r="R30" s="367">
        <v>4</v>
      </c>
      <c r="S30" s="368">
        <v>48596000</v>
      </c>
      <c r="T30" s="369">
        <v>4</v>
      </c>
      <c r="U30" s="370">
        <v>48596000</v>
      </c>
      <c r="V30" s="367"/>
      <c r="W30" s="368"/>
      <c r="X30" s="367"/>
      <c r="Y30" s="368"/>
      <c r="Z30" s="369"/>
      <c r="AA30" s="370"/>
      <c r="AB30" s="367"/>
      <c r="AC30" s="368"/>
      <c r="AD30" s="367">
        <v>2</v>
      </c>
      <c r="AE30" s="368">
        <v>16498000</v>
      </c>
      <c r="AF30" s="369">
        <v>2</v>
      </c>
      <c r="AG30" s="370">
        <v>16498000</v>
      </c>
      <c r="AH30" s="367">
        <v>1</v>
      </c>
      <c r="AI30" s="368">
        <v>2399000</v>
      </c>
      <c r="AJ30" s="367">
        <v>1</v>
      </c>
      <c r="AK30" s="368">
        <v>3899000</v>
      </c>
      <c r="AL30" s="369">
        <v>2</v>
      </c>
      <c r="AM30" s="370">
        <v>6298000</v>
      </c>
      <c r="AN30" s="367">
        <v>1</v>
      </c>
      <c r="AO30" s="368">
        <v>2099000</v>
      </c>
      <c r="AP30" s="367">
        <v>1</v>
      </c>
      <c r="AQ30" s="368">
        <v>5699000</v>
      </c>
      <c r="AR30" s="369">
        <v>2</v>
      </c>
      <c r="AS30" s="370">
        <v>7798000</v>
      </c>
      <c r="AT30" s="367"/>
      <c r="AU30" s="368"/>
      <c r="AV30" s="367"/>
      <c r="AW30" s="368"/>
      <c r="AX30" s="369"/>
      <c r="AY30" s="370"/>
      <c r="AZ30" s="367">
        <v>1</v>
      </c>
      <c r="BA30" s="368">
        <v>2099000</v>
      </c>
      <c r="BB30" s="367">
        <v>2</v>
      </c>
      <c r="BC30" s="368">
        <v>11198000</v>
      </c>
      <c r="BD30" s="369">
        <v>3</v>
      </c>
      <c r="BE30" s="370">
        <v>13297000</v>
      </c>
      <c r="BF30" s="367"/>
      <c r="BG30" s="368"/>
      <c r="BH30" s="367">
        <v>2</v>
      </c>
      <c r="BI30" s="368">
        <v>8198000</v>
      </c>
      <c r="BJ30" s="369">
        <v>2</v>
      </c>
      <c r="BK30" s="370">
        <v>8198000</v>
      </c>
      <c r="BL30" s="367">
        <v>1</v>
      </c>
      <c r="BM30" s="368">
        <v>2099000</v>
      </c>
      <c r="BN30" s="367"/>
      <c r="BO30" s="368"/>
      <c r="BP30" s="369">
        <v>1</v>
      </c>
      <c r="BQ30" s="370">
        <v>2099000</v>
      </c>
      <c r="BR30" s="367"/>
      <c r="BS30" s="368"/>
      <c r="BT30" s="367">
        <v>1</v>
      </c>
      <c r="BU30" s="368">
        <v>3899000</v>
      </c>
      <c r="BV30" s="369">
        <v>1</v>
      </c>
      <c r="BW30" s="370">
        <v>3899000</v>
      </c>
      <c r="BX30" s="367"/>
      <c r="BY30" s="368"/>
      <c r="BZ30" s="367"/>
      <c r="CA30" s="368"/>
      <c r="CB30" s="369"/>
      <c r="CC30" s="370"/>
      <c r="CD30" s="367">
        <v>2</v>
      </c>
      <c r="CE30" s="368">
        <v>4198000</v>
      </c>
      <c r="CF30" s="367"/>
      <c r="CG30" s="368"/>
      <c r="CH30" s="369">
        <v>2</v>
      </c>
      <c r="CI30" s="370">
        <v>4198000</v>
      </c>
      <c r="CJ30" s="367">
        <v>3</v>
      </c>
      <c r="CK30" s="368">
        <v>7697000</v>
      </c>
      <c r="CL30" s="367">
        <v>2</v>
      </c>
      <c r="CM30" s="368">
        <v>10798000</v>
      </c>
      <c r="CN30" s="369">
        <v>5</v>
      </c>
      <c r="CO30" s="370">
        <v>18495000</v>
      </c>
      <c r="CP30" s="367"/>
      <c r="CQ30" s="368"/>
      <c r="CR30" s="367">
        <v>1</v>
      </c>
      <c r="CS30" s="368">
        <v>7999000</v>
      </c>
      <c r="CT30" s="369">
        <v>1</v>
      </c>
      <c r="CU30" s="370">
        <v>7999000</v>
      </c>
      <c r="CV30" s="367"/>
      <c r="CW30" s="368"/>
      <c r="CX30" s="367"/>
      <c r="CY30" s="368"/>
      <c r="CZ30" s="369"/>
      <c r="DA30" s="370"/>
      <c r="DB30" s="367"/>
      <c r="DC30" s="368"/>
      <c r="DD30" s="367">
        <v>1</v>
      </c>
      <c r="DE30" s="368">
        <v>5499000</v>
      </c>
      <c r="DF30" s="369">
        <v>1</v>
      </c>
      <c r="DG30" s="370">
        <v>5499000</v>
      </c>
      <c r="DH30" s="367"/>
      <c r="DI30" s="368"/>
      <c r="DJ30" s="367">
        <v>1</v>
      </c>
      <c r="DK30" s="368">
        <v>6899000</v>
      </c>
      <c r="DL30" s="369">
        <v>1</v>
      </c>
      <c r="DM30" s="370">
        <v>6899000</v>
      </c>
      <c r="DN30" s="367"/>
      <c r="DO30" s="368"/>
      <c r="DP30" s="367"/>
      <c r="DQ30" s="368"/>
      <c r="DR30" s="369"/>
      <c r="DS30" s="370"/>
      <c r="DT30" s="367"/>
      <c r="DU30" s="368"/>
      <c r="DV30" s="367">
        <v>2</v>
      </c>
      <c r="DW30" s="368">
        <v>17898000</v>
      </c>
      <c r="DX30" s="369">
        <v>2</v>
      </c>
      <c r="DY30" s="370">
        <v>17898000</v>
      </c>
      <c r="DZ30" s="367">
        <v>1</v>
      </c>
      <c r="EA30" s="368">
        <v>2599000</v>
      </c>
      <c r="EB30" s="367">
        <v>2</v>
      </c>
      <c r="EC30" s="368">
        <v>15298000</v>
      </c>
      <c r="ED30" s="369">
        <v>3</v>
      </c>
      <c r="EE30" s="370">
        <v>17897000</v>
      </c>
      <c r="EF30" s="367">
        <v>37</v>
      </c>
      <c r="EG30" s="371">
        <v>213563000</v>
      </c>
    </row>
    <row r="31" spans="1:137" x14ac:dyDescent="0.2">
      <c r="A31" s="372"/>
      <c r="B31" s="365">
        <v>6140706</v>
      </c>
      <c r="C31" s="366" t="s">
        <v>106</v>
      </c>
      <c r="D31" s="367"/>
      <c r="E31" s="368"/>
      <c r="F31" s="367"/>
      <c r="G31" s="368"/>
      <c r="H31" s="369"/>
      <c r="I31" s="370"/>
      <c r="J31" s="367"/>
      <c r="K31" s="368"/>
      <c r="L31" s="367"/>
      <c r="M31" s="368"/>
      <c r="N31" s="369"/>
      <c r="O31" s="370"/>
      <c r="P31" s="367">
        <v>1</v>
      </c>
      <c r="Q31" s="368">
        <v>2799000</v>
      </c>
      <c r="R31" s="367">
        <v>2</v>
      </c>
      <c r="S31" s="368">
        <v>35998000</v>
      </c>
      <c r="T31" s="369">
        <v>3</v>
      </c>
      <c r="U31" s="370">
        <v>38797000</v>
      </c>
      <c r="V31" s="367"/>
      <c r="W31" s="368"/>
      <c r="X31" s="367"/>
      <c r="Y31" s="368"/>
      <c r="Z31" s="369"/>
      <c r="AA31" s="370"/>
      <c r="AB31" s="367">
        <v>1</v>
      </c>
      <c r="AC31" s="368">
        <v>2399000</v>
      </c>
      <c r="AD31" s="367">
        <v>1</v>
      </c>
      <c r="AE31" s="368">
        <v>3899000</v>
      </c>
      <c r="AF31" s="369">
        <v>2</v>
      </c>
      <c r="AG31" s="370">
        <v>6298000</v>
      </c>
      <c r="AH31" s="367"/>
      <c r="AI31" s="368"/>
      <c r="AJ31" s="367"/>
      <c r="AK31" s="368"/>
      <c r="AL31" s="369"/>
      <c r="AM31" s="370"/>
      <c r="AN31" s="367"/>
      <c r="AO31" s="368"/>
      <c r="AP31" s="367"/>
      <c r="AQ31" s="368"/>
      <c r="AR31" s="369"/>
      <c r="AS31" s="370"/>
      <c r="AT31" s="367"/>
      <c r="AU31" s="368"/>
      <c r="AV31" s="367"/>
      <c r="AW31" s="368"/>
      <c r="AX31" s="369"/>
      <c r="AY31" s="370"/>
      <c r="AZ31" s="367"/>
      <c r="BA31" s="368"/>
      <c r="BB31" s="367"/>
      <c r="BC31" s="368"/>
      <c r="BD31" s="369"/>
      <c r="BE31" s="370"/>
      <c r="BF31" s="367"/>
      <c r="BG31" s="368"/>
      <c r="BH31" s="367"/>
      <c r="BI31" s="368"/>
      <c r="BJ31" s="369"/>
      <c r="BK31" s="370"/>
      <c r="BL31" s="367"/>
      <c r="BM31" s="368"/>
      <c r="BN31" s="367"/>
      <c r="BO31" s="368"/>
      <c r="BP31" s="369"/>
      <c r="BQ31" s="370"/>
      <c r="BR31" s="367">
        <v>1</v>
      </c>
      <c r="BS31" s="368">
        <v>2099000</v>
      </c>
      <c r="BT31" s="367"/>
      <c r="BU31" s="368"/>
      <c r="BV31" s="369">
        <v>1</v>
      </c>
      <c r="BW31" s="370">
        <v>2099000</v>
      </c>
      <c r="BX31" s="367"/>
      <c r="BY31" s="368"/>
      <c r="BZ31" s="367"/>
      <c r="CA31" s="368"/>
      <c r="CB31" s="369"/>
      <c r="CC31" s="370"/>
      <c r="CD31" s="367"/>
      <c r="CE31" s="368"/>
      <c r="CF31" s="367">
        <v>1</v>
      </c>
      <c r="CG31" s="368">
        <v>11999000</v>
      </c>
      <c r="CH31" s="369">
        <v>1</v>
      </c>
      <c r="CI31" s="370">
        <v>11999000</v>
      </c>
      <c r="CJ31" s="367"/>
      <c r="CK31" s="368"/>
      <c r="CL31" s="367">
        <v>1</v>
      </c>
      <c r="CM31" s="368">
        <v>6899000</v>
      </c>
      <c r="CN31" s="369">
        <v>1</v>
      </c>
      <c r="CO31" s="370">
        <v>6899000</v>
      </c>
      <c r="CP31" s="367">
        <v>3</v>
      </c>
      <c r="CQ31" s="368">
        <v>7697000</v>
      </c>
      <c r="CR31" s="367">
        <v>2</v>
      </c>
      <c r="CS31" s="368">
        <v>13198000</v>
      </c>
      <c r="CT31" s="369">
        <v>5</v>
      </c>
      <c r="CU31" s="370">
        <v>20895000</v>
      </c>
      <c r="CV31" s="367">
        <v>1</v>
      </c>
      <c r="CW31" s="368">
        <v>2799000</v>
      </c>
      <c r="CX31" s="367"/>
      <c r="CY31" s="368"/>
      <c r="CZ31" s="369">
        <v>1</v>
      </c>
      <c r="DA31" s="370">
        <v>2799000</v>
      </c>
      <c r="DB31" s="367"/>
      <c r="DC31" s="368"/>
      <c r="DD31" s="367"/>
      <c r="DE31" s="368"/>
      <c r="DF31" s="369"/>
      <c r="DG31" s="370"/>
      <c r="DH31" s="367"/>
      <c r="DI31" s="368"/>
      <c r="DJ31" s="367">
        <v>1</v>
      </c>
      <c r="DK31" s="368">
        <v>6999000</v>
      </c>
      <c r="DL31" s="369">
        <v>1</v>
      </c>
      <c r="DM31" s="370">
        <v>6999000</v>
      </c>
      <c r="DN31" s="367"/>
      <c r="DO31" s="368"/>
      <c r="DP31" s="367"/>
      <c r="DQ31" s="368"/>
      <c r="DR31" s="369"/>
      <c r="DS31" s="370"/>
      <c r="DT31" s="367"/>
      <c r="DU31" s="368"/>
      <c r="DV31" s="367">
        <v>2</v>
      </c>
      <c r="DW31" s="368">
        <v>26998000</v>
      </c>
      <c r="DX31" s="369">
        <v>2</v>
      </c>
      <c r="DY31" s="370">
        <v>26998000</v>
      </c>
      <c r="DZ31" s="367">
        <v>1</v>
      </c>
      <c r="EA31" s="368">
        <v>2099000</v>
      </c>
      <c r="EB31" s="367">
        <v>1</v>
      </c>
      <c r="EC31" s="368">
        <v>6299000</v>
      </c>
      <c r="ED31" s="369">
        <v>2</v>
      </c>
      <c r="EE31" s="370">
        <v>8398000</v>
      </c>
      <c r="EF31" s="367">
        <v>19</v>
      </c>
      <c r="EG31" s="371">
        <v>132181000</v>
      </c>
    </row>
    <row r="32" spans="1:137" x14ac:dyDescent="0.2">
      <c r="A32" s="364" t="s">
        <v>56</v>
      </c>
      <c r="B32" s="365">
        <v>6080712</v>
      </c>
      <c r="C32" s="366" t="s">
        <v>375</v>
      </c>
      <c r="D32" s="367"/>
      <c r="E32" s="368"/>
      <c r="F32" s="367">
        <v>3</v>
      </c>
      <c r="G32" s="368">
        <v>26497000</v>
      </c>
      <c r="H32" s="369">
        <v>3</v>
      </c>
      <c r="I32" s="370">
        <v>26497000</v>
      </c>
      <c r="J32" s="367">
        <v>3</v>
      </c>
      <c r="K32" s="368">
        <v>7097000</v>
      </c>
      <c r="L32" s="367">
        <v>5</v>
      </c>
      <c r="M32" s="368">
        <v>29495000</v>
      </c>
      <c r="N32" s="369">
        <v>8</v>
      </c>
      <c r="O32" s="370">
        <v>36592000</v>
      </c>
      <c r="P32" s="367">
        <v>3</v>
      </c>
      <c r="Q32" s="368">
        <v>8397000</v>
      </c>
      <c r="R32" s="367"/>
      <c r="S32" s="368"/>
      <c r="T32" s="369">
        <v>3</v>
      </c>
      <c r="U32" s="370">
        <v>8397000</v>
      </c>
      <c r="V32" s="367"/>
      <c r="W32" s="368"/>
      <c r="X32" s="367"/>
      <c r="Y32" s="368"/>
      <c r="Z32" s="369"/>
      <c r="AA32" s="370"/>
      <c r="AB32" s="367"/>
      <c r="AC32" s="368"/>
      <c r="AD32" s="367">
        <v>1</v>
      </c>
      <c r="AE32" s="368">
        <v>8399000</v>
      </c>
      <c r="AF32" s="369">
        <v>1</v>
      </c>
      <c r="AG32" s="370">
        <v>8399000</v>
      </c>
      <c r="AH32" s="367"/>
      <c r="AI32" s="368"/>
      <c r="AJ32" s="367">
        <v>1</v>
      </c>
      <c r="AK32" s="368">
        <v>3899000</v>
      </c>
      <c r="AL32" s="369">
        <v>1</v>
      </c>
      <c r="AM32" s="370">
        <v>3899000</v>
      </c>
      <c r="AN32" s="367">
        <v>1</v>
      </c>
      <c r="AO32" s="368">
        <v>2799000</v>
      </c>
      <c r="AP32" s="367">
        <v>1</v>
      </c>
      <c r="AQ32" s="368">
        <v>5499000</v>
      </c>
      <c r="AR32" s="369">
        <v>2</v>
      </c>
      <c r="AS32" s="370">
        <v>8298000</v>
      </c>
      <c r="AT32" s="367"/>
      <c r="AU32" s="368"/>
      <c r="AV32" s="367"/>
      <c r="AW32" s="368"/>
      <c r="AX32" s="369"/>
      <c r="AY32" s="370"/>
      <c r="AZ32" s="367">
        <v>1</v>
      </c>
      <c r="BA32" s="368">
        <v>2799000</v>
      </c>
      <c r="BB32" s="367"/>
      <c r="BC32" s="368"/>
      <c r="BD32" s="369">
        <v>1</v>
      </c>
      <c r="BE32" s="370">
        <v>2799000</v>
      </c>
      <c r="BF32" s="367"/>
      <c r="BG32" s="368"/>
      <c r="BH32" s="367"/>
      <c r="BI32" s="368"/>
      <c r="BJ32" s="369"/>
      <c r="BK32" s="370"/>
      <c r="BL32" s="367"/>
      <c r="BM32" s="368"/>
      <c r="BN32" s="367"/>
      <c r="BO32" s="368"/>
      <c r="BP32" s="369"/>
      <c r="BQ32" s="370"/>
      <c r="BR32" s="367">
        <v>2</v>
      </c>
      <c r="BS32" s="368">
        <v>4198000</v>
      </c>
      <c r="BT32" s="367">
        <v>1</v>
      </c>
      <c r="BU32" s="368">
        <v>4299000</v>
      </c>
      <c r="BV32" s="369">
        <v>3</v>
      </c>
      <c r="BW32" s="370">
        <v>8497000</v>
      </c>
      <c r="BX32" s="367"/>
      <c r="BY32" s="368"/>
      <c r="BZ32" s="367"/>
      <c r="CA32" s="368"/>
      <c r="CB32" s="369"/>
      <c r="CC32" s="370"/>
      <c r="CD32" s="367">
        <v>1</v>
      </c>
      <c r="CE32" s="368">
        <v>2799000</v>
      </c>
      <c r="CF32" s="367">
        <v>1</v>
      </c>
      <c r="CG32" s="368">
        <v>6299000</v>
      </c>
      <c r="CH32" s="369">
        <v>2</v>
      </c>
      <c r="CI32" s="370">
        <v>9098000</v>
      </c>
      <c r="CJ32" s="367">
        <v>1</v>
      </c>
      <c r="CK32" s="368">
        <v>2799000</v>
      </c>
      <c r="CL32" s="367">
        <v>3</v>
      </c>
      <c r="CM32" s="368">
        <v>18397000</v>
      </c>
      <c r="CN32" s="369">
        <v>4</v>
      </c>
      <c r="CO32" s="370">
        <v>21196000</v>
      </c>
      <c r="CP32" s="367"/>
      <c r="CQ32" s="368"/>
      <c r="CR32" s="367">
        <v>1</v>
      </c>
      <c r="CS32" s="368">
        <v>3899000</v>
      </c>
      <c r="CT32" s="369">
        <v>1</v>
      </c>
      <c r="CU32" s="370">
        <v>3899000</v>
      </c>
      <c r="CV32" s="367"/>
      <c r="CW32" s="368"/>
      <c r="CX32" s="367"/>
      <c r="CY32" s="368"/>
      <c r="CZ32" s="369"/>
      <c r="DA32" s="370"/>
      <c r="DB32" s="367">
        <v>1</v>
      </c>
      <c r="DC32" s="368">
        <v>2799000</v>
      </c>
      <c r="DD32" s="367"/>
      <c r="DE32" s="368"/>
      <c r="DF32" s="369">
        <v>1</v>
      </c>
      <c r="DG32" s="370">
        <v>2799000</v>
      </c>
      <c r="DH32" s="367"/>
      <c r="DI32" s="368"/>
      <c r="DJ32" s="367"/>
      <c r="DK32" s="368"/>
      <c r="DL32" s="369"/>
      <c r="DM32" s="370"/>
      <c r="DN32" s="367"/>
      <c r="DO32" s="368"/>
      <c r="DP32" s="367"/>
      <c r="DQ32" s="368"/>
      <c r="DR32" s="369"/>
      <c r="DS32" s="370"/>
      <c r="DT32" s="367">
        <v>2</v>
      </c>
      <c r="DU32" s="368">
        <v>5098000</v>
      </c>
      <c r="DV32" s="367"/>
      <c r="DW32" s="368"/>
      <c r="DX32" s="369">
        <v>2</v>
      </c>
      <c r="DY32" s="370">
        <v>5098000</v>
      </c>
      <c r="DZ32" s="367"/>
      <c r="EA32" s="368"/>
      <c r="EB32" s="367"/>
      <c r="EC32" s="368"/>
      <c r="ED32" s="369"/>
      <c r="EE32" s="370"/>
      <c r="EF32" s="367">
        <v>32</v>
      </c>
      <c r="EG32" s="371">
        <v>145468000</v>
      </c>
    </row>
    <row r="33" spans="1:137" x14ac:dyDescent="0.2">
      <c r="A33" s="364"/>
      <c r="B33" s="365">
        <v>6040701</v>
      </c>
      <c r="C33" s="366" t="s">
        <v>376</v>
      </c>
      <c r="D33" s="367">
        <v>1</v>
      </c>
      <c r="E33" s="368">
        <v>2799000</v>
      </c>
      <c r="F33" s="367">
        <v>1</v>
      </c>
      <c r="G33" s="368">
        <v>4299000</v>
      </c>
      <c r="H33" s="369">
        <v>2</v>
      </c>
      <c r="I33" s="370">
        <v>7098000</v>
      </c>
      <c r="J33" s="367"/>
      <c r="K33" s="368"/>
      <c r="L33" s="367">
        <v>5</v>
      </c>
      <c r="M33" s="368">
        <v>24795000</v>
      </c>
      <c r="N33" s="369">
        <v>5</v>
      </c>
      <c r="O33" s="370">
        <v>24795000</v>
      </c>
      <c r="P33" s="367">
        <v>4</v>
      </c>
      <c r="Q33" s="368">
        <v>10596000</v>
      </c>
      <c r="R33" s="367">
        <v>3</v>
      </c>
      <c r="S33" s="368">
        <v>19497000</v>
      </c>
      <c r="T33" s="369">
        <v>7</v>
      </c>
      <c r="U33" s="370">
        <v>30093000</v>
      </c>
      <c r="V33" s="367"/>
      <c r="W33" s="368"/>
      <c r="X33" s="367"/>
      <c r="Y33" s="368"/>
      <c r="Z33" s="369"/>
      <c r="AA33" s="370"/>
      <c r="AB33" s="367">
        <v>4</v>
      </c>
      <c r="AC33" s="368">
        <v>9496000</v>
      </c>
      <c r="AD33" s="367">
        <v>1</v>
      </c>
      <c r="AE33" s="368">
        <v>5499000</v>
      </c>
      <c r="AF33" s="369">
        <v>5</v>
      </c>
      <c r="AG33" s="370">
        <v>14995000</v>
      </c>
      <c r="AH33" s="367"/>
      <c r="AI33" s="368"/>
      <c r="AJ33" s="367"/>
      <c r="AK33" s="368"/>
      <c r="AL33" s="369"/>
      <c r="AM33" s="370"/>
      <c r="AN33" s="367">
        <v>3</v>
      </c>
      <c r="AO33" s="368">
        <v>7297000</v>
      </c>
      <c r="AP33" s="367">
        <v>2</v>
      </c>
      <c r="AQ33" s="368">
        <v>10798000</v>
      </c>
      <c r="AR33" s="369">
        <v>5</v>
      </c>
      <c r="AS33" s="370">
        <v>18095000</v>
      </c>
      <c r="AT33" s="367"/>
      <c r="AU33" s="368"/>
      <c r="AV33" s="367"/>
      <c r="AW33" s="368"/>
      <c r="AX33" s="369"/>
      <c r="AY33" s="370"/>
      <c r="AZ33" s="367"/>
      <c r="BA33" s="368"/>
      <c r="BB33" s="367">
        <v>1</v>
      </c>
      <c r="BC33" s="368">
        <v>6299000</v>
      </c>
      <c r="BD33" s="369">
        <v>1</v>
      </c>
      <c r="BE33" s="370">
        <v>6299000</v>
      </c>
      <c r="BF33" s="367">
        <v>1</v>
      </c>
      <c r="BG33" s="368">
        <v>2799000</v>
      </c>
      <c r="BH33" s="367"/>
      <c r="BI33" s="368"/>
      <c r="BJ33" s="369">
        <v>1</v>
      </c>
      <c r="BK33" s="370">
        <v>2799000</v>
      </c>
      <c r="BL33" s="367">
        <v>1</v>
      </c>
      <c r="BM33" s="368">
        <v>2099000</v>
      </c>
      <c r="BN33" s="367"/>
      <c r="BO33" s="368"/>
      <c r="BP33" s="369">
        <v>1</v>
      </c>
      <c r="BQ33" s="370">
        <v>2099000</v>
      </c>
      <c r="BR33" s="367"/>
      <c r="BS33" s="368"/>
      <c r="BT33" s="367"/>
      <c r="BU33" s="368"/>
      <c r="BV33" s="369"/>
      <c r="BW33" s="370"/>
      <c r="BX33" s="367">
        <v>1</v>
      </c>
      <c r="BY33" s="368">
        <v>2299000</v>
      </c>
      <c r="BZ33" s="367">
        <v>3</v>
      </c>
      <c r="CA33" s="368">
        <v>13697000</v>
      </c>
      <c r="CB33" s="369">
        <v>4</v>
      </c>
      <c r="CC33" s="370">
        <v>15996000</v>
      </c>
      <c r="CD33" s="367"/>
      <c r="CE33" s="368"/>
      <c r="CF33" s="367"/>
      <c r="CG33" s="368"/>
      <c r="CH33" s="369"/>
      <c r="CI33" s="370"/>
      <c r="CJ33" s="367"/>
      <c r="CK33" s="368"/>
      <c r="CL33" s="367"/>
      <c r="CM33" s="368"/>
      <c r="CN33" s="369"/>
      <c r="CO33" s="370"/>
      <c r="CP33" s="367"/>
      <c r="CQ33" s="368"/>
      <c r="CR33" s="367">
        <v>2</v>
      </c>
      <c r="CS33" s="368">
        <v>7898000</v>
      </c>
      <c r="CT33" s="369">
        <v>2</v>
      </c>
      <c r="CU33" s="370">
        <v>7898000</v>
      </c>
      <c r="CV33" s="367"/>
      <c r="CW33" s="368"/>
      <c r="CX33" s="367">
        <v>2</v>
      </c>
      <c r="CY33" s="368">
        <v>18398000</v>
      </c>
      <c r="CZ33" s="369">
        <v>2</v>
      </c>
      <c r="DA33" s="370">
        <v>18398000</v>
      </c>
      <c r="DB33" s="367">
        <v>1</v>
      </c>
      <c r="DC33" s="368">
        <v>2099000</v>
      </c>
      <c r="DD33" s="367">
        <v>1</v>
      </c>
      <c r="DE33" s="368">
        <v>7999000</v>
      </c>
      <c r="DF33" s="369">
        <v>2</v>
      </c>
      <c r="DG33" s="370">
        <v>10098000</v>
      </c>
      <c r="DH33" s="367">
        <v>3</v>
      </c>
      <c r="DI33" s="368">
        <v>7497000</v>
      </c>
      <c r="DJ33" s="367"/>
      <c r="DK33" s="368"/>
      <c r="DL33" s="369">
        <v>3</v>
      </c>
      <c r="DM33" s="370">
        <v>7497000</v>
      </c>
      <c r="DN33" s="367">
        <v>1</v>
      </c>
      <c r="DO33" s="368">
        <v>2099000</v>
      </c>
      <c r="DP33" s="367"/>
      <c r="DQ33" s="368"/>
      <c r="DR33" s="369">
        <v>1</v>
      </c>
      <c r="DS33" s="370">
        <v>2099000</v>
      </c>
      <c r="DT33" s="367">
        <v>2</v>
      </c>
      <c r="DU33" s="368">
        <v>5398000</v>
      </c>
      <c r="DV33" s="367"/>
      <c r="DW33" s="368"/>
      <c r="DX33" s="369">
        <v>2</v>
      </c>
      <c r="DY33" s="370">
        <v>5398000</v>
      </c>
      <c r="DZ33" s="367"/>
      <c r="EA33" s="368"/>
      <c r="EB33" s="367">
        <v>1</v>
      </c>
      <c r="EC33" s="368">
        <v>5499000</v>
      </c>
      <c r="ED33" s="369">
        <v>1</v>
      </c>
      <c r="EE33" s="370">
        <v>5499000</v>
      </c>
      <c r="EF33" s="367">
        <v>44</v>
      </c>
      <c r="EG33" s="371">
        <v>179156000</v>
      </c>
    </row>
    <row r="34" spans="1:137" x14ac:dyDescent="0.2">
      <c r="A34" s="364"/>
      <c r="B34" s="365">
        <v>6040702</v>
      </c>
      <c r="C34" s="366" t="s">
        <v>60</v>
      </c>
      <c r="D34" s="367"/>
      <c r="E34" s="368"/>
      <c r="F34" s="367"/>
      <c r="G34" s="368"/>
      <c r="H34" s="369"/>
      <c r="I34" s="370"/>
      <c r="J34" s="367">
        <v>2</v>
      </c>
      <c r="K34" s="368">
        <v>5198000</v>
      </c>
      <c r="L34" s="367">
        <v>3</v>
      </c>
      <c r="M34" s="368">
        <v>22997000</v>
      </c>
      <c r="N34" s="369">
        <v>5</v>
      </c>
      <c r="O34" s="370">
        <v>28195000</v>
      </c>
      <c r="P34" s="367">
        <v>1</v>
      </c>
      <c r="Q34" s="368">
        <v>2099000</v>
      </c>
      <c r="R34" s="367">
        <v>2</v>
      </c>
      <c r="S34" s="368">
        <v>13198000</v>
      </c>
      <c r="T34" s="369">
        <v>3</v>
      </c>
      <c r="U34" s="370">
        <v>15297000</v>
      </c>
      <c r="V34" s="367"/>
      <c r="W34" s="368"/>
      <c r="X34" s="367"/>
      <c r="Y34" s="368"/>
      <c r="Z34" s="369"/>
      <c r="AA34" s="370"/>
      <c r="AB34" s="367"/>
      <c r="AC34" s="368"/>
      <c r="AD34" s="367"/>
      <c r="AE34" s="368"/>
      <c r="AF34" s="369"/>
      <c r="AG34" s="370"/>
      <c r="AH34" s="367"/>
      <c r="AI34" s="368"/>
      <c r="AJ34" s="367">
        <v>1</v>
      </c>
      <c r="AK34" s="368">
        <v>3599000</v>
      </c>
      <c r="AL34" s="369">
        <v>1</v>
      </c>
      <c r="AM34" s="370">
        <v>3599000</v>
      </c>
      <c r="AN34" s="367">
        <v>2</v>
      </c>
      <c r="AO34" s="368">
        <v>4198000</v>
      </c>
      <c r="AP34" s="367"/>
      <c r="AQ34" s="368"/>
      <c r="AR34" s="369">
        <v>2</v>
      </c>
      <c r="AS34" s="370">
        <v>4198000</v>
      </c>
      <c r="AT34" s="367"/>
      <c r="AU34" s="368"/>
      <c r="AV34" s="367"/>
      <c r="AW34" s="368"/>
      <c r="AX34" s="369"/>
      <c r="AY34" s="370"/>
      <c r="AZ34" s="367"/>
      <c r="BA34" s="368"/>
      <c r="BB34" s="367">
        <v>1</v>
      </c>
      <c r="BC34" s="368">
        <v>6899000</v>
      </c>
      <c r="BD34" s="369">
        <v>1</v>
      </c>
      <c r="BE34" s="370">
        <v>6899000</v>
      </c>
      <c r="BF34" s="367"/>
      <c r="BG34" s="368"/>
      <c r="BH34" s="367"/>
      <c r="BI34" s="368"/>
      <c r="BJ34" s="369"/>
      <c r="BK34" s="370"/>
      <c r="BL34" s="367">
        <v>1</v>
      </c>
      <c r="BM34" s="368">
        <v>2399000</v>
      </c>
      <c r="BN34" s="367"/>
      <c r="BO34" s="368"/>
      <c r="BP34" s="369">
        <v>1</v>
      </c>
      <c r="BQ34" s="370">
        <v>2399000</v>
      </c>
      <c r="BR34" s="367">
        <v>3</v>
      </c>
      <c r="BS34" s="368">
        <v>6997000</v>
      </c>
      <c r="BT34" s="367"/>
      <c r="BU34" s="368"/>
      <c r="BV34" s="369">
        <v>3</v>
      </c>
      <c r="BW34" s="370">
        <v>6997000</v>
      </c>
      <c r="BX34" s="367"/>
      <c r="BY34" s="368"/>
      <c r="BZ34" s="367">
        <v>1</v>
      </c>
      <c r="CA34" s="368">
        <v>8399000</v>
      </c>
      <c r="CB34" s="369">
        <v>1</v>
      </c>
      <c r="CC34" s="370">
        <v>8399000</v>
      </c>
      <c r="CD34" s="367">
        <v>2</v>
      </c>
      <c r="CE34" s="368">
        <v>4998000</v>
      </c>
      <c r="CF34" s="367">
        <v>1</v>
      </c>
      <c r="CG34" s="368">
        <v>3599000</v>
      </c>
      <c r="CH34" s="369">
        <v>3</v>
      </c>
      <c r="CI34" s="370">
        <v>8597000</v>
      </c>
      <c r="CJ34" s="367">
        <v>1</v>
      </c>
      <c r="CK34" s="368">
        <v>2099000</v>
      </c>
      <c r="CL34" s="367">
        <v>1</v>
      </c>
      <c r="CM34" s="368">
        <v>4299000</v>
      </c>
      <c r="CN34" s="369">
        <v>2</v>
      </c>
      <c r="CO34" s="370">
        <v>6398000</v>
      </c>
      <c r="CP34" s="367">
        <v>2</v>
      </c>
      <c r="CQ34" s="368">
        <v>4398000</v>
      </c>
      <c r="CR34" s="367"/>
      <c r="CS34" s="368"/>
      <c r="CT34" s="369">
        <v>2</v>
      </c>
      <c r="CU34" s="370">
        <v>4398000</v>
      </c>
      <c r="CV34" s="367"/>
      <c r="CW34" s="368"/>
      <c r="CX34" s="367">
        <v>1</v>
      </c>
      <c r="CY34" s="368">
        <v>29999000</v>
      </c>
      <c r="CZ34" s="369">
        <v>1</v>
      </c>
      <c r="DA34" s="370">
        <v>29999000</v>
      </c>
      <c r="DB34" s="367">
        <v>1</v>
      </c>
      <c r="DC34" s="368">
        <v>2799000</v>
      </c>
      <c r="DD34" s="367">
        <v>1</v>
      </c>
      <c r="DE34" s="368">
        <v>6899000</v>
      </c>
      <c r="DF34" s="369">
        <v>2</v>
      </c>
      <c r="DG34" s="370">
        <v>9698000</v>
      </c>
      <c r="DH34" s="367"/>
      <c r="DI34" s="368"/>
      <c r="DJ34" s="367"/>
      <c r="DK34" s="368"/>
      <c r="DL34" s="369"/>
      <c r="DM34" s="370"/>
      <c r="DN34" s="367"/>
      <c r="DO34" s="368"/>
      <c r="DP34" s="367"/>
      <c r="DQ34" s="368"/>
      <c r="DR34" s="369"/>
      <c r="DS34" s="370"/>
      <c r="DT34" s="367">
        <v>1</v>
      </c>
      <c r="DU34" s="368">
        <v>2799000</v>
      </c>
      <c r="DV34" s="367">
        <v>1</v>
      </c>
      <c r="DW34" s="368">
        <v>3599000</v>
      </c>
      <c r="DX34" s="369">
        <v>2</v>
      </c>
      <c r="DY34" s="370">
        <v>6398000</v>
      </c>
      <c r="DZ34" s="367">
        <v>2</v>
      </c>
      <c r="EA34" s="368">
        <v>4998000</v>
      </c>
      <c r="EB34" s="367"/>
      <c r="EC34" s="368"/>
      <c r="ED34" s="369">
        <v>2</v>
      </c>
      <c r="EE34" s="370">
        <v>4998000</v>
      </c>
      <c r="EF34" s="367">
        <v>31</v>
      </c>
      <c r="EG34" s="371">
        <v>146469000</v>
      </c>
    </row>
    <row r="35" spans="1:137" x14ac:dyDescent="0.2">
      <c r="A35" s="372"/>
      <c r="B35" s="365">
        <v>6040703</v>
      </c>
      <c r="C35" s="366" t="s">
        <v>61</v>
      </c>
      <c r="D35" s="367"/>
      <c r="E35" s="368"/>
      <c r="F35" s="367">
        <v>1</v>
      </c>
      <c r="G35" s="368">
        <v>5599000</v>
      </c>
      <c r="H35" s="369">
        <v>1</v>
      </c>
      <c r="I35" s="370">
        <v>5599000</v>
      </c>
      <c r="J35" s="367"/>
      <c r="K35" s="368"/>
      <c r="L35" s="367"/>
      <c r="M35" s="368"/>
      <c r="N35" s="369"/>
      <c r="O35" s="370"/>
      <c r="P35" s="367">
        <v>5</v>
      </c>
      <c r="Q35" s="368">
        <v>11695000</v>
      </c>
      <c r="R35" s="367">
        <v>4</v>
      </c>
      <c r="S35" s="368">
        <v>44996000</v>
      </c>
      <c r="T35" s="369">
        <v>9</v>
      </c>
      <c r="U35" s="370">
        <v>56691000</v>
      </c>
      <c r="V35" s="367"/>
      <c r="W35" s="368"/>
      <c r="X35" s="367"/>
      <c r="Y35" s="368"/>
      <c r="Z35" s="369"/>
      <c r="AA35" s="370"/>
      <c r="AB35" s="367"/>
      <c r="AC35" s="368"/>
      <c r="AD35" s="367"/>
      <c r="AE35" s="368"/>
      <c r="AF35" s="369"/>
      <c r="AG35" s="370"/>
      <c r="AH35" s="367">
        <v>1</v>
      </c>
      <c r="AI35" s="368">
        <v>2599000</v>
      </c>
      <c r="AJ35" s="367">
        <v>1</v>
      </c>
      <c r="AK35" s="368">
        <v>7999000</v>
      </c>
      <c r="AL35" s="369">
        <v>2</v>
      </c>
      <c r="AM35" s="370">
        <v>10598000</v>
      </c>
      <c r="AN35" s="367">
        <v>1</v>
      </c>
      <c r="AO35" s="368">
        <v>2599000</v>
      </c>
      <c r="AP35" s="367"/>
      <c r="AQ35" s="368"/>
      <c r="AR35" s="369">
        <v>1</v>
      </c>
      <c r="AS35" s="370">
        <v>2599000</v>
      </c>
      <c r="AT35" s="367"/>
      <c r="AU35" s="368"/>
      <c r="AV35" s="367">
        <v>1</v>
      </c>
      <c r="AW35" s="368">
        <v>3899000</v>
      </c>
      <c r="AX35" s="369">
        <v>1</v>
      </c>
      <c r="AY35" s="370">
        <v>3899000</v>
      </c>
      <c r="AZ35" s="367"/>
      <c r="BA35" s="368"/>
      <c r="BB35" s="367"/>
      <c r="BC35" s="368"/>
      <c r="BD35" s="369"/>
      <c r="BE35" s="370"/>
      <c r="BF35" s="367"/>
      <c r="BG35" s="368"/>
      <c r="BH35" s="367"/>
      <c r="BI35" s="368"/>
      <c r="BJ35" s="369"/>
      <c r="BK35" s="370"/>
      <c r="BL35" s="367"/>
      <c r="BM35" s="368"/>
      <c r="BN35" s="367"/>
      <c r="BO35" s="368"/>
      <c r="BP35" s="369"/>
      <c r="BQ35" s="370"/>
      <c r="BR35" s="367"/>
      <c r="BS35" s="368"/>
      <c r="BT35" s="367"/>
      <c r="BU35" s="368"/>
      <c r="BV35" s="369"/>
      <c r="BW35" s="370"/>
      <c r="BX35" s="367">
        <v>1</v>
      </c>
      <c r="BY35" s="368">
        <v>2299000</v>
      </c>
      <c r="BZ35" s="367"/>
      <c r="CA35" s="368"/>
      <c r="CB35" s="369">
        <v>1</v>
      </c>
      <c r="CC35" s="370">
        <v>2299000</v>
      </c>
      <c r="CD35" s="367"/>
      <c r="CE35" s="368"/>
      <c r="CF35" s="367">
        <v>1</v>
      </c>
      <c r="CG35" s="368">
        <v>9999000</v>
      </c>
      <c r="CH35" s="369">
        <v>1</v>
      </c>
      <c r="CI35" s="370">
        <v>9999000</v>
      </c>
      <c r="CJ35" s="367"/>
      <c r="CK35" s="368"/>
      <c r="CL35" s="367">
        <v>1</v>
      </c>
      <c r="CM35" s="368">
        <v>9999000</v>
      </c>
      <c r="CN35" s="369">
        <v>1</v>
      </c>
      <c r="CO35" s="370">
        <v>9999000</v>
      </c>
      <c r="CP35" s="367">
        <v>2</v>
      </c>
      <c r="CQ35" s="368">
        <v>5398000</v>
      </c>
      <c r="CR35" s="367"/>
      <c r="CS35" s="368"/>
      <c r="CT35" s="369">
        <v>2</v>
      </c>
      <c r="CU35" s="370">
        <v>5398000</v>
      </c>
      <c r="CV35" s="367"/>
      <c r="CW35" s="368"/>
      <c r="CX35" s="367">
        <v>2</v>
      </c>
      <c r="CY35" s="368">
        <v>10798000</v>
      </c>
      <c r="CZ35" s="369">
        <v>2</v>
      </c>
      <c r="DA35" s="370">
        <v>10798000</v>
      </c>
      <c r="DB35" s="367"/>
      <c r="DC35" s="368"/>
      <c r="DD35" s="367"/>
      <c r="DE35" s="368"/>
      <c r="DF35" s="369"/>
      <c r="DG35" s="370"/>
      <c r="DH35" s="367"/>
      <c r="DI35" s="368"/>
      <c r="DJ35" s="367"/>
      <c r="DK35" s="368"/>
      <c r="DL35" s="369"/>
      <c r="DM35" s="370"/>
      <c r="DN35" s="367"/>
      <c r="DO35" s="368"/>
      <c r="DP35" s="367"/>
      <c r="DQ35" s="368"/>
      <c r="DR35" s="369"/>
      <c r="DS35" s="370"/>
      <c r="DT35" s="367"/>
      <c r="DU35" s="368"/>
      <c r="DV35" s="367"/>
      <c r="DW35" s="368"/>
      <c r="DX35" s="369"/>
      <c r="DY35" s="370"/>
      <c r="DZ35" s="367">
        <v>1</v>
      </c>
      <c r="EA35" s="368">
        <v>2099000</v>
      </c>
      <c r="EB35" s="367">
        <v>1</v>
      </c>
      <c r="EC35" s="368">
        <v>9999000</v>
      </c>
      <c r="ED35" s="369">
        <v>2</v>
      </c>
      <c r="EE35" s="370">
        <v>12098000</v>
      </c>
      <c r="EF35" s="367">
        <v>23</v>
      </c>
      <c r="EG35" s="371">
        <v>129977000</v>
      </c>
    </row>
    <row r="36" spans="1:137" x14ac:dyDescent="0.2">
      <c r="A36" s="364" t="s">
        <v>39</v>
      </c>
      <c r="B36" s="365">
        <v>6020711</v>
      </c>
      <c r="C36" s="366" t="s">
        <v>377</v>
      </c>
      <c r="D36" s="367">
        <v>1</v>
      </c>
      <c r="E36" s="368">
        <v>2399000</v>
      </c>
      <c r="F36" s="367"/>
      <c r="G36" s="368"/>
      <c r="H36" s="369">
        <v>1</v>
      </c>
      <c r="I36" s="370">
        <v>2399000</v>
      </c>
      <c r="J36" s="367">
        <v>3</v>
      </c>
      <c r="K36" s="368">
        <v>6697000</v>
      </c>
      <c r="L36" s="367">
        <v>4</v>
      </c>
      <c r="M36" s="368">
        <v>45296000</v>
      </c>
      <c r="N36" s="369">
        <v>7</v>
      </c>
      <c r="O36" s="370">
        <v>51993000</v>
      </c>
      <c r="P36" s="367">
        <v>4</v>
      </c>
      <c r="Q36" s="368">
        <v>9196000</v>
      </c>
      <c r="R36" s="367">
        <v>3</v>
      </c>
      <c r="S36" s="368">
        <v>26997000</v>
      </c>
      <c r="T36" s="369">
        <v>7</v>
      </c>
      <c r="U36" s="370">
        <v>36193000</v>
      </c>
      <c r="V36" s="367"/>
      <c r="W36" s="368"/>
      <c r="X36" s="367"/>
      <c r="Y36" s="368"/>
      <c r="Z36" s="369"/>
      <c r="AA36" s="370"/>
      <c r="AB36" s="367">
        <v>3</v>
      </c>
      <c r="AC36" s="368">
        <v>7097000</v>
      </c>
      <c r="AD36" s="367">
        <v>1</v>
      </c>
      <c r="AE36" s="368">
        <v>5499000</v>
      </c>
      <c r="AF36" s="369">
        <v>4</v>
      </c>
      <c r="AG36" s="370">
        <v>12596000</v>
      </c>
      <c r="AH36" s="367">
        <v>2</v>
      </c>
      <c r="AI36" s="368">
        <v>5098000</v>
      </c>
      <c r="AJ36" s="367">
        <v>3</v>
      </c>
      <c r="AK36" s="368">
        <v>21897000</v>
      </c>
      <c r="AL36" s="369">
        <v>5</v>
      </c>
      <c r="AM36" s="370">
        <v>26995000</v>
      </c>
      <c r="AN36" s="367">
        <v>3</v>
      </c>
      <c r="AO36" s="368">
        <v>7097000</v>
      </c>
      <c r="AP36" s="367"/>
      <c r="AQ36" s="368"/>
      <c r="AR36" s="369">
        <v>3</v>
      </c>
      <c r="AS36" s="370">
        <v>7097000</v>
      </c>
      <c r="AT36" s="367"/>
      <c r="AU36" s="368"/>
      <c r="AV36" s="367">
        <v>2</v>
      </c>
      <c r="AW36" s="368">
        <v>11798000</v>
      </c>
      <c r="AX36" s="369">
        <v>2</v>
      </c>
      <c r="AY36" s="370">
        <v>11798000</v>
      </c>
      <c r="AZ36" s="367"/>
      <c r="BA36" s="368"/>
      <c r="BB36" s="367">
        <v>2</v>
      </c>
      <c r="BC36" s="368">
        <v>29898000</v>
      </c>
      <c r="BD36" s="369">
        <v>2</v>
      </c>
      <c r="BE36" s="370">
        <v>29898000</v>
      </c>
      <c r="BF36" s="367">
        <v>1</v>
      </c>
      <c r="BG36" s="368">
        <v>2299000</v>
      </c>
      <c r="BH36" s="367">
        <v>1</v>
      </c>
      <c r="BI36" s="368">
        <v>25999000</v>
      </c>
      <c r="BJ36" s="369">
        <v>2</v>
      </c>
      <c r="BK36" s="370">
        <v>28298000</v>
      </c>
      <c r="BL36" s="367">
        <v>1</v>
      </c>
      <c r="BM36" s="368">
        <v>2799000</v>
      </c>
      <c r="BN36" s="367">
        <v>2</v>
      </c>
      <c r="BO36" s="368">
        <v>17898000</v>
      </c>
      <c r="BP36" s="369">
        <v>3</v>
      </c>
      <c r="BQ36" s="370">
        <v>20697000</v>
      </c>
      <c r="BR36" s="367"/>
      <c r="BS36" s="368"/>
      <c r="BT36" s="367">
        <v>2</v>
      </c>
      <c r="BU36" s="368">
        <v>31498000</v>
      </c>
      <c r="BV36" s="369">
        <v>2</v>
      </c>
      <c r="BW36" s="370">
        <v>31498000</v>
      </c>
      <c r="BX36" s="367"/>
      <c r="BY36" s="368"/>
      <c r="BZ36" s="367">
        <v>3</v>
      </c>
      <c r="CA36" s="368">
        <v>21597000</v>
      </c>
      <c r="CB36" s="369">
        <v>3</v>
      </c>
      <c r="CC36" s="370">
        <v>21597000</v>
      </c>
      <c r="CD36" s="367">
        <v>2</v>
      </c>
      <c r="CE36" s="368">
        <v>4498000</v>
      </c>
      <c r="CF36" s="367">
        <v>3</v>
      </c>
      <c r="CG36" s="368">
        <v>24897000</v>
      </c>
      <c r="CH36" s="369">
        <v>5</v>
      </c>
      <c r="CI36" s="370">
        <v>29395000</v>
      </c>
      <c r="CJ36" s="367">
        <v>2</v>
      </c>
      <c r="CK36" s="368">
        <v>5598000</v>
      </c>
      <c r="CL36" s="367">
        <v>4</v>
      </c>
      <c r="CM36" s="368">
        <v>46396000</v>
      </c>
      <c r="CN36" s="369">
        <v>6</v>
      </c>
      <c r="CO36" s="370">
        <v>51994000</v>
      </c>
      <c r="CP36" s="367"/>
      <c r="CQ36" s="368"/>
      <c r="CR36" s="367">
        <v>3</v>
      </c>
      <c r="CS36" s="368">
        <v>22197000</v>
      </c>
      <c r="CT36" s="369">
        <v>3</v>
      </c>
      <c r="CU36" s="370">
        <v>22197000</v>
      </c>
      <c r="CV36" s="367"/>
      <c r="CW36" s="368"/>
      <c r="CX36" s="367"/>
      <c r="CY36" s="368"/>
      <c r="CZ36" s="369"/>
      <c r="DA36" s="370"/>
      <c r="DB36" s="367">
        <v>1</v>
      </c>
      <c r="DC36" s="368">
        <v>2299000</v>
      </c>
      <c r="DD36" s="367"/>
      <c r="DE36" s="368"/>
      <c r="DF36" s="369">
        <v>1</v>
      </c>
      <c r="DG36" s="370">
        <v>2299000</v>
      </c>
      <c r="DH36" s="367"/>
      <c r="DI36" s="368"/>
      <c r="DJ36" s="367">
        <v>1</v>
      </c>
      <c r="DK36" s="368">
        <v>5899000</v>
      </c>
      <c r="DL36" s="369">
        <v>1</v>
      </c>
      <c r="DM36" s="370">
        <v>5899000</v>
      </c>
      <c r="DN36" s="367"/>
      <c r="DO36" s="368"/>
      <c r="DP36" s="367">
        <v>1</v>
      </c>
      <c r="DQ36" s="368">
        <v>7999000</v>
      </c>
      <c r="DR36" s="369">
        <v>1</v>
      </c>
      <c r="DS36" s="370">
        <v>7999000</v>
      </c>
      <c r="DT36" s="367">
        <v>3</v>
      </c>
      <c r="DU36" s="368">
        <v>6897000</v>
      </c>
      <c r="DV36" s="367">
        <v>5</v>
      </c>
      <c r="DW36" s="368">
        <v>32395000</v>
      </c>
      <c r="DX36" s="369">
        <v>8</v>
      </c>
      <c r="DY36" s="370">
        <v>39292000</v>
      </c>
      <c r="DZ36" s="367">
        <v>1</v>
      </c>
      <c r="EA36" s="368">
        <v>2399000</v>
      </c>
      <c r="EB36" s="367">
        <v>2</v>
      </c>
      <c r="EC36" s="368">
        <v>12298000</v>
      </c>
      <c r="ED36" s="369">
        <v>3</v>
      </c>
      <c r="EE36" s="370">
        <v>14697000</v>
      </c>
      <c r="EF36" s="367">
        <v>69</v>
      </c>
      <c r="EG36" s="371">
        <v>454831000</v>
      </c>
    </row>
    <row r="37" spans="1:137" x14ac:dyDescent="0.2">
      <c r="A37" s="364"/>
      <c r="B37" s="365">
        <v>6020706</v>
      </c>
      <c r="C37" s="366" t="s">
        <v>378</v>
      </c>
      <c r="D37" s="367"/>
      <c r="E37" s="368"/>
      <c r="F37" s="367">
        <v>1</v>
      </c>
      <c r="G37" s="368">
        <v>6299000</v>
      </c>
      <c r="H37" s="369">
        <v>1</v>
      </c>
      <c r="I37" s="370">
        <v>6299000</v>
      </c>
      <c r="J37" s="367">
        <v>1</v>
      </c>
      <c r="K37" s="368">
        <v>2299000</v>
      </c>
      <c r="L37" s="367">
        <v>6</v>
      </c>
      <c r="M37" s="368">
        <v>29894000</v>
      </c>
      <c r="N37" s="369">
        <v>7</v>
      </c>
      <c r="O37" s="370">
        <v>32193000</v>
      </c>
      <c r="P37" s="367">
        <v>1</v>
      </c>
      <c r="Q37" s="368">
        <v>2599000</v>
      </c>
      <c r="R37" s="367">
        <v>1</v>
      </c>
      <c r="S37" s="368">
        <v>3599000</v>
      </c>
      <c r="T37" s="369">
        <v>2</v>
      </c>
      <c r="U37" s="370">
        <v>6198000</v>
      </c>
      <c r="V37" s="367">
        <v>4</v>
      </c>
      <c r="W37" s="368">
        <v>10696000</v>
      </c>
      <c r="X37" s="367"/>
      <c r="Y37" s="368"/>
      <c r="Z37" s="369">
        <v>4</v>
      </c>
      <c r="AA37" s="370">
        <v>10696000</v>
      </c>
      <c r="AB37" s="367">
        <v>3</v>
      </c>
      <c r="AC37" s="368">
        <v>6997000</v>
      </c>
      <c r="AD37" s="367"/>
      <c r="AE37" s="368"/>
      <c r="AF37" s="369">
        <v>3</v>
      </c>
      <c r="AG37" s="370">
        <v>6997000</v>
      </c>
      <c r="AH37" s="367">
        <v>5</v>
      </c>
      <c r="AI37" s="368">
        <v>12695000</v>
      </c>
      <c r="AJ37" s="367">
        <v>2</v>
      </c>
      <c r="AK37" s="368">
        <v>10598000</v>
      </c>
      <c r="AL37" s="369">
        <v>7</v>
      </c>
      <c r="AM37" s="370">
        <v>23293000</v>
      </c>
      <c r="AN37" s="367">
        <v>2</v>
      </c>
      <c r="AO37" s="368">
        <v>4198000</v>
      </c>
      <c r="AP37" s="367">
        <v>4</v>
      </c>
      <c r="AQ37" s="368">
        <v>18296000</v>
      </c>
      <c r="AR37" s="369">
        <v>6</v>
      </c>
      <c r="AS37" s="370">
        <v>22494000</v>
      </c>
      <c r="AT37" s="367">
        <v>5</v>
      </c>
      <c r="AU37" s="368">
        <v>12595000</v>
      </c>
      <c r="AV37" s="367">
        <v>1</v>
      </c>
      <c r="AW37" s="368">
        <v>5699000</v>
      </c>
      <c r="AX37" s="369">
        <v>6</v>
      </c>
      <c r="AY37" s="370">
        <v>18294000</v>
      </c>
      <c r="AZ37" s="367">
        <v>2</v>
      </c>
      <c r="BA37" s="368">
        <v>4398000</v>
      </c>
      <c r="BB37" s="367"/>
      <c r="BC37" s="368"/>
      <c r="BD37" s="369">
        <v>2</v>
      </c>
      <c r="BE37" s="370">
        <v>4398000</v>
      </c>
      <c r="BF37" s="367"/>
      <c r="BG37" s="368"/>
      <c r="BH37" s="367">
        <v>1</v>
      </c>
      <c r="BI37" s="368">
        <v>3599000</v>
      </c>
      <c r="BJ37" s="369">
        <v>1</v>
      </c>
      <c r="BK37" s="370">
        <v>3599000</v>
      </c>
      <c r="BL37" s="367">
        <v>2</v>
      </c>
      <c r="BM37" s="368">
        <v>4898000</v>
      </c>
      <c r="BN37" s="367">
        <v>1</v>
      </c>
      <c r="BO37" s="368">
        <v>3599000</v>
      </c>
      <c r="BP37" s="369">
        <v>3</v>
      </c>
      <c r="BQ37" s="370">
        <v>8497000</v>
      </c>
      <c r="BR37" s="367">
        <v>1</v>
      </c>
      <c r="BS37" s="368">
        <v>2099000</v>
      </c>
      <c r="BT37" s="367">
        <v>1</v>
      </c>
      <c r="BU37" s="368">
        <v>4299000</v>
      </c>
      <c r="BV37" s="369">
        <v>2</v>
      </c>
      <c r="BW37" s="370">
        <v>6398000</v>
      </c>
      <c r="BX37" s="367">
        <v>1</v>
      </c>
      <c r="BY37" s="368">
        <v>2799000</v>
      </c>
      <c r="BZ37" s="367"/>
      <c r="CA37" s="368"/>
      <c r="CB37" s="369">
        <v>1</v>
      </c>
      <c r="CC37" s="370">
        <v>2799000</v>
      </c>
      <c r="CD37" s="367"/>
      <c r="CE37" s="368"/>
      <c r="CF37" s="367"/>
      <c r="CG37" s="368"/>
      <c r="CH37" s="369"/>
      <c r="CI37" s="370"/>
      <c r="CJ37" s="367">
        <v>1</v>
      </c>
      <c r="CK37" s="368">
        <v>2099000</v>
      </c>
      <c r="CL37" s="367">
        <v>2</v>
      </c>
      <c r="CM37" s="368">
        <v>7198000</v>
      </c>
      <c r="CN37" s="369">
        <v>3</v>
      </c>
      <c r="CO37" s="370">
        <v>9297000</v>
      </c>
      <c r="CP37" s="367">
        <v>2</v>
      </c>
      <c r="CQ37" s="368">
        <v>4698000</v>
      </c>
      <c r="CR37" s="367">
        <v>3</v>
      </c>
      <c r="CS37" s="368">
        <v>19797000</v>
      </c>
      <c r="CT37" s="369">
        <v>5</v>
      </c>
      <c r="CU37" s="370">
        <v>24495000</v>
      </c>
      <c r="CV37" s="367">
        <v>1</v>
      </c>
      <c r="CW37" s="368">
        <v>2099000</v>
      </c>
      <c r="CX37" s="367"/>
      <c r="CY37" s="368"/>
      <c r="CZ37" s="369">
        <v>1</v>
      </c>
      <c r="DA37" s="370">
        <v>2099000</v>
      </c>
      <c r="DB37" s="367">
        <v>3</v>
      </c>
      <c r="DC37" s="368">
        <v>7897000</v>
      </c>
      <c r="DD37" s="367">
        <v>2</v>
      </c>
      <c r="DE37" s="368">
        <v>10798000</v>
      </c>
      <c r="DF37" s="369">
        <v>5</v>
      </c>
      <c r="DG37" s="370">
        <v>18695000</v>
      </c>
      <c r="DH37" s="367">
        <v>7</v>
      </c>
      <c r="DI37" s="368">
        <v>15793000</v>
      </c>
      <c r="DJ37" s="367">
        <v>1</v>
      </c>
      <c r="DK37" s="368">
        <v>5499000</v>
      </c>
      <c r="DL37" s="369">
        <v>8</v>
      </c>
      <c r="DM37" s="370">
        <v>21292000</v>
      </c>
      <c r="DN37" s="367">
        <v>3</v>
      </c>
      <c r="DO37" s="368">
        <v>6797000</v>
      </c>
      <c r="DP37" s="367"/>
      <c r="DQ37" s="368"/>
      <c r="DR37" s="369">
        <v>3</v>
      </c>
      <c r="DS37" s="370">
        <v>6797000</v>
      </c>
      <c r="DT37" s="367">
        <v>2</v>
      </c>
      <c r="DU37" s="368">
        <v>4898000</v>
      </c>
      <c r="DV37" s="367"/>
      <c r="DW37" s="368"/>
      <c r="DX37" s="369">
        <v>2</v>
      </c>
      <c r="DY37" s="370">
        <v>4898000</v>
      </c>
      <c r="DZ37" s="367">
        <v>2</v>
      </c>
      <c r="EA37" s="368">
        <v>4398000</v>
      </c>
      <c r="EB37" s="367">
        <v>1</v>
      </c>
      <c r="EC37" s="368">
        <v>5899000</v>
      </c>
      <c r="ED37" s="369">
        <v>3</v>
      </c>
      <c r="EE37" s="370">
        <v>10297000</v>
      </c>
      <c r="EF37" s="367">
        <v>75</v>
      </c>
      <c r="EG37" s="371">
        <v>250025000</v>
      </c>
    </row>
    <row r="38" spans="1:137" x14ac:dyDescent="0.2">
      <c r="A38" s="364"/>
      <c r="B38" s="365">
        <v>6020704</v>
      </c>
      <c r="C38" s="366" t="s">
        <v>379</v>
      </c>
      <c r="D38" s="367">
        <v>1</v>
      </c>
      <c r="E38" s="368">
        <v>2099000</v>
      </c>
      <c r="F38" s="367"/>
      <c r="G38" s="368"/>
      <c r="H38" s="369">
        <v>1</v>
      </c>
      <c r="I38" s="370">
        <v>2099000</v>
      </c>
      <c r="J38" s="367">
        <v>1</v>
      </c>
      <c r="K38" s="368">
        <v>2099000</v>
      </c>
      <c r="L38" s="367">
        <v>3</v>
      </c>
      <c r="M38" s="368">
        <v>13497000</v>
      </c>
      <c r="N38" s="369">
        <v>4</v>
      </c>
      <c r="O38" s="370">
        <v>15596000</v>
      </c>
      <c r="P38" s="367">
        <v>1</v>
      </c>
      <c r="Q38" s="368">
        <v>2799000</v>
      </c>
      <c r="R38" s="367"/>
      <c r="S38" s="368"/>
      <c r="T38" s="369">
        <v>1</v>
      </c>
      <c r="U38" s="370">
        <v>2799000</v>
      </c>
      <c r="V38" s="367">
        <v>2</v>
      </c>
      <c r="W38" s="368">
        <v>5098000</v>
      </c>
      <c r="X38" s="367">
        <v>2</v>
      </c>
      <c r="Y38" s="368">
        <v>10498000</v>
      </c>
      <c r="Z38" s="369">
        <v>4</v>
      </c>
      <c r="AA38" s="370">
        <v>15596000</v>
      </c>
      <c r="AB38" s="367">
        <v>1</v>
      </c>
      <c r="AC38" s="368">
        <v>2799000</v>
      </c>
      <c r="AD38" s="367"/>
      <c r="AE38" s="368"/>
      <c r="AF38" s="369">
        <v>1</v>
      </c>
      <c r="AG38" s="370">
        <v>2799000</v>
      </c>
      <c r="AH38" s="367"/>
      <c r="AI38" s="368"/>
      <c r="AJ38" s="367"/>
      <c r="AK38" s="368"/>
      <c r="AL38" s="369"/>
      <c r="AM38" s="370"/>
      <c r="AN38" s="367">
        <v>2</v>
      </c>
      <c r="AO38" s="368">
        <v>5398000</v>
      </c>
      <c r="AP38" s="367">
        <v>3</v>
      </c>
      <c r="AQ38" s="368">
        <v>18897000</v>
      </c>
      <c r="AR38" s="369">
        <v>5</v>
      </c>
      <c r="AS38" s="370">
        <v>24295000</v>
      </c>
      <c r="AT38" s="367"/>
      <c r="AU38" s="368"/>
      <c r="AV38" s="367"/>
      <c r="AW38" s="368"/>
      <c r="AX38" s="369"/>
      <c r="AY38" s="370"/>
      <c r="AZ38" s="367"/>
      <c r="BA38" s="368"/>
      <c r="BB38" s="367">
        <v>2</v>
      </c>
      <c r="BC38" s="368">
        <v>7898000</v>
      </c>
      <c r="BD38" s="369">
        <v>2</v>
      </c>
      <c r="BE38" s="370">
        <v>7898000</v>
      </c>
      <c r="BF38" s="367"/>
      <c r="BG38" s="368"/>
      <c r="BH38" s="367"/>
      <c r="BI38" s="368"/>
      <c r="BJ38" s="369"/>
      <c r="BK38" s="370"/>
      <c r="BL38" s="367">
        <v>1</v>
      </c>
      <c r="BM38" s="368">
        <v>2099000</v>
      </c>
      <c r="BN38" s="367"/>
      <c r="BO38" s="368"/>
      <c r="BP38" s="369">
        <v>1</v>
      </c>
      <c r="BQ38" s="370">
        <v>2099000</v>
      </c>
      <c r="BR38" s="367"/>
      <c r="BS38" s="368"/>
      <c r="BT38" s="367"/>
      <c r="BU38" s="368"/>
      <c r="BV38" s="369"/>
      <c r="BW38" s="370"/>
      <c r="BX38" s="367">
        <v>1</v>
      </c>
      <c r="BY38" s="368">
        <v>2399000</v>
      </c>
      <c r="BZ38" s="367"/>
      <c r="CA38" s="368"/>
      <c r="CB38" s="369">
        <v>1</v>
      </c>
      <c r="CC38" s="370">
        <v>2399000</v>
      </c>
      <c r="CD38" s="367">
        <v>2</v>
      </c>
      <c r="CE38" s="368">
        <v>4698000</v>
      </c>
      <c r="CF38" s="367">
        <v>2</v>
      </c>
      <c r="CG38" s="368">
        <v>9198000</v>
      </c>
      <c r="CH38" s="369">
        <v>4</v>
      </c>
      <c r="CI38" s="370">
        <v>13896000</v>
      </c>
      <c r="CJ38" s="367">
        <v>2</v>
      </c>
      <c r="CK38" s="368">
        <v>4898000</v>
      </c>
      <c r="CL38" s="367"/>
      <c r="CM38" s="368"/>
      <c r="CN38" s="369">
        <v>2</v>
      </c>
      <c r="CO38" s="370">
        <v>4898000</v>
      </c>
      <c r="CP38" s="367"/>
      <c r="CQ38" s="368"/>
      <c r="CR38" s="367">
        <v>3</v>
      </c>
      <c r="CS38" s="368">
        <v>15697000</v>
      </c>
      <c r="CT38" s="369">
        <v>3</v>
      </c>
      <c r="CU38" s="370">
        <v>15697000</v>
      </c>
      <c r="CV38" s="367">
        <v>2</v>
      </c>
      <c r="CW38" s="368">
        <v>4698000</v>
      </c>
      <c r="CX38" s="367"/>
      <c r="CY38" s="368"/>
      <c r="CZ38" s="369">
        <v>2</v>
      </c>
      <c r="DA38" s="370">
        <v>4698000</v>
      </c>
      <c r="DB38" s="367">
        <v>1</v>
      </c>
      <c r="DC38" s="368">
        <v>2099000</v>
      </c>
      <c r="DD38" s="367"/>
      <c r="DE38" s="368"/>
      <c r="DF38" s="369">
        <v>1</v>
      </c>
      <c r="DG38" s="370">
        <v>2099000</v>
      </c>
      <c r="DH38" s="367"/>
      <c r="DI38" s="368"/>
      <c r="DJ38" s="367">
        <v>2</v>
      </c>
      <c r="DK38" s="368">
        <v>10798000</v>
      </c>
      <c r="DL38" s="369">
        <v>2</v>
      </c>
      <c r="DM38" s="370">
        <v>10798000</v>
      </c>
      <c r="DN38" s="367">
        <v>1</v>
      </c>
      <c r="DO38" s="368">
        <v>2599000</v>
      </c>
      <c r="DP38" s="367"/>
      <c r="DQ38" s="368"/>
      <c r="DR38" s="369">
        <v>1</v>
      </c>
      <c r="DS38" s="370">
        <v>2599000</v>
      </c>
      <c r="DT38" s="367"/>
      <c r="DU38" s="368"/>
      <c r="DV38" s="367">
        <v>1</v>
      </c>
      <c r="DW38" s="368">
        <v>4299000</v>
      </c>
      <c r="DX38" s="369">
        <v>1</v>
      </c>
      <c r="DY38" s="370">
        <v>4299000</v>
      </c>
      <c r="DZ38" s="367">
        <v>2</v>
      </c>
      <c r="EA38" s="368">
        <v>4498000</v>
      </c>
      <c r="EB38" s="367"/>
      <c r="EC38" s="368"/>
      <c r="ED38" s="369">
        <v>2</v>
      </c>
      <c r="EE38" s="370">
        <v>4498000</v>
      </c>
      <c r="EF38" s="367">
        <v>38</v>
      </c>
      <c r="EG38" s="371">
        <v>139062000</v>
      </c>
    </row>
    <row r="39" spans="1:137" x14ac:dyDescent="0.2">
      <c r="A39" s="364"/>
      <c r="B39" s="365">
        <v>6010708</v>
      </c>
      <c r="C39" s="366" t="s">
        <v>380</v>
      </c>
      <c r="D39" s="367">
        <v>2</v>
      </c>
      <c r="E39" s="368">
        <v>4498000</v>
      </c>
      <c r="F39" s="367"/>
      <c r="G39" s="368"/>
      <c r="H39" s="369">
        <v>2</v>
      </c>
      <c r="I39" s="370">
        <v>4498000</v>
      </c>
      <c r="J39" s="367">
        <v>1</v>
      </c>
      <c r="K39" s="368">
        <v>2599000</v>
      </c>
      <c r="L39" s="367">
        <v>4</v>
      </c>
      <c r="M39" s="368">
        <v>18196000</v>
      </c>
      <c r="N39" s="369">
        <v>5</v>
      </c>
      <c r="O39" s="370">
        <v>20795000</v>
      </c>
      <c r="P39" s="367">
        <v>1</v>
      </c>
      <c r="Q39" s="368">
        <v>2099000</v>
      </c>
      <c r="R39" s="367"/>
      <c r="S39" s="368"/>
      <c r="T39" s="369">
        <v>1</v>
      </c>
      <c r="U39" s="370">
        <v>2099000</v>
      </c>
      <c r="V39" s="367">
        <v>3</v>
      </c>
      <c r="W39" s="368">
        <v>7097000</v>
      </c>
      <c r="X39" s="367">
        <v>3</v>
      </c>
      <c r="Y39" s="368">
        <v>22097000</v>
      </c>
      <c r="Z39" s="369">
        <v>6</v>
      </c>
      <c r="AA39" s="370">
        <v>29194000</v>
      </c>
      <c r="AB39" s="367">
        <v>1</v>
      </c>
      <c r="AC39" s="368">
        <v>2599000</v>
      </c>
      <c r="AD39" s="367">
        <v>1</v>
      </c>
      <c r="AE39" s="368">
        <v>5899000</v>
      </c>
      <c r="AF39" s="369">
        <v>2</v>
      </c>
      <c r="AG39" s="370">
        <v>8498000</v>
      </c>
      <c r="AH39" s="367">
        <v>5</v>
      </c>
      <c r="AI39" s="368">
        <v>12895000</v>
      </c>
      <c r="AJ39" s="367">
        <v>3</v>
      </c>
      <c r="AK39" s="368">
        <v>21397000</v>
      </c>
      <c r="AL39" s="369">
        <v>8</v>
      </c>
      <c r="AM39" s="370">
        <v>34292000</v>
      </c>
      <c r="AN39" s="367"/>
      <c r="AO39" s="368"/>
      <c r="AP39" s="367">
        <v>3</v>
      </c>
      <c r="AQ39" s="368">
        <v>15697000</v>
      </c>
      <c r="AR39" s="369">
        <v>3</v>
      </c>
      <c r="AS39" s="370">
        <v>15697000</v>
      </c>
      <c r="AT39" s="367">
        <v>2</v>
      </c>
      <c r="AU39" s="368">
        <v>5198000</v>
      </c>
      <c r="AV39" s="367"/>
      <c r="AW39" s="368"/>
      <c r="AX39" s="369">
        <v>2</v>
      </c>
      <c r="AY39" s="370">
        <v>5198000</v>
      </c>
      <c r="AZ39" s="367"/>
      <c r="BA39" s="368"/>
      <c r="BB39" s="367"/>
      <c r="BC39" s="368"/>
      <c r="BD39" s="369"/>
      <c r="BE39" s="370"/>
      <c r="BF39" s="367"/>
      <c r="BG39" s="368"/>
      <c r="BH39" s="367"/>
      <c r="BI39" s="368"/>
      <c r="BJ39" s="369"/>
      <c r="BK39" s="370"/>
      <c r="BL39" s="367">
        <v>3</v>
      </c>
      <c r="BM39" s="368">
        <v>6497000</v>
      </c>
      <c r="BN39" s="367"/>
      <c r="BO39" s="368"/>
      <c r="BP39" s="369">
        <v>3</v>
      </c>
      <c r="BQ39" s="370">
        <v>6497000</v>
      </c>
      <c r="BR39" s="367"/>
      <c r="BS39" s="368"/>
      <c r="BT39" s="367">
        <v>2</v>
      </c>
      <c r="BU39" s="368">
        <v>12298000</v>
      </c>
      <c r="BV39" s="369">
        <v>2</v>
      </c>
      <c r="BW39" s="370">
        <v>12298000</v>
      </c>
      <c r="BX39" s="367">
        <v>1</v>
      </c>
      <c r="BY39" s="368">
        <v>2599000</v>
      </c>
      <c r="BZ39" s="367"/>
      <c r="CA39" s="368"/>
      <c r="CB39" s="369">
        <v>1</v>
      </c>
      <c r="CC39" s="370">
        <v>2599000</v>
      </c>
      <c r="CD39" s="367">
        <v>1</v>
      </c>
      <c r="CE39" s="368">
        <v>2799000</v>
      </c>
      <c r="CF39" s="367">
        <v>1</v>
      </c>
      <c r="CG39" s="368">
        <v>7999000</v>
      </c>
      <c r="CH39" s="369">
        <v>2</v>
      </c>
      <c r="CI39" s="370">
        <v>10798000</v>
      </c>
      <c r="CJ39" s="367">
        <v>2</v>
      </c>
      <c r="CK39" s="368">
        <v>5398000</v>
      </c>
      <c r="CL39" s="367"/>
      <c r="CM39" s="368"/>
      <c r="CN39" s="369">
        <v>2</v>
      </c>
      <c r="CO39" s="370">
        <v>5398000</v>
      </c>
      <c r="CP39" s="367">
        <v>2</v>
      </c>
      <c r="CQ39" s="368">
        <v>4898000</v>
      </c>
      <c r="CR39" s="367">
        <v>3</v>
      </c>
      <c r="CS39" s="368">
        <v>22397000</v>
      </c>
      <c r="CT39" s="369">
        <v>5</v>
      </c>
      <c r="CU39" s="370">
        <v>27295000</v>
      </c>
      <c r="CV39" s="367">
        <v>1</v>
      </c>
      <c r="CW39" s="368">
        <v>2399000</v>
      </c>
      <c r="CX39" s="367">
        <v>1</v>
      </c>
      <c r="CY39" s="368">
        <v>5499000</v>
      </c>
      <c r="CZ39" s="369">
        <v>2</v>
      </c>
      <c r="DA39" s="370">
        <v>7898000</v>
      </c>
      <c r="DB39" s="367">
        <v>1</v>
      </c>
      <c r="DC39" s="368">
        <v>2099000</v>
      </c>
      <c r="DD39" s="367">
        <v>1</v>
      </c>
      <c r="DE39" s="368">
        <v>25999000</v>
      </c>
      <c r="DF39" s="369">
        <v>2</v>
      </c>
      <c r="DG39" s="370">
        <v>28098000</v>
      </c>
      <c r="DH39" s="367"/>
      <c r="DI39" s="368"/>
      <c r="DJ39" s="367">
        <v>2</v>
      </c>
      <c r="DK39" s="368">
        <v>31898000</v>
      </c>
      <c r="DL39" s="369">
        <v>2</v>
      </c>
      <c r="DM39" s="370">
        <v>31898000</v>
      </c>
      <c r="DN39" s="367"/>
      <c r="DO39" s="368"/>
      <c r="DP39" s="367">
        <v>1</v>
      </c>
      <c r="DQ39" s="368">
        <v>7999000</v>
      </c>
      <c r="DR39" s="369">
        <v>1</v>
      </c>
      <c r="DS39" s="370">
        <v>7999000</v>
      </c>
      <c r="DT39" s="367"/>
      <c r="DU39" s="368"/>
      <c r="DV39" s="367">
        <v>1</v>
      </c>
      <c r="DW39" s="368">
        <v>7999000</v>
      </c>
      <c r="DX39" s="369">
        <v>1</v>
      </c>
      <c r="DY39" s="370">
        <v>7999000</v>
      </c>
      <c r="DZ39" s="367">
        <v>1</v>
      </c>
      <c r="EA39" s="368">
        <v>2599000</v>
      </c>
      <c r="EB39" s="367"/>
      <c r="EC39" s="368"/>
      <c r="ED39" s="369">
        <v>1</v>
      </c>
      <c r="EE39" s="370">
        <v>2599000</v>
      </c>
      <c r="EF39" s="367">
        <v>53</v>
      </c>
      <c r="EG39" s="371">
        <v>271647000</v>
      </c>
    </row>
    <row r="40" spans="1:137" x14ac:dyDescent="0.2">
      <c r="A40" s="364"/>
      <c r="B40" s="365">
        <v>6010703</v>
      </c>
      <c r="C40" s="366" t="s">
        <v>381</v>
      </c>
      <c r="D40" s="367"/>
      <c r="E40" s="368"/>
      <c r="F40" s="367"/>
      <c r="G40" s="368"/>
      <c r="H40" s="369"/>
      <c r="I40" s="370"/>
      <c r="J40" s="367">
        <v>12</v>
      </c>
      <c r="K40" s="368">
        <v>25688000</v>
      </c>
      <c r="L40" s="367">
        <v>3</v>
      </c>
      <c r="M40" s="368">
        <v>12097000</v>
      </c>
      <c r="N40" s="369">
        <v>15</v>
      </c>
      <c r="O40" s="370">
        <v>37785000</v>
      </c>
      <c r="P40" s="367">
        <v>5</v>
      </c>
      <c r="Q40" s="368">
        <v>10995000</v>
      </c>
      <c r="R40" s="367">
        <v>1</v>
      </c>
      <c r="S40" s="368">
        <v>6299000</v>
      </c>
      <c r="T40" s="369">
        <v>6</v>
      </c>
      <c r="U40" s="370">
        <v>17294000</v>
      </c>
      <c r="V40" s="367">
        <v>2</v>
      </c>
      <c r="W40" s="368">
        <v>4498000</v>
      </c>
      <c r="X40" s="367"/>
      <c r="Y40" s="368"/>
      <c r="Z40" s="369">
        <v>2</v>
      </c>
      <c r="AA40" s="370">
        <v>4498000</v>
      </c>
      <c r="AB40" s="367">
        <v>7</v>
      </c>
      <c r="AC40" s="368">
        <v>14693000</v>
      </c>
      <c r="AD40" s="367"/>
      <c r="AE40" s="368"/>
      <c r="AF40" s="369">
        <v>7</v>
      </c>
      <c r="AG40" s="370">
        <v>14693000</v>
      </c>
      <c r="AH40" s="367">
        <v>5</v>
      </c>
      <c r="AI40" s="368">
        <v>10695000</v>
      </c>
      <c r="AJ40" s="367"/>
      <c r="AK40" s="368"/>
      <c r="AL40" s="369">
        <v>5</v>
      </c>
      <c r="AM40" s="370">
        <v>10695000</v>
      </c>
      <c r="AN40" s="367">
        <v>8</v>
      </c>
      <c r="AO40" s="368">
        <v>17492000</v>
      </c>
      <c r="AP40" s="367">
        <v>3</v>
      </c>
      <c r="AQ40" s="368">
        <v>16097000</v>
      </c>
      <c r="AR40" s="369">
        <v>11</v>
      </c>
      <c r="AS40" s="370">
        <v>33589000</v>
      </c>
      <c r="AT40" s="367">
        <v>7</v>
      </c>
      <c r="AU40" s="368">
        <v>16793000</v>
      </c>
      <c r="AV40" s="367">
        <v>1</v>
      </c>
      <c r="AW40" s="368">
        <v>3899000</v>
      </c>
      <c r="AX40" s="369">
        <v>8</v>
      </c>
      <c r="AY40" s="370">
        <v>20692000</v>
      </c>
      <c r="AZ40" s="367"/>
      <c r="BA40" s="368"/>
      <c r="BB40" s="367">
        <v>1</v>
      </c>
      <c r="BC40" s="368">
        <v>3899000</v>
      </c>
      <c r="BD40" s="369">
        <v>1</v>
      </c>
      <c r="BE40" s="370">
        <v>3899000</v>
      </c>
      <c r="BF40" s="367">
        <v>2</v>
      </c>
      <c r="BG40" s="368">
        <v>4198000</v>
      </c>
      <c r="BH40" s="367">
        <v>1</v>
      </c>
      <c r="BI40" s="368">
        <v>3899000</v>
      </c>
      <c r="BJ40" s="369">
        <v>3</v>
      </c>
      <c r="BK40" s="370">
        <v>8097000</v>
      </c>
      <c r="BL40" s="367">
        <v>1</v>
      </c>
      <c r="BM40" s="368">
        <v>2099000</v>
      </c>
      <c r="BN40" s="367"/>
      <c r="BO40" s="368"/>
      <c r="BP40" s="369">
        <v>1</v>
      </c>
      <c r="BQ40" s="370">
        <v>2099000</v>
      </c>
      <c r="BR40" s="367">
        <v>1</v>
      </c>
      <c r="BS40" s="368">
        <v>2399000</v>
      </c>
      <c r="BT40" s="367"/>
      <c r="BU40" s="368"/>
      <c r="BV40" s="369">
        <v>1</v>
      </c>
      <c r="BW40" s="370">
        <v>2399000</v>
      </c>
      <c r="BX40" s="367">
        <v>1</v>
      </c>
      <c r="BY40" s="368">
        <v>2399000</v>
      </c>
      <c r="BZ40" s="367"/>
      <c r="CA40" s="368"/>
      <c r="CB40" s="369">
        <v>1</v>
      </c>
      <c r="CC40" s="370">
        <v>2399000</v>
      </c>
      <c r="CD40" s="367">
        <v>9</v>
      </c>
      <c r="CE40" s="368">
        <v>19591000</v>
      </c>
      <c r="CF40" s="367">
        <v>1</v>
      </c>
      <c r="CG40" s="368">
        <v>4299000</v>
      </c>
      <c r="CH40" s="369">
        <v>10</v>
      </c>
      <c r="CI40" s="370">
        <v>23890000</v>
      </c>
      <c r="CJ40" s="367">
        <v>14</v>
      </c>
      <c r="CK40" s="368">
        <v>30186000</v>
      </c>
      <c r="CL40" s="367"/>
      <c r="CM40" s="368"/>
      <c r="CN40" s="369">
        <v>14</v>
      </c>
      <c r="CO40" s="370">
        <v>30186000</v>
      </c>
      <c r="CP40" s="367">
        <v>8</v>
      </c>
      <c r="CQ40" s="368">
        <v>17292000</v>
      </c>
      <c r="CR40" s="367"/>
      <c r="CS40" s="368"/>
      <c r="CT40" s="369">
        <v>8</v>
      </c>
      <c r="CU40" s="370">
        <v>17292000</v>
      </c>
      <c r="CV40" s="367">
        <v>1</v>
      </c>
      <c r="CW40" s="368">
        <v>2099000</v>
      </c>
      <c r="CX40" s="367">
        <v>1</v>
      </c>
      <c r="CY40" s="368">
        <v>3599000</v>
      </c>
      <c r="CZ40" s="369">
        <v>2</v>
      </c>
      <c r="DA40" s="370">
        <v>5698000</v>
      </c>
      <c r="DB40" s="367">
        <v>1</v>
      </c>
      <c r="DC40" s="368">
        <v>2799000</v>
      </c>
      <c r="DD40" s="367"/>
      <c r="DE40" s="368"/>
      <c r="DF40" s="369">
        <v>1</v>
      </c>
      <c r="DG40" s="370">
        <v>2799000</v>
      </c>
      <c r="DH40" s="367">
        <v>1</v>
      </c>
      <c r="DI40" s="368">
        <v>2799000</v>
      </c>
      <c r="DJ40" s="367">
        <v>1</v>
      </c>
      <c r="DK40" s="368">
        <v>7999000</v>
      </c>
      <c r="DL40" s="369">
        <v>2</v>
      </c>
      <c r="DM40" s="370">
        <v>10798000</v>
      </c>
      <c r="DN40" s="367">
        <v>9</v>
      </c>
      <c r="DO40" s="368">
        <v>19591000</v>
      </c>
      <c r="DP40" s="367">
        <v>1</v>
      </c>
      <c r="DQ40" s="368">
        <v>3599000</v>
      </c>
      <c r="DR40" s="369">
        <v>10</v>
      </c>
      <c r="DS40" s="370">
        <v>23190000</v>
      </c>
      <c r="DT40" s="367">
        <v>3</v>
      </c>
      <c r="DU40" s="368">
        <v>7397000</v>
      </c>
      <c r="DV40" s="367"/>
      <c r="DW40" s="368"/>
      <c r="DX40" s="369">
        <v>3</v>
      </c>
      <c r="DY40" s="370">
        <v>7397000</v>
      </c>
      <c r="DZ40" s="367">
        <v>2</v>
      </c>
      <c r="EA40" s="368">
        <v>4798000</v>
      </c>
      <c r="EB40" s="367">
        <v>2</v>
      </c>
      <c r="EC40" s="368">
        <v>11198000</v>
      </c>
      <c r="ED40" s="369">
        <v>4</v>
      </c>
      <c r="EE40" s="370">
        <v>15996000</v>
      </c>
      <c r="EF40" s="367">
        <v>115</v>
      </c>
      <c r="EG40" s="371">
        <v>295385000</v>
      </c>
    </row>
    <row r="41" spans="1:137" x14ac:dyDescent="0.2">
      <c r="A41" s="364"/>
      <c r="B41" s="365">
        <v>6010702</v>
      </c>
      <c r="C41" s="366" t="s">
        <v>382</v>
      </c>
      <c r="D41" s="367">
        <v>5</v>
      </c>
      <c r="E41" s="368">
        <v>10995000</v>
      </c>
      <c r="F41" s="367">
        <v>2</v>
      </c>
      <c r="G41" s="368">
        <v>10498000</v>
      </c>
      <c r="H41" s="369">
        <v>7</v>
      </c>
      <c r="I41" s="370">
        <v>21493000</v>
      </c>
      <c r="J41" s="367">
        <v>3</v>
      </c>
      <c r="K41" s="368">
        <v>6597000</v>
      </c>
      <c r="L41" s="367">
        <v>7</v>
      </c>
      <c r="M41" s="368">
        <v>34093000</v>
      </c>
      <c r="N41" s="369">
        <v>10</v>
      </c>
      <c r="O41" s="370">
        <v>40690000</v>
      </c>
      <c r="P41" s="367">
        <v>18</v>
      </c>
      <c r="Q41" s="368">
        <v>42482000</v>
      </c>
      <c r="R41" s="367">
        <v>1</v>
      </c>
      <c r="S41" s="368">
        <v>5499000</v>
      </c>
      <c r="T41" s="369">
        <v>19</v>
      </c>
      <c r="U41" s="370">
        <v>47981000</v>
      </c>
      <c r="V41" s="367">
        <v>23</v>
      </c>
      <c r="W41" s="368">
        <v>53777000</v>
      </c>
      <c r="X41" s="367">
        <v>2</v>
      </c>
      <c r="Y41" s="368">
        <v>8598000</v>
      </c>
      <c r="Z41" s="369">
        <v>25</v>
      </c>
      <c r="AA41" s="370">
        <v>62375000</v>
      </c>
      <c r="AB41" s="367">
        <v>5</v>
      </c>
      <c r="AC41" s="368">
        <v>11695000</v>
      </c>
      <c r="AD41" s="367">
        <v>1</v>
      </c>
      <c r="AE41" s="368">
        <v>4899000</v>
      </c>
      <c r="AF41" s="369">
        <v>6</v>
      </c>
      <c r="AG41" s="370">
        <v>16594000</v>
      </c>
      <c r="AH41" s="367">
        <v>7</v>
      </c>
      <c r="AI41" s="368">
        <v>16993000</v>
      </c>
      <c r="AJ41" s="367">
        <v>6</v>
      </c>
      <c r="AK41" s="368">
        <v>37394000</v>
      </c>
      <c r="AL41" s="369">
        <v>13</v>
      </c>
      <c r="AM41" s="370">
        <v>54387000</v>
      </c>
      <c r="AN41" s="367">
        <v>8</v>
      </c>
      <c r="AO41" s="368">
        <v>19392000</v>
      </c>
      <c r="AP41" s="367">
        <v>4</v>
      </c>
      <c r="AQ41" s="368">
        <v>21196000</v>
      </c>
      <c r="AR41" s="369">
        <v>12</v>
      </c>
      <c r="AS41" s="370">
        <v>40588000</v>
      </c>
      <c r="AT41" s="367">
        <v>6</v>
      </c>
      <c r="AU41" s="368">
        <v>13494000</v>
      </c>
      <c r="AV41" s="367">
        <v>2</v>
      </c>
      <c r="AW41" s="368">
        <v>13898000</v>
      </c>
      <c r="AX41" s="369">
        <v>8</v>
      </c>
      <c r="AY41" s="370">
        <v>27392000</v>
      </c>
      <c r="AZ41" s="367">
        <v>2</v>
      </c>
      <c r="BA41" s="368">
        <v>4898000</v>
      </c>
      <c r="BB41" s="367"/>
      <c r="BC41" s="368"/>
      <c r="BD41" s="369">
        <v>2</v>
      </c>
      <c r="BE41" s="370">
        <v>4898000</v>
      </c>
      <c r="BF41" s="367">
        <v>2</v>
      </c>
      <c r="BG41" s="368">
        <v>5398000</v>
      </c>
      <c r="BH41" s="367">
        <v>4</v>
      </c>
      <c r="BI41" s="368">
        <v>18396000</v>
      </c>
      <c r="BJ41" s="369">
        <v>6</v>
      </c>
      <c r="BK41" s="370">
        <v>23794000</v>
      </c>
      <c r="BL41" s="367">
        <v>11</v>
      </c>
      <c r="BM41" s="368">
        <v>23989000</v>
      </c>
      <c r="BN41" s="367">
        <v>1</v>
      </c>
      <c r="BO41" s="368">
        <v>5499000</v>
      </c>
      <c r="BP41" s="369">
        <v>12</v>
      </c>
      <c r="BQ41" s="370">
        <v>29488000</v>
      </c>
      <c r="BR41" s="367">
        <v>8</v>
      </c>
      <c r="BS41" s="368">
        <v>17292000</v>
      </c>
      <c r="BT41" s="367">
        <v>1</v>
      </c>
      <c r="BU41" s="368">
        <v>4299000</v>
      </c>
      <c r="BV41" s="369">
        <v>9</v>
      </c>
      <c r="BW41" s="370">
        <v>21591000</v>
      </c>
      <c r="BX41" s="367">
        <v>3</v>
      </c>
      <c r="BY41" s="368">
        <v>6997000</v>
      </c>
      <c r="BZ41" s="367">
        <v>3</v>
      </c>
      <c r="CA41" s="368">
        <v>13697000</v>
      </c>
      <c r="CB41" s="369">
        <v>6</v>
      </c>
      <c r="CC41" s="370">
        <v>20694000</v>
      </c>
      <c r="CD41" s="367">
        <v>8</v>
      </c>
      <c r="CE41" s="368">
        <v>18292000</v>
      </c>
      <c r="CF41" s="367">
        <v>3</v>
      </c>
      <c r="CG41" s="368">
        <v>12097000</v>
      </c>
      <c r="CH41" s="369">
        <v>11</v>
      </c>
      <c r="CI41" s="370">
        <v>30389000</v>
      </c>
      <c r="CJ41" s="367">
        <v>15</v>
      </c>
      <c r="CK41" s="368">
        <v>34985000</v>
      </c>
      <c r="CL41" s="367">
        <v>1</v>
      </c>
      <c r="CM41" s="368">
        <v>4299000</v>
      </c>
      <c r="CN41" s="369">
        <v>16</v>
      </c>
      <c r="CO41" s="370">
        <v>39284000</v>
      </c>
      <c r="CP41" s="367">
        <v>3</v>
      </c>
      <c r="CQ41" s="368">
        <v>6597000</v>
      </c>
      <c r="CR41" s="367">
        <v>4</v>
      </c>
      <c r="CS41" s="368">
        <v>16996000</v>
      </c>
      <c r="CT41" s="369">
        <v>7</v>
      </c>
      <c r="CU41" s="370">
        <v>23593000</v>
      </c>
      <c r="CV41" s="367">
        <v>5</v>
      </c>
      <c r="CW41" s="368">
        <v>10795000</v>
      </c>
      <c r="CX41" s="367">
        <v>3</v>
      </c>
      <c r="CY41" s="368">
        <v>21997000</v>
      </c>
      <c r="CZ41" s="369">
        <v>8</v>
      </c>
      <c r="DA41" s="370">
        <v>32792000</v>
      </c>
      <c r="DB41" s="367">
        <v>4</v>
      </c>
      <c r="DC41" s="368">
        <v>10796000</v>
      </c>
      <c r="DD41" s="367">
        <v>1</v>
      </c>
      <c r="DE41" s="368">
        <v>5499000</v>
      </c>
      <c r="DF41" s="369">
        <v>5</v>
      </c>
      <c r="DG41" s="370">
        <v>16295000</v>
      </c>
      <c r="DH41" s="367">
        <v>7</v>
      </c>
      <c r="DI41" s="368">
        <v>15893000</v>
      </c>
      <c r="DJ41" s="367">
        <v>1</v>
      </c>
      <c r="DK41" s="368">
        <v>7999000</v>
      </c>
      <c r="DL41" s="369">
        <v>8</v>
      </c>
      <c r="DM41" s="370">
        <v>23892000</v>
      </c>
      <c r="DN41" s="367">
        <v>7</v>
      </c>
      <c r="DO41" s="368">
        <v>16093000</v>
      </c>
      <c r="DP41" s="367">
        <v>1</v>
      </c>
      <c r="DQ41" s="368">
        <v>4299000</v>
      </c>
      <c r="DR41" s="369">
        <v>8</v>
      </c>
      <c r="DS41" s="370">
        <v>20392000</v>
      </c>
      <c r="DT41" s="367">
        <v>10</v>
      </c>
      <c r="DU41" s="368">
        <v>23390000</v>
      </c>
      <c r="DV41" s="367">
        <v>3</v>
      </c>
      <c r="DW41" s="368">
        <v>14097000</v>
      </c>
      <c r="DX41" s="369">
        <v>13</v>
      </c>
      <c r="DY41" s="370">
        <v>37487000</v>
      </c>
      <c r="DZ41" s="367">
        <v>8</v>
      </c>
      <c r="EA41" s="368">
        <v>19692000</v>
      </c>
      <c r="EB41" s="367">
        <v>2</v>
      </c>
      <c r="EC41" s="368">
        <v>8598000</v>
      </c>
      <c r="ED41" s="369">
        <v>10</v>
      </c>
      <c r="EE41" s="370">
        <v>28290000</v>
      </c>
      <c r="EF41" s="367">
        <v>221</v>
      </c>
      <c r="EG41" s="371">
        <v>664379000</v>
      </c>
    </row>
    <row r="42" spans="1:137" x14ac:dyDescent="0.2">
      <c r="A42" s="364"/>
      <c r="B42" s="365">
        <v>6010701</v>
      </c>
      <c r="C42" s="366" t="s">
        <v>383</v>
      </c>
      <c r="D42" s="367">
        <v>6</v>
      </c>
      <c r="E42" s="368">
        <v>13294000</v>
      </c>
      <c r="F42" s="367">
        <v>2</v>
      </c>
      <c r="G42" s="368">
        <v>11898000</v>
      </c>
      <c r="H42" s="369">
        <v>8</v>
      </c>
      <c r="I42" s="370">
        <v>25192000</v>
      </c>
      <c r="J42" s="367">
        <v>5</v>
      </c>
      <c r="K42" s="368">
        <v>11895000</v>
      </c>
      <c r="L42" s="367">
        <v>11</v>
      </c>
      <c r="M42" s="368">
        <v>71789000</v>
      </c>
      <c r="N42" s="369">
        <v>16</v>
      </c>
      <c r="O42" s="370">
        <v>83684000</v>
      </c>
      <c r="P42" s="367">
        <v>10</v>
      </c>
      <c r="Q42" s="368">
        <v>23390000</v>
      </c>
      <c r="R42" s="367">
        <v>5</v>
      </c>
      <c r="S42" s="368">
        <v>31095000</v>
      </c>
      <c r="T42" s="369">
        <v>15</v>
      </c>
      <c r="U42" s="370">
        <v>54485000</v>
      </c>
      <c r="V42" s="367">
        <v>15</v>
      </c>
      <c r="W42" s="368">
        <v>33985000</v>
      </c>
      <c r="X42" s="367">
        <v>4</v>
      </c>
      <c r="Y42" s="368">
        <v>22896000</v>
      </c>
      <c r="Z42" s="369">
        <v>19</v>
      </c>
      <c r="AA42" s="370">
        <v>56881000</v>
      </c>
      <c r="AB42" s="367">
        <v>4</v>
      </c>
      <c r="AC42" s="368">
        <v>9496000</v>
      </c>
      <c r="AD42" s="367">
        <v>4</v>
      </c>
      <c r="AE42" s="368">
        <v>23096000</v>
      </c>
      <c r="AF42" s="369">
        <v>8</v>
      </c>
      <c r="AG42" s="370">
        <v>32592000</v>
      </c>
      <c r="AH42" s="367">
        <v>4</v>
      </c>
      <c r="AI42" s="368">
        <v>10296000</v>
      </c>
      <c r="AJ42" s="367">
        <v>5</v>
      </c>
      <c r="AK42" s="368">
        <v>23495000</v>
      </c>
      <c r="AL42" s="369">
        <v>9</v>
      </c>
      <c r="AM42" s="370">
        <v>33791000</v>
      </c>
      <c r="AN42" s="367">
        <v>6</v>
      </c>
      <c r="AO42" s="368">
        <v>14294000</v>
      </c>
      <c r="AP42" s="367">
        <v>2</v>
      </c>
      <c r="AQ42" s="368">
        <v>8198000</v>
      </c>
      <c r="AR42" s="369">
        <v>8</v>
      </c>
      <c r="AS42" s="370">
        <v>22492000</v>
      </c>
      <c r="AT42" s="367">
        <v>4</v>
      </c>
      <c r="AU42" s="368">
        <v>9696000</v>
      </c>
      <c r="AV42" s="367">
        <v>5</v>
      </c>
      <c r="AW42" s="368">
        <v>26295000</v>
      </c>
      <c r="AX42" s="369">
        <v>9</v>
      </c>
      <c r="AY42" s="370">
        <v>35991000</v>
      </c>
      <c r="AZ42" s="367">
        <v>2</v>
      </c>
      <c r="BA42" s="368">
        <v>4398000</v>
      </c>
      <c r="BB42" s="367">
        <v>2</v>
      </c>
      <c r="BC42" s="368">
        <v>7798000</v>
      </c>
      <c r="BD42" s="369">
        <v>4</v>
      </c>
      <c r="BE42" s="370">
        <v>12196000</v>
      </c>
      <c r="BF42" s="367">
        <v>7</v>
      </c>
      <c r="BG42" s="368">
        <v>16793000</v>
      </c>
      <c r="BH42" s="367">
        <v>2</v>
      </c>
      <c r="BI42" s="368">
        <v>8198000</v>
      </c>
      <c r="BJ42" s="369">
        <v>9</v>
      </c>
      <c r="BK42" s="370">
        <v>24991000</v>
      </c>
      <c r="BL42" s="367">
        <v>2</v>
      </c>
      <c r="BM42" s="368">
        <v>4798000</v>
      </c>
      <c r="BN42" s="367">
        <v>2</v>
      </c>
      <c r="BO42" s="368">
        <v>7198000</v>
      </c>
      <c r="BP42" s="369">
        <v>4</v>
      </c>
      <c r="BQ42" s="370">
        <v>11996000</v>
      </c>
      <c r="BR42" s="367">
        <v>2</v>
      </c>
      <c r="BS42" s="368">
        <v>4498000</v>
      </c>
      <c r="BT42" s="367">
        <v>3</v>
      </c>
      <c r="BU42" s="368">
        <v>17197000</v>
      </c>
      <c r="BV42" s="369">
        <v>5</v>
      </c>
      <c r="BW42" s="370">
        <v>21695000</v>
      </c>
      <c r="BX42" s="367">
        <v>5</v>
      </c>
      <c r="BY42" s="368">
        <v>12195000</v>
      </c>
      <c r="BZ42" s="367">
        <v>4</v>
      </c>
      <c r="CA42" s="368">
        <v>27396000</v>
      </c>
      <c r="CB42" s="369">
        <v>9</v>
      </c>
      <c r="CC42" s="370">
        <v>39591000</v>
      </c>
      <c r="CD42" s="367">
        <v>3</v>
      </c>
      <c r="CE42" s="368">
        <v>7597000</v>
      </c>
      <c r="CF42" s="367">
        <v>6</v>
      </c>
      <c r="CG42" s="368">
        <v>30094000</v>
      </c>
      <c r="CH42" s="369">
        <v>9</v>
      </c>
      <c r="CI42" s="370">
        <v>37691000</v>
      </c>
      <c r="CJ42" s="367">
        <v>5</v>
      </c>
      <c r="CK42" s="368">
        <v>12695000</v>
      </c>
      <c r="CL42" s="367">
        <v>8</v>
      </c>
      <c r="CM42" s="368">
        <v>42092000</v>
      </c>
      <c r="CN42" s="369">
        <v>13</v>
      </c>
      <c r="CO42" s="370">
        <v>54787000</v>
      </c>
      <c r="CP42" s="367">
        <v>5</v>
      </c>
      <c r="CQ42" s="368">
        <v>11395000</v>
      </c>
      <c r="CR42" s="367">
        <v>3</v>
      </c>
      <c r="CS42" s="368">
        <v>15497000</v>
      </c>
      <c r="CT42" s="369">
        <v>8</v>
      </c>
      <c r="CU42" s="370">
        <v>26892000</v>
      </c>
      <c r="CV42" s="367">
        <v>5</v>
      </c>
      <c r="CW42" s="368">
        <v>12895000</v>
      </c>
      <c r="CX42" s="367">
        <v>3</v>
      </c>
      <c r="CY42" s="368">
        <v>14197000</v>
      </c>
      <c r="CZ42" s="369">
        <v>8</v>
      </c>
      <c r="DA42" s="370">
        <v>27092000</v>
      </c>
      <c r="DB42" s="367">
        <v>3</v>
      </c>
      <c r="DC42" s="368">
        <v>6797000</v>
      </c>
      <c r="DD42" s="367"/>
      <c r="DE42" s="368"/>
      <c r="DF42" s="369">
        <v>3</v>
      </c>
      <c r="DG42" s="370">
        <v>6797000</v>
      </c>
      <c r="DH42" s="367">
        <v>3</v>
      </c>
      <c r="DI42" s="368">
        <v>7197000</v>
      </c>
      <c r="DJ42" s="367">
        <v>4</v>
      </c>
      <c r="DK42" s="368">
        <v>16696000</v>
      </c>
      <c r="DL42" s="369">
        <v>7</v>
      </c>
      <c r="DM42" s="370">
        <v>23893000</v>
      </c>
      <c r="DN42" s="367">
        <v>9</v>
      </c>
      <c r="DO42" s="368">
        <v>22991000</v>
      </c>
      <c r="DP42" s="367">
        <v>6</v>
      </c>
      <c r="DQ42" s="368">
        <v>27294000</v>
      </c>
      <c r="DR42" s="369">
        <v>15</v>
      </c>
      <c r="DS42" s="370">
        <v>50285000</v>
      </c>
      <c r="DT42" s="367">
        <v>5</v>
      </c>
      <c r="DU42" s="368">
        <v>11395000</v>
      </c>
      <c r="DV42" s="367">
        <v>3</v>
      </c>
      <c r="DW42" s="368">
        <v>15997000</v>
      </c>
      <c r="DX42" s="369">
        <v>8</v>
      </c>
      <c r="DY42" s="370">
        <v>27392000</v>
      </c>
      <c r="DZ42" s="367">
        <v>8</v>
      </c>
      <c r="EA42" s="368">
        <v>20892000</v>
      </c>
      <c r="EB42" s="367">
        <v>4</v>
      </c>
      <c r="EC42" s="368">
        <v>23896000</v>
      </c>
      <c r="ED42" s="369">
        <v>12</v>
      </c>
      <c r="EE42" s="370">
        <v>44788000</v>
      </c>
      <c r="EF42" s="367">
        <v>206</v>
      </c>
      <c r="EG42" s="371">
        <v>755194000</v>
      </c>
    </row>
    <row r="43" spans="1:137" x14ac:dyDescent="0.2">
      <c r="A43" s="364"/>
      <c r="B43" s="365">
        <v>6010710</v>
      </c>
      <c r="C43" s="366" t="s">
        <v>384</v>
      </c>
      <c r="D43" s="367">
        <v>4</v>
      </c>
      <c r="E43" s="368">
        <v>8796000</v>
      </c>
      <c r="F43" s="367">
        <v>1</v>
      </c>
      <c r="G43" s="368">
        <v>4299000</v>
      </c>
      <c r="H43" s="369">
        <v>5</v>
      </c>
      <c r="I43" s="370">
        <v>13095000</v>
      </c>
      <c r="J43" s="367">
        <v>3</v>
      </c>
      <c r="K43" s="368">
        <v>7297000</v>
      </c>
      <c r="L43" s="367"/>
      <c r="M43" s="368"/>
      <c r="N43" s="369">
        <v>3</v>
      </c>
      <c r="O43" s="370">
        <v>7297000</v>
      </c>
      <c r="P43" s="367">
        <v>10</v>
      </c>
      <c r="Q43" s="368">
        <v>24090000</v>
      </c>
      <c r="R43" s="367">
        <v>1</v>
      </c>
      <c r="S43" s="368">
        <v>3599000</v>
      </c>
      <c r="T43" s="369">
        <v>11</v>
      </c>
      <c r="U43" s="370">
        <v>27689000</v>
      </c>
      <c r="V43" s="367">
        <v>12</v>
      </c>
      <c r="W43" s="368">
        <v>25688000</v>
      </c>
      <c r="X43" s="367"/>
      <c r="Y43" s="368"/>
      <c r="Z43" s="369">
        <v>12</v>
      </c>
      <c r="AA43" s="370">
        <v>25688000</v>
      </c>
      <c r="AB43" s="367">
        <v>2</v>
      </c>
      <c r="AC43" s="368">
        <v>4498000</v>
      </c>
      <c r="AD43" s="367">
        <v>1</v>
      </c>
      <c r="AE43" s="368">
        <v>4299000</v>
      </c>
      <c r="AF43" s="369">
        <v>3</v>
      </c>
      <c r="AG43" s="370">
        <v>8797000</v>
      </c>
      <c r="AH43" s="367">
        <v>3</v>
      </c>
      <c r="AI43" s="368">
        <v>6497000</v>
      </c>
      <c r="AJ43" s="367">
        <v>2</v>
      </c>
      <c r="AK43" s="368">
        <v>9798000</v>
      </c>
      <c r="AL43" s="369">
        <v>5</v>
      </c>
      <c r="AM43" s="370">
        <v>16295000</v>
      </c>
      <c r="AN43" s="367">
        <v>1</v>
      </c>
      <c r="AO43" s="368">
        <v>2799000</v>
      </c>
      <c r="AP43" s="367">
        <v>2</v>
      </c>
      <c r="AQ43" s="368">
        <v>8798000</v>
      </c>
      <c r="AR43" s="369">
        <v>3</v>
      </c>
      <c r="AS43" s="370">
        <v>11597000</v>
      </c>
      <c r="AT43" s="367">
        <v>1</v>
      </c>
      <c r="AU43" s="368">
        <v>2099000</v>
      </c>
      <c r="AV43" s="367">
        <v>3</v>
      </c>
      <c r="AW43" s="368">
        <v>14097000</v>
      </c>
      <c r="AX43" s="369">
        <v>4</v>
      </c>
      <c r="AY43" s="370">
        <v>16196000</v>
      </c>
      <c r="AZ43" s="367">
        <v>10</v>
      </c>
      <c r="BA43" s="368">
        <v>21290000</v>
      </c>
      <c r="BB43" s="367">
        <v>2</v>
      </c>
      <c r="BC43" s="368">
        <v>9098000</v>
      </c>
      <c r="BD43" s="369">
        <v>12</v>
      </c>
      <c r="BE43" s="370">
        <v>30388000</v>
      </c>
      <c r="BF43" s="367"/>
      <c r="BG43" s="368"/>
      <c r="BH43" s="367"/>
      <c r="BI43" s="368"/>
      <c r="BJ43" s="369"/>
      <c r="BK43" s="370"/>
      <c r="BL43" s="367">
        <v>1</v>
      </c>
      <c r="BM43" s="368">
        <v>2399000</v>
      </c>
      <c r="BN43" s="367">
        <v>1</v>
      </c>
      <c r="BO43" s="368">
        <v>7999000</v>
      </c>
      <c r="BP43" s="369">
        <v>2</v>
      </c>
      <c r="BQ43" s="370">
        <v>10398000</v>
      </c>
      <c r="BR43" s="367">
        <v>1</v>
      </c>
      <c r="BS43" s="368">
        <v>2399000</v>
      </c>
      <c r="BT43" s="367"/>
      <c r="BU43" s="368"/>
      <c r="BV43" s="369">
        <v>1</v>
      </c>
      <c r="BW43" s="370">
        <v>2399000</v>
      </c>
      <c r="BX43" s="367">
        <v>1</v>
      </c>
      <c r="BY43" s="368">
        <v>2799000</v>
      </c>
      <c r="BZ43" s="367">
        <v>1</v>
      </c>
      <c r="CA43" s="368">
        <v>5699000</v>
      </c>
      <c r="CB43" s="369">
        <v>2</v>
      </c>
      <c r="CC43" s="370">
        <v>8498000</v>
      </c>
      <c r="CD43" s="367">
        <v>2</v>
      </c>
      <c r="CE43" s="368">
        <v>5198000</v>
      </c>
      <c r="CF43" s="367">
        <v>1</v>
      </c>
      <c r="CG43" s="368">
        <v>4299000</v>
      </c>
      <c r="CH43" s="369">
        <v>3</v>
      </c>
      <c r="CI43" s="370">
        <v>9497000</v>
      </c>
      <c r="CJ43" s="367">
        <v>5</v>
      </c>
      <c r="CK43" s="368">
        <v>11695000</v>
      </c>
      <c r="CL43" s="367"/>
      <c r="CM43" s="368"/>
      <c r="CN43" s="369">
        <v>5</v>
      </c>
      <c r="CO43" s="370">
        <v>11695000</v>
      </c>
      <c r="CP43" s="367">
        <v>6</v>
      </c>
      <c r="CQ43" s="368">
        <v>13294000</v>
      </c>
      <c r="CR43" s="367"/>
      <c r="CS43" s="368"/>
      <c r="CT43" s="369">
        <v>6</v>
      </c>
      <c r="CU43" s="370">
        <v>13294000</v>
      </c>
      <c r="CV43" s="367">
        <v>1</v>
      </c>
      <c r="CW43" s="368">
        <v>2799000</v>
      </c>
      <c r="CX43" s="367"/>
      <c r="CY43" s="368"/>
      <c r="CZ43" s="369">
        <v>1</v>
      </c>
      <c r="DA43" s="370">
        <v>2799000</v>
      </c>
      <c r="DB43" s="367">
        <v>1</v>
      </c>
      <c r="DC43" s="368">
        <v>2099000</v>
      </c>
      <c r="DD43" s="367">
        <v>3</v>
      </c>
      <c r="DE43" s="368">
        <v>18897000</v>
      </c>
      <c r="DF43" s="369">
        <v>4</v>
      </c>
      <c r="DG43" s="370">
        <v>20996000</v>
      </c>
      <c r="DH43" s="367">
        <v>2</v>
      </c>
      <c r="DI43" s="368">
        <v>4798000</v>
      </c>
      <c r="DJ43" s="367"/>
      <c r="DK43" s="368"/>
      <c r="DL43" s="369">
        <v>2</v>
      </c>
      <c r="DM43" s="370">
        <v>4798000</v>
      </c>
      <c r="DN43" s="367">
        <v>3</v>
      </c>
      <c r="DO43" s="368">
        <v>6597000</v>
      </c>
      <c r="DP43" s="367"/>
      <c r="DQ43" s="368"/>
      <c r="DR43" s="369">
        <v>3</v>
      </c>
      <c r="DS43" s="370">
        <v>6597000</v>
      </c>
      <c r="DT43" s="367">
        <v>4</v>
      </c>
      <c r="DU43" s="368">
        <v>9396000</v>
      </c>
      <c r="DV43" s="367">
        <v>1</v>
      </c>
      <c r="DW43" s="368">
        <v>7999000</v>
      </c>
      <c r="DX43" s="369">
        <v>5</v>
      </c>
      <c r="DY43" s="370">
        <v>17395000</v>
      </c>
      <c r="DZ43" s="367">
        <v>1</v>
      </c>
      <c r="EA43" s="368">
        <v>2099000</v>
      </c>
      <c r="EB43" s="367"/>
      <c r="EC43" s="368"/>
      <c r="ED43" s="369">
        <v>1</v>
      </c>
      <c r="EE43" s="370">
        <v>2099000</v>
      </c>
      <c r="EF43" s="367">
        <v>93</v>
      </c>
      <c r="EG43" s="371">
        <v>267507000</v>
      </c>
    </row>
    <row r="44" spans="1:137" x14ac:dyDescent="0.2">
      <c r="A44" s="364"/>
      <c r="B44" s="365">
        <v>6010709</v>
      </c>
      <c r="C44" s="366" t="s">
        <v>385</v>
      </c>
      <c r="D44" s="367">
        <v>9</v>
      </c>
      <c r="E44" s="368">
        <v>20791000</v>
      </c>
      <c r="F44" s="367">
        <v>4</v>
      </c>
      <c r="G44" s="368">
        <v>22396000</v>
      </c>
      <c r="H44" s="369">
        <v>13</v>
      </c>
      <c r="I44" s="370">
        <v>43187000</v>
      </c>
      <c r="J44" s="367">
        <v>6</v>
      </c>
      <c r="K44" s="368">
        <v>13794000</v>
      </c>
      <c r="L44" s="367">
        <v>5</v>
      </c>
      <c r="M44" s="368">
        <v>29395000</v>
      </c>
      <c r="N44" s="369">
        <v>11</v>
      </c>
      <c r="O44" s="370">
        <v>43189000</v>
      </c>
      <c r="P44" s="367">
        <v>32</v>
      </c>
      <c r="Q44" s="368">
        <v>72868000</v>
      </c>
      <c r="R44" s="367">
        <v>5</v>
      </c>
      <c r="S44" s="368">
        <v>26695000</v>
      </c>
      <c r="T44" s="369">
        <v>37</v>
      </c>
      <c r="U44" s="370">
        <v>99563000</v>
      </c>
      <c r="V44" s="367">
        <v>6</v>
      </c>
      <c r="W44" s="368">
        <v>13894000</v>
      </c>
      <c r="X44" s="367">
        <v>4</v>
      </c>
      <c r="Y44" s="368">
        <v>14396000</v>
      </c>
      <c r="Z44" s="369">
        <v>10</v>
      </c>
      <c r="AA44" s="370">
        <v>28290000</v>
      </c>
      <c r="AB44" s="367">
        <v>4</v>
      </c>
      <c r="AC44" s="368">
        <v>9396000</v>
      </c>
      <c r="AD44" s="367">
        <v>3</v>
      </c>
      <c r="AE44" s="368">
        <v>15097000</v>
      </c>
      <c r="AF44" s="369">
        <v>7</v>
      </c>
      <c r="AG44" s="370">
        <v>24493000</v>
      </c>
      <c r="AH44" s="367">
        <v>17</v>
      </c>
      <c r="AI44" s="368">
        <v>41183000</v>
      </c>
      <c r="AJ44" s="367">
        <v>2</v>
      </c>
      <c r="AK44" s="368">
        <v>9498000</v>
      </c>
      <c r="AL44" s="369">
        <v>19</v>
      </c>
      <c r="AM44" s="370">
        <v>50681000</v>
      </c>
      <c r="AN44" s="367">
        <v>10</v>
      </c>
      <c r="AO44" s="368">
        <v>22290000</v>
      </c>
      <c r="AP44" s="367"/>
      <c r="AQ44" s="368"/>
      <c r="AR44" s="369">
        <v>10</v>
      </c>
      <c r="AS44" s="370">
        <v>22290000</v>
      </c>
      <c r="AT44" s="367">
        <v>6</v>
      </c>
      <c r="AU44" s="368">
        <v>13794000</v>
      </c>
      <c r="AV44" s="367"/>
      <c r="AW44" s="368"/>
      <c r="AX44" s="369">
        <v>6</v>
      </c>
      <c r="AY44" s="370">
        <v>13794000</v>
      </c>
      <c r="AZ44" s="367">
        <v>5</v>
      </c>
      <c r="BA44" s="368">
        <v>11695000</v>
      </c>
      <c r="BB44" s="367">
        <v>3</v>
      </c>
      <c r="BC44" s="368">
        <v>16197000</v>
      </c>
      <c r="BD44" s="369">
        <v>8</v>
      </c>
      <c r="BE44" s="370">
        <v>27892000</v>
      </c>
      <c r="BF44" s="367">
        <v>26</v>
      </c>
      <c r="BG44" s="368">
        <v>58074000</v>
      </c>
      <c r="BH44" s="367">
        <v>8</v>
      </c>
      <c r="BI44" s="368">
        <v>31492000</v>
      </c>
      <c r="BJ44" s="369">
        <v>34</v>
      </c>
      <c r="BK44" s="370">
        <v>89566000</v>
      </c>
      <c r="BL44" s="367">
        <v>13</v>
      </c>
      <c r="BM44" s="368">
        <v>29287000</v>
      </c>
      <c r="BN44" s="367">
        <v>1</v>
      </c>
      <c r="BO44" s="368">
        <v>3599000</v>
      </c>
      <c r="BP44" s="369">
        <v>14</v>
      </c>
      <c r="BQ44" s="370">
        <v>32886000</v>
      </c>
      <c r="BR44" s="367">
        <v>2</v>
      </c>
      <c r="BS44" s="368">
        <v>4398000</v>
      </c>
      <c r="BT44" s="367">
        <v>3</v>
      </c>
      <c r="BU44" s="368">
        <v>15097000</v>
      </c>
      <c r="BV44" s="369">
        <v>5</v>
      </c>
      <c r="BW44" s="370">
        <v>19495000</v>
      </c>
      <c r="BX44" s="367">
        <v>10</v>
      </c>
      <c r="BY44" s="368">
        <v>24390000</v>
      </c>
      <c r="BZ44" s="367">
        <v>5</v>
      </c>
      <c r="CA44" s="368">
        <v>26295000</v>
      </c>
      <c r="CB44" s="369">
        <v>15</v>
      </c>
      <c r="CC44" s="370">
        <v>50685000</v>
      </c>
      <c r="CD44" s="367">
        <v>3</v>
      </c>
      <c r="CE44" s="368">
        <v>6597000</v>
      </c>
      <c r="CF44" s="367">
        <v>4</v>
      </c>
      <c r="CG44" s="368">
        <v>16696000</v>
      </c>
      <c r="CH44" s="369">
        <v>7</v>
      </c>
      <c r="CI44" s="370">
        <v>23293000</v>
      </c>
      <c r="CJ44" s="367">
        <v>13</v>
      </c>
      <c r="CK44" s="368">
        <v>30287000</v>
      </c>
      <c r="CL44" s="367">
        <v>4</v>
      </c>
      <c r="CM44" s="368">
        <v>19496000</v>
      </c>
      <c r="CN44" s="369">
        <v>17</v>
      </c>
      <c r="CO44" s="370">
        <v>49783000</v>
      </c>
      <c r="CP44" s="367">
        <v>13</v>
      </c>
      <c r="CQ44" s="368">
        <v>28187000</v>
      </c>
      <c r="CR44" s="367">
        <v>1</v>
      </c>
      <c r="CS44" s="368">
        <v>6899000</v>
      </c>
      <c r="CT44" s="369">
        <v>14</v>
      </c>
      <c r="CU44" s="370">
        <v>35086000</v>
      </c>
      <c r="CV44" s="367">
        <v>8</v>
      </c>
      <c r="CW44" s="368">
        <v>16992000</v>
      </c>
      <c r="CX44" s="367">
        <v>2</v>
      </c>
      <c r="CY44" s="368">
        <v>8598000</v>
      </c>
      <c r="CZ44" s="369">
        <v>10</v>
      </c>
      <c r="DA44" s="370">
        <v>25590000</v>
      </c>
      <c r="DB44" s="367">
        <v>5</v>
      </c>
      <c r="DC44" s="368">
        <v>12195000</v>
      </c>
      <c r="DD44" s="367">
        <v>4</v>
      </c>
      <c r="DE44" s="368">
        <v>16096000</v>
      </c>
      <c r="DF44" s="369">
        <v>9</v>
      </c>
      <c r="DG44" s="370">
        <v>28291000</v>
      </c>
      <c r="DH44" s="367">
        <v>4</v>
      </c>
      <c r="DI44" s="368">
        <v>9396000</v>
      </c>
      <c r="DJ44" s="367">
        <v>3</v>
      </c>
      <c r="DK44" s="368">
        <v>13797000</v>
      </c>
      <c r="DL44" s="369">
        <v>7</v>
      </c>
      <c r="DM44" s="370">
        <v>23193000</v>
      </c>
      <c r="DN44" s="367">
        <v>2</v>
      </c>
      <c r="DO44" s="368">
        <v>5598000</v>
      </c>
      <c r="DP44" s="367"/>
      <c r="DQ44" s="368"/>
      <c r="DR44" s="369">
        <v>2</v>
      </c>
      <c r="DS44" s="370">
        <v>5598000</v>
      </c>
      <c r="DT44" s="367">
        <v>9</v>
      </c>
      <c r="DU44" s="368">
        <v>20791000</v>
      </c>
      <c r="DV44" s="367">
        <v>3</v>
      </c>
      <c r="DW44" s="368">
        <v>12197000</v>
      </c>
      <c r="DX44" s="369">
        <v>12</v>
      </c>
      <c r="DY44" s="370">
        <v>32988000</v>
      </c>
      <c r="DZ44" s="367">
        <v>10</v>
      </c>
      <c r="EA44" s="368">
        <v>21590000</v>
      </c>
      <c r="EB44" s="367">
        <v>2</v>
      </c>
      <c r="EC44" s="368">
        <v>9098000</v>
      </c>
      <c r="ED44" s="369">
        <v>12</v>
      </c>
      <c r="EE44" s="370">
        <v>30688000</v>
      </c>
      <c r="EF44" s="367">
        <v>279</v>
      </c>
      <c r="EG44" s="371">
        <v>800521000</v>
      </c>
    </row>
    <row r="45" spans="1:137" x14ac:dyDescent="0.2">
      <c r="A45" s="372"/>
      <c r="B45" s="365">
        <v>6010711</v>
      </c>
      <c r="C45" s="366" t="s">
        <v>51</v>
      </c>
      <c r="D45" s="367">
        <v>1</v>
      </c>
      <c r="E45" s="368">
        <v>2399000</v>
      </c>
      <c r="F45" s="367">
        <v>1</v>
      </c>
      <c r="G45" s="368">
        <v>15999000</v>
      </c>
      <c r="H45" s="369">
        <v>2</v>
      </c>
      <c r="I45" s="370">
        <v>18398000</v>
      </c>
      <c r="J45" s="367">
        <v>1</v>
      </c>
      <c r="K45" s="368">
        <v>2299000</v>
      </c>
      <c r="L45" s="367">
        <v>2</v>
      </c>
      <c r="M45" s="368">
        <v>11898000</v>
      </c>
      <c r="N45" s="369">
        <v>3</v>
      </c>
      <c r="O45" s="370">
        <v>14197000</v>
      </c>
      <c r="P45" s="367">
        <v>2</v>
      </c>
      <c r="Q45" s="368">
        <v>5398000</v>
      </c>
      <c r="R45" s="367">
        <v>2</v>
      </c>
      <c r="S45" s="368">
        <v>35498000</v>
      </c>
      <c r="T45" s="369">
        <v>4</v>
      </c>
      <c r="U45" s="370">
        <v>40896000</v>
      </c>
      <c r="V45" s="367"/>
      <c r="W45" s="368"/>
      <c r="X45" s="367"/>
      <c r="Y45" s="368"/>
      <c r="Z45" s="369"/>
      <c r="AA45" s="370"/>
      <c r="AB45" s="367">
        <v>2</v>
      </c>
      <c r="AC45" s="368">
        <v>5098000</v>
      </c>
      <c r="AD45" s="367">
        <v>2</v>
      </c>
      <c r="AE45" s="368">
        <v>30298000</v>
      </c>
      <c r="AF45" s="369">
        <v>4</v>
      </c>
      <c r="AG45" s="370">
        <v>35396000</v>
      </c>
      <c r="AH45" s="367">
        <v>1</v>
      </c>
      <c r="AI45" s="368">
        <v>2799000</v>
      </c>
      <c r="AJ45" s="367">
        <v>1</v>
      </c>
      <c r="AK45" s="368">
        <v>25999000</v>
      </c>
      <c r="AL45" s="369">
        <v>2</v>
      </c>
      <c r="AM45" s="370">
        <v>28798000</v>
      </c>
      <c r="AN45" s="367">
        <v>1</v>
      </c>
      <c r="AO45" s="368">
        <v>2099000</v>
      </c>
      <c r="AP45" s="367">
        <v>1</v>
      </c>
      <c r="AQ45" s="368">
        <v>3899000</v>
      </c>
      <c r="AR45" s="369">
        <v>2</v>
      </c>
      <c r="AS45" s="370">
        <v>5998000</v>
      </c>
      <c r="AT45" s="367">
        <v>1</v>
      </c>
      <c r="AU45" s="368">
        <v>2099000</v>
      </c>
      <c r="AV45" s="367">
        <v>1</v>
      </c>
      <c r="AW45" s="368">
        <v>6499000</v>
      </c>
      <c r="AX45" s="369">
        <v>2</v>
      </c>
      <c r="AY45" s="370">
        <v>8598000</v>
      </c>
      <c r="AZ45" s="367"/>
      <c r="BA45" s="368"/>
      <c r="BB45" s="367">
        <v>1</v>
      </c>
      <c r="BC45" s="368">
        <v>4299000</v>
      </c>
      <c r="BD45" s="369">
        <v>1</v>
      </c>
      <c r="BE45" s="370">
        <v>4299000</v>
      </c>
      <c r="BF45" s="367"/>
      <c r="BG45" s="368"/>
      <c r="BH45" s="367">
        <v>1</v>
      </c>
      <c r="BI45" s="368">
        <v>8399000</v>
      </c>
      <c r="BJ45" s="369">
        <v>1</v>
      </c>
      <c r="BK45" s="370">
        <v>8399000</v>
      </c>
      <c r="BL45" s="367"/>
      <c r="BM45" s="368"/>
      <c r="BN45" s="367"/>
      <c r="BO45" s="368"/>
      <c r="BP45" s="369"/>
      <c r="BQ45" s="370"/>
      <c r="BR45" s="367"/>
      <c r="BS45" s="368"/>
      <c r="BT45" s="367"/>
      <c r="BU45" s="368"/>
      <c r="BV45" s="369"/>
      <c r="BW45" s="370"/>
      <c r="BX45" s="367"/>
      <c r="BY45" s="368"/>
      <c r="BZ45" s="367">
        <v>2</v>
      </c>
      <c r="CA45" s="368">
        <v>10198000</v>
      </c>
      <c r="CB45" s="369">
        <v>2</v>
      </c>
      <c r="CC45" s="370">
        <v>10198000</v>
      </c>
      <c r="CD45" s="367"/>
      <c r="CE45" s="368"/>
      <c r="CF45" s="367">
        <v>1</v>
      </c>
      <c r="CG45" s="368">
        <v>11999000</v>
      </c>
      <c r="CH45" s="369">
        <v>1</v>
      </c>
      <c r="CI45" s="370">
        <v>11999000</v>
      </c>
      <c r="CJ45" s="367"/>
      <c r="CK45" s="368"/>
      <c r="CL45" s="367">
        <v>1</v>
      </c>
      <c r="CM45" s="368">
        <v>5499000</v>
      </c>
      <c r="CN45" s="369">
        <v>1</v>
      </c>
      <c r="CO45" s="370">
        <v>5499000</v>
      </c>
      <c r="CP45" s="367">
        <v>1</v>
      </c>
      <c r="CQ45" s="368">
        <v>2599000</v>
      </c>
      <c r="CR45" s="367">
        <v>3</v>
      </c>
      <c r="CS45" s="368">
        <v>20597000</v>
      </c>
      <c r="CT45" s="369">
        <v>4</v>
      </c>
      <c r="CU45" s="370">
        <v>23196000</v>
      </c>
      <c r="CV45" s="367"/>
      <c r="CW45" s="368"/>
      <c r="CX45" s="367"/>
      <c r="CY45" s="368"/>
      <c r="CZ45" s="369"/>
      <c r="DA45" s="370"/>
      <c r="DB45" s="367"/>
      <c r="DC45" s="368"/>
      <c r="DD45" s="367">
        <v>2</v>
      </c>
      <c r="DE45" s="368">
        <v>7498000</v>
      </c>
      <c r="DF45" s="369">
        <v>2</v>
      </c>
      <c r="DG45" s="370">
        <v>7498000</v>
      </c>
      <c r="DH45" s="367">
        <v>1</v>
      </c>
      <c r="DI45" s="368">
        <v>2399000</v>
      </c>
      <c r="DJ45" s="367"/>
      <c r="DK45" s="368"/>
      <c r="DL45" s="369">
        <v>1</v>
      </c>
      <c r="DM45" s="370">
        <v>2399000</v>
      </c>
      <c r="DN45" s="367">
        <v>3</v>
      </c>
      <c r="DO45" s="368">
        <v>7197000</v>
      </c>
      <c r="DP45" s="367">
        <v>1</v>
      </c>
      <c r="DQ45" s="368">
        <v>3599000</v>
      </c>
      <c r="DR45" s="369">
        <v>4</v>
      </c>
      <c r="DS45" s="370">
        <v>10796000</v>
      </c>
      <c r="DT45" s="367">
        <v>1</v>
      </c>
      <c r="DU45" s="368">
        <v>2299000</v>
      </c>
      <c r="DV45" s="367">
        <v>2</v>
      </c>
      <c r="DW45" s="368">
        <v>12398000</v>
      </c>
      <c r="DX45" s="369">
        <v>3</v>
      </c>
      <c r="DY45" s="370">
        <v>14697000</v>
      </c>
      <c r="DZ45" s="367">
        <v>2</v>
      </c>
      <c r="EA45" s="368">
        <v>5198000</v>
      </c>
      <c r="EB45" s="367"/>
      <c r="EC45" s="368"/>
      <c r="ED45" s="369">
        <v>2</v>
      </c>
      <c r="EE45" s="370">
        <v>5198000</v>
      </c>
      <c r="EF45" s="367">
        <v>41</v>
      </c>
      <c r="EG45" s="371">
        <v>256459000</v>
      </c>
    </row>
    <row r="46" spans="1:137" x14ac:dyDescent="0.2">
      <c r="A46" s="372" t="s">
        <v>230</v>
      </c>
      <c r="B46" s="365">
        <v>6100702</v>
      </c>
      <c r="C46" s="366" t="s">
        <v>386</v>
      </c>
      <c r="D46" s="367"/>
      <c r="E46" s="368"/>
      <c r="F46" s="367"/>
      <c r="G46" s="368"/>
      <c r="H46" s="369"/>
      <c r="I46" s="370"/>
      <c r="J46" s="367"/>
      <c r="K46" s="368"/>
      <c r="L46" s="367"/>
      <c r="M46" s="368"/>
      <c r="N46" s="369"/>
      <c r="O46" s="370"/>
      <c r="P46" s="367"/>
      <c r="Q46" s="368"/>
      <c r="R46" s="367"/>
      <c r="S46" s="368"/>
      <c r="T46" s="369"/>
      <c r="U46" s="370"/>
      <c r="V46" s="367">
        <v>3</v>
      </c>
      <c r="W46" s="368">
        <v>7297000</v>
      </c>
      <c r="X46" s="367">
        <v>1</v>
      </c>
      <c r="Y46" s="368">
        <v>11999000</v>
      </c>
      <c r="Z46" s="369">
        <v>4</v>
      </c>
      <c r="AA46" s="370">
        <v>19296000</v>
      </c>
      <c r="AB46" s="367"/>
      <c r="AC46" s="368"/>
      <c r="AD46" s="367">
        <v>2</v>
      </c>
      <c r="AE46" s="368">
        <v>10198000</v>
      </c>
      <c r="AF46" s="369">
        <v>2</v>
      </c>
      <c r="AG46" s="370">
        <v>10198000</v>
      </c>
      <c r="AH46" s="367"/>
      <c r="AI46" s="368"/>
      <c r="AJ46" s="367"/>
      <c r="AK46" s="368"/>
      <c r="AL46" s="369"/>
      <c r="AM46" s="370"/>
      <c r="AN46" s="367"/>
      <c r="AO46" s="368"/>
      <c r="AP46" s="367">
        <v>1</v>
      </c>
      <c r="AQ46" s="368">
        <v>5899000</v>
      </c>
      <c r="AR46" s="369">
        <v>1</v>
      </c>
      <c r="AS46" s="370">
        <v>5899000</v>
      </c>
      <c r="AT46" s="367"/>
      <c r="AU46" s="368"/>
      <c r="AV46" s="367">
        <v>4</v>
      </c>
      <c r="AW46" s="368">
        <v>14696000</v>
      </c>
      <c r="AX46" s="369">
        <v>4</v>
      </c>
      <c r="AY46" s="370">
        <v>14696000</v>
      </c>
      <c r="AZ46" s="367"/>
      <c r="BA46" s="368"/>
      <c r="BB46" s="367"/>
      <c r="BC46" s="368"/>
      <c r="BD46" s="369"/>
      <c r="BE46" s="370"/>
      <c r="BF46" s="367"/>
      <c r="BG46" s="368"/>
      <c r="BH46" s="367"/>
      <c r="BI46" s="368"/>
      <c r="BJ46" s="369"/>
      <c r="BK46" s="370"/>
      <c r="BL46" s="367"/>
      <c r="BM46" s="368"/>
      <c r="BN46" s="367"/>
      <c r="BO46" s="368"/>
      <c r="BP46" s="369"/>
      <c r="BQ46" s="370"/>
      <c r="BR46" s="367"/>
      <c r="BS46" s="368"/>
      <c r="BT46" s="367"/>
      <c r="BU46" s="368"/>
      <c r="BV46" s="369"/>
      <c r="BW46" s="370"/>
      <c r="BX46" s="367"/>
      <c r="BY46" s="368"/>
      <c r="BZ46" s="367">
        <v>1</v>
      </c>
      <c r="CA46" s="368">
        <v>9999000</v>
      </c>
      <c r="CB46" s="369">
        <v>1</v>
      </c>
      <c r="CC46" s="370">
        <v>9999000</v>
      </c>
      <c r="CD46" s="367"/>
      <c r="CE46" s="368"/>
      <c r="CF46" s="367">
        <v>1</v>
      </c>
      <c r="CG46" s="368">
        <v>6899000</v>
      </c>
      <c r="CH46" s="369">
        <v>1</v>
      </c>
      <c r="CI46" s="370">
        <v>6899000</v>
      </c>
      <c r="CJ46" s="367"/>
      <c r="CK46" s="368"/>
      <c r="CL46" s="367">
        <v>2</v>
      </c>
      <c r="CM46" s="368">
        <v>9398000</v>
      </c>
      <c r="CN46" s="369">
        <v>2</v>
      </c>
      <c r="CO46" s="370">
        <v>9398000</v>
      </c>
      <c r="CP46" s="367"/>
      <c r="CQ46" s="368"/>
      <c r="CR46" s="367"/>
      <c r="CS46" s="368"/>
      <c r="CT46" s="369"/>
      <c r="CU46" s="370"/>
      <c r="CV46" s="367"/>
      <c r="CW46" s="368"/>
      <c r="CX46" s="367"/>
      <c r="CY46" s="368"/>
      <c r="CZ46" s="369"/>
      <c r="DA46" s="370"/>
      <c r="DB46" s="367"/>
      <c r="DC46" s="368"/>
      <c r="DD46" s="367"/>
      <c r="DE46" s="368"/>
      <c r="DF46" s="369"/>
      <c r="DG46" s="370"/>
      <c r="DH46" s="367">
        <v>1</v>
      </c>
      <c r="DI46" s="368">
        <v>2099000</v>
      </c>
      <c r="DJ46" s="367">
        <v>1</v>
      </c>
      <c r="DK46" s="368">
        <v>3599000</v>
      </c>
      <c r="DL46" s="369">
        <v>2</v>
      </c>
      <c r="DM46" s="370">
        <v>5698000</v>
      </c>
      <c r="DN46" s="367">
        <v>1</v>
      </c>
      <c r="DO46" s="368">
        <v>2399000</v>
      </c>
      <c r="DP46" s="367"/>
      <c r="DQ46" s="368"/>
      <c r="DR46" s="369">
        <v>1</v>
      </c>
      <c r="DS46" s="370">
        <v>2399000</v>
      </c>
      <c r="DT46" s="367">
        <v>2</v>
      </c>
      <c r="DU46" s="368">
        <v>4198000</v>
      </c>
      <c r="DV46" s="367">
        <v>2</v>
      </c>
      <c r="DW46" s="368">
        <v>34298000</v>
      </c>
      <c r="DX46" s="369">
        <v>4</v>
      </c>
      <c r="DY46" s="370">
        <v>38496000</v>
      </c>
      <c r="DZ46" s="367"/>
      <c r="EA46" s="368"/>
      <c r="EB46" s="367"/>
      <c r="EC46" s="368"/>
      <c r="ED46" s="369"/>
      <c r="EE46" s="370"/>
      <c r="EF46" s="367">
        <v>22</v>
      </c>
      <c r="EG46" s="371">
        <v>122978000</v>
      </c>
    </row>
    <row r="47" spans="1:137" x14ac:dyDescent="0.2">
      <c r="A47" s="372" t="s">
        <v>98</v>
      </c>
      <c r="B47" s="365">
        <v>6150702</v>
      </c>
      <c r="C47" s="366" t="s">
        <v>99</v>
      </c>
      <c r="D47" s="367"/>
      <c r="E47" s="368"/>
      <c r="F47" s="367"/>
      <c r="G47" s="368"/>
      <c r="H47" s="369"/>
      <c r="I47" s="370"/>
      <c r="J47" s="367"/>
      <c r="K47" s="368"/>
      <c r="L47" s="367">
        <v>1</v>
      </c>
      <c r="M47" s="368">
        <v>4299000</v>
      </c>
      <c r="N47" s="369">
        <v>1</v>
      </c>
      <c r="O47" s="370">
        <v>4299000</v>
      </c>
      <c r="P47" s="367"/>
      <c r="Q47" s="368"/>
      <c r="R47" s="367"/>
      <c r="S47" s="368"/>
      <c r="T47" s="369"/>
      <c r="U47" s="370"/>
      <c r="V47" s="367"/>
      <c r="W47" s="368"/>
      <c r="X47" s="367"/>
      <c r="Y47" s="368"/>
      <c r="Z47" s="369"/>
      <c r="AA47" s="370"/>
      <c r="AB47" s="367"/>
      <c r="AC47" s="368"/>
      <c r="AD47" s="367">
        <v>1</v>
      </c>
      <c r="AE47" s="368">
        <v>5499000</v>
      </c>
      <c r="AF47" s="369">
        <v>1</v>
      </c>
      <c r="AG47" s="370">
        <v>5499000</v>
      </c>
      <c r="AH47" s="367"/>
      <c r="AI47" s="368"/>
      <c r="AJ47" s="367"/>
      <c r="AK47" s="368"/>
      <c r="AL47" s="369"/>
      <c r="AM47" s="370"/>
      <c r="AN47" s="367"/>
      <c r="AO47" s="368"/>
      <c r="AP47" s="367">
        <v>1</v>
      </c>
      <c r="AQ47" s="368">
        <v>3599000</v>
      </c>
      <c r="AR47" s="369">
        <v>1</v>
      </c>
      <c r="AS47" s="370">
        <v>3599000</v>
      </c>
      <c r="AT47" s="367"/>
      <c r="AU47" s="368"/>
      <c r="AV47" s="367"/>
      <c r="AW47" s="368"/>
      <c r="AX47" s="369"/>
      <c r="AY47" s="370"/>
      <c r="AZ47" s="367"/>
      <c r="BA47" s="368"/>
      <c r="BB47" s="367"/>
      <c r="BC47" s="368"/>
      <c r="BD47" s="369"/>
      <c r="BE47" s="370"/>
      <c r="BF47" s="367"/>
      <c r="BG47" s="368"/>
      <c r="BH47" s="367"/>
      <c r="BI47" s="368"/>
      <c r="BJ47" s="369"/>
      <c r="BK47" s="370"/>
      <c r="BL47" s="367"/>
      <c r="BM47" s="368"/>
      <c r="BN47" s="367"/>
      <c r="BO47" s="368"/>
      <c r="BP47" s="369"/>
      <c r="BQ47" s="370"/>
      <c r="BR47" s="367"/>
      <c r="BS47" s="368"/>
      <c r="BT47" s="367"/>
      <c r="BU47" s="368"/>
      <c r="BV47" s="369"/>
      <c r="BW47" s="370"/>
      <c r="BX47" s="367">
        <v>1</v>
      </c>
      <c r="BY47" s="368">
        <v>2599000</v>
      </c>
      <c r="BZ47" s="367"/>
      <c r="CA47" s="368"/>
      <c r="CB47" s="369">
        <v>1</v>
      </c>
      <c r="CC47" s="370">
        <v>2599000</v>
      </c>
      <c r="CD47" s="367"/>
      <c r="CE47" s="368"/>
      <c r="CF47" s="367"/>
      <c r="CG47" s="368"/>
      <c r="CH47" s="369"/>
      <c r="CI47" s="370"/>
      <c r="CJ47" s="367"/>
      <c r="CK47" s="368"/>
      <c r="CL47" s="367"/>
      <c r="CM47" s="368"/>
      <c r="CN47" s="369"/>
      <c r="CO47" s="370"/>
      <c r="CP47" s="367"/>
      <c r="CQ47" s="368"/>
      <c r="CR47" s="367"/>
      <c r="CS47" s="368"/>
      <c r="CT47" s="369"/>
      <c r="CU47" s="370"/>
      <c r="CV47" s="367"/>
      <c r="CW47" s="368"/>
      <c r="CX47" s="367"/>
      <c r="CY47" s="368"/>
      <c r="CZ47" s="369"/>
      <c r="DA47" s="370"/>
      <c r="DB47" s="367"/>
      <c r="DC47" s="368"/>
      <c r="DD47" s="367"/>
      <c r="DE47" s="368"/>
      <c r="DF47" s="369"/>
      <c r="DG47" s="370"/>
      <c r="DH47" s="367"/>
      <c r="DI47" s="368"/>
      <c r="DJ47" s="367">
        <v>1</v>
      </c>
      <c r="DK47" s="368">
        <v>6299000</v>
      </c>
      <c r="DL47" s="369">
        <v>1</v>
      </c>
      <c r="DM47" s="370">
        <v>6299000</v>
      </c>
      <c r="DN47" s="367"/>
      <c r="DO47" s="368"/>
      <c r="DP47" s="367"/>
      <c r="DQ47" s="368"/>
      <c r="DR47" s="369"/>
      <c r="DS47" s="370"/>
      <c r="DT47" s="367"/>
      <c r="DU47" s="368"/>
      <c r="DV47" s="367"/>
      <c r="DW47" s="368"/>
      <c r="DX47" s="369"/>
      <c r="DY47" s="370"/>
      <c r="DZ47" s="367"/>
      <c r="EA47" s="368"/>
      <c r="EB47" s="367">
        <v>1</v>
      </c>
      <c r="EC47" s="368">
        <v>5499000</v>
      </c>
      <c r="ED47" s="369">
        <v>1</v>
      </c>
      <c r="EE47" s="370">
        <v>5499000</v>
      </c>
      <c r="EF47" s="367">
        <v>6</v>
      </c>
      <c r="EG47" s="371">
        <v>27794000</v>
      </c>
    </row>
    <row r="48" spans="1:137" x14ac:dyDescent="0.2">
      <c r="A48" s="373" t="s">
        <v>387</v>
      </c>
      <c r="B48" s="374"/>
      <c r="C48" s="374"/>
      <c r="D48" s="375">
        <v>50</v>
      </c>
      <c r="E48" s="376">
        <v>118350000</v>
      </c>
      <c r="F48" s="375">
        <v>29</v>
      </c>
      <c r="G48" s="376">
        <v>204971000</v>
      </c>
      <c r="H48" s="374">
        <v>79</v>
      </c>
      <c r="I48" s="376">
        <v>323321000</v>
      </c>
      <c r="J48" s="375">
        <v>62</v>
      </c>
      <c r="K48" s="376">
        <v>142638000</v>
      </c>
      <c r="L48" s="375">
        <v>126</v>
      </c>
      <c r="M48" s="376">
        <v>730874000</v>
      </c>
      <c r="N48" s="374">
        <v>188</v>
      </c>
      <c r="O48" s="376">
        <v>873512000</v>
      </c>
      <c r="P48" s="375">
        <v>175</v>
      </c>
      <c r="Q48" s="376">
        <v>423025000</v>
      </c>
      <c r="R48" s="375">
        <v>47</v>
      </c>
      <c r="S48" s="376">
        <v>396153000</v>
      </c>
      <c r="T48" s="374">
        <v>222</v>
      </c>
      <c r="U48" s="376">
        <v>819178000</v>
      </c>
      <c r="V48" s="375">
        <v>121</v>
      </c>
      <c r="W48" s="376">
        <v>290279000</v>
      </c>
      <c r="X48" s="375">
        <v>23</v>
      </c>
      <c r="Y48" s="376">
        <v>140077000</v>
      </c>
      <c r="Z48" s="374">
        <v>144</v>
      </c>
      <c r="AA48" s="376">
        <v>430356000</v>
      </c>
      <c r="AB48" s="375">
        <v>67</v>
      </c>
      <c r="AC48" s="376">
        <v>159433000</v>
      </c>
      <c r="AD48" s="375">
        <v>45</v>
      </c>
      <c r="AE48" s="376">
        <v>293155000</v>
      </c>
      <c r="AF48" s="374">
        <v>112</v>
      </c>
      <c r="AG48" s="376">
        <v>452588000</v>
      </c>
      <c r="AH48" s="375">
        <v>88</v>
      </c>
      <c r="AI48" s="376">
        <v>209712000</v>
      </c>
      <c r="AJ48" s="375">
        <v>65</v>
      </c>
      <c r="AK48" s="376">
        <v>397035000</v>
      </c>
      <c r="AL48" s="374">
        <v>153</v>
      </c>
      <c r="AM48" s="376">
        <v>606747000</v>
      </c>
      <c r="AN48" s="375">
        <v>78</v>
      </c>
      <c r="AO48" s="376">
        <v>186522000</v>
      </c>
      <c r="AP48" s="375">
        <v>49</v>
      </c>
      <c r="AQ48" s="376">
        <v>286651000</v>
      </c>
      <c r="AR48" s="374">
        <v>127</v>
      </c>
      <c r="AS48" s="376">
        <v>473173000</v>
      </c>
      <c r="AT48" s="375">
        <v>53</v>
      </c>
      <c r="AU48" s="376">
        <v>129247000</v>
      </c>
      <c r="AV48" s="375">
        <v>32</v>
      </c>
      <c r="AW48" s="376">
        <v>175068000</v>
      </c>
      <c r="AX48" s="374">
        <v>85</v>
      </c>
      <c r="AY48" s="376">
        <v>304315000</v>
      </c>
      <c r="AZ48" s="375">
        <v>40</v>
      </c>
      <c r="BA48" s="376">
        <v>93360000</v>
      </c>
      <c r="BB48" s="375">
        <v>27</v>
      </c>
      <c r="BC48" s="376">
        <v>159073000</v>
      </c>
      <c r="BD48" s="374">
        <v>67</v>
      </c>
      <c r="BE48" s="376">
        <v>252433000</v>
      </c>
      <c r="BF48" s="375">
        <v>58</v>
      </c>
      <c r="BG48" s="376">
        <v>135842000</v>
      </c>
      <c r="BH48" s="375">
        <v>39</v>
      </c>
      <c r="BI48" s="376">
        <v>225261000</v>
      </c>
      <c r="BJ48" s="374">
        <v>97</v>
      </c>
      <c r="BK48" s="376">
        <v>361103000</v>
      </c>
      <c r="BL48" s="375">
        <v>54</v>
      </c>
      <c r="BM48" s="376">
        <v>122246000</v>
      </c>
      <c r="BN48" s="375">
        <v>19</v>
      </c>
      <c r="BO48" s="376">
        <v>106481000</v>
      </c>
      <c r="BP48" s="374">
        <v>73</v>
      </c>
      <c r="BQ48" s="376">
        <v>228727000</v>
      </c>
      <c r="BR48" s="375">
        <v>44</v>
      </c>
      <c r="BS48" s="376">
        <v>103156000</v>
      </c>
      <c r="BT48" s="375">
        <v>31</v>
      </c>
      <c r="BU48" s="376">
        <v>185369000</v>
      </c>
      <c r="BV48" s="374">
        <v>75</v>
      </c>
      <c r="BW48" s="376">
        <v>288525000</v>
      </c>
      <c r="BX48" s="375">
        <v>49</v>
      </c>
      <c r="BY48" s="376">
        <v>119451000</v>
      </c>
      <c r="BZ48" s="375">
        <v>42</v>
      </c>
      <c r="CA48" s="376">
        <v>241858000</v>
      </c>
      <c r="CB48" s="374">
        <v>91</v>
      </c>
      <c r="CC48" s="376">
        <v>361309000</v>
      </c>
      <c r="CD48" s="375">
        <v>67</v>
      </c>
      <c r="CE48" s="376">
        <v>159433000</v>
      </c>
      <c r="CF48" s="375">
        <v>54</v>
      </c>
      <c r="CG48" s="376">
        <v>308146000</v>
      </c>
      <c r="CH48" s="374">
        <v>121</v>
      </c>
      <c r="CI48" s="376">
        <v>467579000</v>
      </c>
      <c r="CJ48" s="375">
        <v>98</v>
      </c>
      <c r="CK48" s="376">
        <v>237502000</v>
      </c>
      <c r="CL48" s="375">
        <v>56</v>
      </c>
      <c r="CM48" s="376">
        <v>326144000</v>
      </c>
      <c r="CN48" s="374">
        <v>154</v>
      </c>
      <c r="CO48" s="376">
        <v>563646000</v>
      </c>
      <c r="CP48" s="375">
        <v>75</v>
      </c>
      <c r="CQ48" s="376">
        <v>177325000</v>
      </c>
      <c r="CR48" s="375">
        <v>56</v>
      </c>
      <c r="CS48" s="376">
        <v>335044000</v>
      </c>
      <c r="CT48" s="374">
        <v>131</v>
      </c>
      <c r="CU48" s="376">
        <v>512369000</v>
      </c>
      <c r="CV48" s="375">
        <v>45</v>
      </c>
      <c r="CW48" s="376">
        <v>106055000</v>
      </c>
      <c r="CX48" s="375">
        <v>30</v>
      </c>
      <c r="CY48" s="376">
        <v>217670000</v>
      </c>
      <c r="CZ48" s="374">
        <v>75</v>
      </c>
      <c r="DA48" s="376">
        <v>323725000</v>
      </c>
      <c r="DB48" s="375">
        <v>45</v>
      </c>
      <c r="DC48" s="376">
        <v>111555000</v>
      </c>
      <c r="DD48" s="375">
        <v>33</v>
      </c>
      <c r="DE48" s="376">
        <v>210667000</v>
      </c>
      <c r="DF48" s="374">
        <v>78</v>
      </c>
      <c r="DG48" s="376">
        <v>322222000</v>
      </c>
      <c r="DH48" s="375">
        <v>49</v>
      </c>
      <c r="DI48" s="376">
        <v>115651000</v>
      </c>
      <c r="DJ48" s="375">
        <v>24</v>
      </c>
      <c r="DK48" s="376">
        <v>179776000</v>
      </c>
      <c r="DL48" s="374">
        <v>73</v>
      </c>
      <c r="DM48" s="376">
        <v>295427000</v>
      </c>
      <c r="DN48" s="375">
        <v>63</v>
      </c>
      <c r="DO48" s="376">
        <v>152837000</v>
      </c>
      <c r="DP48" s="375">
        <v>19</v>
      </c>
      <c r="DQ48" s="376">
        <v>97381000</v>
      </c>
      <c r="DR48" s="374">
        <v>82</v>
      </c>
      <c r="DS48" s="376">
        <v>250218000</v>
      </c>
      <c r="DT48" s="375">
        <v>76</v>
      </c>
      <c r="DU48" s="376">
        <v>183924000</v>
      </c>
      <c r="DV48" s="375">
        <v>59</v>
      </c>
      <c r="DW48" s="376">
        <v>404341000</v>
      </c>
      <c r="DX48" s="374">
        <v>135</v>
      </c>
      <c r="DY48" s="376">
        <v>588265000</v>
      </c>
      <c r="DZ48" s="375">
        <v>74</v>
      </c>
      <c r="EA48" s="376">
        <v>179226000</v>
      </c>
      <c r="EB48" s="375">
        <v>41</v>
      </c>
      <c r="EC48" s="376">
        <v>234759000</v>
      </c>
      <c r="ED48" s="374">
        <v>115</v>
      </c>
      <c r="EE48" s="376">
        <v>413985000</v>
      </c>
      <c r="EF48" s="375">
        <v>2477</v>
      </c>
      <c r="EG48" s="377">
        <v>9512723000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SALES VALUE PER TYPE</vt:lpstr>
      <vt:lpstr>Sheet3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2026-08-06T15:28:00Z</dcterms:created>
  <dcterms:modified xsi:type="dcterms:W3CDTF">2026-08-24T05:20:37Z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1033-12.1.26035.26035</vt:lpwstr>
  </property>
  <property fmtid="{D5CDD505-2E9C-101B-9397-08002B2CF9AE}" pid="4" name="CalculationRule">
    <vt:i4>0</vt:i4>
  </property>
</Properties>
</file>