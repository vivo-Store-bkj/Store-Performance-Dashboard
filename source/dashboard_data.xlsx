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michael/Desktop/05 Store Operations/"/>
    </mc:Choice>
  </mc:AlternateContent>
  <xr:revisionPtr revIDLastSave="0" documentId="13_ncr:1_{FA9FDD8A-3C65-B549-BE67-F3506F13C30C}" xr6:coauthVersionLast="47" xr6:coauthVersionMax="47" xr10:uidLastSave="{00000000-0000-0000-0000-000000000000}"/>
  <bookViews>
    <workbookView xWindow="0" yWindow="600" windowWidth="31600" windowHeight="14840" activeTab="3" xr2:uid="{00000000-000D-0000-FFFF-FFFF00000000}"/>
  </bookViews>
  <sheets>
    <sheet name="Store" sheetId="1" r:id="rId1"/>
    <sheet name="SALES VALUE PER TYPE" sheetId="3" r:id="rId2"/>
    <sheet name="Promotor" sheetId="5" r:id="rId3"/>
    <sheet name="Daily" sheetId="6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BO49" i="1"/>
  <c r="BL49" i="1"/>
  <c r="BI49" i="1"/>
  <c r="BF49" i="1"/>
  <c r="BC49" i="1"/>
  <c r="AY49" i="1"/>
  <c r="H49" i="1"/>
  <c r="G49" i="1"/>
  <c r="BO48" i="1"/>
  <c r="BL48" i="1"/>
  <c r="BI48" i="1"/>
  <c r="BF48" i="1"/>
  <c r="BC48" i="1"/>
  <c r="AY48" i="1"/>
  <c r="H48" i="1"/>
  <c r="G48" i="1"/>
  <c r="BO47" i="1"/>
  <c r="BL47" i="1"/>
  <c r="BI47" i="1"/>
  <c r="BF47" i="1"/>
  <c r="BC47" i="1"/>
  <c r="AY47" i="1"/>
  <c r="H47" i="1"/>
  <c r="G47" i="1"/>
  <c r="D47" i="1"/>
  <c r="AY46" i="1"/>
  <c r="D46" i="1"/>
  <c r="BO45" i="1"/>
  <c r="BI45" i="1"/>
  <c r="BF45" i="1"/>
  <c r="BC45" i="1"/>
  <c r="AY45" i="1"/>
  <c r="G45" i="1"/>
  <c r="D45" i="1"/>
  <c r="H45" i="1" s="1"/>
  <c r="BO44" i="1"/>
  <c r="BL44" i="1"/>
  <c r="BI44" i="1"/>
  <c r="BF44" i="1"/>
  <c r="BC44" i="1"/>
  <c r="AY44" i="1"/>
  <c r="H44" i="1"/>
  <c r="G44" i="1"/>
  <c r="D44" i="1"/>
  <c r="BO43" i="1"/>
  <c r="BI43" i="1"/>
  <c r="BC43" i="1"/>
  <c r="AY43" i="1"/>
  <c r="H43" i="1"/>
  <c r="G43" i="1"/>
  <c r="D43" i="1"/>
  <c r="BI42" i="1"/>
  <c r="AY42" i="1"/>
  <c r="D42" i="1"/>
  <c r="BO41" i="1"/>
  <c r="BI41" i="1"/>
  <c r="BC41" i="1"/>
  <c r="AY41" i="1"/>
  <c r="D41" i="1"/>
  <c r="BI40" i="1"/>
  <c r="BC40" i="1"/>
  <c r="AY40" i="1"/>
  <c r="D40" i="1"/>
  <c r="AY39" i="1"/>
  <c r="D39" i="1"/>
  <c r="BO38" i="1"/>
  <c r="BI38" i="1"/>
  <c r="BC38" i="1"/>
  <c r="AY38" i="1"/>
  <c r="H38" i="1"/>
  <c r="D38" i="1"/>
  <c r="BO37" i="1"/>
  <c r="BC37" i="1"/>
  <c r="AY37" i="1"/>
  <c r="H37" i="1"/>
  <c r="D37" i="1"/>
  <c r="AY36" i="1"/>
  <c r="D36" i="1"/>
  <c r="AY35" i="1"/>
  <c r="H35" i="1"/>
  <c r="D35" i="1"/>
  <c r="BL34" i="1"/>
  <c r="BI34" i="1"/>
  <c r="BF34" i="1"/>
  <c r="AY34" i="1"/>
  <c r="H34" i="1"/>
  <c r="G34" i="1"/>
  <c r="D34" i="1"/>
  <c r="BO34" i="1" s="1"/>
  <c r="BL33" i="1"/>
  <c r="AY33" i="1"/>
  <c r="H33" i="1"/>
  <c r="D33" i="1"/>
  <c r="AY32" i="1"/>
  <c r="D32" i="1"/>
  <c r="BF32" i="1" s="1"/>
  <c r="BO31" i="1"/>
  <c r="BL31" i="1"/>
  <c r="BF31" i="1"/>
  <c r="BC31" i="1"/>
  <c r="AY31" i="1"/>
  <c r="H31" i="1"/>
  <c r="G31" i="1"/>
  <c r="D31" i="1"/>
  <c r="BI31" i="1" s="1"/>
  <c r="AY30" i="1"/>
  <c r="D30" i="1"/>
  <c r="BO29" i="1"/>
  <c r="BF29" i="1"/>
  <c r="BC29" i="1"/>
  <c r="AY29" i="1"/>
  <c r="H29" i="1"/>
  <c r="G29" i="1"/>
  <c r="D29" i="1"/>
  <c r="BI29" i="1" s="1"/>
  <c r="BO28" i="1"/>
  <c r="BL28" i="1"/>
  <c r="BI28" i="1"/>
  <c r="BF28" i="1"/>
  <c r="AY28" i="1"/>
  <c r="H28" i="1"/>
  <c r="G28" i="1"/>
  <c r="D28" i="1"/>
  <c r="BC28" i="1" s="1"/>
  <c r="BL27" i="1"/>
  <c r="BF27" i="1"/>
  <c r="AY27" i="1"/>
  <c r="D27" i="1"/>
  <c r="AY26" i="1"/>
  <c r="D26" i="1"/>
  <c r="BC26" i="1" s="1"/>
  <c r="AY25" i="1"/>
  <c r="H25" i="1"/>
  <c r="D25" i="1"/>
  <c r="BC25" i="1" s="1"/>
  <c r="AY24" i="1"/>
  <c r="D24" i="1"/>
  <c r="BO23" i="1"/>
  <c r="BL23" i="1"/>
  <c r="BF23" i="1"/>
  <c r="BC23" i="1"/>
  <c r="AY23" i="1"/>
  <c r="H23" i="1"/>
  <c r="G23" i="1"/>
  <c r="D23" i="1"/>
  <c r="BI23" i="1" s="1"/>
  <c r="AY22" i="1"/>
  <c r="H22" i="1"/>
  <c r="D22" i="1"/>
  <c r="BF21" i="1"/>
  <c r="AY21" i="1"/>
  <c r="G21" i="1"/>
  <c r="D21" i="1"/>
  <c r="BO21" i="1" s="1"/>
  <c r="BL20" i="1"/>
  <c r="BF20" i="1"/>
  <c r="AY20" i="1"/>
  <c r="H20" i="1"/>
  <c r="D20" i="1"/>
  <c r="BO20" i="1" s="1"/>
  <c r="AY19" i="1"/>
  <c r="H19" i="1"/>
  <c r="G19" i="1"/>
  <c r="D19" i="1"/>
  <c r="BL19" i="1" s="1"/>
  <c r="AY18" i="1"/>
  <c r="G18" i="1"/>
  <c r="D18" i="1"/>
  <c r="BL17" i="1"/>
  <c r="BF17" i="1"/>
  <c r="AY17" i="1"/>
  <c r="H17" i="1"/>
  <c r="D17" i="1"/>
  <c r="BO17" i="1" s="1"/>
  <c r="AY16" i="1"/>
  <c r="H16" i="1"/>
  <c r="G16" i="1"/>
  <c r="D16" i="1"/>
  <c r="BL16" i="1" s="1"/>
  <c r="AY15" i="1"/>
  <c r="G15" i="1"/>
  <c r="D15" i="1"/>
  <c r="BO15" i="1" s="1"/>
  <c r="BL14" i="1"/>
  <c r="BF14" i="1"/>
  <c r="AY14" i="1"/>
  <c r="H14" i="1"/>
  <c r="D14" i="1"/>
  <c r="BO14" i="1" s="1"/>
  <c r="AY13" i="1"/>
  <c r="H13" i="1"/>
  <c r="G13" i="1"/>
  <c r="D13" i="1"/>
  <c r="BL13" i="1" s="1"/>
  <c r="BO12" i="1"/>
  <c r="BI12" i="1"/>
  <c r="AY12" i="1"/>
  <c r="G12" i="1"/>
  <c r="D12" i="1"/>
  <c r="BL11" i="1"/>
  <c r="BF11" i="1"/>
  <c r="AY11" i="1"/>
  <c r="H11" i="1"/>
  <c r="D11" i="1"/>
  <c r="BO11" i="1" s="1"/>
  <c r="AY10" i="1"/>
  <c r="H10" i="1"/>
  <c r="D10" i="1"/>
  <c r="BL10" i="1" s="1"/>
  <c r="AY9" i="1"/>
  <c r="D9" i="1"/>
  <c r="BO9" i="1" s="1"/>
  <c r="BL8" i="1"/>
  <c r="BF8" i="1"/>
  <c r="AY8" i="1"/>
  <c r="H8" i="1"/>
  <c r="D8" i="1"/>
  <c r="BO8" i="1" s="1"/>
  <c r="BI7" i="1"/>
  <c r="AY7" i="1"/>
  <c r="H7" i="1"/>
  <c r="G7" i="1"/>
  <c r="D7" i="1"/>
  <c r="BL6" i="1"/>
  <c r="BI6" i="1"/>
  <c r="BF6" i="1"/>
  <c r="BC6" i="1"/>
  <c r="AY6" i="1"/>
  <c r="G6" i="1"/>
  <c r="D6" i="1"/>
  <c r="H6" i="1" s="1"/>
  <c r="BL5" i="1"/>
  <c r="BF5" i="1"/>
  <c r="AY5" i="1"/>
  <c r="H5" i="1"/>
  <c r="D5" i="1"/>
  <c r="BO5" i="1" s="1"/>
  <c r="F2" i="1"/>
  <c r="U121" i="5"/>
  <c r="V121" i="5" s="1"/>
  <c r="S121" i="5"/>
  <c r="P121" i="5"/>
  <c r="Q121" i="5" s="1"/>
  <c r="R121" i="5" s="1"/>
  <c r="O121" i="5"/>
  <c r="M121" i="5"/>
  <c r="T121" i="5" s="1"/>
  <c r="L121" i="5"/>
  <c r="N121" i="5" s="1"/>
  <c r="K121" i="5"/>
  <c r="J121" i="5"/>
  <c r="I121" i="5"/>
  <c r="H121" i="5"/>
  <c r="G121" i="5"/>
  <c r="T120" i="5"/>
  <c r="U120" i="5" s="1"/>
  <c r="V120" i="5" s="1"/>
  <c r="S120" i="5"/>
  <c r="Q120" i="5"/>
  <c r="R120" i="5" s="1"/>
  <c r="O120" i="5"/>
  <c r="M120" i="5"/>
  <c r="N120" i="5" s="1"/>
  <c r="L120" i="5"/>
  <c r="P120" i="5" s="1"/>
  <c r="I120" i="5"/>
  <c r="H120" i="5"/>
  <c r="J120" i="5" s="1"/>
  <c r="G120" i="5"/>
  <c r="S119" i="5"/>
  <c r="U119" i="5" s="1"/>
  <c r="V119" i="5" s="1"/>
  <c r="O119" i="5"/>
  <c r="M119" i="5"/>
  <c r="T119" i="5" s="1"/>
  <c r="L119" i="5"/>
  <c r="K119" i="5"/>
  <c r="H119" i="5"/>
  <c r="J119" i="5" s="1"/>
  <c r="G119" i="5"/>
  <c r="I119" i="5" s="1"/>
  <c r="S118" i="5"/>
  <c r="U118" i="5" s="1"/>
  <c r="V118" i="5" s="1"/>
  <c r="P118" i="5"/>
  <c r="Q118" i="5" s="1"/>
  <c r="R118" i="5" s="1"/>
  <c r="O118" i="5"/>
  <c r="M118" i="5"/>
  <c r="T118" i="5" s="1"/>
  <c r="L118" i="5"/>
  <c r="N118" i="5" s="1"/>
  <c r="K118" i="5"/>
  <c r="J118" i="5"/>
  <c r="I118" i="5"/>
  <c r="H118" i="5"/>
  <c r="G118" i="5"/>
  <c r="S117" i="5"/>
  <c r="O117" i="5"/>
  <c r="M117" i="5"/>
  <c r="N117" i="5" s="1"/>
  <c r="L117" i="5"/>
  <c r="P117" i="5" s="1"/>
  <c r="Q117" i="5" s="1"/>
  <c r="R117" i="5" s="1"/>
  <c r="I117" i="5"/>
  <c r="H117" i="5"/>
  <c r="J117" i="5" s="1"/>
  <c r="G117" i="5"/>
  <c r="U116" i="5"/>
  <c r="V116" i="5" s="1"/>
  <c r="S116" i="5"/>
  <c r="O116" i="5"/>
  <c r="M116" i="5"/>
  <c r="T116" i="5" s="1"/>
  <c r="L116" i="5"/>
  <c r="K116" i="5"/>
  <c r="H116" i="5"/>
  <c r="J116" i="5" s="1"/>
  <c r="G116" i="5"/>
  <c r="I116" i="5" s="1"/>
  <c r="S115" i="5"/>
  <c r="U115" i="5" s="1"/>
  <c r="V115" i="5" s="1"/>
  <c r="P115" i="5"/>
  <c r="Q115" i="5" s="1"/>
  <c r="R115" i="5" s="1"/>
  <c r="O115" i="5"/>
  <c r="M115" i="5"/>
  <c r="T115" i="5" s="1"/>
  <c r="L115" i="5"/>
  <c r="N115" i="5" s="1"/>
  <c r="K115" i="5"/>
  <c r="J115" i="5"/>
  <c r="I115" i="5"/>
  <c r="H115" i="5"/>
  <c r="G115" i="5"/>
  <c r="S114" i="5"/>
  <c r="O114" i="5"/>
  <c r="M114" i="5"/>
  <c r="N114" i="5" s="1"/>
  <c r="L114" i="5"/>
  <c r="P114" i="5" s="1"/>
  <c r="Q114" i="5" s="1"/>
  <c r="R114" i="5" s="1"/>
  <c r="I114" i="5"/>
  <c r="H114" i="5"/>
  <c r="J114" i="5" s="1"/>
  <c r="G114" i="5"/>
  <c r="U113" i="5"/>
  <c r="V113" i="5" s="1"/>
  <c r="S113" i="5"/>
  <c r="O113" i="5"/>
  <c r="M113" i="5"/>
  <c r="T113" i="5" s="1"/>
  <c r="L113" i="5"/>
  <c r="K113" i="5"/>
  <c r="H113" i="5"/>
  <c r="J113" i="5" s="1"/>
  <c r="G113" i="5"/>
  <c r="I113" i="5" s="1"/>
  <c r="S112" i="5"/>
  <c r="U112" i="5" s="1"/>
  <c r="V112" i="5" s="1"/>
  <c r="P112" i="5"/>
  <c r="Q112" i="5" s="1"/>
  <c r="R112" i="5" s="1"/>
  <c r="O112" i="5"/>
  <c r="M112" i="5"/>
  <c r="T112" i="5" s="1"/>
  <c r="L112" i="5"/>
  <c r="N112" i="5" s="1"/>
  <c r="K112" i="5"/>
  <c r="J112" i="5"/>
  <c r="I112" i="5"/>
  <c r="H112" i="5"/>
  <c r="G112" i="5"/>
  <c r="S111" i="5"/>
  <c r="O111" i="5"/>
  <c r="M111" i="5"/>
  <c r="N111" i="5" s="1"/>
  <c r="L111" i="5"/>
  <c r="P111" i="5" s="1"/>
  <c r="Q111" i="5" s="1"/>
  <c r="R111" i="5" s="1"/>
  <c r="I111" i="5"/>
  <c r="H111" i="5"/>
  <c r="J111" i="5" s="1"/>
  <c r="G111" i="5"/>
  <c r="U110" i="5"/>
  <c r="V110" i="5" s="1"/>
  <c r="S110" i="5"/>
  <c r="O110" i="5"/>
  <c r="M110" i="5"/>
  <c r="T110" i="5" s="1"/>
  <c r="L110" i="5"/>
  <c r="K110" i="5"/>
  <c r="H110" i="5"/>
  <c r="J110" i="5" s="1"/>
  <c r="G110" i="5"/>
  <c r="I110" i="5" s="1"/>
  <c r="S109" i="5"/>
  <c r="P109" i="5"/>
  <c r="Q109" i="5" s="1"/>
  <c r="R109" i="5" s="1"/>
  <c r="O109" i="5"/>
  <c r="M109" i="5"/>
  <c r="T109" i="5" s="1"/>
  <c r="U109" i="5" s="1"/>
  <c r="V109" i="5" s="1"/>
  <c r="L109" i="5"/>
  <c r="N109" i="5" s="1"/>
  <c r="K109" i="5"/>
  <c r="J109" i="5"/>
  <c r="I109" i="5"/>
  <c r="H109" i="5"/>
  <c r="G109" i="5"/>
  <c r="S108" i="5"/>
  <c r="Q108" i="5"/>
  <c r="R108" i="5" s="1"/>
  <c r="O108" i="5"/>
  <c r="M108" i="5"/>
  <c r="L108" i="5"/>
  <c r="P108" i="5" s="1"/>
  <c r="H108" i="5"/>
  <c r="J108" i="5" s="1"/>
  <c r="G108" i="5"/>
  <c r="I108" i="5" s="1"/>
  <c r="S107" i="5"/>
  <c r="O107" i="5"/>
  <c r="M107" i="5"/>
  <c r="L107" i="5"/>
  <c r="J107" i="5"/>
  <c r="H107" i="5"/>
  <c r="G107" i="5"/>
  <c r="I107" i="5" s="1"/>
  <c r="S106" i="5"/>
  <c r="P106" i="5"/>
  <c r="O106" i="5"/>
  <c r="Q106" i="5" s="1"/>
  <c r="R106" i="5" s="1"/>
  <c r="M106" i="5"/>
  <c r="L106" i="5"/>
  <c r="J106" i="5"/>
  <c r="H106" i="5"/>
  <c r="G106" i="5"/>
  <c r="I106" i="5" s="1"/>
  <c r="S105" i="5"/>
  <c r="U105" i="5" s="1"/>
  <c r="V105" i="5" s="1"/>
  <c r="O105" i="5"/>
  <c r="Q105" i="5" s="1"/>
  <c r="R105" i="5" s="1"/>
  <c r="N105" i="5"/>
  <c r="M105" i="5"/>
  <c r="T105" i="5" s="1"/>
  <c r="L105" i="5"/>
  <c r="P105" i="5" s="1"/>
  <c r="H105" i="5"/>
  <c r="G105" i="5"/>
  <c r="S104" i="5"/>
  <c r="O104" i="5"/>
  <c r="M104" i="5"/>
  <c r="L104" i="5"/>
  <c r="J104" i="5"/>
  <c r="H104" i="5"/>
  <c r="G104" i="5"/>
  <c r="I104" i="5" s="1"/>
  <c r="S103" i="5"/>
  <c r="P103" i="5"/>
  <c r="O103" i="5"/>
  <c r="M103" i="5"/>
  <c r="T103" i="5" s="1"/>
  <c r="L103" i="5"/>
  <c r="K103" i="5"/>
  <c r="J103" i="5"/>
  <c r="I103" i="5"/>
  <c r="H103" i="5"/>
  <c r="G103" i="5"/>
  <c r="T102" i="5"/>
  <c r="U102" i="5" s="1"/>
  <c r="V102" i="5" s="1"/>
  <c r="S102" i="5"/>
  <c r="Q102" i="5"/>
  <c r="R102" i="5" s="1"/>
  <c r="O102" i="5"/>
  <c r="N102" i="5"/>
  <c r="M102" i="5"/>
  <c r="L102" i="5"/>
  <c r="P102" i="5" s="1"/>
  <c r="I102" i="5"/>
  <c r="H102" i="5"/>
  <c r="G102" i="5"/>
  <c r="S101" i="5"/>
  <c r="O101" i="5"/>
  <c r="M101" i="5"/>
  <c r="L101" i="5"/>
  <c r="J101" i="5"/>
  <c r="H101" i="5"/>
  <c r="G101" i="5"/>
  <c r="I101" i="5" s="1"/>
  <c r="U100" i="5"/>
  <c r="V100" i="5" s="1"/>
  <c r="S100" i="5"/>
  <c r="Q100" i="5"/>
  <c r="R100" i="5" s="1"/>
  <c r="P100" i="5"/>
  <c r="O100" i="5"/>
  <c r="M100" i="5"/>
  <c r="T100" i="5" s="1"/>
  <c r="L100" i="5"/>
  <c r="N100" i="5" s="1"/>
  <c r="K100" i="5"/>
  <c r="J100" i="5"/>
  <c r="I100" i="5"/>
  <c r="H100" i="5"/>
  <c r="G100" i="5"/>
  <c r="S99" i="5"/>
  <c r="Q99" i="5"/>
  <c r="R99" i="5" s="1"/>
  <c r="O99" i="5"/>
  <c r="M99" i="5"/>
  <c r="L99" i="5"/>
  <c r="P99" i="5" s="1"/>
  <c r="K99" i="5"/>
  <c r="H99" i="5"/>
  <c r="G99" i="5"/>
  <c r="U98" i="5"/>
  <c r="V98" i="5" s="1"/>
  <c r="S98" i="5"/>
  <c r="O98" i="5"/>
  <c r="M98" i="5"/>
  <c r="T98" i="5" s="1"/>
  <c r="L98" i="5"/>
  <c r="K98" i="5"/>
  <c r="J98" i="5"/>
  <c r="I98" i="5"/>
  <c r="H98" i="5"/>
  <c r="G98" i="5"/>
  <c r="S97" i="5"/>
  <c r="Q97" i="5"/>
  <c r="R97" i="5" s="1"/>
  <c r="P97" i="5"/>
  <c r="O97" i="5"/>
  <c r="M97" i="5"/>
  <c r="T97" i="5" s="1"/>
  <c r="L97" i="5"/>
  <c r="K97" i="5"/>
  <c r="J97" i="5"/>
  <c r="I97" i="5"/>
  <c r="H97" i="5"/>
  <c r="G97" i="5"/>
  <c r="T96" i="5"/>
  <c r="S96" i="5"/>
  <c r="Q96" i="5"/>
  <c r="R96" i="5" s="1"/>
  <c r="O96" i="5"/>
  <c r="N96" i="5"/>
  <c r="M96" i="5"/>
  <c r="L96" i="5"/>
  <c r="P96" i="5" s="1"/>
  <c r="K96" i="5"/>
  <c r="H96" i="5"/>
  <c r="J96" i="5" s="1"/>
  <c r="G96" i="5"/>
  <c r="I96" i="5" s="1"/>
  <c r="S95" i="5"/>
  <c r="O95" i="5"/>
  <c r="M95" i="5"/>
  <c r="T95" i="5" s="1"/>
  <c r="U95" i="5" s="1"/>
  <c r="V95" i="5" s="1"/>
  <c r="L95" i="5"/>
  <c r="J95" i="5"/>
  <c r="I95" i="5"/>
  <c r="H95" i="5"/>
  <c r="G95" i="5"/>
  <c r="U94" i="5"/>
  <c r="V94" i="5" s="1"/>
  <c r="S94" i="5"/>
  <c r="P94" i="5"/>
  <c r="O94" i="5"/>
  <c r="Q94" i="5" s="1"/>
  <c r="R94" i="5" s="1"/>
  <c r="M94" i="5"/>
  <c r="T94" i="5" s="1"/>
  <c r="L94" i="5"/>
  <c r="N94" i="5" s="1"/>
  <c r="K94" i="5"/>
  <c r="J94" i="5"/>
  <c r="H94" i="5"/>
  <c r="G94" i="5"/>
  <c r="I94" i="5" s="1"/>
  <c r="S93" i="5"/>
  <c r="O93" i="5"/>
  <c r="M93" i="5"/>
  <c r="N93" i="5" s="1"/>
  <c r="L93" i="5"/>
  <c r="P93" i="5" s="1"/>
  <c r="Q93" i="5" s="1"/>
  <c r="R93" i="5" s="1"/>
  <c r="H93" i="5"/>
  <c r="G93" i="5"/>
  <c r="S92" i="5"/>
  <c r="U92" i="5" s="1"/>
  <c r="V92" i="5" s="1"/>
  <c r="O92" i="5"/>
  <c r="M92" i="5"/>
  <c r="T92" i="5" s="1"/>
  <c r="L92" i="5"/>
  <c r="K92" i="5"/>
  <c r="J92" i="5"/>
  <c r="H92" i="5"/>
  <c r="G92" i="5"/>
  <c r="I92" i="5" s="1"/>
  <c r="V91" i="5"/>
  <c r="S91" i="5"/>
  <c r="P91" i="5"/>
  <c r="Q91" i="5" s="1"/>
  <c r="R91" i="5" s="1"/>
  <c r="O91" i="5"/>
  <c r="M91" i="5"/>
  <c r="T91" i="5" s="1"/>
  <c r="U91" i="5" s="1"/>
  <c r="L91" i="5"/>
  <c r="N91" i="5" s="1"/>
  <c r="J91" i="5"/>
  <c r="I91" i="5"/>
  <c r="H91" i="5"/>
  <c r="G91" i="5"/>
  <c r="S90" i="5"/>
  <c r="Q90" i="5"/>
  <c r="R90" i="5" s="1"/>
  <c r="O90" i="5"/>
  <c r="M90" i="5"/>
  <c r="L90" i="5"/>
  <c r="P90" i="5" s="1"/>
  <c r="H90" i="5"/>
  <c r="J90" i="5" s="1"/>
  <c r="G90" i="5"/>
  <c r="I90" i="5" s="1"/>
  <c r="S89" i="5"/>
  <c r="O89" i="5"/>
  <c r="M89" i="5"/>
  <c r="L89" i="5"/>
  <c r="J89" i="5"/>
  <c r="H89" i="5"/>
  <c r="G89" i="5"/>
  <c r="I89" i="5" s="1"/>
  <c r="S88" i="5"/>
  <c r="P88" i="5"/>
  <c r="O88" i="5"/>
  <c r="Q88" i="5" s="1"/>
  <c r="R88" i="5" s="1"/>
  <c r="M88" i="5"/>
  <c r="L88" i="5"/>
  <c r="J88" i="5"/>
  <c r="H88" i="5"/>
  <c r="G88" i="5"/>
  <c r="I88" i="5" s="1"/>
  <c r="S87" i="5"/>
  <c r="U87" i="5" s="1"/>
  <c r="V87" i="5" s="1"/>
  <c r="O87" i="5"/>
  <c r="Q87" i="5" s="1"/>
  <c r="R87" i="5" s="1"/>
  <c r="N87" i="5"/>
  <c r="M87" i="5"/>
  <c r="T87" i="5" s="1"/>
  <c r="L87" i="5"/>
  <c r="P87" i="5" s="1"/>
  <c r="H87" i="5"/>
  <c r="G87" i="5"/>
  <c r="S86" i="5"/>
  <c r="O86" i="5"/>
  <c r="M86" i="5"/>
  <c r="L86" i="5"/>
  <c r="J86" i="5"/>
  <c r="H86" i="5"/>
  <c r="G86" i="5"/>
  <c r="I86" i="5" s="1"/>
  <c r="S85" i="5"/>
  <c r="P85" i="5"/>
  <c r="O85" i="5"/>
  <c r="M85" i="5"/>
  <c r="T85" i="5" s="1"/>
  <c r="L85" i="5"/>
  <c r="K85" i="5"/>
  <c r="J85" i="5"/>
  <c r="I85" i="5"/>
  <c r="H85" i="5"/>
  <c r="G85" i="5"/>
  <c r="T84" i="5"/>
  <c r="U84" i="5" s="1"/>
  <c r="V84" i="5" s="1"/>
  <c r="S84" i="5"/>
  <c r="Q84" i="5"/>
  <c r="R84" i="5" s="1"/>
  <c r="O84" i="5"/>
  <c r="N84" i="5"/>
  <c r="M84" i="5"/>
  <c r="L84" i="5"/>
  <c r="P84" i="5" s="1"/>
  <c r="I84" i="5"/>
  <c r="H84" i="5"/>
  <c r="G84" i="5"/>
  <c r="S83" i="5"/>
  <c r="O83" i="5"/>
  <c r="M83" i="5"/>
  <c r="L83" i="5"/>
  <c r="J83" i="5"/>
  <c r="H83" i="5"/>
  <c r="G83" i="5"/>
  <c r="I83" i="5" s="1"/>
  <c r="U82" i="5"/>
  <c r="V82" i="5" s="1"/>
  <c r="S82" i="5"/>
  <c r="Q82" i="5"/>
  <c r="R82" i="5" s="1"/>
  <c r="P82" i="5"/>
  <c r="O82" i="5"/>
  <c r="M82" i="5"/>
  <c r="T82" i="5" s="1"/>
  <c r="L82" i="5"/>
  <c r="N82" i="5" s="1"/>
  <c r="K82" i="5"/>
  <c r="J82" i="5"/>
  <c r="I82" i="5"/>
  <c r="H82" i="5"/>
  <c r="G82" i="5"/>
  <c r="U81" i="5"/>
  <c r="V81" i="5" s="1"/>
  <c r="S81" i="5"/>
  <c r="R81" i="5"/>
  <c r="O81" i="5"/>
  <c r="N81" i="5"/>
  <c r="M81" i="5"/>
  <c r="T81" i="5" s="1"/>
  <c r="L81" i="5"/>
  <c r="P81" i="5" s="1"/>
  <c r="Q81" i="5" s="1"/>
  <c r="K81" i="5"/>
  <c r="H81" i="5"/>
  <c r="J81" i="5" s="1"/>
  <c r="G81" i="5"/>
  <c r="I81" i="5" s="1"/>
  <c r="S80" i="5"/>
  <c r="U80" i="5" s="1"/>
  <c r="V80" i="5" s="1"/>
  <c r="P80" i="5"/>
  <c r="O80" i="5"/>
  <c r="Q80" i="5" s="1"/>
  <c r="R80" i="5" s="1"/>
  <c r="N80" i="5"/>
  <c r="M80" i="5"/>
  <c r="T80" i="5" s="1"/>
  <c r="L80" i="5"/>
  <c r="H80" i="5"/>
  <c r="G80" i="5"/>
  <c r="S79" i="5"/>
  <c r="O79" i="5"/>
  <c r="M79" i="5"/>
  <c r="T79" i="5" s="1"/>
  <c r="L79" i="5"/>
  <c r="K79" i="5"/>
  <c r="H79" i="5"/>
  <c r="J79" i="5" s="1"/>
  <c r="G79" i="5"/>
  <c r="I79" i="5" s="1"/>
  <c r="V78" i="5"/>
  <c r="S78" i="5"/>
  <c r="P78" i="5"/>
  <c r="O78" i="5"/>
  <c r="M78" i="5"/>
  <c r="T78" i="5" s="1"/>
  <c r="U78" i="5" s="1"/>
  <c r="L78" i="5"/>
  <c r="K78" i="5"/>
  <c r="J78" i="5"/>
  <c r="H78" i="5"/>
  <c r="G78" i="5"/>
  <c r="I78" i="5" s="1"/>
  <c r="T77" i="5"/>
  <c r="U77" i="5" s="1"/>
  <c r="V77" i="5" s="1"/>
  <c r="S77" i="5"/>
  <c r="P77" i="5"/>
  <c r="O77" i="5"/>
  <c r="Q77" i="5" s="1"/>
  <c r="R77" i="5" s="1"/>
  <c r="M77" i="5"/>
  <c r="N77" i="5" s="1"/>
  <c r="L77" i="5"/>
  <c r="I77" i="5"/>
  <c r="H77" i="5"/>
  <c r="G77" i="5"/>
  <c r="U76" i="5"/>
  <c r="V76" i="5" s="1"/>
  <c r="S76" i="5"/>
  <c r="O76" i="5"/>
  <c r="M76" i="5"/>
  <c r="T76" i="5" s="1"/>
  <c r="L76" i="5"/>
  <c r="H76" i="5"/>
  <c r="J76" i="5" s="1"/>
  <c r="G76" i="5"/>
  <c r="I76" i="5" s="1"/>
  <c r="U75" i="5"/>
  <c r="V75" i="5" s="1"/>
  <c r="S75" i="5"/>
  <c r="P75" i="5"/>
  <c r="O75" i="5"/>
  <c r="M75" i="5"/>
  <c r="T75" i="5" s="1"/>
  <c r="L75" i="5"/>
  <c r="N75" i="5" s="1"/>
  <c r="J75" i="5"/>
  <c r="I75" i="5"/>
  <c r="H75" i="5"/>
  <c r="G75" i="5"/>
  <c r="S74" i="5"/>
  <c r="Q74" i="5"/>
  <c r="R74" i="5" s="1"/>
  <c r="P74" i="5"/>
  <c r="O74" i="5"/>
  <c r="N74" i="5"/>
  <c r="M74" i="5"/>
  <c r="T74" i="5" s="1"/>
  <c r="U74" i="5" s="1"/>
  <c r="V74" i="5" s="1"/>
  <c r="L74" i="5"/>
  <c r="K74" i="5"/>
  <c r="H74" i="5"/>
  <c r="J74" i="5" s="1"/>
  <c r="G74" i="5"/>
  <c r="I74" i="5" s="1"/>
  <c r="S73" i="5"/>
  <c r="O73" i="5"/>
  <c r="M73" i="5"/>
  <c r="L73" i="5"/>
  <c r="I73" i="5"/>
  <c r="H73" i="5"/>
  <c r="J73" i="5" s="1"/>
  <c r="G73" i="5"/>
  <c r="S72" i="5"/>
  <c r="Q72" i="5"/>
  <c r="R72" i="5" s="1"/>
  <c r="P72" i="5"/>
  <c r="O72" i="5"/>
  <c r="M72" i="5"/>
  <c r="L72" i="5"/>
  <c r="J72" i="5"/>
  <c r="I72" i="5"/>
  <c r="H72" i="5"/>
  <c r="G72" i="5"/>
  <c r="S71" i="5"/>
  <c r="P71" i="5"/>
  <c r="O71" i="5"/>
  <c r="Q71" i="5" s="1"/>
  <c r="R71" i="5" s="1"/>
  <c r="M71" i="5"/>
  <c r="N71" i="5" s="1"/>
  <c r="L71" i="5"/>
  <c r="H71" i="5"/>
  <c r="G71" i="5"/>
  <c r="U70" i="5"/>
  <c r="V70" i="5" s="1"/>
  <c r="S70" i="5"/>
  <c r="O70" i="5"/>
  <c r="M70" i="5"/>
  <c r="T70" i="5" s="1"/>
  <c r="L70" i="5"/>
  <c r="K70" i="5"/>
  <c r="H70" i="5"/>
  <c r="J70" i="5" s="1"/>
  <c r="G70" i="5"/>
  <c r="I70" i="5" s="1"/>
  <c r="U69" i="5"/>
  <c r="V69" i="5" s="1"/>
  <c r="S69" i="5"/>
  <c r="Q69" i="5"/>
  <c r="R69" i="5" s="1"/>
  <c r="P69" i="5"/>
  <c r="O69" i="5"/>
  <c r="M69" i="5"/>
  <c r="T69" i="5" s="1"/>
  <c r="L69" i="5"/>
  <c r="N69" i="5" s="1"/>
  <c r="K69" i="5"/>
  <c r="J69" i="5"/>
  <c r="I69" i="5"/>
  <c r="H69" i="5"/>
  <c r="G69" i="5"/>
  <c r="S68" i="5"/>
  <c r="Q68" i="5"/>
  <c r="R68" i="5" s="1"/>
  <c r="P68" i="5"/>
  <c r="O68" i="5"/>
  <c r="N68" i="5"/>
  <c r="M68" i="5"/>
  <c r="K68" i="5" s="1"/>
  <c r="L68" i="5"/>
  <c r="H68" i="5"/>
  <c r="J68" i="5" s="1"/>
  <c r="G68" i="5"/>
  <c r="I68" i="5" s="1"/>
  <c r="U67" i="5"/>
  <c r="V67" i="5" s="1"/>
  <c r="S67" i="5"/>
  <c r="O67" i="5"/>
  <c r="M67" i="5"/>
  <c r="T67" i="5" s="1"/>
  <c r="L67" i="5"/>
  <c r="K67" i="5"/>
  <c r="I67" i="5"/>
  <c r="H67" i="5"/>
  <c r="J67" i="5" s="1"/>
  <c r="G67" i="5"/>
  <c r="S66" i="5"/>
  <c r="O66" i="5"/>
  <c r="M66" i="5"/>
  <c r="L66" i="5"/>
  <c r="J66" i="5"/>
  <c r="H66" i="5"/>
  <c r="G66" i="5"/>
  <c r="I66" i="5" s="1"/>
  <c r="S65" i="5"/>
  <c r="P65" i="5"/>
  <c r="Q65" i="5" s="1"/>
  <c r="R65" i="5" s="1"/>
  <c r="O65" i="5"/>
  <c r="M65" i="5"/>
  <c r="L65" i="5"/>
  <c r="J65" i="5"/>
  <c r="H65" i="5"/>
  <c r="G65" i="5"/>
  <c r="I65" i="5" s="1"/>
  <c r="S64" i="5"/>
  <c r="O64" i="5"/>
  <c r="M64" i="5"/>
  <c r="T64" i="5" s="1"/>
  <c r="U64" i="5" s="1"/>
  <c r="V64" i="5" s="1"/>
  <c r="L64" i="5"/>
  <c r="H64" i="5"/>
  <c r="G64" i="5"/>
  <c r="S63" i="5"/>
  <c r="O63" i="5"/>
  <c r="M63" i="5"/>
  <c r="L63" i="5"/>
  <c r="J63" i="5"/>
  <c r="H63" i="5"/>
  <c r="G63" i="5"/>
  <c r="I63" i="5" s="1"/>
  <c r="T62" i="5"/>
  <c r="U62" i="5" s="1"/>
  <c r="V62" i="5" s="1"/>
  <c r="S62" i="5"/>
  <c r="P62" i="5"/>
  <c r="Q62" i="5" s="1"/>
  <c r="R62" i="5" s="1"/>
  <c r="O62" i="5"/>
  <c r="M62" i="5"/>
  <c r="N62" i="5" s="1"/>
  <c r="L62" i="5"/>
  <c r="K62" i="5"/>
  <c r="J62" i="5"/>
  <c r="I62" i="5"/>
  <c r="H62" i="5"/>
  <c r="G62" i="5"/>
  <c r="T61" i="5"/>
  <c r="S61" i="5"/>
  <c r="O61" i="5"/>
  <c r="M61" i="5"/>
  <c r="L61" i="5"/>
  <c r="K61" i="5"/>
  <c r="J61" i="5"/>
  <c r="I61" i="5"/>
  <c r="H61" i="5"/>
  <c r="G61" i="5"/>
  <c r="S60" i="5"/>
  <c r="P60" i="5"/>
  <c r="Q60" i="5" s="1"/>
  <c r="R60" i="5" s="1"/>
  <c r="O60" i="5"/>
  <c r="M60" i="5"/>
  <c r="L60" i="5"/>
  <c r="K60" i="5"/>
  <c r="J60" i="5"/>
  <c r="I60" i="5"/>
  <c r="H60" i="5"/>
  <c r="G60" i="5"/>
  <c r="T59" i="5"/>
  <c r="U59" i="5" s="1"/>
  <c r="V59" i="5" s="1"/>
  <c r="S59" i="5"/>
  <c r="Q59" i="5"/>
  <c r="R59" i="5" s="1"/>
  <c r="O59" i="5"/>
  <c r="M59" i="5"/>
  <c r="N59" i="5" s="1"/>
  <c r="L59" i="5"/>
  <c r="P59" i="5" s="1"/>
  <c r="I59" i="5"/>
  <c r="H59" i="5"/>
  <c r="J59" i="5" s="1"/>
  <c r="G59" i="5"/>
  <c r="S58" i="5"/>
  <c r="U58" i="5" s="1"/>
  <c r="V58" i="5" s="1"/>
  <c r="O58" i="5"/>
  <c r="M58" i="5"/>
  <c r="T58" i="5" s="1"/>
  <c r="L58" i="5"/>
  <c r="K58" i="5"/>
  <c r="J58" i="5"/>
  <c r="I58" i="5"/>
  <c r="H58" i="5"/>
  <c r="G58" i="5"/>
  <c r="S57" i="5"/>
  <c r="Q57" i="5"/>
  <c r="R57" i="5" s="1"/>
  <c r="P57" i="5"/>
  <c r="O57" i="5"/>
  <c r="M57" i="5"/>
  <c r="K57" i="5" s="1"/>
  <c r="L57" i="5"/>
  <c r="J57" i="5"/>
  <c r="H57" i="5"/>
  <c r="G57" i="5"/>
  <c r="I57" i="5" s="1"/>
  <c r="S56" i="5"/>
  <c r="O56" i="5"/>
  <c r="M56" i="5"/>
  <c r="N56" i="5" s="1"/>
  <c r="L56" i="5"/>
  <c r="P56" i="5" s="1"/>
  <c r="Q56" i="5" s="1"/>
  <c r="R56" i="5" s="1"/>
  <c r="K56" i="5"/>
  <c r="H56" i="5"/>
  <c r="J56" i="5" s="1"/>
  <c r="G56" i="5"/>
  <c r="U55" i="5"/>
  <c r="V55" i="5" s="1"/>
  <c r="S55" i="5"/>
  <c r="O55" i="5"/>
  <c r="M55" i="5"/>
  <c r="T55" i="5" s="1"/>
  <c r="L55" i="5"/>
  <c r="J55" i="5"/>
  <c r="H55" i="5"/>
  <c r="G55" i="5"/>
  <c r="I55" i="5" s="1"/>
  <c r="S54" i="5"/>
  <c r="P54" i="5"/>
  <c r="Q54" i="5" s="1"/>
  <c r="R54" i="5" s="1"/>
  <c r="O54" i="5"/>
  <c r="M54" i="5"/>
  <c r="L54" i="5"/>
  <c r="K54" i="5"/>
  <c r="J54" i="5"/>
  <c r="H54" i="5"/>
  <c r="G54" i="5"/>
  <c r="I54" i="5" s="1"/>
  <c r="T53" i="5"/>
  <c r="U53" i="5" s="1"/>
  <c r="V53" i="5" s="1"/>
  <c r="S53" i="5"/>
  <c r="O53" i="5"/>
  <c r="N53" i="5"/>
  <c r="M53" i="5"/>
  <c r="L53" i="5"/>
  <c r="P53" i="5" s="1"/>
  <c r="Q53" i="5" s="1"/>
  <c r="R53" i="5" s="1"/>
  <c r="H53" i="5"/>
  <c r="J53" i="5" s="1"/>
  <c r="G53" i="5"/>
  <c r="S52" i="5"/>
  <c r="O52" i="5"/>
  <c r="M52" i="5"/>
  <c r="T52" i="5" s="1"/>
  <c r="U52" i="5" s="1"/>
  <c r="V52" i="5" s="1"/>
  <c r="L52" i="5"/>
  <c r="K52" i="5"/>
  <c r="J52" i="5"/>
  <c r="H52" i="5"/>
  <c r="G52" i="5"/>
  <c r="I52" i="5" s="1"/>
  <c r="S51" i="5"/>
  <c r="P51" i="5"/>
  <c r="Q51" i="5" s="1"/>
  <c r="R51" i="5" s="1"/>
  <c r="O51" i="5"/>
  <c r="M51" i="5"/>
  <c r="L51" i="5"/>
  <c r="J51" i="5"/>
  <c r="I51" i="5"/>
  <c r="H51" i="5"/>
  <c r="G51" i="5"/>
  <c r="S50" i="5"/>
  <c r="O50" i="5"/>
  <c r="Q50" i="5" s="1"/>
  <c r="R50" i="5" s="1"/>
  <c r="M50" i="5"/>
  <c r="L50" i="5"/>
  <c r="P50" i="5" s="1"/>
  <c r="H50" i="5"/>
  <c r="J50" i="5" s="1"/>
  <c r="G50" i="5"/>
  <c r="S49" i="5"/>
  <c r="O49" i="5"/>
  <c r="M49" i="5"/>
  <c r="T49" i="5" s="1"/>
  <c r="U49" i="5" s="1"/>
  <c r="V49" i="5" s="1"/>
  <c r="L49" i="5"/>
  <c r="N49" i="5" s="1"/>
  <c r="K49" i="5"/>
  <c r="J49" i="5"/>
  <c r="I49" i="5"/>
  <c r="H49" i="5"/>
  <c r="G49" i="5"/>
  <c r="S48" i="5"/>
  <c r="Q48" i="5"/>
  <c r="R48" i="5" s="1"/>
  <c r="P48" i="5"/>
  <c r="O48" i="5"/>
  <c r="M48" i="5"/>
  <c r="N48" i="5" s="1"/>
  <c r="L48" i="5"/>
  <c r="K48" i="5"/>
  <c r="I48" i="5"/>
  <c r="H48" i="5"/>
  <c r="J48" i="5" s="1"/>
  <c r="G48" i="5"/>
  <c r="S47" i="5"/>
  <c r="O47" i="5"/>
  <c r="Q47" i="5" s="1"/>
  <c r="R47" i="5" s="1"/>
  <c r="M47" i="5"/>
  <c r="N47" i="5" s="1"/>
  <c r="L47" i="5"/>
  <c r="P47" i="5" s="1"/>
  <c r="H47" i="5"/>
  <c r="J47" i="5" s="1"/>
  <c r="G47" i="5"/>
  <c r="S46" i="5"/>
  <c r="P46" i="5"/>
  <c r="Q46" i="5" s="1"/>
  <c r="R46" i="5" s="1"/>
  <c r="O46" i="5"/>
  <c r="M46" i="5"/>
  <c r="T46" i="5" s="1"/>
  <c r="U46" i="5" s="1"/>
  <c r="V46" i="5" s="1"/>
  <c r="L46" i="5"/>
  <c r="N46" i="5" s="1"/>
  <c r="K46" i="5"/>
  <c r="J46" i="5"/>
  <c r="I46" i="5"/>
  <c r="H46" i="5"/>
  <c r="G46" i="5"/>
  <c r="S45" i="5"/>
  <c r="Q45" i="5"/>
  <c r="R45" i="5" s="1"/>
  <c r="P45" i="5"/>
  <c r="O45" i="5"/>
  <c r="M45" i="5"/>
  <c r="N45" i="5" s="1"/>
  <c r="L45" i="5"/>
  <c r="K45" i="5"/>
  <c r="H45" i="5"/>
  <c r="J45" i="5" s="1"/>
  <c r="G45" i="5"/>
  <c r="I45" i="5" s="1"/>
  <c r="S44" i="5"/>
  <c r="O44" i="5"/>
  <c r="Q44" i="5" s="1"/>
  <c r="R44" i="5" s="1"/>
  <c r="M44" i="5"/>
  <c r="N44" i="5" s="1"/>
  <c r="L44" i="5"/>
  <c r="P44" i="5" s="1"/>
  <c r="H44" i="5"/>
  <c r="J44" i="5" s="1"/>
  <c r="G44" i="5"/>
  <c r="T43" i="5"/>
  <c r="U43" i="5" s="1"/>
  <c r="V43" i="5" s="1"/>
  <c r="S43" i="5"/>
  <c r="Q43" i="5"/>
  <c r="R43" i="5" s="1"/>
  <c r="P43" i="5"/>
  <c r="O43" i="5"/>
  <c r="M43" i="5"/>
  <c r="L43" i="5"/>
  <c r="N43" i="5" s="1"/>
  <c r="K43" i="5"/>
  <c r="J43" i="5"/>
  <c r="H43" i="5"/>
  <c r="I43" i="5" s="1"/>
  <c r="G43" i="5"/>
  <c r="T42" i="5"/>
  <c r="U42" i="5" s="1"/>
  <c r="V42" i="5" s="1"/>
  <c r="S42" i="5"/>
  <c r="P42" i="5"/>
  <c r="Q42" i="5" s="1"/>
  <c r="R42" i="5" s="1"/>
  <c r="O42" i="5"/>
  <c r="N42" i="5"/>
  <c r="M42" i="5"/>
  <c r="L42" i="5"/>
  <c r="H42" i="5"/>
  <c r="G42" i="5"/>
  <c r="S41" i="5"/>
  <c r="O41" i="5"/>
  <c r="M41" i="5"/>
  <c r="T41" i="5" s="1"/>
  <c r="U41" i="5" s="1"/>
  <c r="V41" i="5" s="1"/>
  <c r="L41" i="5"/>
  <c r="H41" i="5"/>
  <c r="G41" i="5"/>
  <c r="T40" i="5"/>
  <c r="U40" i="5" s="1"/>
  <c r="V40" i="5" s="1"/>
  <c r="S40" i="5"/>
  <c r="Q40" i="5"/>
  <c r="R40" i="5" s="1"/>
  <c r="P40" i="5"/>
  <c r="O40" i="5"/>
  <c r="M40" i="5"/>
  <c r="L40" i="5"/>
  <c r="N40" i="5" s="1"/>
  <c r="K40" i="5"/>
  <c r="J40" i="5"/>
  <c r="H40" i="5"/>
  <c r="I40" i="5" s="1"/>
  <c r="G40" i="5"/>
  <c r="T39" i="5"/>
  <c r="U39" i="5" s="1"/>
  <c r="V39" i="5" s="1"/>
  <c r="S39" i="5"/>
  <c r="P39" i="5"/>
  <c r="Q39" i="5" s="1"/>
  <c r="R39" i="5" s="1"/>
  <c r="O39" i="5"/>
  <c r="N39" i="5"/>
  <c r="M39" i="5"/>
  <c r="L39" i="5"/>
  <c r="H39" i="5"/>
  <c r="G39" i="5"/>
  <c r="S38" i="5"/>
  <c r="O38" i="5"/>
  <c r="M38" i="5"/>
  <c r="T38" i="5" s="1"/>
  <c r="U38" i="5" s="1"/>
  <c r="V38" i="5" s="1"/>
  <c r="L38" i="5"/>
  <c r="H38" i="5"/>
  <c r="G38" i="5"/>
  <c r="T37" i="5"/>
  <c r="U37" i="5" s="1"/>
  <c r="V37" i="5" s="1"/>
  <c r="S37" i="5"/>
  <c r="Q37" i="5"/>
  <c r="R37" i="5" s="1"/>
  <c r="P37" i="5"/>
  <c r="O37" i="5"/>
  <c r="M37" i="5"/>
  <c r="L37" i="5"/>
  <c r="N37" i="5" s="1"/>
  <c r="K37" i="5"/>
  <c r="J37" i="5"/>
  <c r="H37" i="5"/>
  <c r="I37" i="5" s="1"/>
  <c r="G37" i="5"/>
  <c r="T36" i="5"/>
  <c r="U36" i="5" s="1"/>
  <c r="V36" i="5" s="1"/>
  <c r="S36" i="5"/>
  <c r="P36" i="5"/>
  <c r="Q36" i="5" s="1"/>
  <c r="R36" i="5" s="1"/>
  <c r="O36" i="5"/>
  <c r="N36" i="5"/>
  <c r="M36" i="5"/>
  <c r="L36" i="5"/>
  <c r="H36" i="5"/>
  <c r="G36" i="5"/>
  <c r="S35" i="5"/>
  <c r="O35" i="5"/>
  <c r="M35" i="5"/>
  <c r="T35" i="5" s="1"/>
  <c r="U35" i="5" s="1"/>
  <c r="V35" i="5" s="1"/>
  <c r="L35" i="5"/>
  <c r="H35" i="5"/>
  <c r="G35" i="5"/>
  <c r="T34" i="5"/>
  <c r="U34" i="5" s="1"/>
  <c r="V34" i="5" s="1"/>
  <c r="S34" i="5"/>
  <c r="Q34" i="5"/>
  <c r="R34" i="5" s="1"/>
  <c r="P34" i="5"/>
  <c r="O34" i="5"/>
  <c r="M34" i="5"/>
  <c r="L34" i="5"/>
  <c r="N34" i="5" s="1"/>
  <c r="K34" i="5"/>
  <c r="J34" i="5"/>
  <c r="H34" i="5"/>
  <c r="I34" i="5" s="1"/>
  <c r="G34" i="5"/>
  <c r="T33" i="5"/>
  <c r="U33" i="5" s="1"/>
  <c r="V33" i="5" s="1"/>
  <c r="S33" i="5"/>
  <c r="P33" i="5"/>
  <c r="Q33" i="5" s="1"/>
  <c r="R33" i="5" s="1"/>
  <c r="O33" i="5"/>
  <c r="N33" i="5"/>
  <c r="M33" i="5"/>
  <c r="L33" i="5"/>
  <c r="H33" i="5"/>
  <c r="G33" i="5"/>
  <c r="S32" i="5"/>
  <c r="O32" i="5"/>
  <c r="M32" i="5"/>
  <c r="T32" i="5" s="1"/>
  <c r="U32" i="5" s="1"/>
  <c r="V32" i="5" s="1"/>
  <c r="L32" i="5"/>
  <c r="H32" i="5"/>
  <c r="G32" i="5"/>
  <c r="T31" i="5"/>
  <c r="U31" i="5" s="1"/>
  <c r="V31" i="5" s="1"/>
  <c r="S31" i="5"/>
  <c r="Q31" i="5"/>
  <c r="R31" i="5" s="1"/>
  <c r="P31" i="5"/>
  <c r="O31" i="5"/>
  <c r="M31" i="5"/>
  <c r="L31" i="5"/>
  <c r="N31" i="5" s="1"/>
  <c r="K31" i="5"/>
  <c r="J31" i="5"/>
  <c r="H31" i="5"/>
  <c r="I31" i="5" s="1"/>
  <c r="G31" i="5"/>
  <c r="T30" i="5"/>
  <c r="U30" i="5" s="1"/>
  <c r="V30" i="5" s="1"/>
  <c r="S30" i="5"/>
  <c r="P30" i="5"/>
  <c r="Q30" i="5" s="1"/>
  <c r="R30" i="5" s="1"/>
  <c r="O30" i="5"/>
  <c r="N30" i="5"/>
  <c r="M30" i="5"/>
  <c r="L30" i="5"/>
  <c r="H30" i="5"/>
  <c r="G30" i="5"/>
  <c r="S29" i="5"/>
  <c r="O29" i="5"/>
  <c r="M29" i="5"/>
  <c r="T29" i="5" s="1"/>
  <c r="U29" i="5" s="1"/>
  <c r="V29" i="5" s="1"/>
  <c r="L29" i="5"/>
  <c r="H29" i="5"/>
  <c r="G29" i="5"/>
  <c r="T28" i="5"/>
  <c r="U28" i="5" s="1"/>
  <c r="V28" i="5" s="1"/>
  <c r="S28" i="5"/>
  <c r="Q28" i="5"/>
  <c r="R28" i="5" s="1"/>
  <c r="P28" i="5"/>
  <c r="O28" i="5"/>
  <c r="M28" i="5"/>
  <c r="L28" i="5"/>
  <c r="N28" i="5" s="1"/>
  <c r="K28" i="5"/>
  <c r="J28" i="5"/>
  <c r="H28" i="5"/>
  <c r="I28" i="5" s="1"/>
  <c r="G28" i="5"/>
  <c r="T27" i="5"/>
  <c r="U27" i="5" s="1"/>
  <c r="V27" i="5" s="1"/>
  <c r="S27" i="5"/>
  <c r="P27" i="5"/>
  <c r="Q27" i="5" s="1"/>
  <c r="R27" i="5" s="1"/>
  <c r="O27" i="5"/>
  <c r="N27" i="5"/>
  <c r="M27" i="5"/>
  <c r="L27" i="5"/>
  <c r="H27" i="5"/>
  <c r="G27" i="5"/>
  <c r="S26" i="5"/>
  <c r="O26" i="5"/>
  <c r="M26" i="5"/>
  <c r="T26" i="5" s="1"/>
  <c r="U26" i="5" s="1"/>
  <c r="V26" i="5" s="1"/>
  <c r="L26" i="5"/>
  <c r="H26" i="5"/>
  <c r="G26" i="5"/>
  <c r="T25" i="5"/>
  <c r="U25" i="5" s="1"/>
  <c r="V25" i="5" s="1"/>
  <c r="S25" i="5"/>
  <c r="Q25" i="5"/>
  <c r="R25" i="5" s="1"/>
  <c r="P25" i="5"/>
  <c r="O25" i="5"/>
  <c r="M25" i="5"/>
  <c r="L25" i="5"/>
  <c r="N25" i="5" s="1"/>
  <c r="K25" i="5"/>
  <c r="J25" i="5"/>
  <c r="H25" i="5"/>
  <c r="I25" i="5" s="1"/>
  <c r="G25" i="5"/>
  <c r="T24" i="5"/>
  <c r="U24" i="5" s="1"/>
  <c r="V24" i="5" s="1"/>
  <c r="S24" i="5"/>
  <c r="P24" i="5"/>
  <c r="Q24" i="5" s="1"/>
  <c r="R24" i="5" s="1"/>
  <c r="O24" i="5"/>
  <c r="N24" i="5"/>
  <c r="M24" i="5"/>
  <c r="L24" i="5"/>
  <c r="H24" i="5"/>
  <c r="G24" i="5"/>
  <c r="S23" i="5"/>
  <c r="O23" i="5"/>
  <c r="M23" i="5"/>
  <c r="T23" i="5" s="1"/>
  <c r="U23" i="5" s="1"/>
  <c r="V23" i="5" s="1"/>
  <c r="L23" i="5"/>
  <c r="H23" i="5"/>
  <c r="G23" i="5"/>
  <c r="T22" i="5"/>
  <c r="U22" i="5" s="1"/>
  <c r="V22" i="5" s="1"/>
  <c r="S22" i="5"/>
  <c r="Q22" i="5"/>
  <c r="R22" i="5" s="1"/>
  <c r="P22" i="5"/>
  <c r="O22" i="5"/>
  <c r="M22" i="5"/>
  <c r="L22" i="5"/>
  <c r="N22" i="5" s="1"/>
  <c r="K22" i="5"/>
  <c r="J22" i="5"/>
  <c r="H22" i="5"/>
  <c r="I22" i="5" s="1"/>
  <c r="G22" i="5"/>
  <c r="T21" i="5"/>
  <c r="U21" i="5" s="1"/>
  <c r="V21" i="5" s="1"/>
  <c r="S21" i="5"/>
  <c r="P21" i="5"/>
  <c r="Q21" i="5" s="1"/>
  <c r="R21" i="5" s="1"/>
  <c r="O21" i="5"/>
  <c r="N21" i="5"/>
  <c r="M21" i="5"/>
  <c r="L21" i="5"/>
  <c r="H21" i="5"/>
  <c r="I21" i="5" s="1"/>
  <c r="G21" i="5"/>
  <c r="S20" i="5"/>
  <c r="O20" i="5"/>
  <c r="M20" i="5"/>
  <c r="T20" i="5" s="1"/>
  <c r="U20" i="5" s="1"/>
  <c r="V20" i="5" s="1"/>
  <c r="L20" i="5"/>
  <c r="H20" i="5"/>
  <c r="G20" i="5"/>
  <c r="T19" i="5"/>
  <c r="U19" i="5" s="1"/>
  <c r="V19" i="5" s="1"/>
  <c r="S19" i="5"/>
  <c r="Q19" i="5"/>
  <c r="R19" i="5" s="1"/>
  <c r="P19" i="5"/>
  <c r="O19" i="5"/>
  <c r="M19" i="5"/>
  <c r="L19" i="5"/>
  <c r="N19" i="5" s="1"/>
  <c r="K19" i="5"/>
  <c r="J19" i="5"/>
  <c r="H19" i="5"/>
  <c r="I19" i="5" s="1"/>
  <c r="G19" i="5"/>
  <c r="T18" i="5"/>
  <c r="U18" i="5" s="1"/>
  <c r="V18" i="5" s="1"/>
  <c r="S18" i="5"/>
  <c r="P18" i="5"/>
  <c r="Q18" i="5" s="1"/>
  <c r="R18" i="5" s="1"/>
  <c r="O18" i="5"/>
  <c r="N18" i="5"/>
  <c r="M18" i="5"/>
  <c r="L18" i="5"/>
  <c r="H18" i="5"/>
  <c r="G18" i="5"/>
  <c r="S17" i="5"/>
  <c r="O17" i="5"/>
  <c r="M17" i="5"/>
  <c r="T17" i="5" s="1"/>
  <c r="U17" i="5" s="1"/>
  <c r="V17" i="5" s="1"/>
  <c r="L17" i="5"/>
  <c r="H17" i="5"/>
  <c r="G17" i="5"/>
  <c r="T16" i="5"/>
  <c r="U16" i="5" s="1"/>
  <c r="V16" i="5" s="1"/>
  <c r="S16" i="5"/>
  <c r="Q16" i="5"/>
  <c r="R16" i="5" s="1"/>
  <c r="P16" i="5"/>
  <c r="O16" i="5"/>
  <c r="M16" i="5"/>
  <c r="L16" i="5"/>
  <c r="N16" i="5" s="1"/>
  <c r="K16" i="5"/>
  <c r="J16" i="5"/>
  <c r="H16" i="5"/>
  <c r="I16" i="5" s="1"/>
  <c r="G16" i="5"/>
  <c r="T15" i="5"/>
  <c r="U15" i="5" s="1"/>
  <c r="V15" i="5" s="1"/>
  <c r="S15" i="5"/>
  <c r="P15" i="5"/>
  <c r="Q15" i="5" s="1"/>
  <c r="R15" i="5" s="1"/>
  <c r="O15" i="5"/>
  <c r="N15" i="5"/>
  <c r="M15" i="5"/>
  <c r="L15" i="5"/>
  <c r="H15" i="5"/>
  <c r="G15" i="5"/>
  <c r="S14" i="5"/>
  <c r="O14" i="5"/>
  <c r="M14" i="5"/>
  <c r="T14" i="5" s="1"/>
  <c r="U14" i="5" s="1"/>
  <c r="V14" i="5" s="1"/>
  <c r="L14" i="5"/>
  <c r="H14" i="5"/>
  <c r="G14" i="5"/>
  <c r="S13" i="5"/>
  <c r="P13" i="5"/>
  <c r="Q13" i="5" s="1"/>
  <c r="R13" i="5" s="1"/>
  <c r="O13" i="5"/>
  <c r="M13" i="5"/>
  <c r="T13" i="5" s="1"/>
  <c r="U13" i="5" s="1"/>
  <c r="V13" i="5" s="1"/>
  <c r="L13" i="5"/>
  <c r="N13" i="5" s="1"/>
  <c r="K13" i="5"/>
  <c r="J13" i="5"/>
  <c r="H13" i="5"/>
  <c r="I13" i="5" s="1"/>
  <c r="G13" i="5"/>
  <c r="U12" i="5"/>
  <c r="V12" i="5" s="1"/>
  <c r="T12" i="5"/>
  <c r="S12" i="5"/>
  <c r="P12" i="5"/>
  <c r="O12" i="5"/>
  <c r="N12" i="5"/>
  <c r="M12" i="5"/>
  <c r="L12" i="5"/>
  <c r="H12" i="5"/>
  <c r="G12" i="5"/>
  <c r="S11" i="5"/>
  <c r="O11" i="5"/>
  <c r="M11" i="5"/>
  <c r="T11" i="5" s="1"/>
  <c r="U11" i="5" s="1"/>
  <c r="V11" i="5" s="1"/>
  <c r="L11" i="5"/>
  <c r="P11" i="5" s="1"/>
  <c r="Q11" i="5" s="1"/>
  <c r="R11" i="5" s="1"/>
  <c r="H11" i="5"/>
  <c r="G11" i="5"/>
  <c r="S10" i="5"/>
  <c r="O10" i="5"/>
  <c r="M10" i="5"/>
  <c r="T10" i="5" s="1"/>
  <c r="U10" i="5" s="1"/>
  <c r="V10" i="5" s="1"/>
  <c r="L10" i="5"/>
  <c r="N10" i="5" s="1"/>
  <c r="K10" i="5"/>
  <c r="J10" i="5"/>
  <c r="H10" i="5"/>
  <c r="I10" i="5" s="1"/>
  <c r="G10" i="5"/>
  <c r="T9" i="5"/>
  <c r="U9" i="5" s="1"/>
  <c r="V9" i="5" s="1"/>
  <c r="S9" i="5"/>
  <c r="P9" i="5"/>
  <c r="O9" i="5"/>
  <c r="N9" i="5"/>
  <c r="M9" i="5"/>
  <c r="L9" i="5"/>
  <c r="J9" i="5"/>
  <c r="H9" i="5"/>
  <c r="K9" i="5" s="1"/>
  <c r="G9" i="5"/>
  <c r="T8" i="5"/>
  <c r="S8" i="5"/>
  <c r="R8" i="5"/>
  <c r="O8" i="5"/>
  <c r="N8" i="5"/>
  <c r="M8" i="5"/>
  <c r="L8" i="5"/>
  <c r="P8" i="5" s="1"/>
  <c r="Q8" i="5" s="1"/>
  <c r="H8" i="5"/>
  <c r="G8" i="5"/>
  <c r="S7" i="5"/>
  <c r="P7" i="5"/>
  <c r="Q7" i="5" s="1"/>
  <c r="R7" i="5" s="1"/>
  <c r="O7" i="5"/>
  <c r="M7" i="5"/>
  <c r="T7" i="5" s="1"/>
  <c r="U7" i="5" s="1"/>
  <c r="V7" i="5" s="1"/>
  <c r="L7" i="5"/>
  <c r="N7" i="5" s="1"/>
  <c r="K7" i="5"/>
  <c r="J7" i="5"/>
  <c r="H7" i="5"/>
  <c r="I7" i="5" s="1"/>
  <c r="G7" i="5"/>
  <c r="U6" i="5"/>
  <c r="V6" i="5" s="1"/>
  <c r="T6" i="5"/>
  <c r="S6" i="5"/>
  <c r="P6" i="5"/>
  <c r="O6" i="5"/>
  <c r="N6" i="5"/>
  <c r="M6" i="5"/>
  <c r="L6" i="5"/>
  <c r="H6" i="5"/>
  <c r="K6" i="5" s="1"/>
  <c r="G6" i="5"/>
  <c r="T5" i="5"/>
  <c r="S5" i="5"/>
  <c r="O5" i="5"/>
  <c r="N5" i="5"/>
  <c r="M5" i="5"/>
  <c r="L5" i="5"/>
  <c r="H5" i="5"/>
  <c r="G5" i="5"/>
  <c r="F2" i="5"/>
  <c r="DZ47" i="3" a="1"/>
  <c r="DZ47" i="3" s="1"/>
  <c r="DV47" i="3"/>
  <c r="DB47" i="3" a="1"/>
  <c r="DB47" i="3" s="1"/>
  <c r="CD47" i="3" a="1"/>
  <c r="CD47" i="3" s="1"/>
  <c r="BO47" i="3"/>
  <c r="AY47" i="3" a="1"/>
  <c r="AY47" i="3" s="1"/>
  <c r="AM47" i="3" a="1"/>
  <c r="AM47" i="3" s="1"/>
  <c r="AA47" i="3" a="1"/>
  <c r="AA47" i="3" s="1"/>
  <c r="V47" i="3" a="1"/>
  <c r="V47" i="3" s="1"/>
  <c r="S47" i="3"/>
  <c r="F47" i="3"/>
  <c r="E47" i="3"/>
  <c r="D47" i="3"/>
  <c r="C47" i="3"/>
  <c r="DJ47" i="3" s="1"/>
  <c r="B47" i="3"/>
  <c r="A47" i="3"/>
  <c r="CI46" i="3" a="1"/>
  <c r="CI46" i="3" s="1"/>
  <c r="BI46" i="3"/>
  <c r="AY46" i="3" a="1"/>
  <c r="AY46" i="3" s="1"/>
  <c r="M46" i="3"/>
  <c r="E46" i="3"/>
  <c r="D46" i="3"/>
  <c r="C46" i="3"/>
  <c r="B46" i="3"/>
  <c r="A46" i="3"/>
  <c r="DY45" i="3" a="1"/>
  <c r="DY45" i="3" s="1"/>
  <c r="DW45" i="3"/>
  <c r="DA45" i="3" a="1"/>
  <c r="DA45" i="3" s="1"/>
  <c r="CY45" i="3"/>
  <c r="CP45" i="3" a="1"/>
  <c r="CP45" i="3" s="1"/>
  <c r="CO45" i="3" a="1"/>
  <c r="CO45" i="3" s="1"/>
  <c r="CM45" i="3"/>
  <c r="CF45" i="3"/>
  <c r="BX45" i="3" a="1"/>
  <c r="BX45" i="3" s="1"/>
  <c r="BU45" i="3"/>
  <c r="BO45" i="3"/>
  <c r="AZ45" i="3" a="1"/>
  <c r="AZ45" i="3" s="1"/>
  <c r="AY45" i="3" a="1"/>
  <c r="AY45" i="3" s="1"/>
  <c r="BA45" i="3" s="1"/>
  <c r="AK45" i="3"/>
  <c r="AJ45" i="3"/>
  <c r="AB45" i="3"/>
  <c r="AB45" i="3" a="1"/>
  <c r="AA45" i="3" a="1"/>
  <c r="AA45" i="3" s="1"/>
  <c r="U45" i="3" a="1"/>
  <c r="U45" i="3" s="1"/>
  <c r="M45" i="3"/>
  <c r="J45" i="3" a="1"/>
  <c r="J45" i="3" s="1"/>
  <c r="E45" i="3"/>
  <c r="D45" i="3"/>
  <c r="C45" i="3"/>
  <c r="B45" i="3"/>
  <c r="A45" i="3"/>
  <c r="EA44" i="3"/>
  <c r="DZ44" i="3"/>
  <c r="DZ44" i="3" a="1"/>
  <c r="DX44" i="3"/>
  <c r="DW44" i="3"/>
  <c r="DV44" i="3"/>
  <c r="DS44" i="3" a="1"/>
  <c r="DS44" i="3" s="1"/>
  <c r="DQ44" i="3"/>
  <c r="DP44" i="3"/>
  <c r="DR44" i="3" s="1"/>
  <c r="DN44" i="3" a="1"/>
  <c r="DN44" i="3" s="1"/>
  <c r="DM44" i="3"/>
  <c r="DM44" i="3" a="1"/>
  <c r="DJ44" i="3"/>
  <c r="DH44" i="3" a="1"/>
  <c r="DH44" i="3" s="1"/>
  <c r="DE44" i="3"/>
  <c r="DF44" i="3" s="1"/>
  <c r="DD44" i="3"/>
  <c r="DA44" i="3" a="1"/>
  <c r="DA44" i="3" s="1"/>
  <c r="CY44" i="3"/>
  <c r="CX44" i="3"/>
  <c r="CZ44" i="3" s="1"/>
  <c r="CV44" i="3"/>
  <c r="CV44" i="3" a="1"/>
  <c r="CU44" i="3"/>
  <c r="CU44" i="3" a="1"/>
  <c r="CR44" i="3"/>
  <c r="CP44" i="3" a="1"/>
  <c r="CP44" i="3" s="1"/>
  <c r="CM44" i="3"/>
  <c r="CL44" i="3"/>
  <c r="CI44" i="3"/>
  <c r="CI44" i="3" a="1"/>
  <c r="CG44" i="3"/>
  <c r="CH44" i="3" s="1"/>
  <c r="CF44" i="3"/>
  <c r="CD44" i="3"/>
  <c r="CD44" i="3" a="1"/>
  <c r="CC44" i="3" a="1"/>
  <c r="CC44" i="3" s="1"/>
  <c r="CE44" i="3" s="1"/>
  <c r="BZ44" i="3"/>
  <c r="BX44" i="3"/>
  <c r="BX44" i="3" a="1"/>
  <c r="BV44" i="3"/>
  <c r="BU44" i="3"/>
  <c r="BT44" i="3"/>
  <c r="BQ44" i="3" a="1"/>
  <c r="BQ44" i="3" s="1"/>
  <c r="BO44" i="3"/>
  <c r="BN44" i="3"/>
  <c r="BL44" i="3" a="1"/>
  <c r="BL44" i="3" s="1"/>
  <c r="BK44" i="3"/>
  <c r="BK44" i="3" a="1"/>
  <c r="BH44" i="3"/>
  <c r="BF44" i="3" a="1"/>
  <c r="BF44" i="3" s="1"/>
  <c r="BD44" i="3"/>
  <c r="BC44" i="3"/>
  <c r="BB44" i="3"/>
  <c r="AY44" i="3" a="1"/>
  <c r="AY44" i="3" s="1"/>
  <c r="AW44" i="3"/>
  <c r="AV44" i="3"/>
  <c r="AX44" i="3" s="1"/>
  <c r="AM44" i="3"/>
  <c r="AM44" i="3" a="1"/>
  <c r="AK44" i="3"/>
  <c r="AJ44" i="3"/>
  <c r="AL44" i="3" s="1"/>
  <c r="AH44" i="3"/>
  <c r="AH44" i="3" a="1"/>
  <c r="AG44" i="3"/>
  <c r="AG44" i="3" a="1"/>
  <c r="AD44" i="3"/>
  <c r="AB44" i="3"/>
  <c r="AB44" i="3" a="1"/>
  <c r="Y44" i="3"/>
  <c r="X44" i="3"/>
  <c r="Z44" i="3" s="1"/>
  <c r="U44" i="3"/>
  <c r="U44" i="3" a="1"/>
  <c r="S44" i="3"/>
  <c r="R44" i="3"/>
  <c r="T44" i="3" s="1"/>
  <c r="P44" i="3" a="1"/>
  <c r="P44" i="3" s="1"/>
  <c r="O44" i="3" a="1"/>
  <c r="O44" i="3" s="1"/>
  <c r="L44" i="3"/>
  <c r="J44" i="3"/>
  <c r="J44" i="3" a="1"/>
  <c r="G44" i="3"/>
  <c r="F44" i="3"/>
  <c r="E44" i="3"/>
  <c r="D44" i="3"/>
  <c r="C44" i="3"/>
  <c r="DY44" i="3" s="1" a="1"/>
  <c r="DY44" i="3" s="1"/>
  <c r="B44" i="3"/>
  <c r="A44" i="3"/>
  <c r="DZ43" i="3" a="1"/>
  <c r="DZ43" i="3" s="1"/>
  <c r="DW43" i="3"/>
  <c r="DV43" i="3"/>
  <c r="DT43" i="3" a="1"/>
  <c r="DT43" i="3" s="1"/>
  <c r="DS43" i="3" a="1"/>
  <c r="DS43" i="3" s="1"/>
  <c r="DU43" i="3" s="1"/>
  <c r="DQ43" i="3"/>
  <c r="DM43" i="3"/>
  <c r="DM43" i="3" a="1"/>
  <c r="DK43" i="3"/>
  <c r="DJ43" i="3"/>
  <c r="DG43" i="3" a="1"/>
  <c r="DG43" i="3" s="1"/>
  <c r="DE43" i="3"/>
  <c r="DD43" i="3"/>
  <c r="DF43" i="3" s="1"/>
  <c r="DB43" i="3" a="1"/>
  <c r="DB43" i="3" s="1"/>
  <c r="DA43" i="3" a="1"/>
  <c r="DA43" i="3" s="1"/>
  <c r="CY43" i="3"/>
  <c r="CV43" i="3" a="1"/>
  <c r="CV43" i="3" s="1"/>
  <c r="CU43" i="3" a="1"/>
  <c r="CU43" i="3" s="1"/>
  <c r="CW43" i="3" s="1"/>
  <c r="CS43" i="3"/>
  <c r="CP43" i="3"/>
  <c r="CP43" i="3" a="1"/>
  <c r="CL43" i="3"/>
  <c r="CJ43" i="3" a="1"/>
  <c r="CJ43" i="3" s="1"/>
  <c r="CG43" i="3"/>
  <c r="CD43" i="3" a="1"/>
  <c r="CD43" i="3" s="1"/>
  <c r="BZ43" i="3"/>
  <c r="BX43" i="3"/>
  <c r="BX43" i="3" a="1"/>
  <c r="BT43" i="3"/>
  <c r="BR43" i="3" a="1"/>
  <c r="BR43" i="3" s="1"/>
  <c r="BQ43" i="3" a="1"/>
  <c r="BQ43" i="3" s="1"/>
  <c r="BS43" i="3" s="1"/>
  <c r="BK43" i="3"/>
  <c r="BK43" i="3" a="1"/>
  <c r="BI43" i="3"/>
  <c r="BF43" i="3" a="1"/>
  <c r="BF43" i="3" s="1"/>
  <c r="BE43" i="3" a="1"/>
  <c r="BE43" i="3" s="1"/>
  <c r="BG43" i="3" s="1"/>
  <c r="BC43" i="3"/>
  <c r="AZ43" i="3" a="1"/>
  <c r="AZ43" i="3" s="1"/>
  <c r="AY43" i="3" a="1"/>
  <c r="AY43" i="3" s="1"/>
  <c r="AW43" i="3"/>
  <c r="AN43" i="3" a="1"/>
  <c r="AN43" i="3" s="1"/>
  <c r="AK43" i="3"/>
  <c r="AH43" i="3" a="1"/>
  <c r="AH43" i="3" s="1"/>
  <c r="AG43" i="3" a="1"/>
  <c r="AG43" i="3" s="1"/>
  <c r="AE43" i="3"/>
  <c r="AD43" i="3"/>
  <c r="AF43" i="3" s="1"/>
  <c r="AA43" i="3" a="1"/>
  <c r="AA43" i="3" s="1"/>
  <c r="Z43" i="3"/>
  <c r="Y43" i="3"/>
  <c r="X43" i="3"/>
  <c r="U43" i="3"/>
  <c r="U43" i="3" a="1"/>
  <c r="S43" i="3"/>
  <c r="O43" i="3" a="1"/>
  <c r="O43" i="3" s="1"/>
  <c r="M43" i="3"/>
  <c r="L43" i="3"/>
  <c r="I43" i="3" a="1"/>
  <c r="I43" i="3" s="1"/>
  <c r="G43" i="3"/>
  <c r="E43" i="3"/>
  <c r="D43" i="3"/>
  <c r="C43" i="3"/>
  <c r="B43" i="3"/>
  <c r="A43" i="3"/>
  <c r="DY42" i="3" a="1"/>
  <c r="DY42" i="3" s="1"/>
  <c r="DW42" i="3"/>
  <c r="DT42" i="3" a="1"/>
  <c r="DT42" i="3" s="1"/>
  <c r="DP42" i="3"/>
  <c r="DG42" i="3"/>
  <c r="DG42" i="3" a="1"/>
  <c r="DD42" i="3"/>
  <c r="DA42" i="3"/>
  <c r="DA42" i="3" a="1"/>
  <c r="CX42" i="3"/>
  <c r="CS42" i="3"/>
  <c r="CR42" i="3"/>
  <c r="CT42" i="3" s="1"/>
  <c r="CJ42" i="3" a="1"/>
  <c r="CJ42" i="3" s="1"/>
  <c r="CF42" i="3"/>
  <c r="CA42" i="3"/>
  <c r="BZ42" i="3"/>
  <c r="CB42" i="3" s="1"/>
  <c r="BW42" i="3" a="1"/>
  <c r="BW42" i="3" s="1"/>
  <c r="BU42" i="3"/>
  <c r="BR42" i="3" a="1"/>
  <c r="BR42" i="3" s="1"/>
  <c r="BN42" i="3"/>
  <c r="BL42" i="3"/>
  <c r="BL42" i="3" a="1"/>
  <c r="BE42" i="3" a="1"/>
  <c r="BE42" i="3" s="1"/>
  <c r="AY42" i="3"/>
  <c r="AY42" i="3" a="1"/>
  <c r="AV42" i="3"/>
  <c r="AJ42" i="3"/>
  <c r="AE42" i="3"/>
  <c r="Y42" i="3"/>
  <c r="X42" i="3"/>
  <c r="R42" i="3"/>
  <c r="M42" i="3"/>
  <c r="N42" i="3" s="1"/>
  <c r="L42" i="3"/>
  <c r="H42" i="3"/>
  <c r="G42" i="3"/>
  <c r="F42" i="3"/>
  <c r="E42" i="3"/>
  <c r="D42" i="3"/>
  <c r="C42" i="3"/>
  <c r="B42" i="3"/>
  <c r="A42" i="3"/>
  <c r="DM41" i="3" a="1"/>
  <c r="DM41" i="3" s="1"/>
  <c r="DK41" i="3"/>
  <c r="DJ41" i="3"/>
  <c r="CP41" i="3" a="1"/>
  <c r="CP41" i="3" s="1"/>
  <c r="CD41" i="3" a="1"/>
  <c r="CD41" i="3" s="1"/>
  <c r="BR41" i="3" a="1"/>
  <c r="BR41" i="3" s="1"/>
  <c r="BQ41" i="3" a="1"/>
  <c r="BQ41" i="3" s="1"/>
  <c r="BS41" i="3" s="1"/>
  <c r="BN41" i="3"/>
  <c r="AK41" i="3"/>
  <c r="Y41" i="3"/>
  <c r="M41" i="3"/>
  <c r="E41" i="3"/>
  <c r="D41" i="3"/>
  <c r="C41" i="3"/>
  <c r="B41" i="3"/>
  <c r="A41" i="3"/>
  <c r="DY40" i="3" a="1"/>
  <c r="DY40" i="3" s="1"/>
  <c r="DK40" i="3"/>
  <c r="CY40" i="3"/>
  <c r="CO40" i="3"/>
  <c r="CO40" i="3" a="1"/>
  <c r="CA40" i="3"/>
  <c r="BH40" i="3"/>
  <c r="BE40" i="3" a="1"/>
  <c r="BE40" i="3" s="1"/>
  <c r="BB40" i="3"/>
  <c r="AS40" i="3" a="1"/>
  <c r="AS40" i="3" s="1"/>
  <c r="AJ40" i="3"/>
  <c r="AG40" i="3" a="1"/>
  <c r="AG40" i="3" s="1"/>
  <c r="M40" i="3"/>
  <c r="E40" i="3"/>
  <c r="D40" i="3"/>
  <c r="C40" i="3"/>
  <c r="B40" i="3"/>
  <c r="A40" i="3"/>
  <c r="DV39" i="3"/>
  <c r="DM39" i="3" a="1"/>
  <c r="DM39" i="3" s="1"/>
  <c r="CI39" i="3" a="1"/>
  <c r="CI39" i="3" s="1"/>
  <c r="BW39" i="3" a="1"/>
  <c r="BW39" i="3" s="1"/>
  <c r="BO39" i="3"/>
  <c r="AY39" i="3" a="1"/>
  <c r="AY39" i="3" s="1"/>
  <c r="AV39" i="3"/>
  <c r="AE39" i="3"/>
  <c r="V39" i="3" a="1"/>
  <c r="V39" i="3" s="1"/>
  <c r="U39" i="3" a="1"/>
  <c r="U39" i="3" s="1"/>
  <c r="W39" i="3" s="1"/>
  <c r="E39" i="3"/>
  <c r="D39" i="3"/>
  <c r="C39" i="3"/>
  <c r="B39" i="3"/>
  <c r="A39" i="3"/>
  <c r="EA38" i="3"/>
  <c r="DZ38" i="3" a="1"/>
  <c r="DZ38" i="3" s="1"/>
  <c r="DW38" i="3"/>
  <c r="DV38" i="3"/>
  <c r="DX38" i="3" s="1"/>
  <c r="DS38" i="3" a="1"/>
  <c r="DS38" i="3" s="1"/>
  <c r="DQ38" i="3"/>
  <c r="DP38" i="3"/>
  <c r="DN38" i="3" a="1"/>
  <c r="DN38" i="3" s="1"/>
  <c r="DM38" i="3"/>
  <c r="DM38" i="3" a="1"/>
  <c r="DJ38" i="3"/>
  <c r="DH38" i="3"/>
  <c r="DH38" i="3" a="1"/>
  <c r="DF38" i="3"/>
  <c r="DE38" i="3"/>
  <c r="DD38" i="3"/>
  <c r="DA38" i="3" a="1"/>
  <c r="DA38" i="3" s="1"/>
  <c r="CZ38" i="3"/>
  <c r="CY38" i="3"/>
  <c r="CX38" i="3"/>
  <c r="CV38" i="3"/>
  <c r="CV38" i="3" a="1"/>
  <c r="CU38" i="3" a="1"/>
  <c r="CU38" i="3" s="1"/>
  <c r="CR38" i="3"/>
  <c r="CP38" i="3" a="1"/>
  <c r="CP38" i="3" s="1"/>
  <c r="CM38" i="3"/>
  <c r="CL38" i="3"/>
  <c r="CN38" i="3" s="1"/>
  <c r="CI38" i="3"/>
  <c r="CI38" i="3" a="1"/>
  <c r="CH38" i="3"/>
  <c r="CG38" i="3"/>
  <c r="CF38" i="3"/>
  <c r="CD38" i="3" a="1"/>
  <c r="CD38" i="3" s="1"/>
  <c r="CC38" i="3" a="1"/>
  <c r="CC38" i="3" s="1"/>
  <c r="BZ38" i="3"/>
  <c r="BX38" i="3"/>
  <c r="BX38" i="3" a="1"/>
  <c r="BV38" i="3"/>
  <c r="BU38" i="3"/>
  <c r="BT38" i="3"/>
  <c r="BQ38" i="3"/>
  <c r="BQ38" i="3" a="1"/>
  <c r="BO38" i="3"/>
  <c r="BN38" i="3"/>
  <c r="BL38" i="3"/>
  <c r="BL38" i="3" a="1"/>
  <c r="BK38" i="3"/>
  <c r="BK38" i="3" a="1"/>
  <c r="BH38" i="3"/>
  <c r="BF38" i="3" a="1"/>
  <c r="BF38" i="3" s="1"/>
  <c r="BC38" i="3"/>
  <c r="BB38" i="3"/>
  <c r="BD38" i="3" s="1"/>
  <c r="AY38" i="3" a="1"/>
  <c r="AY38" i="3" s="1"/>
  <c r="AX38" i="3"/>
  <c r="AW38" i="3"/>
  <c r="AV38" i="3"/>
  <c r="AM38" i="3"/>
  <c r="AM38" i="3" a="1"/>
  <c r="AL38" i="3"/>
  <c r="AK38" i="3"/>
  <c r="AJ38" i="3"/>
  <c r="AH38" i="3" a="1"/>
  <c r="AH38" i="3" s="1"/>
  <c r="AG38" i="3"/>
  <c r="AG38" i="3" a="1"/>
  <c r="AD38" i="3"/>
  <c r="AB38" i="3" a="1"/>
  <c r="AB38" i="3" s="1"/>
  <c r="Y38" i="3"/>
  <c r="X38" i="3"/>
  <c r="U38" i="3"/>
  <c r="U38" i="3" a="1"/>
  <c r="S38" i="3"/>
  <c r="T38" i="3" s="1"/>
  <c r="R38" i="3"/>
  <c r="P38" i="3" a="1"/>
  <c r="P38" i="3" s="1"/>
  <c r="O38" i="3" a="1"/>
  <c r="O38" i="3" s="1"/>
  <c r="L38" i="3"/>
  <c r="J38" i="3"/>
  <c r="J38" i="3" a="1"/>
  <c r="H38" i="3"/>
  <c r="G38" i="3"/>
  <c r="F38" i="3"/>
  <c r="E38" i="3"/>
  <c r="D38" i="3"/>
  <c r="C38" i="3"/>
  <c r="DY38" i="3" s="1" a="1"/>
  <c r="DY38" i="3" s="1"/>
  <c r="B38" i="3"/>
  <c r="A38" i="3"/>
  <c r="CV37" i="3" a="1"/>
  <c r="CV37" i="3" s="1"/>
  <c r="CP37" i="3" a="1"/>
  <c r="CP37" i="3" s="1"/>
  <c r="CD37" i="3" a="1"/>
  <c r="CD37" i="3" s="1"/>
  <c r="BH37" i="3"/>
  <c r="BC37" i="3"/>
  <c r="U37" i="3" a="1"/>
  <c r="U37" i="3" s="1"/>
  <c r="I37" i="3" a="1"/>
  <c r="I37" i="3" s="1"/>
  <c r="E37" i="3"/>
  <c r="D37" i="3"/>
  <c r="C37" i="3"/>
  <c r="B37" i="3"/>
  <c r="A37" i="3"/>
  <c r="DW36" i="3"/>
  <c r="DV36" i="3"/>
  <c r="DX36" i="3" s="1"/>
  <c r="DT36" i="3" a="1"/>
  <c r="DT36" i="3" s="1"/>
  <c r="DP36" i="3"/>
  <c r="DN36" i="3"/>
  <c r="DN36" i="3" a="1"/>
  <c r="DK36" i="3"/>
  <c r="DG36" i="3"/>
  <c r="DG36" i="3" a="1"/>
  <c r="DD36" i="3"/>
  <c r="DA36" i="3" a="1"/>
  <c r="DA36" i="3" s="1"/>
  <c r="CV36" i="3"/>
  <c r="CV36" i="3" a="1"/>
  <c r="CR36" i="3"/>
  <c r="CM36" i="3"/>
  <c r="CL36" i="3"/>
  <c r="CN36" i="3" s="1"/>
  <c r="CJ36" i="3" a="1"/>
  <c r="CJ36" i="3" s="1"/>
  <c r="CF36" i="3"/>
  <c r="CD36" i="3"/>
  <c r="CD36" i="3" a="1"/>
  <c r="BZ36" i="3"/>
  <c r="BW36" i="3" a="1"/>
  <c r="BW36" i="3" s="1"/>
  <c r="BT36" i="3"/>
  <c r="BQ36" i="3" a="1"/>
  <c r="BQ36" i="3" s="1"/>
  <c r="BL36" i="3" a="1"/>
  <c r="BL36" i="3" s="1"/>
  <c r="BI36" i="3"/>
  <c r="BE36" i="3" a="1"/>
  <c r="BE36" i="3" s="1"/>
  <c r="BC36" i="3"/>
  <c r="AZ36" i="3" a="1"/>
  <c r="AZ36" i="3" s="1"/>
  <c r="AY36" i="3"/>
  <c r="AY36" i="3" a="1"/>
  <c r="AN36" i="3" a="1"/>
  <c r="AN36" i="3" s="1"/>
  <c r="AM36" i="3" a="1"/>
  <c r="AM36" i="3" s="1"/>
  <c r="AO36" i="3" s="1"/>
  <c r="AJ36" i="3"/>
  <c r="AF36" i="3"/>
  <c r="AE36" i="3"/>
  <c r="AD36" i="3"/>
  <c r="AA36" i="3" a="1"/>
  <c r="AA36" i="3" s="1"/>
  <c r="Y36" i="3"/>
  <c r="X36" i="3"/>
  <c r="Z36" i="3" s="1"/>
  <c r="U36" i="3"/>
  <c r="U36" i="3" a="1"/>
  <c r="R36" i="3"/>
  <c r="M36" i="3"/>
  <c r="I36" i="3" a="1"/>
  <c r="I36" i="3" s="1"/>
  <c r="F36" i="3"/>
  <c r="E36" i="3"/>
  <c r="D36" i="3"/>
  <c r="C36" i="3"/>
  <c r="B36" i="3"/>
  <c r="A36" i="3"/>
  <c r="DY35" i="3" a="1"/>
  <c r="DY35" i="3" s="1"/>
  <c r="DT35" i="3"/>
  <c r="DT35" i="3" a="1"/>
  <c r="DQ35" i="3"/>
  <c r="DN35" i="3" a="1"/>
  <c r="DN35" i="3" s="1"/>
  <c r="DM35" i="3" a="1"/>
  <c r="DM35" i="3" s="1"/>
  <c r="DO35" i="3" s="1"/>
  <c r="DG35" i="3" a="1"/>
  <c r="DG35" i="3" s="1"/>
  <c r="DE35" i="3"/>
  <c r="DB35" i="3" a="1"/>
  <c r="DB35" i="3" s="1"/>
  <c r="CV35" i="3" a="1"/>
  <c r="CV35" i="3" s="1"/>
  <c r="CS35" i="3"/>
  <c r="CM35" i="3"/>
  <c r="CI35" i="3" a="1"/>
  <c r="CI35" i="3" s="1"/>
  <c r="CD35" i="3" a="1"/>
  <c r="CD35" i="3" s="1"/>
  <c r="CA35" i="3"/>
  <c r="BZ35" i="3"/>
  <c r="BR35" i="3"/>
  <c r="BR35" i="3" a="1"/>
  <c r="BL35" i="3" a="1"/>
  <c r="BL35" i="3" s="1"/>
  <c r="BK35" i="3" a="1"/>
  <c r="BK35" i="3" s="1"/>
  <c r="BH35" i="3"/>
  <c r="AZ35" i="3"/>
  <c r="AZ35" i="3" a="1"/>
  <c r="AT35" i="3" a="1"/>
  <c r="AT35" i="3" s="1"/>
  <c r="AM35" i="3" a="1"/>
  <c r="AM35" i="3" s="1"/>
  <c r="AJ35" i="3"/>
  <c r="AH35" i="3" a="1"/>
  <c r="AH35" i="3" s="1"/>
  <c r="AG35" i="3" a="1"/>
  <c r="AG35" i="3" s="1"/>
  <c r="AB35" i="3" a="1"/>
  <c r="AB35" i="3" s="1"/>
  <c r="AA35" i="3" a="1"/>
  <c r="AA35" i="3" s="1"/>
  <c r="R35" i="3"/>
  <c r="P35" i="3"/>
  <c r="P35" i="3" a="1"/>
  <c r="O35" i="3" a="1"/>
  <c r="O35" i="3" s="1"/>
  <c r="G35" i="3"/>
  <c r="E35" i="3"/>
  <c r="D35" i="3"/>
  <c r="C35" i="3"/>
  <c r="B35" i="3"/>
  <c r="A35" i="3"/>
  <c r="DZ34" i="3" a="1"/>
  <c r="DZ34" i="3" s="1"/>
  <c r="DY34" i="3"/>
  <c r="DY34" i="3" a="1"/>
  <c r="DT34" i="3" a="1"/>
  <c r="DT34" i="3" s="1"/>
  <c r="DP34" i="3"/>
  <c r="DM34" i="3"/>
  <c r="DM34" i="3" a="1"/>
  <c r="DK34" i="3"/>
  <c r="DJ34" i="3"/>
  <c r="DH34" i="3"/>
  <c r="DH34" i="3" a="1"/>
  <c r="DF34" i="3"/>
  <c r="DE34" i="3"/>
  <c r="DD34" i="3"/>
  <c r="DA34" i="3" a="1"/>
  <c r="DA34" i="3" s="1"/>
  <c r="CZ34" i="3"/>
  <c r="CY34" i="3"/>
  <c r="CX34" i="3"/>
  <c r="CV34" i="3" a="1"/>
  <c r="CV34" i="3" s="1"/>
  <c r="CU34" i="3" a="1"/>
  <c r="CU34" i="3" s="1"/>
  <c r="CR34" i="3"/>
  <c r="CP34" i="3" a="1"/>
  <c r="CP34" i="3" s="1"/>
  <c r="CM34" i="3"/>
  <c r="CL34" i="3"/>
  <c r="CI34" i="3"/>
  <c r="CI34" i="3" a="1"/>
  <c r="CG34" i="3"/>
  <c r="CH34" i="3" s="1"/>
  <c r="CF34" i="3"/>
  <c r="CD34" i="3" a="1"/>
  <c r="CD34" i="3" s="1"/>
  <c r="CC34" i="3" a="1"/>
  <c r="CC34" i="3" s="1"/>
  <c r="BZ34" i="3"/>
  <c r="BX34" i="3"/>
  <c r="BX34" i="3" a="1"/>
  <c r="BU34" i="3"/>
  <c r="BT34" i="3"/>
  <c r="BQ34" i="3" a="1"/>
  <c r="BQ34" i="3" s="1"/>
  <c r="BO34" i="3"/>
  <c r="BN34" i="3"/>
  <c r="BP34" i="3" s="1"/>
  <c r="BL34" i="3" a="1"/>
  <c r="BL34" i="3" s="1"/>
  <c r="BK34" i="3"/>
  <c r="BM34" i="3" s="1"/>
  <c r="BK34" i="3" a="1"/>
  <c r="BH34" i="3"/>
  <c r="BF34" i="3"/>
  <c r="BF34" i="3" a="1"/>
  <c r="BD34" i="3"/>
  <c r="BC34" i="3"/>
  <c r="BB34" i="3"/>
  <c r="AY34" i="3"/>
  <c r="AY34" i="3" a="1"/>
  <c r="AX34" i="3"/>
  <c r="AW34" i="3"/>
  <c r="AV34" i="3"/>
  <c r="AM34" i="3" a="1"/>
  <c r="AM34" i="3" s="1"/>
  <c r="AK34" i="3"/>
  <c r="AL34" i="3" s="1"/>
  <c r="AJ34" i="3"/>
  <c r="AH34" i="3"/>
  <c r="AH34" i="3" a="1"/>
  <c r="AG34" i="3"/>
  <c r="AI34" i="3" s="1"/>
  <c r="AG34" i="3" a="1"/>
  <c r="AD34" i="3"/>
  <c r="AB34" i="3" a="1"/>
  <c r="AB34" i="3" s="1"/>
  <c r="Y34" i="3"/>
  <c r="Z34" i="3" s="1"/>
  <c r="X34" i="3"/>
  <c r="U34" i="3"/>
  <c r="U34" i="3" a="1"/>
  <c r="S34" i="3"/>
  <c r="T34" i="3" s="1"/>
  <c r="R34" i="3"/>
  <c r="P34" i="3" a="1"/>
  <c r="P34" i="3" s="1"/>
  <c r="O34" i="3"/>
  <c r="Q34" i="3" s="1"/>
  <c r="O34" i="3" a="1"/>
  <c r="L34" i="3"/>
  <c r="J34" i="3"/>
  <c r="J34" i="3" a="1"/>
  <c r="H34" i="3"/>
  <c r="G34" i="3"/>
  <c r="F34" i="3"/>
  <c r="E34" i="3"/>
  <c r="D34" i="3"/>
  <c r="C34" i="3"/>
  <c r="B34" i="3"/>
  <c r="A34" i="3"/>
  <c r="DZ33" i="3" a="1"/>
  <c r="DZ33" i="3" s="1"/>
  <c r="DY33" i="3" a="1"/>
  <c r="DY33" i="3" s="1"/>
  <c r="EA33" i="3" s="1"/>
  <c r="DW33" i="3"/>
  <c r="DU33" i="3"/>
  <c r="DT33" i="3" a="1"/>
  <c r="DT33" i="3" s="1"/>
  <c r="DS33" i="3" a="1"/>
  <c r="DS33" i="3" s="1"/>
  <c r="DO33" i="3"/>
  <c r="DN33" i="3"/>
  <c r="DN33" i="3" a="1"/>
  <c r="DM33" i="3" a="1"/>
  <c r="DM33" i="3" s="1"/>
  <c r="DJ33" i="3"/>
  <c r="DH33" i="3"/>
  <c r="DI33" i="3" s="1"/>
  <c r="DH33" i="3" a="1"/>
  <c r="DG33" i="3" a="1"/>
  <c r="DG33" i="3" s="1"/>
  <c r="DE33" i="3"/>
  <c r="DD33" i="3"/>
  <c r="DF33" i="3" s="1"/>
  <c r="DB33" i="3" a="1"/>
  <c r="DB33" i="3" s="1"/>
  <c r="CY33" i="3"/>
  <c r="CV33" i="3"/>
  <c r="CW33" i="3" s="1"/>
  <c r="CV33" i="3" a="1"/>
  <c r="CU33" i="3" a="1"/>
  <c r="CU33" i="3" s="1"/>
  <c r="CS33" i="3"/>
  <c r="CR33" i="3"/>
  <c r="CO33" i="3" a="1"/>
  <c r="CO33" i="3" s="1"/>
  <c r="CM33" i="3"/>
  <c r="CL33" i="3"/>
  <c r="CI33" i="3" a="1"/>
  <c r="CI33" i="3" s="1"/>
  <c r="CG33" i="3"/>
  <c r="CE33" i="3"/>
  <c r="CD33" i="3" a="1"/>
  <c r="CD33" i="3" s="1"/>
  <c r="CC33" i="3" a="1"/>
  <c r="CC33" i="3" s="1"/>
  <c r="CA33" i="3"/>
  <c r="BZ33" i="3"/>
  <c r="CB33" i="3" s="1"/>
  <c r="BX33" i="3" a="1"/>
  <c r="BX33" i="3" s="1"/>
  <c r="BW33" i="3" a="1"/>
  <c r="BW33" i="3" s="1"/>
  <c r="BU33" i="3"/>
  <c r="BR33" i="3" a="1"/>
  <c r="BR33" i="3" s="1"/>
  <c r="BQ33" i="3"/>
  <c r="BS33" i="3" s="1"/>
  <c r="BQ33" i="3" a="1"/>
  <c r="BL33" i="3"/>
  <c r="BL33" i="3" a="1"/>
  <c r="BK33" i="3" a="1"/>
  <c r="BK33" i="3" s="1"/>
  <c r="BH33" i="3"/>
  <c r="BF33" i="3" a="1"/>
  <c r="BF33" i="3" s="1"/>
  <c r="BE33" i="3" a="1"/>
  <c r="BE33" i="3" s="1"/>
  <c r="BC33" i="3"/>
  <c r="BB33" i="3"/>
  <c r="AZ33" i="3" a="1"/>
  <c r="AZ33" i="3" s="1"/>
  <c r="AW33" i="3"/>
  <c r="AN33" i="3" a="1"/>
  <c r="AN33" i="3" s="1"/>
  <c r="AM33" i="3"/>
  <c r="AO33" i="3" s="1"/>
  <c r="AM33" i="3" a="1"/>
  <c r="AK33" i="3"/>
  <c r="AH33" i="3" a="1"/>
  <c r="AH33" i="3" s="1"/>
  <c r="AG33" i="3"/>
  <c r="AI33" i="3" s="1"/>
  <c r="AG33" i="3" a="1"/>
  <c r="AE33" i="3"/>
  <c r="AB33" i="3" a="1"/>
  <c r="AB33" i="3" s="1"/>
  <c r="AA33" i="3" a="1"/>
  <c r="AA33" i="3" s="1"/>
  <c r="X33" i="3"/>
  <c r="V33" i="3" a="1"/>
  <c r="V33" i="3" s="1"/>
  <c r="U33" i="3" a="1"/>
  <c r="U33" i="3" s="1"/>
  <c r="W33" i="3" s="1"/>
  <c r="S33" i="3"/>
  <c r="P33" i="3" a="1"/>
  <c r="P33" i="3" s="1"/>
  <c r="M33" i="3"/>
  <c r="L33" i="3"/>
  <c r="J33" i="3" a="1"/>
  <c r="J33" i="3" s="1"/>
  <c r="G33" i="3"/>
  <c r="F33" i="3"/>
  <c r="H33" i="3" s="1"/>
  <c r="E33" i="3"/>
  <c r="D33" i="3"/>
  <c r="C33" i="3"/>
  <c r="B33" i="3"/>
  <c r="A33" i="3"/>
  <c r="DY32" i="3" a="1"/>
  <c r="DY32" i="3" s="1"/>
  <c r="DT32" i="3" a="1"/>
  <c r="DT32" i="3" s="1"/>
  <c r="DN32" i="3"/>
  <c r="DN32" i="3" a="1"/>
  <c r="DK32" i="3"/>
  <c r="DE32" i="3"/>
  <c r="DA32" i="3"/>
  <c r="DA32" i="3" a="1"/>
  <c r="CT32" i="3"/>
  <c r="CS32" i="3"/>
  <c r="CR32" i="3"/>
  <c r="CO32" i="3" a="1"/>
  <c r="CO32" i="3" s="1"/>
  <c r="CM32" i="3"/>
  <c r="CI32" i="3" a="1"/>
  <c r="CI32" i="3" s="1"/>
  <c r="BZ32" i="3"/>
  <c r="BU32" i="3"/>
  <c r="BR32" i="3" a="1"/>
  <c r="BR32" i="3" s="1"/>
  <c r="BN32" i="3"/>
  <c r="BI32" i="3"/>
  <c r="BH32" i="3"/>
  <c r="BJ32" i="3" s="1"/>
  <c r="BE32" i="3" a="1"/>
  <c r="BE32" i="3" s="1"/>
  <c r="BB32" i="3"/>
  <c r="AY32" i="3"/>
  <c r="AY32" i="3" a="1"/>
  <c r="AV32" i="3"/>
  <c r="AT32" i="3" a="1"/>
  <c r="AT32" i="3" s="1"/>
  <c r="AN32" i="3" a="1"/>
  <c r="AN32" i="3" s="1"/>
  <c r="AJ32" i="3"/>
  <c r="AD32" i="3"/>
  <c r="X32" i="3"/>
  <c r="V32" i="3" a="1"/>
  <c r="V32" i="3" s="1"/>
  <c r="U32" i="3" a="1"/>
  <c r="U32" i="3" s="1"/>
  <c r="M32" i="3"/>
  <c r="I32" i="3" a="1"/>
  <c r="I32" i="3" s="1"/>
  <c r="G32" i="3"/>
  <c r="E32" i="3"/>
  <c r="D32" i="3"/>
  <c r="C32" i="3"/>
  <c r="B32" i="3"/>
  <c r="A32" i="3"/>
  <c r="DZ31" i="3" a="1"/>
  <c r="DZ31" i="3" s="1"/>
  <c r="DP31" i="3"/>
  <c r="DN31" i="3" a="1"/>
  <c r="DN31" i="3" s="1"/>
  <c r="DJ31" i="3"/>
  <c r="DG31" i="3" a="1"/>
  <c r="DG31" i="3" s="1"/>
  <c r="DB31" i="3" a="1"/>
  <c r="DB31" i="3" s="1"/>
  <c r="DA31" i="3"/>
  <c r="DC31" i="3" s="1"/>
  <c r="DA31" i="3" a="1"/>
  <c r="CP31" i="3" a="1"/>
  <c r="CP31" i="3" s="1"/>
  <c r="CM31" i="3"/>
  <c r="CD31" i="3" a="1"/>
  <c r="CD31" i="3" s="1"/>
  <c r="CA31" i="3"/>
  <c r="BU31" i="3"/>
  <c r="BO31" i="3"/>
  <c r="BN31" i="3"/>
  <c r="BP31" i="3" s="1"/>
  <c r="BK31" i="3" a="1"/>
  <c r="BK31" i="3" s="1"/>
  <c r="BH31" i="3"/>
  <c r="BF31" i="3" a="1"/>
  <c r="BF31" i="3" s="1"/>
  <c r="AY31" i="3" a="1"/>
  <c r="AY31" i="3" s="1"/>
  <c r="AW31" i="3"/>
  <c r="AK31" i="3"/>
  <c r="AJ31" i="3"/>
  <c r="V31" i="3" a="1"/>
  <c r="V31" i="3" s="1"/>
  <c r="R31" i="3"/>
  <c r="M31" i="3"/>
  <c r="J31" i="3" a="1"/>
  <c r="J31" i="3" s="1"/>
  <c r="E31" i="3"/>
  <c r="D31" i="3"/>
  <c r="C31" i="3"/>
  <c r="B31" i="3"/>
  <c r="A31" i="3"/>
  <c r="DT30" i="3" a="1"/>
  <c r="DT30" i="3" s="1"/>
  <c r="DQ30" i="3"/>
  <c r="DP30" i="3"/>
  <c r="DM30" i="3"/>
  <c r="DM30" i="3" a="1"/>
  <c r="DK30" i="3"/>
  <c r="DH30" i="3"/>
  <c r="DH30" i="3" a="1"/>
  <c r="DG30" i="3" a="1"/>
  <c r="DG30" i="3" s="1"/>
  <c r="DB30" i="3" a="1"/>
  <c r="DB30" i="3" s="1"/>
  <c r="CU30" i="3"/>
  <c r="CU30" i="3" a="1"/>
  <c r="CS30" i="3"/>
  <c r="CP30" i="3" a="1"/>
  <c r="CP30" i="3" s="1"/>
  <c r="CL30" i="3"/>
  <c r="CG30" i="3"/>
  <c r="CH30" i="3" s="1"/>
  <c r="CF30" i="3"/>
  <c r="CC30" i="3" a="1"/>
  <c r="CC30" i="3" s="1"/>
  <c r="CA30" i="3"/>
  <c r="BZ30" i="3"/>
  <c r="BW30" i="3" a="1"/>
  <c r="BW30" i="3" s="1"/>
  <c r="BO30" i="3"/>
  <c r="BP30" i="3" s="1"/>
  <c r="BN30" i="3"/>
  <c r="BK30" i="3" a="1"/>
  <c r="BK30" i="3" s="1"/>
  <c r="BI30" i="3"/>
  <c r="BF30" i="3" a="1"/>
  <c r="BF30" i="3" s="1"/>
  <c r="AZ30" i="3"/>
  <c r="AZ30" i="3" a="1"/>
  <c r="AL30" i="3"/>
  <c r="AK30" i="3"/>
  <c r="AJ30" i="3"/>
  <c r="AE30" i="3"/>
  <c r="AD30" i="3"/>
  <c r="AF30" i="3" s="1"/>
  <c r="AB30" i="3" a="1"/>
  <c r="AB30" i="3" s="1"/>
  <c r="X30" i="3"/>
  <c r="V30" i="3" a="1"/>
  <c r="V30" i="3" s="1"/>
  <c r="O30" i="3" a="1"/>
  <c r="O30" i="3" s="1"/>
  <c r="L30" i="3"/>
  <c r="J30" i="3" a="1"/>
  <c r="J30" i="3" s="1"/>
  <c r="I30" i="3" a="1"/>
  <c r="I30" i="3" s="1"/>
  <c r="E30" i="3"/>
  <c r="D30" i="3"/>
  <c r="C30" i="3"/>
  <c r="B30" i="3"/>
  <c r="A30" i="3"/>
  <c r="DZ29" i="3"/>
  <c r="DZ29" i="3" a="1"/>
  <c r="DY29" i="3" a="1"/>
  <c r="DY29" i="3" s="1"/>
  <c r="EA29" i="3" s="1"/>
  <c r="DW29" i="3"/>
  <c r="DT29" i="3"/>
  <c r="DT29" i="3" a="1"/>
  <c r="DS29" i="3" a="1"/>
  <c r="DS29" i="3" s="1"/>
  <c r="DP29" i="3"/>
  <c r="DN29" i="3" a="1"/>
  <c r="DN29" i="3" s="1"/>
  <c r="DM29" i="3" a="1"/>
  <c r="DM29" i="3" s="1"/>
  <c r="DK29" i="3"/>
  <c r="DH29" i="3"/>
  <c r="DH29" i="3" a="1"/>
  <c r="DE29" i="3"/>
  <c r="DD29" i="3"/>
  <c r="DF29" i="3" s="1"/>
  <c r="DB29" i="3"/>
  <c r="DB29" i="3" a="1"/>
  <c r="CY29" i="3"/>
  <c r="CX29" i="3"/>
  <c r="CZ29" i="3" s="1"/>
  <c r="CW29" i="3"/>
  <c r="CV29" i="3" a="1"/>
  <c r="CV29" i="3" s="1"/>
  <c r="CU29" i="3" a="1"/>
  <c r="CU29" i="3" s="1"/>
  <c r="CS29" i="3"/>
  <c r="CO29" i="3" a="1"/>
  <c r="CO29" i="3" s="1"/>
  <c r="CM29" i="3"/>
  <c r="CL29" i="3"/>
  <c r="CN29" i="3" s="1"/>
  <c r="CJ29" i="3" a="1"/>
  <c r="CJ29" i="3" s="1"/>
  <c r="CI29" i="3" a="1"/>
  <c r="CI29" i="3" s="1"/>
  <c r="CK29" i="3" s="1"/>
  <c r="CG29" i="3"/>
  <c r="CF29" i="3"/>
  <c r="CH29" i="3" s="1"/>
  <c r="CD29" i="3" a="1"/>
  <c r="CD29" i="3" s="1"/>
  <c r="CC29" i="3" a="1"/>
  <c r="CC29" i="3" s="1"/>
  <c r="CE29" i="3" s="1"/>
  <c r="CA29" i="3"/>
  <c r="BX29" i="3"/>
  <c r="BX29" i="3" a="1"/>
  <c r="BW29" i="3" a="1"/>
  <c r="BW29" i="3" s="1"/>
  <c r="BU29" i="3"/>
  <c r="BR29" i="3" a="1"/>
  <c r="BR29" i="3" s="1"/>
  <c r="BQ29" i="3" a="1"/>
  <c r="BQ29" i="3" s="1"/>
  <c r="BN29" i="3"/>
  <c r="BL29" i="3" a="1"/>
  <c r="BL29" i="3" s="1"/>
  <c r="BK29" i="3"/>
  <c r="BM29" i="3" s="1"/>
  <c r="BK29" i="3" a="1"/>
  <c r="BI29" i="3"/>
  <c r="BF29" i="3" a="1"/>
  <c r="BF29" i="3" s="1"/>
  <c r="BC29" i="3"/>
  <c r="BB29" i="3"/>
  <c r="BD29" i="3" s="1"/>
  <c r="AZ29" i="3" a="1"/>
  <c r="AZ29" i="3" s="1"/>
  <c r="AW29" i="3"/>
  <c r="AV29" i="3"/>
  <c r="AN29" i="3" a="1"/>
  <c r="AN29" i="3" s="1"/>
  <c r="AM29" i="3" a="1"/>
  <c r="AM29" i="3" s="1"/>
  <c r="AK29" i="3"/>
  <c r="AH29" i="3" a="1"/>
  <c r="AH29" i="3" s="1"/>
  <c r="AG29" i="3"/>
  <c r="AI29" i="3" s="1"/>
  <c r="AG29" i="3" a="1"/>
  <c r="AC29" i="3"/>
  <c r="AB29" i="3"/>
  <c r="AB29" i="3" a="1"/>
  <c r="AA29" i="3"/>
  <c r="AA29" i="3" a="1"/>
  <c r="X29" i="3"/>
  <c r="W29" i="3"/>
  <c r="V29" i="3" a="1"/>
  <c r="V29" i="3" s="1"/>
  <c r="U29" i="3" a="1"/>
  <c r="U29" i="3" s="1"/>
  <c r="S29" i="3"/>
  <c r="R29" i="3"/>
  <c r="T29" i="3" s="1"/>
  <c r="P29" i="3" a="1"/>
  <c r="P29" i="3" s="1"/>
  <c r="M29" i="3"/>
  <c r="K29" i="3"/>
  <c r="J29" i="3"/>
  <c r="J29" i="3" a="1"/>
  <c r="I29" i="3" a="1"/>
  <c r="I29" i="3" s="1"/>
  <c r="G29" i="3"/>
  <c r="F29" i="3"/>
  <c r="E29" i="3"/>
  <c r="D29" i="3"/>
  <c r="C29" i="3"/>
  <c r="B29" i="3"/>
  <c r="A29" i="3"/>
  <c r="DZ28" i="3"/>
  <c r="DZ28" i="3" a="1"/>
  <c r="DY28" i="3"/>
  <c r="DW28" i="3"/>
  <c r="DV28" i="3"/>
  <c r="DX28" i="3" s="1"/>
  <c r="DS28" i="3"/>
  <c r="DS28" i="3" a="1"/>
  <c r="DR28" i="3"/>
  <c r="DQ28" i="3"/>
  <c r="DP28" i="3"/>
  <c r="DN28" i="3"/>
  <c r="DN28" i="3" a="1"/>
  <c r="DM28" i="3" a="1"/>
  <c r="DM28" i="3" s="1"/>
  <c r="DJ28" i="3"/>
  <c r="DH28" i="3"/>
  <c r="DH28" i="3" a="1"/>
  <c r="DE28" i="3"/>
  <c r="DF28" i="3" s="1"/>
  <c r="DD28" i="3"/>
  <c r="DA28" i="3" a="1"/>
  <c r="DA28" i="3" s="1"/>
  <c r="CZ28" i="3"/>
  <c r="CY28" i="3"/>
  <c r="CX28" i="3"/>
  <c r="CV28" i="3" a="1"/>
  <c r="CV28" i="3" s="1"/>
  <c r="CU28" i="3" a="1"/>
  <c r="CU28" i="3" s="1"/>
  <c r="CW28" i="3" s="1"/>
  <c r="CR28" i="3"/>
  <c r="CP28" i="3" a="1"/>
  <c r="CP28" i="3" s="1"/>
  <c r="CM28" i="3"/>
  <c r="CN28" i="3" s="1"/>
  <c r="CL28" i="3"/>
  <c r="CI28" i="3" a="1"/>
  <c r="CI28" i="3" s="1"/>
  <c r="CG28" i="3"/>
  <c r="CF28" i="3"/>
  <c r="CH28" i="3" s="1"/>
  <c r="CD28" i="3"/>
  <c r="CD28" i="3" a="1"/>
  <c r="CC28" i="3"/>
  <c r="CE28" i="3" s="1"/>
  <c r="CC28" i="3" a="1"/>
  <c r="BZ28" i="3"/>
  <c r="BX28" i="3"/>
  <c r="BX28" i="3" a="1"/>
  <c r="BU28" i="3"/>
  <c r="BT28" i="3"/>
  <c r="BV28" i="3" s="1"/>
  <c r="BQ28" i="3"/>
  <c r="BQ28" i="3" a="1"/>
  <c r="BO28" i="3"/>
  <c r="BN28" i="3"/>
  <c r="BP28" i="3" s="1"/>
  <c r="BL28" i="3"/>
  <c r="BL28" i="3" a="1"/>
  <c r="BK28" i="3" a="1"/>
  <c r="BK28" i="3" s="1"/>
  <c r="BM28" i="3" s="1"/>
  <c r="BH28" i="3"/>
  <c r="BF28" i="3"/>
  <c r="BF28" i="3" a="1"/>
  <c r="BC28" i="3"/>
  <c r="BB28" i="3"/>
  <c r="AY28" i="3" a="1"/>
  <c r="AY28" i="3" s="1"/>
  <c r="AW28" i="3"/>
  <c r="AV28" i="3"/>
  <c r="AX28" i="3" s="1"/>
  <c r="AM28" i="3" a="1"/>
  <c r="AM28" i="3" s="1"/>
  <c r="AK28" i="3"/>
  <c r="AJ28" i="3"/>
  <c r="AL28" i="3" s="1"/>
  <c r="AH28" i="3"/>
  <c r="AH28" i="3" a="1"/>
  <c r="AG28" i="3"/>
  <c r="AI28" i="3" s="1"/>
  <c r="AG28" i="3" a="1"/>
  <c r="AD28" i="3"/>
  <c r="AB28" i="3" a="1"/>
  <c r="AB28" i="3" s="1"/>
  <c r="Z28" i="3"/>
  <c r="Y28" i="3"/>
  <c r="X28" i="3"/>
  <c r="U28" i="3" a="1"/>
  <c r="U28" i="3" s="1"/>
  <c r="S28" i="3"/>
  <c r="R28" i="3"/>
  <c r="P28" i="3"/>
  <c r="P28" i="3" a="1"/>
  <c r="O28" i="3" a="1"/>
  <c r="O28" i="3" s="1"/>
  <c r="L28" i="3"/>
  <c r="J28" i="3" a="1"/>
  <c r="J28" i="3" s="1"/>
  <c r="G28" i="3"/>
  <c r="F28" i="3"/>
  <c r="E28" i="3"/>
  <c r="D28" i="3"/>
  <c r="C28" i="3"/>
  <c r="DY28" i="3" s="1" a="1"/>
  <c r="B28" i="3"/>
  <c r="A28" i="3"/>
  <c r="DS27" i="3" a="1"/>
  <c r="DS27" i="3" s="1"/>
  <c r="DK27" i="3"/>
  <c r="DA27" i="3"/>
  <c r="DA27" i="3" a="1"/>
  <c r="CR27" i="3"/>
  <c r="BZ27" i="3"/>
  <c r="BO27" i="3"/>
  <c r="AY27" i="3" a="1"/>
  <c r="AY27" i="3" s="1"/>
  <c r="AP27" i="3" a="1"/>
  <c r="AP27" i="3" s="1"/>
  <c r="AD27" i="3"/>
  <c r="V27" i="3" a="1"/>
  <c r="V27" i="3" s="1"/>
  <c r="O27" i="3" a="1"/>
  <c r="O27" i="3" s="1"/>
  <c r="M27" i="3"/>
  <c r="E27" i="3"/>
  <c r="D27" i="3"/>
  <c r="C27" i="3"/>
  <c r="B27" i="3"/>
  <c r="A27" i="3"/>
  <c r="DY26" i="3"/>
  <c r="DY26" i="3" a="1"/>
  <c r="DW26" i="3"/>
  <c r="DT26" i="3"/>
  <c r="DT26" i="3" a="1"/>
  <c r="DS26" i="3"/>
  <c r="DS26" i="3" a="1"/>
  <c r="DN26" i="3"/>
  <c r="DN26" i="3" a="1"/>
  <c r="DJ26" i="3"/>
  <c r="DG26" i="3"/>
  <c r="DG26" i="3" a="1"/>
  <c r="DE26" i="3"/>
  <c r="DD26" i="3"/>
  <c r="DF26" i="3" s="1"/>
  <c r="DB26" i="3" a="1"/>
  <c r="DB26" i="3" s="1"/>
  <c r="CX26" i="3"/>
  <c r="CV26" i="3"/>
  <c r="CV26" i="3" a="1"/>
  <c r="CT26" i="3"/>
  <c r="CS26" i="3"/>
  <c r="CR26" i="3"/>
  <c r="CO26" i="3" a="1"/>
  <c r="CO26" i="3" s="1"/>
  <c r="CN26" i="3"/>
  <c r="CM26" i="3"/>
  <c r="CL26" i="3"/>
  <c r="CI26" i="3"/>
  <c r="CI26" i="3" a="1"/>
  <c r="CF26" i="3"/>
  <c r="CD26" i="3" a="1"/>
  <c r="CD26" i="3" s="1"/>
  <c r="CA26" i="3"/>
  <c r="BZ26" i="3"/>
  <c r="CB26" i="3" s="1"/>
  <c r="BW26" i="3" a="1"/>
  <c r="BW26" i="3" s="1"/>
  <c r="BU26" i="3"/>
  <c r="BR26" i="3"/>
  <c r="BR26" i="3" a="1"/>
  <c r="BQ26" i="3" a="1"/>
  <c r="BQ26" i="3" s="1"/>
  <c r="BS26" i="3" s="1"/>
  <c r="BL26" i="3"/>
  <c r="BL26" i="3" a="1"/>
  <c r="BH26" i="3"/>
  <c r="BE26" i="3" a="1"/>
  <c r="BE26" i="3" s="1"/>
  <c r="BC26" i="3"/>
  <c r="BB26" i="3"/>
  <c r="BD26" i="3" s="1"/>
  <c r="AZ26" i="3"/>
  <c r="AZ26" i="3" a="1"/>
  <c r="AV26" i="3"/>
  <c r="AQ26" i="3" a="1"/>
  <c r="AQ26" i="3" s="1"/>
  <c r="AN26" i="3" a="1"/>
  <c r="AN26" i="3" s="1"/>
  <c r="AM26" i="3" a="1"/>
  <c r="AM26" i="3" s="1"/>
  <c r="AO26" i="3" s="1"/>
  <c r="AJ26" i="3"/>
  <c r="AH26" i="3"/>
  <c r="AH26" i="3" a="1"/>
  <c r="AE26" i="3"/>
  <c r="AA26" i="3"/>
  <c r="AA26" i="3" a="1"/>
  <c r="X26" i="3"/>
  <c r="V26" i="3" a="1"/>
  <c r="V26" i="3" s="1"/>
  <c r="U26" i="3"/>
  <c r="U26" i="3" a="1"/>
  <c r="R26" i="3"/>
  <c r="P26" i="3" a="1"/>
  <c r="P26" i="3" s="1"/>
  <c r="M26" i="3"/>
  <c r="L26" i="3"/>
  <c r="N26" i="3" s="1"/>
  <c r="H26" i="3"/>
  <c r="G26" i="3"/>
  <c r="F26" i="3"/>
  <c r="E26" i="3"/>
  <c r="D26" i="3"/>
  <c r="C26" i="3"/>
  <c r="B26" i="3"/>
  <c r="A26" i="3"/>
  <c r="DY25" i="3" a="1"/>
  <c r="DY25" i="3" s="1"/>
  <c r="DW25" i="3"/>
  <c r="DQ25" i="3"/>
  <c r="DP25" i="3"/>
  <c r="DR25" i="3" s="1"/>
  <c r="DK25" i="3"/>
  <c r="DL25" i="3" s="1"/>
  <c r="DJ25" i="3"/>
  <c r="DH25" i="3" a="1"/>
  <c r="DH25" i="3" s="1"/>
  <c r="DE25" i="3"/>
  <c r="CY25" i="3"/>
  <c r="CX25" i="3"/>
  <c r="CW25" i="3"/>
  <c r="CV25" i="3" a="1"/>
  <c r="CV25" i="3" s="1"/>
  <c r="CU25" i="3" a="1"/>
  <c r="CU25" i="3" s="1"/>
  <c r="CS25" i="3"/>
  <c r="CR25" i="3"/>
  <c r="CT25" i="3" s="1"/>
  <c r="CP25" i="3" a="1"/>
  <c r="CP25" i="3" s="1"/>
  <c r="CO25" i="3"/>
  <c r="CQ25" i="3" s="1"/>
  <c r="CO25" i="3" a="1"/>
  <c r="CM25" i="3"/>
  <c r="CJ25" i="3" a="1"/>
  <c r="CJ25" i="3" s="1"/>
  <c r="CI25" i="3" a="1"/>
  <c r="CI25" i="3" s="1"/>
  <c r="CD25" i="3" a="1"/>
  <c r="CD25" i="3" s="1"/>
  <c r="CC25" i="3" a="1"/>
  <c r="CC25" i="3" s="1"/>
  <c r="CE25" i="3" s="1"/>
  <c r="BX25" i="3" a="1"/>
  <c r="BX25" i="3" s="1"/>
  <c r="BY25" i="3" s="1"/>
  <c r="BW25" i="3" a="1"/>
  <c r="BW25" i="3" s="1"/>
  <c r="BU25" i="3"/>
  <c r="BR25" i="3" a="1"/>
  <c r="BR25" i="3" s="1"/>
  <c r="BO25" i="3"/>
  <c r="BN25" i="3"/>
  <c r="BP25" i="3" s="1"/>
  <c r="BL25" i="3" a="1"/>
  <c r="BL25" i="3" s="1"/>
  <c r="BJ25" i="3"/>
  <c r="BI25" i="3"/>
  <c r="BH25" i="3"/>
  <c r="BF25" i="3" a="1"/>
  <c r="BF25" i="3" s="1"/>
  <c r="BE25" i="3" a="1"/>
  <c r="BE25" i="3" s="1"/>
  <c r="BG25" i="3" s="1"/>
  <c r="BC25" i="3"/>
  <c r="AY25" i="3" a="1"/>
  <c r="AY25" i="3" s="1"/>
  <c r="AW25" i="3"/>
  <c r="AV25" i="3"/>
  <c r="AX25" i="3" s="1"/>
  <c r="AS25" i="3" a="1"/>
  <c r="AS25" i="3" s="1"/>
  <c r="AN25" i="3" a="1"/>
  <c r="AN25" i="3" s="1"/>
  <c r="AM25" i="3"/>
  <c r="AO25" i="3" s="1"/>
  <c r="AM25" i="3" a="1"/>
  <c r="AJ25" i="3"/>
  <c r="AH25" i="3" a="1"/>
  <c r="AH25" i="3" s="1"/>
  <c r="AG25" i="3" a="1"/>
  <c r="AG25" i="3" s="1"/>
  <c r="AI25" i="3" s="1"/>
  <c r="AE25" i="3"/>
  <c r="AD25" i="3"/>
  <c r="Y25" i="3"/>
  <c r="U25" i="3" a="1"/>
  <c r="U25" i="3" s="1"/>
  <c r="S25" i="3"/>
  <c r="R25" i="3"/>
  <c r="T25" i="3" s="1"/>
  <c r="M25" i="3"/>
  <c r="L25" i="3"/>
  <c r="J25" i="3" a="1"/>
  <c r="J25" i="3" s="1"/>
  <c r="I25" i="3" a="1"/>
  <c r="I25" i="3" s="1"/>
  <c r="G25" i="3"/>
  <c r="E25" i="3"/>
  <c r="D25" i="3"/>
  <c r="C25" i="3"/>
  <c r="B25" i="3"/>
  <c r="A25" i="3"/>
  <c r="DV24" i="3"/>
  <c r="DH24" i="3" a="1"/>
  <c r="DH24" i="3" s="1"/>
  <c r="CX24" i="3"/>
  <c r="CC24" i="3" a="1"/>
  <c r="CC24" i="3" s="1"/>
  <c r="S24" i="3"/>
  <c r="E24" i="3"/>
  <c r="D24" i="3"/>
  <c r="C24" i="3"/>
  <c r="DY24" i="3" s="1" a="1"/>
  <c r="DY24" i="3" s="1"/>
  <c r="B24" i="3"/>
  <c r="A24" i="3"/>
  <c r="DZ23" i="3" a="1"/>
  <c r="DZ23" i="3" s="1"/>
  <c r="DY23" i="3" a="1"/>
  <c r="DY23" i="3" s="1"/>
  <c r="DW23" i="3"/>
  <c r="DV23" i="3"/>
  <c r="DX23" i="3" s="1"/>
  <c r="DS23" i="3" a="1"/>
  <c r="DS23" i="3" s="1"/>
  <c r="DQ23" i="3"/>
  <c r="DP23" i="3"/>
  <c r="DR23" i="3" s="1"/>
  <c r="DM23" i="3" a="1"/>
  <c r="DM23" i="3" s="1"/>
  <c r="DK23" i="3"/>
  <c r="DG23" i="3"/>
  <c r="DG23" i="3" a="1"/>
  <c r="DE23" i="3"/>
  <c r="DD23" i="3"/>
  <c r="DA23" i="3" a="1"/>
  <c r="DA23" i="3" s="1"/>
  <c r="CY23" i="3"/>
  <c r="CV23" i="3" a="1"/>
  <c r="CV23" i="3" s="1"/>
  <c r="CU23" i="3" a="1"/>
  <c r="CU23" i="3" s="1"/>
  <c r="CW23" i="3" s="1"/>
  <c r="CP23" i="3"/>
  <c r="CQ23" i="3" s="1"/>
  <c r="CP23" i="3" a="1"/>
  <c r="CO23" i="3" a="1"/>
  <c r="CO23" i="3" s="1"/>
  <c r="CL23" i="3"/>
  <c r="CJ23" i="3"/>
  <c r="CJ23" i="3" a="1"/>
  <c r="CG23" i="3"/>
  <c r="CF23" i="3"/>
  <c r="CD23" i="3" a="1"/>
  <c r="CD23" i="3" s="1"/>
  <c r="CA23" i="3"/>
  <c r="BX23" i="3" a="1"/>
  <c r="BX23" i="3" s="1"/>
  <c r="BY23" i="3" s="1"/>
  <c r="BW23" i="3" a="1"/>
  <c r="BW23" i="3" s="1"/>
  <c r="BT23" i="3"/>
  <c r="BQ23" i="3" a="1"/>
  <c r="BQ23" i="3" s="1"/>
  <c r="BN23" i="3"/>
  <c r="BK23" i="3" a="1"/>
  <c r="BK23" i="3" s="1"/>
  <c r="BF23" i="3" a="1"/>
  <c r="BF23" i="3" s="1"/>
  <c r="BE23" i="3" a="1"/>
  <c r="BE23" i="3" s="1"/>
  <c r="BG23" i="3" s="1"/>
  <c r="BC23" i="3"/>
  <c r="AZ23" i="3" a="1"/>
  <c r="AZ23" i="3" s="1"/>
  <c r="AY23" i="3" a="1"/>
  <c r="AY23" i="3" s="1"/>
  <c r="AW23" i="3"/>
  <c r="AS23" i="3" a="1"/>
  <c r="AS23" i="3" s="1"/>
  <c r="AN23" i="3"/>
  <c r="AN23" i="3" a="1"/>
  <c r="AK23" i="3"/>
  <c r="AI23" i="3"/>
  <c r="AH23" i="3" a="1"/>
  <c r="AH23" i="3" s="1"/>
  <c r="AG23" i="3" a="1"/>
  <c r="AG23" i="3" s="1"/>
  <c r="AE23" i="3"/>
  <c r="AA23" i="3" a="1"/>
  <c r="AA23" i="3" s="1"/>
  <c r="Y23" i="3"/>
  <c r="X23" i="3"/>
  <c r="V23" i="3" a="1"/>
  <c r="V23" i="3" s="1"/>
  <c r="U23" i="3" a="1"/>
  <c r="U23" i="3" s="1"/>
  <c r="S23" i="3"/>
  <c r="R23" i="3"/>
  <c r="T23" i="3" s="1"/>
  <c r="O23" i="3" a="1"/>
  <c r="O23" i="3" s="1"/>
  <c r="M23" i="3"/>
  <c r="I23" i="3"/>
  <c r="I23" i="3" a="1"/>
  <c r="G23" i="3"/>
  <c r="E23" i="3"/>
  <c r="D23" i="3"/>
  <c r="C23" i="3"/>
  <c r="B23" i="3"/>
  <c r="A23" i="3"/>
  <c r="DQ22" i="3"/>
  <c r="DH22" i="3" a="1"/>
  <c r="DH22" i="3" s="1"/>
  <c r="DD22" i="3"/>
  <c r="CR22" i="3"/>
  <c r="CM22" i="3"/>
  <c r="CG22" i="3"/>
  <c r="CA22" i="3"/>
  <c r="BZ22" i="3"/>
  <c r="BW22" i="3" a="1"/>
  <c r="BW22" i="3" s="1"/>
  <c r="BN22" i="3"/>
  <c r="BH22" i="3"/>
  <c r="BE22" i="3" a="1"/>
  <c r="BE22" i="3" s="1"/>
  <c r="AW22" i="3"/>
  <c r="AV22" i="3"/>
  <c r="AQ22" i="3" a="1"/>
  <c r="AQ22" i="3" s="1"/>
  <c r="AJ22" i="3"/>
  <c r="AB22" i="3"/>
  <c r="AB22" i="3" a="1"/>
  <c r="R22" i="3"/>
  <c r="O22" i="3" a="1"/>
  <c r="O22" i="3" s="1"/>
  <c r="M22" i="3"/>
  <c r="F22" i="3"/>
  <c r="E22" i="3"/>
  <c r="D22" i="3"/>
  <c r="C22" i="3"/>
  <c r="B22" i="3"/>
  <c r="A22" i="3"/>
  <c r="DY21" i="3" a="1"/>
  <c r="DY21" i="3" s="1"/>
  <c r="DP21" i="3"/>
  <c r="DG21" i="3" a="1"/>
  <c r="DG21" i="3" s="1"/>
  <c r="DE21" i="3"/>
  <c r="CO21" i="3" a="1"/>
  <c r="CO21" i="3" s="1"/>
  <c r="CL21" i="3"/>
  <c r="CI21" i="3" a="1"/>
  <c r="CI21" i="3" s="1"/>
  <c r="CD21" i="3" a="1"/>
  <c r="CD21" i="3" s="1"/>
  <c r="BO21" i="3"/>
  <c r="BI21" i="3"/>
  <c r="BF21" i="3" a="1"/>
  <c r="BF21" i="3" s="1"/>
  <c r="AY21" i="3" a="1"/>
  <c r="AY21" i="3" s="1"/>
  <c r="AN21" i="3" a="1"/>
  <c r="AN21" i="3" s="1"/>
  <c r="AG21" i="3" a="1"/>
  <c r="AG21" i="3" s="1"/>
  <c r="X21" i="3"/>
  <c r="O21" i="3" a="1"/>
  <c r="O21" i="3" s="1"/>
  <c r="E21" i="3"/>
  <c r="D21" i="3"/>
  <c r="C21" i="3"/>
  <c r="B21" i="3"/>
  <c r="A21" i="3"/>
  <c r="EA20" i="3"/>
  <c r="DZ20" i="3" a="1"/>
  <c r="DZ20" i="3" s="1"/>
  <c r="DW20" i="3"/>
  <c r="DV20" i="3"/>
  <c r="DX20" i="3" s="1"/>
  <c r="DS20" i="3" a="1"/>
  <c r="DS20" i="3" s="1"/>
  <c r="DQ20" i="3"/>
  <c r="DR20" i="3" s="1"/>
  <c r="DP20" i="3"/>
  <c r="DN20" i="3"/>
  <c r="DN20" i="3" a="1"/>
  <c r="DM20" i="3"/>
  <c r="DO20" i="3" s="1"/>
  <c r="DM20" i="3" a="1"/>
  <c r="DJ20" i="3"/>
  <c r="DH20" i="3" a="1"/>
  <c r="DH20" i="3" s="1"/>
  <c r="DE20" i="3"/>
  <c r="DD20" i="3"/>
  <c r="DF20" i="3" s="1"/>
  <c r="DA20" i="3" a="1"/>
  <c r="DA20" i="3" s="1"/>
  <c r="CY20" i="3"/>
  <c r="CZ20" i="3" s="1"/>
  <c r="CX20" i="3"/>
  <c r="CV20" i="3"/>
  <c r="CV20" i="3" a="1"/>
  <c r="CU20" i="3"/>
  <c r="CU20" i="3" a="1"/>
  <c r="CR20" i="3"/>
  <c r="CP20" i="3"/>
  <c r="CP20" i="3" a="1"/>
  <c r="CM20" i="3"/>
  <c r="CL20" i="3"/>
  <c r="CN20" i="3" s="1"/>
  <c r="CI20" i="3" a="1"/>
  <c r="CI20" i="3" s="1"/>
  <c r="CG20" i="3"/>
  <c r="CF20" i="3"/>
  <c r="CD20" i="3"/>
  <c r="CD20" i="3" a="1"/>
  <c r="CC20" i="3"/>
  <c r="CE20" i="3" s="1"/>
  <c r="CC20" i="3" a="1"/>
  <c r="BZ20" i="3"/>
  <c r="BX20" i="3" a="1"/>
  <c r="BX20" i="3" s="1"/>
  <c r="BV20" i="3"/>
  <c r="BU20" i="3"/>
  <c r="BT20" i="3"/>
  <c r="BQ20" i="3" a="1"/>
  <c r="BQ20" i="3" s="1"/>
  <c r="BP20" i="3"/>
  <c r="BO20" i="3"/>
  <c r="BN20" i="3"/>
  <c r="BL20" i="3"/>
  <c r="BL20" i="3" a="1"/>
  <c r="BK20" i="3" a="1"/>
  <c r="BK20" i="3" s="1"/>
  <c r="BM20" i="3" s="1"/>
  <c r="BH20" i="3"/>
  <c r="BF20" i="3" a="1"/>
  <c r="BF20" i="3" s="1"/>
  <c r="BC20" i="3"/>
  <c r="BB20" i="3"/>
  <c r="BD20" i="3" s="1"/>
  <c r="AY20" i="3" a="1"/>
  <c r="AY20" i="3" s="1"/>
  <c r="AW20" i="3"/>
  <c r="AX20" i="3" s="1"/>
  <c r="AV20" i="3"/>
  <c r="AT20" i="3" a="1"/>
  <c r="AT20" i="3" s="1"/>
  <c r="AS20" i="3"/>
  <c r="AS20" i="3" a="1"/>
  <c r="AP20" i="3"/>
  <c r="AP20" i="3" a="1"/>
  <c r="AM20" i="3"/>
  <c r="AM20" i="3" a="1"/>
  <c r="AK20" i="3"/>
  <c r="AL20" i="3" s="1"/>
  <c r="AJ20" i="3"/>
  <c r="AH20" i="3" a="1"/>
  <c r="AH20" i="3" s="1"/>
  <c r="AG20" i="3" a="1"/>
  <c r="AG20" i="3" s="1"/>
  <c r="AD20" i="3"/>
  <c r="AB20" i="3"/>
  <c r="AB20" i="3" a="1"/>
  <c r="Y20" i="3"/>
  <c r="Z20" i="3" s="1"/>
  <c r="X20" i="3"/>
  <c r="U20" i="3"/>
  <c r="U20" i="3" a="1"/>
  <c r="S20" i="3"/>
  <c r="R20" i="3"/>
  <c r="T20" i="3" s="1"/>
  <c r="P20" i="3" a="1"/>
  <c r="P20" i="3" s="1"/>
  <c r="O20" i="3" a="1"/>
  <c r="O20" i="3" s="1"/>
  <c r="Q20" i="3" s="1"/>
  <c r="L20" i="3"/>
  <c r="J20" i="3"/>
  <c r="J20" i="3" a="1"/>
  <c r="G20" i="3"/>
  <c r="F20" i="3"/>
  <c r="E20" i="3"/>
  <c r="D20" i="3"/>
  <c r="C20" i="3"/>
  <c r="DY20" i="3" s="1" a="1"/>
  <c r="DY20" i="3" s="1"/>
  <c r="B20" i="3"/>
  <c r="A20" i="3"/>
  <c r="E19" i="3"/>
  <c r="D19" i="3"/>
  <c r="C19" i="3"/>
  <c r="B19" i="3"/>
  <c r="A19" i="3"/>
  <c r="DY18" i="3" a="1"/>
  <c r="DY18" i="3" s="1"/>
  <c r="DV18" i="3"/>
  <c r="DS18" i="3"/>
  <c r="DS18" i="3" a="1"/>
  <c r="DP18" i="3"/>
  <c r="DK18" i="3"/>
  <c r="DJ18" i="3"/>
  <c r="DE18" i="3"/>
  <c r="DF18" i="3" s="1"/>
  <c r="DD18" i="3"/>
  <c r="DB18" i="3" a="1"/>
  <c r="DB18" i="3" s="1"/>
  <c r="CX18" i="3"/>
  <c r="CS18" i="3"/>
  <c r="CR18" i="3"/>
  <c r="CT18" i="3" s="1"/>
  <c r="CO18" i="3"/>
  <c r="CO18" i="3" a="1"/>
  <c r="CM18" i="3"/>
  <c r="CL18" i="3"/>
  <c r="CN18" i="3" s="1"/>
  <c r="CJ18" i="3" a="1"/>
  <c r="CJ18" i="3" s="1"/>
  <c r="CI18" i="3" a="1"/>
  <c r="CI18" i="3" s="1"/>
  <c r="CK18" i="3" s="1"/>
  <c r="CF18" i="3"/>
  <c r="CD18" i="3" a="1"/>
  <c r="CD18" i="3" s="1"/>
  <c r="BW18" i="3" a="1"/>
  <c r="BW18" i="3" s="1"/>
  <c r="BR18" i="3" a="1"/>
  <c r="BR18" i="3" s="1"/>
  <c r="BQ18" i="3"/>
  <c r="BQ18" i="3" a="1"/>
  <c r="BN18" i="3"/>
  <c r="BL18" i="3"/>
  <c r="BL18" i="3" a="1"/>
  <c r="BI18" i="3"/>
  <c r="BH18" i="3"/>
  <c r="BC18" i="3"/>
  <c r="BD18" i="3" s="1"/>
  <c r="BB18" i="3"/>
  <c r="AZ18" i="3" a="1"/>
  <c r="AZ18" i="3" s="1"/>
  <c r="AY18" i="3" a="1"/>
  <c r="AY18" i="3" s="1"/>
  <c r="BA18" i="3" s="1"/>
  <c r="AV18" i="3"/>
  <c r="AQ18" i="3" a="1"/>
  <c r="AQ18" i="3" s="1"/>
  <c r="AN18" i="3" a="1"/>
  <c r="AN18" i="3" s="1"/>
  <c r="AM18" i="3"/>
  <c r="AM18" i="3" a="1"/>
  <c r="AH18" i="3" a="1"/>
  <c r="AH18" i="3" s="1"/>
  <c r="AD18" i="3"/>
  <c r="AA18" i="3"/>
  <c r="AA18" i="3" a="1"/>
  <c r="Y18" i="3"/>
  <c r="X18" i="3"/>
  <c r="R18" i="3"/>
  <c r="M18" i="3"/>
  <c r="L18" i="3"/>
  <c r="N18" i="3" s="1"/>
  <c r="G18" i="3"/>
  <c r="F18" i="3"/>
  <c r="E18" i="3"/>
  <c r="D18" i="3"/>
  <c r="C18" i="3"/>
  <c r="B18" i="3"/>
  <c r="A18" i="3"/>
  <c r="DW17" i="3"/>
  <c r="DT17" i="3" a="1"/>
  <c r="DT17" i="3" s="1"/>
  <c r="DP17" i="3"/>
  <c r="DG17" i="3" a="1"/>
  <c r="DG17" i="3" s="1"/>
  <c r="DE17" i="3"/>
  <c r="DA17" i="3" a="1"/>
  <c r="DA17" i="3" s="1"/>
  <c r="CY17" i="3"/>
  <c r="CS17" i="3"/>
  <c r="CO17" i="3" a="1"/>
  <c r="CO17" i="3" s="1"/>
  <c r="CJ17" i="3" a="1"/>
  <c r="CJ17" i="3" s="1"/>
  <c r="CF17" i="3"/>
  <c r="CD17" i="3" a="1"/>
  <c r="CD17" i="3" s="1"/>
  <c r="CA17" i="3"/>
  <c r="BU17" i="3"/>
  <c r="BR17" i="3" a="1"/>
  <c r="BR17" i="3" s="1"/>
  <c r="BE17" i="3" a="1"/>
  <c r="BE17" i="3" s="1"/>
  <c r="AY17" i="3" a="1"/>
  <c r="AY17" i="3" s="1"/>
  <c r="AW17" i="3"/>
  <c r="AT17" i="3" a="1"/>
  <c r="AT17" i="3" s="1"/>
  <c r="AN17" i="3" a="1"/>
  <c r="AN17" i="3" s="1"/>
  <c r="AB17" i="3" a="1"/>
  <c r="AB17" i="3" s="1"/>
  <c r="AA17" i="3" a="1"/>
  <c r="AA17" i="3" s="1"/>
  <c r="AC17" i="3" s="1"/>
  <c r="Y17" i="3"/>
  <c r="U17" i="3" a="1"/>
  <c r="U17" i="3" s="1"/>
  <c r="S17" i="3"/>
  <c r="P17" i="3" a="1"/>
  <c r="P17" i="3" s="1"/>
  <c r="M17" i="3"/>
  <c r="L17" i="3"/>
  <c r="N17" i="3" s="1"/>
  <c r="I17" i="3" a="1"/>
  <c r="I17" i="3" s="1"/>
  <c r="E17" i="3"/>
  <c r="D17" i="3"/>
  <c r="C17" i="3"/>
  <c r="B17" i="3"/>
  <c r="A17" i="3"/>
  <c r="DZ16" i="3" a="1"/>
  <c r="DZ16" i="3" s="1"/>
  <c r="DM16" i="3" a="1"/>
  <c r="DM16" i="3" s="1"/>
  <c r="DK16" i="3"/>
  <c r="DB16" i="3" a="1"/>
  <c r="DB16" i="3" s="1"/>
  <c r="CU16" i="3" a="1"/>
  <c r="CU16" i="3" s="1"/>
  <c r="CL16" i="3"/>
  <c r="CG16" i="3"/>
  <c r="BZ16" i="3"/>
  <c r="BX16" i="3" a="1"/>
  <c r="BX16" i="3" s="1"/>
  <c r="BO16" i="3"/>
  <c r="BK16" i="3" a="1"/>
  <c r="BK16" i="3" s="1"/>
  <c r="BH16" i="3"/>
  <c r="BB16" i="3"/>
  <c r="AZ16" i="3" a="1"/>
  <c r="AZ16" i="3" s="1"/>
  <c r="AS16" i="3" a="1"/>
  <c r="AS16" i="3" s="1"/>
  <c r="AG16" i="3" a="1"/>
  <c r="AG16" i="3" s="1"/>
  <c r="AD16" i="3"/>
  <c r="V16" i="3" a="1"/>
  <c r="V16" i="3" s="1"/>
  <c r="O16" i="3" a="1"/>
  <c r="O16" i="3" s="1"/>
  <c r="E16" i="3"/>
  <c r="D16" i="3"/>
  <c r="C16" i="3"/>
  <c r="DD16" i="3" s="1"/>
  <c r="B16" i="3"/>
  <c r="A16" i="3"/>
  <c r="DZ15" i="3" a="1"/>
  <c r="DZ15" i="3" s="1"/>
  <c r="DY15" i="3" a="1"/>
  <c r="DY15" i="3" s="1"/>
  <c r="EA15" i="3" s="1"/>
  <c r="DV15" i="3"/>
  <c r="DT15" i="3" a="1"/>
  <c r="DT15" i="3" s="1"/>
  <c r="DS15" i="3" a="1"/>
  <c r="DS15" i="3" s="1"/>
  <c r="DU15" i="3" s="1"/>
  <c r="DN15" i="3" a="1"/>
  <c r="DN15" i="3" s="1"/>
  <c r="DM15" i="3" a="1"/>
  <c r="DM15" i="3" s="1"/>
  <c r="DO15" i="3" s="1"/>
  <c r="DH15" i="3" a="1"/>
  <c r="DH15" i="3" s="1"/>
  <c r="DD15" i="3"/>
  <c r="DB15" i="3"/>
  <c r="DB15" i="3" a="1"/>
  <c r="DA15" i="3" a="1"/>
  <c r="DA15" i="3" s="1"/>
  <c r="DC15" i="3" s="1"/>
  <c r="CY15" i="3"/>
  <c r="CV15" i="3" a="1"/>
  <c r="CV15" i="3" s="1"/>
  <c r="CS15" i="3"/>
  <c r="CO15" i="3" a="1"/>
  <c r="CO15" i="3" s="1"/>
  <c r="CM15" i="3"/>
  <c r="CL15" i="3"/>
  <c r="CI15" i="3" a="1"/>
  <c r="CI15" i="3" s="1"/>
  <c r="CG15" i="3"/>
  <c r="CF15" i="3"/>
  <c r="CH15" i="3" s="1"/>
  <c r="CC15" i="3" a="1"/>
  <c r="CC15" i="3" s="1"/>
  <c r="BX15" i="3" a="1"/>
  <c r="BX15" i="3" s="1"/>
  <c r="BY15" i="3" s="1"/>
  <c r="BW15" i="3" a="1"/>
  <c r="BW15" i="3" s="1"/>
  <c r="BU15" i="3"/>
  <c r="BT15" i="3"/>
  <c r="BR15" i="3" a="1"/>
  <c r="BR15" i="3" s="1"/>
  <c r="BO15" i="3"/>
  <c r="BL15" i="3" a="1"/>
  <c r="BL15" i="3" s="1"/>
  <c r="BF15" i="3" a="1"/>
  <c r="BF15" i="3" s="1"/>
  <c r="AZ15" i="3"/>
  <c r="AZ15" i="3" a="1"/>
  <c r="AY15" i="3" a="1"/>
  <c r="AY15" i="3" s="1"/>
  <c r="AV15" i="3"/>
  <c r="AT15" i="3" a="1"/>
  <c r="AT15" i="3" s="1"/>
  <c r="AP15" i="3"/>
  <c r="AP15" i="3" a="1"/>
  <c r="AN15" i="3" a="1"/>
  <c r="AN15" i="3" s="1"/>
  <c r="AM15" i="3" a="1"/>
  <c r="AM15" i="3" s="1"/>
  <c r="AO15" i="3" s="1"/>
  <c r="AK15" i="3"/>
  <c r="AJ15" i="3"/>
  <c r="AL15" i="3" s="1"/>
  <c r="AH15" i="3" a="1"/>
  <c r="AH15" i="3" s="1"/>
  <c r="AG15" i="3" a="1"/>
  <c r="AG15" i="3" s="1"/>
  <c r="AI15" i="3" s="1"/>
  <c r="AE15" i="3"/>
  <c r="AB15" i="3" a="1"/>
  <c r="AB15" i="3" s="1"/>
  <c r="V15" i="3"/>
  <c r="V15" i="3" a="1"/>
  <c r="U15" i="3" a="1"/>
  <c r="U15" i="3" s="1"/>
  <c r="W15" i="3" s="1"/>
  <c r="P15" i="3" a="1"/>
  <c r="P15" i="3" s="1"/>
  <c r="O15" i="3"/>
  <c r="Q15" i="3" s="1"/>
  <c r="O15" i="3" a="1"/>
  <c r="M15" i="3"/>
  <c r="G15" i="3"/>
  <c r="F15" i="3"/>
  <c r="E15" i="3"/>
  <c r="D15" i="3"/>
  <c r="C15" i="3"/>
  <c r="B15" i="3"/>
  <c r="A15" i="3"/>
  <c r="DZ14" i="3" a="1"/>
  <c r="DZ14" i="3" s="1"/>
  <c r="DX14" i="3"/>
  <c r="DW14" i="3"/>
  <c r="DV14" i="3"/>
  <c r="DS14" i="3" a="1"/>
  <c r="DS14" i="3" s="1"/>
  <c r="DQ14" i="3"/>
  <c r="DP14" i="3"/>
  <c r="DR14" i="3" s="1"/>
  <c r="DN14" i="3"/>
  <c r="DN14" i="3" a="1"/>
  <c r="DM14" i="3"/>
  <c r="DM14" i="3" a="1"/>
  <c r="DJ14" i="3"/>
  <c r="DH14" i="3"/>
  <c r="DH14" i="3" a="1"/>
  <c r="DE14" i="3"/>
  <c r="DD14" i="3"/>
  <c r="DF14" i="3" s="1"/>
  <c r="DA14" i="3" a="1"/>
  <c r="DA14" i="3" s="1"/>
  <c r="CY14" i="3"/>
  <c r="CX14" i="3"/>
  <c r="CZ14" i="3" s="1"/>
  <c r="CV14" i="3"/>
  <c r="CV14" i="3" a="1"/>
  <c r="CU14" i="3" a="1"/>
  <c r="CU14" i="3" s="1"/>
  <c r="CW14" i="3" s="1"/>
  <c r="CR14" i="3"/>
  <c r="CP14" i="3" a="1"/>
  <c r="CP14" i="3" s="1"/>
  <c r="CM14" i="3"/>
  <c r="CL14" i="3"/>
  <c r="CN14" i="3" s="1"/>
  <c r="CI14" i="3"/>
  <c r="CI14" i="3" a="1"/>
  <c r="CG14" i="3"/>
  <c r="CH14" i="3" s="1"/>
  <c r="CF14" i="3"/>
  <c r="CD14" i="3" a="1"/>
  <c r="CD14" i="3" s="1"/>
  <c r="CC14" i="3" a="1"/>
  <c r="CC14" i="3" s="1"/>
  <c r="BZ14" i="3"/>
  <c r="BX14" i="3"/>
  <c r="BX14" i="3" a="1"/>
  <c r="BU14" i="3"/>
  <c r="BT14" i="3"/>
  <c r="BV14" i="3" s="1"/>
  <c r="BQ14" i="3"/>
  <c r="BQ14" i="3" a="1"/>
  <c r="BO14" i="3"/>
  <c r="BN14" i="3"/>
  <c r="BP14" i="3" s="1"/>
  <c r="BL14" i="3"/>
  <c r="BL14" i="3" a="1"/>
  <c r="BK14" i="3"/>
  <c r="BK14" i="3" a="1"/>
  <c r="BH14" i="3"/>
  <c r="BF14" i="3" a="1"/>
  <c r="BF14" i="3" s="1"/>
  <c r="BD14" i="3"/>
  <c r="BC14" i="3"/>
  <c r="BB14" i="3"/>
  <c r="AY14" i="3" a="1"/>
  <c r="AY14" i="3" s="1"/>
  <c r="AW14" i="3"/>
  <c r="AX14" i="3" s="1"/>
  <c r="AV14" i="3"/>
  <c r="AS14" i="3" a="1"/>
  <c r="AS14" i="3" s="1"/>
  <c r="AQ14" i="3" a="1"/>
  <c r="AQ14" i="3" s="1"/>
  <c r="AM14" i="3" a="1"/>
  <c r="AM14" i="3" s="1"/>
  <c r="AL14" i="3"/>
  <c r="AK14" i="3"/>
  <c r="AJ14" i="3"/>
  <c r="AH14" i="3" a="1"/>
  <c r="AH14" i="3" s="1"/>
  <c r="AG14" i="3" a="1"/>
  <c r="AG14" i="3" s="1"/>
  <c r="AI14" i="3" s="1"/>
  <c r="AD14" i="3"/>
  <c r="AB14" i="3" a="1"/>
  <c r="AB14" i="3" s="1"/>
  <c r="Y14" i="3"/>
  <c r="X14" i="3"/>
  <c r="Z14" i="3" s="1"/>
  <c r="U14" i="3"/>
  <c r="U14" i="3" a="1"/>
  <c r="S14" i="3"/>
  <c r="R14" i="3"/>
  <c r="T14" i="3" s="1"/>
  <c r="P14" i="3" a="1"/>
  <c r="P14" i="3" s="1"/>
  <c r="O14" i="3" a="1"/>
  <c r="O14" i="3" s="1"/>
  <c r="L14" i="3"/>
  <c r="J14" i="3"/>
  <c r="J14" i="3" a="1"/>
  <c r="H14" i="3"/>
  <c r="G14" i="3"/>
  <c r="F14" i="3"/>
  <c r="E14" i="3"/>
  <c r="D14" i="3"/>
  <c r="C14" i="3"/>
  <c r="DY14" i="3" s="1" a="1"/>
  <c r="DY14" i="3" s="1"/>
  <c r="EA14" i="3" s="1"/>
  <c r="B14" i="3"/>
  <c r="A14" i="3"/>
  <c r="DS13" i="3" a="1"/>
  <c r="DS13" i="3" s="1"/>
  <c r="DJ13" i="3"/>
  <c r="DB13" i="3" a="1"/>
  <c r="DB13" i="3" s="1"/>
  <c r="CP13" i="3" a="1"/>
  <c r="CP13" i="3" s="1"/>
  <c r="CI13" i="3" a="1"/>
  <c r="CI13" i="3" s="1"/>
  <c r="BZ13" i="3"/>
  <c r="BX13" i="3" a="1"/>
  <c r="BX13" i="3" s="1"/>
  <c r="BK13" i="3" a="1"/>
  <c r="BK13" i="3" s="1"/>
  <c r="BH13" i="3"/>
  <c r="BC13" i="3"/>
  <c r="AZ13" i="3" a="1"/>
  <c r="AZ13" i="3" s="1"/>
  <c r="AH13" i="3" a="1"/>
  <c r="AH13" i="3" s="1"/>
  <c r="AD13" i="3"/>
  <c r="Y13" i="3"/>
  <c r="J13" i="3" a="1"/>
  <c r="J13" i="3" s="1"/>
  <c r="E13" i="3"/>
  <c r="D13" i="3"/>
  <c r="C13" i="3"/>
  <c r="DW13" i="3" s="1"/>
  <c r="B13" i="3"/>
  <c r="A13" i="3"/>
  <c r="DW12" i="3"/>
  <c r="DP12" i="3"/>
  <c r="DK12" i="3"/>
  <c r="DB12" i="3" a="1"/>
  <c r="DB12" i="3" s="1"/>
  <c r="DA12" i="3" a="1"/>
  <c r="DA12" i="3" s="1"/>
  <c r="DC12" i="3" s="1"/>
  <c r="CV12" i="3" a="1"/>
  <c r="CV12" i="3" s="1"/>
  <c r="CS12" i="3"/>
  <c r="CM12" i="3"/>
  <c r="CJ12" i="3" a="1"/>
  <c r="CJ12" i="3" s="1"/>
  <c r="CF12" i="3"/>
  <c r="BW12" i="3" a="1"/>
  <c r="BW12" i="3" s="1"/>
  <c r="BU12" i="3"/>
  <c r="BQ12" i="3" a="1"/>
  <c r="BQ12" i="3" s="1"/>
  <c r="BN12" i="3"/>
  <c r="BI12" i="3"/>
  <c r="BE12" i="3" a="1"/>
  <c r="BE12" i="3" s="1"/>
  <c r="AZ12" i="3" a="1"/>
  <c r="AZ12" i="3" s="1"/>
  <c r="AY12" i="3" a="1"/>
  <c r="AY12" i="3" s="1"/>
  <c r="AV12" i="3"/>
  <c r="AT12" i="3" a="1"/>
  <c r="AT12" i="3" s="1"/>
  <c r="AQ12" i="3"/>
  <c r="AQ12" i="3" a="1"/>
  <c r="AM12" i="3" a="1"/>
  <c r="AM12" i="3" s="1"/>
  <c r="AJ12" i="3"/>
  <c r="AE12" i="3"/>
  <c r="AD12" i="3"/>
  <c r="AF12" i="3" s="1"/>
  <c r="V12" i="3" a="1"/>
  <c r="V12" i="3" s="1"/>
  <c r="P12" i="3" a="1"/>
  <c r="P12" i="3" s="1"/>
  <c r="L12" i="3"/>
  <c r="I12" i="3" a="1"/>
  <c r="I12" i="3" s="1"/>
  <c r="F12" i="3"/>
  <c r="E12" i="3"/>
  <c r="D12" i="3"/>
  <c r="C12" i="3"/>
  <c r="DT12" i="3" s="1" a="1"/>
  <c r="DT12" i="3" s="1"/>
  <c r="B12" i="3"/>
  <c r="A12" i="3"/>
  <c r="DZ11" i="3" a="1"/>
  <c r="DZ11" i="3" s="1"/>
  <c r="DY11" i="3"/>
  <c r="EA11" i="3" s="1"/>
  <c r="DY11" i="3" a="1"/>
  <c r="DT11" i="3"/>
  <c r="DT11" i="3" a="1"/>
  <c r="DS11" i="3"/>
  <c r="DU11" i="3" s="1"/>
  <c r="DS11" i="3" a="1"/>
  <c r="DP11" i="3"/>
  <c r="DN11" i="3"/>
  <c r="DN11" i="3" a="1"/>
  <c r="DM11" i="3" a="1"/>
  <c r="DM11" i="3" s="1"/>
  <c r="DO11" i="3" s="1"/>
  <c r="DK11" i="3"/>
  <c r="DJ11" i="3"/>
  <c r="DL11" i="3" s="1"/>
  <c r="DH11" i="3" a="1"/>
  <c r="DH11" i="3" s="1"/>
  <c r="DE11" i="3"/>
  <c r="DB11" i="3"/>
  <c r="DC11" i="3" s="1"/>
  <c r="DB11" i="3" a="1"/>
  <c r="DA11" i="3" a="1"/>
  <c r="DA11" i="3" s="1"/>
  <c r="CY11" i="3"/>
  <c r="CX11" i="3"/>
  <c r="CZ11" i="3" s="1"/>
  <c r="CU11" i="3" a="1"/>
  <c r="CU11" i="3" s="1"/>
  <c r="CS11" i="3"/>
  <c r="CR11" i="3"/>
  <c r="CT11" i="3" s="1"/>
  <c r="CO11" i="3" a="1"/>
  <c r="CO11" i="3" s="1"/>
  <c r="CM11" i="3"/>
  <c r="CJ11" i="3" a="1"/>
  <c r="CJ11" i="3" s="1"/>
  <c r="CI11" i="3"/>
  <c r="CK11" i="3" s="1"/>
  <c r="CI11" i="3" a="1"/>
  <c r="CG11" i="3"/>
  <c r="CF11" i="3"/>
  <c r="CH11" i="3" s="1"/>
  <c r="CD11" i="3" a="1"/>
  <c r="CD11" i="3" s="1"/>
  <c r="CC11" i="3" a="1"/>
  <c r="CC11" i="3" s="1"/>
  <c r="CE11" i="3" s="1"/>
  <c r="CA11" i="3"/>
  <c r="BX11" i="3" a="1"/>
  <c r="BX11" i="3" s="1"/>
  <c r="BW11" i="3" a="1"/>
  <c r="BW11" i="3" s="1"/>
  <c r="BY11" i="3" s="1"/>
  <c r="BR11" i="3"/>
  <c r="BR11" i="3" a="1"/>
  <c r="BQ11" i="3" a="1"/>
  <c r="BQ11" i="3" s="1"/>
  <c r="BN11" i="3"/>
  <c r="BL11" i="3" a="1"/>
  <c r="BL11" i="3" s="1"/>
  <c r="BK11" i="3" a="1"/>
  <c r="BK11" i="3" s="1"/>
  <c r="BI11" i="3"/>
  <c r="BH11" i="3"/>
  <c r="BJ11" i="3" s="1"/>
  <c r="BF11" i="3" a="1"/>
  <c r="BF11" i="3" s="1"/>
  <c r="BC11" i="3"/>
  <c r="AZ11" i="3" a="1"/>
  <c r="AZ11" i="3" s="1"/>
  <c r="AY11" i="3" a="1"/>
  <c r="AY11" i="3" s="1"/>
  <c r="BA11" i="3" s="1"/>
  <c r="AW11" i="3"/>
  <c r="AV11" i="3"/>
  <c r="AX11" i="3" s="1"/>
  <c r="AS11" i="3" a="1"/>
  <c r="AS11" i="3" s="1"/>
  <c r="AQ11" i="3" a="1"/>
  <c r="AQ11" i="3" s="1"/>
  <c r="AN11" i="3" a="1"/>
  <c r="AN11" i="3" s="1"/>
  <c r="AM11" i="3" a="1"/>
  <c r="AM11" i="3" s="1"/>
  <c r="AO11" i="3" s="1"/>
  <c r="AK11" i="3"/>
  <c r="AH11" i="3" a="1"/>
  <c r="AH11" i="3" s="1"/>
  <c r="AI11" i="3" s="1"/>
  <c r="AG11" i="3" a="1"/>
  <c r="AG11" i="3" s="1"/>
  <c r="AD11" i="3"/>
  <c r="AB11" i="3" a="1"/>
  <c r="AB11" i="3" s="1"/>
  <c r="AA11" i="3"/>
  <c r="AC11" i="3" s="1"/>
  <c r="AA11" i="3" a="1"/>
  <c r="Y11" i="3"/>
  <c r="V11" i="3"/>
  <c r="V11" i="3" a="1"/>
  <c r="S11" i="3"/>
  <c r="R11" i="3"/>
  <c r="P11" i="3"/>
  <c r="P11" i="3" a="1"/>
  <c r="N11" i="3"/>
  <c r="M11" i="3"/>
  <c r="L11" i="3"/>
  <c r="J11" i="3" a="1"/>
  <c r="J11" i="3" s="1"/>
  <c r="I11" i="3" a="1"/>
  <c r="I11" i="3" s="1"/>
  <c r="G11" i="3"/>
  <c r="E11" i="3"/>
  <c r="D11" i="3"/>
  <c r="C11" i="3"/>
  <c r="B11" i="3"/>
  <c r="A11" i="3"/>
  <c r="DZ10" i="3" a="1"/>
  <c r="DZ10" i="3" s="1"/>
  <c r="DY10" i="3"/>
  <c r="EA10" i="3" s="1"/>
  <c r="DY10" i="3" a="1"/>
  <c r="DV10" i="3"/>
  <c r="DT10" i="3" a="1"/>
  <c r="DT10" i="3" s="1"/>
  <c r="DQ10" i="3"/>
  <c r="DP10" i="3"/>
  <c r="DK10" i="3"/>
  <c r="DL10" i="3" s="1"/>
  <c r="DJ10" i="3"/>
  <c r="DG10" i="3" a="1"/>
  <c r="DG10" i="3" s="1"/>
  <c r="DD10" i="3"/>
  <c r="CY10" i="3"/>
  <c r="CX10" i="3"/>
  <c r="CZ10" i="3" s="1"/>
  <c r="CT10" i="3"/>
  <c r="CS10" i="3"/>
  <c r="CR10" i="3"/>
  <c r="CP10" i="3" a="1"/>
  <c r="CP10" i="3" s="1"/>
  <c r="CL10" i="3"/>
  <c r="CJ10" i="3"/>
  <c r="CJ10" i="3" a="1"/>
  <c r="CG10" i="3"/>
  <c r="CC10" i="3"/>
  <c r="CC10" i="3" a="1"/>
  <c r="BZ10" i="3"/>
  <c r="BX10" i="3" a="1"/>
  <c r="BX10" i="3" s="1"/>
  <c r="BW10" i="3"/>
  <c r="BW10" i="3" a="1"/>
  <c r="BR10" i="3" a="1"/>
  <c r="BR10" i="3" s="1"/>
  <c r="BO10" i="3"/>
  <c r="BI10" i="3"/>
  <c r="BF10" i="3"/>
  <c r="BF10" i="3" a="1"/>
  <c r="BE10" i="3" a="1"/>
  <c r="BE10" i="3" s="1"/>
  <c r="BB10" i="3"/>
  <c r="AW10" i="3"/>
  <c r="AV10" i="3"/>
  <c r="AX10" i="3" s="1"/>
  <c r="AS10" i="3"/>
  <c r="AS10" i="3" a="1"/>
  <c r="AN10" i="3" a="1"/>
  <c r="AN10" i="3" s="1"/>
  <c r="AJ10" i="3"/>
  <c r="AG10" i="3" a="1"/>
  <c r="AG10" i="3" s="1"/>
  <c r="AE10" i="3"/>
  <c r="AD10" i="3"/>
  <c r="AF10" i="3" s="1"/>
  <c r="AB10" i="3" a="1"/>
  <c r="AB10" i="3" s="1"/>
  <c r="X10" i="3"/>
  <c r="V10" i="3" a="1"/>
  <c r="V10" i="3" s="1"/>
  <c r="S10" i="3"/>
  <c r="R10" i="3"/>
  <c r="T10" i="3" s="1"/>
  <c r="O10" i="3" a="1"/>
  <c r="O10" i="3" s="1"/>
  <c r="N10" i="3"/>
  <c r="M10" i="3"/>
  <c r="L10" i="3"/>
  <c r="I10" i="3" a="1"/>
  <c r="I10" i="3" s="1"/>
  <c r="F10" i="3"/>
  <c r="E10" i="3"/>
  <c r="D10" i="3"/>
  <c r="C10" i="3"/>
  <c r="B10" i="3"/>
  <c r="A10" i="3"/>
  <c r="DZ9" i="3"/>
  <c r="DZ9" i="3" a="1"/>
  <c r="DY9" i="3" a="1"/>
  <c r="DY9" i="3" s="1"/>
  <c r="DW9" i="3"/>
  <c r="DS9" i="3" a="1"/>
  <c r="DS9" i="3" s="1"/>
  <c r="DQ9" i="3"/>
  <c r="DM9" i="3" a="1"/>
  <c r="DM9" i="3" s="1"/>
  <c r="DK9" i="3"/>
  <c r="DH9" i="3" a="1"/>
  <c r="DH9" i="3" s="1"/>
  <c r="DE9" i="3"/>
  <c r="DD9" i="3"/>
  <c r="DF9" i="3" s="1"/>
  <c r="DB9" i="3" a="1"/>
  <c r="DB9" i="3" s="1"/>
  <c r="DA9" i="3" a="1"/>
  <c r="DA9" i="3" s="1"/>
  <c r="DC9" i="3" s="1"/>
  <c r="CU9" i="3" a="1"/>
  <c r="CU9" i="3" s="1"/>
  <c r="CO9" i="3" a="1"/>
  <c r="CO9" i="3" s="1"/>
  <c r="CL9" i="3"/>
  <c r="CG9" i="3"/>
  <c r="CF9" i="3"/>
  <c r="CH9" i="3" s="1"/>
  <c r="CD9" i="3" a="1"/>
  <c r="CD9" i="3" s="1"/>
  <c r="BX9" i="3" a="1"/>
  <c r="BX9" i="3" s="1"/>
  <c r="BU9" i="3"/>
  <c r="BT9" i="3"/>
  <c r="BQ9" i="3" a="1"/>
  <c r="BQ9" i="3" s="1"/>
  <c r="BO9" i="3"/>
  <c r="BN9" i="3"/>
  <c r="BK9" i="3" a="1"/>
  <c r="BK9" i="3" s="1"/>
  <c r="BI9" i="3"/>
  <c r="BF9" i="3" a="1"/>
  <c r="BF9" i="3" s="1"/>
  <c r="BB9" i="3"/>
  <c r="AZ9" i="3" a="1"/>
  <c r="AZ9" i="3" s="1"/>
  <c r="AY9" i="3" a="1"/>
  <c r="AY9" i="3" s="1"/>
  <c r="AT9" i="3" a="1"/>
  <c r="AT9" i="3" s="1"/>
  <c r="AS9" i="3" a="1"/>
  <c r="AS9" i="3" s="1"/>
  <c r="AU9" i="3" s="1"/>
  <c r="AP9" i="3" a="1"/>
  <c r="AP9" i="3" s="1"/>
  <c r="AN9" i="3" a="1"/>
  <c r="AN9" i="3" s="1"/>
  <c r="AJ9" i="3"/>
  <c r="AG9" i="3" a="1"/>
  <c r="AG9" i="3" s="1"/>
  <c r="Y9" i="3"/>
  <c r="V9" i="3" a="1"/>
  <c r="V9" i="3" s="1"/>
  <c r="W9" i="3" s="1"/>
  <c r="U9" i="3" a="1"/>
  <c r="U9" i="3" s="1"/>
  <c r="P9" i="3" a="1"/>
  <c r="P9" i="3" s="1"/>
  <c r="O9" i="3" a="1"/>
  <c r="O9" i="3" s="1"/>
  <c r="Q9" i="3" s="1"/>
  <c r="M9" i="3"/>
  <c r="I9" i="3" a="1"/>
  <c r="I9" i="3" s="1"/>
  <c r="G9" i="3"/>
  <c r="E9" i="3"/>
  <c r="D9" i="3"/>
  <c r="C9" i="3"/>
  <c r="B9" i="3"/>
  <c r="A9" i="3"/>
  <c r="DZ8" i="3" a="1"/>
  <c r="DZ8" i="3" s="1"/>
  <c r="DY8" i="3"/>
  <c r="EA8" i="3" s="1"/>
  <c r="DX8" i="3"/>
  <c r="DW8" i="3"/>
  <c r="DV8" i="3"/>
  <c r="DS8" i="3" a="1"/>
  <c r="DS8" i="3" s="1"/>
  <c r="DR8" i="3"/>
  <c r="DQ8" i="3"/>
  <c r="DP8" i="3"/>
  <c r="DN8" i="3" a="1"/>
  <c r="DN8" i="3" s="1"/>
  <c r="DM8" i="3" a="1"/>
  <c r="DM8" i="3" s="1"/>
  <c r="DO8" i="3" s="1"/>
  <c r="DJ8" i="3"/>
  <c r="DH8" i="3" a="1"/>
  <c r="DH8" i="3" s="1"/>
  <c r="DE8" i="3"/>
  <c r="DD8" i="3"/>
  <c r="DF8" i="3" s="1"/>
  <c r="DA8" i="3"/>
  <c r="DA8" i="3" a="1"/>
  <c r="CY8" i="3"/>
  <c r="CX8" i="3"/>
  <c r="CZ8" i="3" s="1"/>
  <c r="CV8" i="3"/>
  <c r="CV8" i="3" a="1"/>
  <c r="CU8" i="3"/>
  <c r="CW8" i="3" s="1"/>
  <c r="CU8" i="3" a="1"/>
  <c r="CR8" i="3"/>
  <c r="CP8" i="3" a="1"/>
  <c r="CP8" i="3" s="1"/>
  <c r="CM8" i="3"/>
  <c r="CL8" i="3"/>
  <c r="CN8" i="3" s="1"/>
  <c r="CI8" i="3" a="1"/>
  <c r="CI8" i="3" s="1"/>
  <c r="CG8" i="3"/>
  <c r="CF8" i="3"/>
  <c r="CH8" i="3" s="1"/>
  <c r="CD8" i="3"/>
  <c r="CD8" i="3" a="1"/>
  <c r="CC8" i="3"/>
  <c r="CC8" i="3" a="1"/>
  <c r="BZ8" i="3"/>
  <c r="BX8" i="3" a="1"/>
  <c r="BX8" i="3" s="1"/>
  <c r="BU8" i="3"/>
  <c r="BT8" i="3"/>
  <c r="BV8" i="3" s="1"/>
  <c r="BQ8" i="3"/>
  <c r="BQ8" i="3" a="1"/>
  <c r="BO8" i="3"/>
  <c r="BP8" i="3" s="1"/>
  <c r="BN8" i="3"/>
  <c r="BL8" i="3" a="1"/>
  <c r="BL8" i="3" s="1"/>
  <c r="BK8" i="3"/>
  <c r="BM8" i="3" s="1"/>
  <c r="BK8" i="3" a="1"/>
  <c r="BH8" i="3"/>
  <c r="BF8" i="3" a="1"/>
  <c r="BF8" i="3" s="1"/>
  <c r="BD8" i="3"/>
  <c r="BC8" i="3"/>
  <c r="BB8" i="3"/>
  <c r="AY8" i="3" a="1"/>
  <c r="AY8" i="3" s="1"/>
  <c r="AW8" i="3"/>
  <c r="AV8" i="3"/>
  <c r="AT8" i="3" a="1"/>
  <c r="AT8" i="3" s="1"/>
  <c r="AR8" i="3"/>
  <c r="AQ8" i="3" a="1"/>
  <c r="AQ8" i="3" s="1"/>
  <c r="AP8" i="3"/>
  <c r="AP8" i="3" a="1"/>
  <c r="AM8" i="3" a="1"/>
  <c r="AM8" i="3" s="1"/>
  <c r="AK8" i="3"/>
  <c r="AL8" i="3" s="1"/>
  <c r="AJ8" i="3"/>
  <c r="AH8" i="3" a="1"/>
  <c r="AH8" i="3" s="1"/>
  <c r="AG8" i="3" a="1"/>
  <c r="AG8" i="3" s="1"/>
  <c r="AD8" i="3"/>
  <c r="AB8" i="3" a="1"/>
  <c r="AB8" i="3" s="1"/>
  <c r="Z8" i="3"/>
  <c r="Y8" i="3"/>
  <c r="X8" i="3"/>
  <c r="U8" i="3" a="1"/>
  <c r="U8" i="3" s="1"/>
  <c r="S8" i="3"/>
  <c r="R8" i="3"/>
  <c r="P8" i="3"/>
  <c r="P8" i="3" a="1"/>
  <c r="O8" i="3"/>
  <c r="Q8" i="3" s="1"/>
  <c r="O8" i="3" a="1"/>
  <c r="L8" i="3"/>
  <c r="J8" i="3"/>
  <c r="J8" i="3" a="1"/>
  <c r="G8" i="3"/>
  <c r="F8" i="3"/>
  <c r="E8" i="3"/>
  <c r="D8" i="3"/>
  <c r="C8" i="3"/>
  <c r="DY8" i="3" s="1" a="1"/>
  <c r="B8" i="3"/>
  <c r="A8" i="3"/>
  <c r="DT7" i="3" a="1"/>
  <c r="DT7" i="3" s="1"/>
  <c r="DN7" i="3" a="1"/>
  <c r="DN7" i="3" s="1"/>
  <c r="DE7" i="3"/>
  <c r="DD7" i="3"/>
  <c r="DF7" i="3" s="1"/>
  <c r="CY7" i="3"/>
  <c r="CO7" i="3" a="1"/>
  <c r="CO7" i="3" s="1"/>
  <c r="CG7" i="3"/>
  <c r="CC7" i="3" a="1"/>
  <c r="CC7" i="3" s="1"/>
  <c r="CA7" i="3"/>
  <c r="BR7" i="3" a="1"/>
  <c r="BR7" i="3" s="1"/>
  <c r="BH7" i="3"/>
  <c r="BF7" i="3" a="1"/>
  <c r="BF7" i="3" s="1"/>
  <c r="AH7" i="3" a="1"/>
  <c r="AH7" i="3" s="1"/>
  <c r="AB7" i="3" a="1"/>
  <c r="AB7" i="3" s="1"/>
  <c r="AA7" i="3" a="1"/>
  <c r="AA7" i="3" s="1"/>
  <c r="Y7" i="3"/>
  <c r="S7" i="3"/>
  <c r="P7" i="3" a="1"/>
  <c r="P7" i="3" s="1"/>
  <c r="O7" i="3" a="1"/>
  <c r="O7" i="3" s="1"/>
  <c r="Q7" i="3" s="1"/>
  <c r="I7" i="3" a="1"/>
  <c r="I7" i="3" s="1"/>
  <c r="G7" i="3"/>
  <c r="F7" i="3"/>
  <c r="E7" i="3"/>
  <c r="D7" i="3"/>
  <c r="C7" i="3"/>
  <c r="DK7" i="3" s="1"/>
  <c r="B7" i="3"/>
  <c r="A7" i="3"/>
  <c r="DV6" i="3"/>
  <c r="DT6" i="3"/>
  <c r="DT6" i="3" a="1"/>
  <c r="DS6" i="3" a="1"/>
  <c r="DS6" i="3" s="1"/>
  <c r="DN6" i="3" a="1"/>
  <c r="DN6" i="3" s="1"/>
  <c r="DJ6" i="3"/>
  <c r="DG6" i="3"/>
  <c r="DG6" i="3" a="1"/>
  <c r="DE6" i="3"/>
  <c r="DD6" i="3"/>
  <c r="DB6" i="3" a="1"/>
  <c r="DB6" i="3" s="1"/>
  <c r="CX6" i="3"/>
  <c r="CV6" i="3"/>
  <c r="CV6" i="3" a="1"/>
  <c r="CS6" i="3"/>
  <c r="CR6" i="3"/>
  <c r="CT6" i="3" s="1"/>
  <c r="CO6" i="3" a="1"/>
  <c r="CO6" i="3" s="1"/>
  <c r="CM6" i="3"/>
  <c r="CL6" i="3"/>
  <c r="CN6" i="3" s="1"/>
  <c r="CI6" i="3" a="1"/>
  <c r="CI6" i="3" s="1"/>
  <c r="CF6" i="3"/>
  <c r="CD6" i="3" a="1"/>
  <c r="CD6" i="3" s="1"/>
  <c r="CA6" i="3"/>
  <c r="CB6" i="3" s="1"/>
  <c r="BZ6" i="3"/>
  <c r="BW6" i="3" a="1"/>
  <c r="BW6" i="3" s="1"/>
  <c r="BU6" i="3"/>
  <c r="BR6" i="3" a="1"/>
  <c r="BR6" i="3" s="1"/>
  <c r="BQ6" i="3" a="1"/>
  <c r="BQ6" i="3" s="1"/>
  <c r="BS6" i="3" s="1"/>
  <c r="BL6" i="3"/>
  <c r="BL6" i="3" a="1"/>
  <c r="BH6" i="3"/>
  <c r="BE6" i="3"/>
  <c r="BE6" i="3" a="1"/>
  <c r="BC6" i="3"/>
  <c r="BB6" i="3"/>
  <c r="BD6" i="3" s="1"/>
  <c r="AZ6" i="3" a="1"/>
  <c r="AZ6" i="3" s="1"/>
  <c r="AV6" i="3"/>
  <c r="AQ6" i="3" a="1"/>
  <c r="AQ6" i="3" s="1"/>
  <c r="AR6" i="3" s="1"/>
  <c r="AP6" i="3"/>
  <c r="AP6" i="3" a="1"/>
  <c r="AN6" i="3" a="1"/>
  <c r="AN6" i="3" s="1"/>
  <c r="AM6" i="3" a="1"/>
  <c r="AM6" i="3" s="1"/>
  <c r="AO6" i="3" s="1"/>
  <c r="AJ6" i="3"/>
  <c r="AH6" i="3" a="1"/>
  <c r="AH6" i="3" s="1"/>
  <c r="AE6" i="3"/>
  <c r="AA6" i="3" a="1"/>
  <c r="AA6" i="3" s="1"/>
  <c r="X6" i="3"/>
  <c r="V6" i="3"/>
  <c r="V6" i="3" a="1"/>
  <c r="U6" i="3"/>
  <c r="U6" i="3" a="1"/>
  <c r="R6" i="3"/>
  <c r="P6" i="3"/>
  <c r="P6" i="3" a="1"/>
  <c r="M6" i="3"/>
  <c r="L6" i="3"/>
  <c r="N6" i="3" s="1"/>
  <c r="H6" i="3"/>
  <c r="G6" i="3"/>
  <c r="F6" i="3"/>
  <c r="E6" i="3"/>
  <c r="D6" i="3"/>
  <c r="C6" i="3"/>
  <c r="B6" i="3"/>
  <c r="A6" i="3"/>
  <c r="E5" i="3"/>
  <c r="D5" i="3"/>
  <c r="C5" i="3"/>
  <c r="DT5" i="3" s="1" a="1"/>
  <c r="DT5" i="3" s="1"/>
  <c r="B5" i="3"/>
  <c r="A5" i="3"/>
  <c r="EI3" i="3"/>
  <c r="EI2" i="3"/>
  <c r="AQ10" i="3" s="1" a="1"/>
  <c r="AQ10" i="3" s="1"/>
  <c r="R49" i="1"/>
  <c r="L49" i="1"/>
  <c r="AM48" i="1"/>
  <c r="O48" i="1"/>
  <c r="I48" i="1"/>
  <c r="R47" i="1"/>
  <c r="L47" i="1"/>
  <c r="BP45" i="1"/>
  <c r="BJ45" i="1"/>
  <c r="BD45" i="1"/>
  <c r="AF45" i="1"/>
  <c r="R44" i="1"/>
  <c r="L44" i="1"/>
  <c r="BP42" i="1"/>
  <c r="BJ42" i="1"/>
  <c r="BD42" i="1"/>
  <c r="AF42" i="1"/>
  <c r="BM49" i="1"/>
  <c r="BG49" i="1"/>
  <c r="AU49" i="1"/>
  <c r="AI49" i="1"/>
  <c r="BP48" i="1"/>
  <c r="BJ48" i="1"/>
  <c r="BD48" i="1"/>
  <c r="AF48" i="1"/>
  <c r="AM49" i="1"/>
  <c r="O49" i="1"/>
  <c r="I49" i="1"/>
  <c r="R48" i="1"/>
  <c r="L48" i="1"/>
  <c r="BP49" i="1"/>
  <c r="BJ49" i="1"/>
  <c r="BD49" i="1"/>
  <c r="AF49" i="1"/>
  <c r="BM48" i="1"/>
  <c r="AQ48" i="1"/>
  <c r="AE48" i="1"/>
  <c r="AQ47" i="1"/>
  <c r="AI47" i="1"/>
  <c r="BM46" i="1"/>
  <c r="AQ46" i="1"/>
  <c r="AI45" i="1"/>
  <c r="M45" i="1"/>
  <c r="BD44" i="1"/>
  <c r="M44" i="1"/>
  <c r="BD43" i="1"/>
  <c r="AI43" i="1"/>
  <c r="M43" i="1"/>
  <c r="M42" i="1"/>
  <c r="BM41" i="1"/>
  <c r="BG41" i="1"/>
  <c r="AU41" i="1"/>
  <c r="AI41" i="1"/>
  <c r="AM40" i="1"/>
  <c r="O40" i="1"/>
  <c r="I40" i="1"/>
  <c r="AQ39" i="1"/>
  <c r="AE39" i="1"/>
  <c r="M39" i="1"/>
  <c r="BM38" i="1"/>
  <c r="BG38" i="1"/>
  <c r="AU38" i="1"/>
  <c r="AI38" i="1"/>
  <c r="AM37" i="1"/>
  <c r="O37" i="1"/>
  <c r="I37" i="1"/>
  <c r="AQ36" i="1"/>
  <c r="AE36" i="1"/>
  <c r="M36" i="1"/>
  <c r="BM35" i="1"/>
  <c r="BG35" i="1"/>
  <c r="AU35" i="1"/>
  <c r="AI35" i="1"/>
  <c r="AM34" i="1"/>
  <c r="O34" i="1"/>
  <c r="I34" i="1"/>
  <c r="AQ33" i="1"/>
  <c r="AE33" i="1"/>
  <c r="M33" i="1"/>
  <c r="BM32" i="1"/>
  <c r="BG32" i="1"/>
  <c r="AU32" i="1"/>
  <c r="AI32" i="1"/>
  <c r="AM31" i="1"/>
  <c r="O31" i="1"/>
  <c r="I31" i="1"/>
  <c r="AQ30" i="1"/>
  <c r="AE30" i="1"/>
  <c r="M30" i="1"/>
  <c r="BM29" i="1"/>
  <c r="BG29" i="1"/>
  <c r="AU29" i="1"/>
  <c r="AI29" i="1"/>
  <c r="AE49" i="1"/>
  <c r="M49" i="1"/>
  <c r="BG48" i="1"/>
  <c r="AU48" i="1"/>
  <c r="AQ49" i="1"/>
  <c r="BG47" i="1"/>
  <c r="BD46" i="1"/>
  <c r="AM46" i="1"/>
  <c r="AE46" i="1"/>
  <c r="M46" i="1"/>
  <c r="AQ45" i="1"/>
  <c r="I45" i="1"/>
  <c r="BM44" i="1"/>
  <c r="AU44" i="1"/>
  <c r="AM44" i="1"/>
  <c r="AE44" i="1"/>
  <c r="BJ43" i="1"/>
  <c r="BG42" i="1"/>
  <c r="I42" i="1"/>
  <c r="O41" i="1"/>
  <c r="BM40" i="1"/>
  <c r="BM39" i="1"/>
  <c r="O39" i="1"/>
  <c r="AQ38" i="1"/>
  <c r="BD37" i="1"/>
  <c r="AQ37" i="1"/>
  <c r="BM47" i="1"/>
  <c r="AF47" i="1"/>
  <c r="O47" i="1"/>
  <c r="AU46" i="1"/>
  <c r="L46" i="1"/>
  <c r="BG45" i="1"/>
  <c r="R43" i="1"/>
  <c r="I43" i="1"/>
  <c r="AE42" i="1"/>
  <c r="O42" i="1"/>
  <c r="AQ41" i="1"/>
  <c r="BD40" i="1"/>
  <c r="AQ40" i="1"/>
  <c r="AI39" i="1"/>
  <c r="AI48" i="1"/>
  <c r="AI46" i="1"/>
  <c r="I46" i="1"/>
  <c r="AM45" i="1"/>
  <c r="L45" i="1"/>
  <c r="BP44" i="1"/>
  <c r="BM43" i="1"/>
  <c r="AM43" i="1"/>
  <c r="BM42" i="1"/>
  <c r="AQ42" i="1"/>
  <c r="AM41" i="1"/>
  <c r="R41" i="1"/>
  <c r="AE40" i="1"/>
  <c r="BJ39" i="1"/>
  <c r="AF39" i="1"/>
  <c r="BD38" i="1"/>
  <c r="AM38" i="1"/>
  <c r="AE38" i="1"/>
  <c r="M38" i="1"/>
  <c r="BP37" i="1"/>
  <c r="AI37" i="1"/>
  <c r="R37" i="1"/>
  <c r="BM36" i="1"/>
  <c r="BD36" i="1"/>
  <c r="AU36" i="1"/>
  <c r="R36" i="1"/>
  <c r="BP35" i="1"/>
  <c r="AM35" i="1"/>
  <c r="AF35" i="1"/>
  <c r="R35" i="1"/>
  <c r="AU34" i="1"/>
  <c r="AF34" i="1"/>
  <c r="R34" i="1"/>
  <c r="BP33" i="1"/>
  <c r="AM33" i="1"/>
  <c r="AF33" i="1"/>
  <c r="BP47" i="1"/>
  <c r="I47" i="1"/>
  <c r="R46" i="1"/>
  <c r="I44" i="1"/>
  <c r="L42" i="1"/>
  <c r="M41" i="1"/>
  <c r="AU40" i="1"/>
  <c r="BG39" i="1"/>
  <c r="AU39" i="1"/>
  <c r="I39" i="1"/>
  <c r="BJ38" i="1"/>
  <c r="AF38" i="1"/>
  <c r="BM37" i="1"/>
  <c r="M37" i="1"/>
  <c r="BP36" i="1"/>
  <c r="L36" i="1"/>
  <c r="O35" i="1"/>
  <c r="BJ34" i="1"/>
  <c r="L34" i="1"/>
  <c r="O33" i="1"/>
  <c r="BJ32" i="1"/>
  <c r="L32" i="1"/>
  <c r="BP31" i="1"/>
  <c r="L31" i="1"/>
  <c r="BJ30" i="1"/>
  <c r="AU30" i="1"/>
  <c r="R30" i="1"/>
  <c r="BP29" i="1"/>
  <c r="AM29" i="1"/>
  <c r="AF29" i="1"/>
  <c r="R29" i="1"/>
  <c r="AM28" i="1"/>
  <c r="O28" i="1"/>
  <c r="I28" i="1"/>
  <c r="AQ27" i="1"/>
  <c r="AE27" i="1"/>
  <c r="M27" i="1"/>
  <c r="BM26" i="1"/>
  <c r="BG26" i="1"/>
  <c r="AU26" i="1"/>
  <c r="AI26" i="1"/>
  <c r="AM25" i="1"/>
  <c r="O25" i="1"/>
  <c r="I25" i="1"/>
  <c r="AQ24" i="1"/>
  <c r="AE24" i="1"/>
  <c r="M24" i="1"/>
  <c r="BM23" i="1"/>
  <c r="BG23" i="1"/>
  <c r="AU23" i="1"/>
  <c r="AI23" i="1"/>
  <c r="AM22" i="1"/>
  <c r="O22" i="1"/>
  <c r="I22" i="1"/>
  <c r="AE47" i="1"/>
  <c r="M47" i="1"/>
  <c r="BG46" i="1"/>
  <c r="BG44" i="1"/>
  <c r="AF44" i="1"/>
  <c r="BG43" i="1"/>
  <c r="AU43" i="1"/>
  <c r="AE43" i="1"/>
  <c r="O43" i="1"/>
  <c r="BD41" i="1"/>
  <c r="I41" i="1"/>
  <c r="M40" i="1"/>
  <c r="BP38" i="1"/>
  <c r="AF46" i="1"/>
  <c r="R45" i="1"/>
  <c r="AQ43" i="1"/>
  <c r="AU42" i="1"/>
  <c r="BJ40" i="1"/>
  <c r="AI40" i="1"/>
  <c r="I38" i="1"/>
  <c r="L37" i="1"/>
  <c r="I36" i="1"/>
  <c r="AQ35" i="1"/>
  <c r="AE35" i="1"/>
  <c r="L35" i="1"/>
  <c r="BM34" i="1"/>
  <c r="AI34" i="1"/>
  <c r="AU33" i="1"/>
  <c r="R32" i="1"/>
  <c r="I32" i="1"/>
  <c r="BM31" i="1"/>
  <c r="BD31" i="1"/>
  <c r="AE31" i="1"/>
  <c r="AI30" i="1"/>
  <c r="I30" i="1"/>
  <c r="BD29" i="1"/>
  <c r="M29" i="1"/>
  <c r="BJ28" i="1"/>
  <c r="AI28" i="1"/>
  <c r="M28" i="1"/>
  <c r="BD27" i="1"/>
  <c r="L27" i="1"/>
  <c r="BJ26" i="1"/>
  <c r="L26" i="1"/>
  <c r="BP25" i="1"/>
  <c r="L25" i="1"/>
  <c r="BJ24" i="1"/>
  <c r="AU24" i="1"/>
  <c r="R24" i="1"/>
  <c r="BP23" i="1"/>
  <c r="AM23" i="1"/>
  <c r="AF23" i="1"/>
  <c r="R23" i="1"/>
  <c r="AU22" i="1"/>
  <c r="AF22" i="1"/>
  <c r="AM47" i="1"/>
  <c r="O45" i="1"/>
  <c r="BD47" i="1"/>
  <c r="BP46" i="1"/>
  <c r="AE45" i="1"/>
  <c r="BJ44" i="1"/>
  <c r="L43" i="1"/>
  <c r="AM42" i="1"/>
  <c r="R42" i="1"/>
  <c r="AE41" i="1"/>
  <c r="BG40" i="1"/>
  <c r="BD39" i="1"/>
  <c r="AM39" i="1"/>
  <c r="R39" i="1"/>
  <c r="BJ46" i="1"/>
  <c r="AQ44" i="1"/>
  <c r="BP43" i="1"/>
  <c r="AF43" i="1"/>
  <c r="BJ41" i="1"/>
  <c r="BM45" i="1"/>
  <c r="AU45" i="1"/>
  <c r="O44" i="1"/>
  <c r="AI42" i="1"/>
  <c r="BP40" i="1"/>
  <c r="L39" i="1"/>
  <c r="M48" i="1"/>
  <c r="BJ47" i="1"/>
  <c r="AU47" i="1"/>
  <c r="O46" i="1"/>
  <c r="AI44" i="1"/>
  <c r="R40" i="1"/>
  <c r="BP39" i="1"/>
  <c r="L38" i="1"/>
  <c r="BJ37" i="1"/>
  <c r="AF36" i="1"/>
  <c r="M35" i="1"/>
  <c r="BD34" i="1"/>
  <c r="BG33" i="1"/>
  <c r="R33" i="1"/>
  <c r="AF31" i="1"/>
  <c r="AE29" i="1"/>
  <c r="BD28" i="1"/>
  <c r="AQ28" i="1"/>
  <c r="O38" i="1"/>
  <c r="AI36" i="1"/>
  <c r="BJ33" i="1"/>
  <c r="L33" i="1"/>
  <c r="BP32" i="1"/>
  <c r="BD32" i="1"/>
  <c r="O32" i="1"/>
  <c r="R31" i="1"/>
  <c r="BG30" i="1"/>
  <c r="I29" i="1"/>
  <c r="AU28" i="1"/>
  <c r="AF41" i="1"/>
  <c r="BP34" i="1"/>
  <c r="BD33" i="1"/>
  <c r="BP41" i="1"/>
  <c r="L41" i="1"/>
  <c r="AF40" i="1"/>
  <c r="BJ36" i="1"/>
  <c r="O36" i="1"/>
  <c r="BJ35" i="1"/>
  <c r="I33" i="1"/>
  <c r="L40" i="1"/>
  <c r="AF37" i="1"/>
  <c r="AE34" i="1"/>
  <c r="BM33" i="1"/>
  <c r="AI33" i="1"/>
  <c r="BD30" i="1"/>
  <c r="O30" i="1"/>
  <c r="O29" i="1"/>
  <c r="AE28" i="1"/>
  <c r="BP27" i="1"/>
  <c r="BG27" i="1"/>
  <c r="AF25" i="1"/>
  <c r="AE23" i="1"/>
  <c r="L22" i="1"/>
  <c r="AM21" i="1"/>
  <c r="AE37" i="1"/>
  <c r="BG36" i="1"/>
  <c r="AM36" i="1"/>
  <c r="I35" i="1"/>
  <c r="BG34" i="1"/>
  <c r="AQ34" i="1"/>
  <c r="M34" i="1"/>
  <c r="R38" i="1"/>
  <c r="BG37" i="1"/>
  <c r="AU37" i="1"/>
  <c r="AE32" i="1"/>
  <c r="M32" i="1"/>
  <c r="BG31" i="1"/>
  <c r="AU31" i="1"/>
  <c r="L29" i="1"/>
  <c r="L28" i="1"/>
  <c r="AU27" i="1"/>
  <c r="AM26" i="1"/>
  <c r="R26" i="1"/>
  <c r="BJ25" i="1"/>
  <c r="AQ25" i="1"/>
  <c r="AE25" i="1"/>
  <c r="BM24" i="1"/>
  <c r="BD24" i="1"/>
  <c r="BD23" i="1"/>
  <c r="O23" i="1"/>
  <c r="BG22" i="1"/>
  <c r="AU21" i="1"/>
  <c r="O21" i="1"/>
  <c r="I21" i="1"/>
  <c r="AQ20" i="1"/>
  <c r="AE20" i="1"/>
  <c r="M20" i="1"/>
  <c r="BM19" i="1"/>
  <c r="BG19" i="1"/>
  <c r="AU19" i="1"/>
  <c r="AI19" i="1"/>
  <c r="AM18" i="1"/>
  <c r="O18" i="1"/>
  <c r="I18" i="1"/>
  <c r="AQ17" i="1"/>
  <c r="AE17" i="1"/>
  <c r="M17" i="1"/>
  <c r="BM16" i="1"/>
  <c r="BG16" i="1"/>
  <c r="AU16" i="1"/>
  <c r="AI16" i="1"/>
  <c r="AM15" i="1"/>
  <c r="O15" i="1"/>
  <c r="I15" i="1"/>
  <c r="AQ14" i="1"/>
  <c r="AE14" i="1"/>
  <c r="M14" i="1"/>
  <c r="BM13" i="1"/>
  <c r="BG13" i="1"/>
  <c r="AU13" i="1"/>
  <c r="AI13" i="1"/>
  <c r="AM12" i="1"/>
  <c r="O12" i="1"/>
  <c r="I12" i="1"/>
  <c r="AQ11" i="1"/>
  <c r="AE11" i="1"/>
  <c r="M11" i="1"/>
  <c r="BM10" i="1"/>
  <c r="BG10" i="1"/>
  <c r="AU10" i="1"/>
  <c r="AI10" i="1"/>
  <c r="AM9" i="1"/>
  <c r="O9" i="1"/>
  <c r="I9" i="1"/>
  <c r="AQ8" i="1"/>
  <c r="AE8" i="1"/>
  <c r="M8" i="1"/>
  <c r="BM7" i="1"/>
  <c r="BG7" i="1"/>
  <c r="AU7" i="1"/>
  <c r="AI7" i="1"/>
  <c r="AM6" i="1"/>
  <c r="O6" i="1"/>
  <c r="I6" i="1"/>
  <c r="AQ5" i="1"/>
  <c r="AE5" i="1"/>
  <c r="M5" i="1"/>
  <c r="AM30" i="1"/>
  <c r="BM28" i="1"/>
  <c r="BM27" i="1"/>
  <c r="O27" i="1"/>
  <c r="BP26" i="1"/>
  <c r="AF24" i="1"/>
  <c r="L24" i="1"/>
  <c r="M23" i="1"/>
  <c r="BP22" i="1"/>
  <c r="R22" i="1"/>
  <c r="BG21" i="1"/>
  <c r="AF21" i="1"/>
  <c r="R20" i="1"/>
  <c r="L20" i="1"/>
  <c r="BP18" i="1"/>
  <c r="BJ18" i="1"/>
  <c r="BD18" i="1"/>
  <c r="AF18" i="1"/>
  <c r="R17" i="1"/>
  <c r="L17" i="1"/>
  <c r="BP15" i="1"/>
  <c r="BJ15" i="1"/>
  <c r="BD15" i="1"/>
  <c r="AF15" i="1"/>
  <c r="R14" i="1"/>
  <c r="L14" i="1"/>
  <c r="BP12" i="1"/>
  <c r="BJ12" i="1"/>
  <c r="BD12" i="1"/>
  <c r="AF12" i="1"/>
  <c r="R11" i="1"/>
  <c r="L11" i="1"/>
  <c r="BP9" i="1"/>
  <c r="BJ9" i="1"/>
  <c r="BD9" i="1"/>
  <c r="AF9" i="1"/>
  <c r="R8" i="1"/>
  <c r="L8" i="1"/>
  <c r="BP6" i="1"/>
  <c r="BJ6" i="1"/>
  <c r="BD6" i="1"/>
  <c r="AF6" i="1"/>
  <c r="R5" i="1"/>
  <c r="L5" i="1"/>
  <c r="AQ32" i="1"/>
  <c r="AQ31" i="1"/>
  <c r="AI27" i="1"/>
  <c r="O26" i="1"/>
  <c r="BG25" i="1"/>
  <c r="R25" i="1"/>
  <c r="I24" i="1"/>
  <c r="AQ23" i="1"/>
  <c r="L23" i="1"/>
  <c r="BD22" i="1"/>
  <c r="BM21" i="1"/>
  <c r="AE21" i="1"/>
  <c r="M21" i="1"/>
  <c r="BD35" i="1"/>
  <c r="AM32" i="1"/>
  <c r="AF30" i="1"/>
  <c r="BJ29" i="1"/>
  <c r="AQ29" i="1"/>
  <c r="R28" i="1"/>
  <c r="BJ27" i="1"/>
  <c r="AF27" i="1"/>
  <c r="BD26" i="1"/>
  <c r="BD25" i="1"/>
  <c r="AU25" i="1"/>
  <c r="BG24" i="1"/>
  <c r="AM24" i="1"/>
  <c r="BJ23" i="1"/>
  <c r="I23" i="1"/>
  <c r="BM22" i="1"/>
  <c r="AI22" i="1"/>
  <c r="BD21" i="1"/>
  <c r="AQ21" i="1"/>
  <c r="R21" i="1"/>
  <c r="L21" i="1"/>
  <c r="BP30" i="1"/>
  <c r="L30" i="1"/>
  <c r="AF28" i="1"/>
  <c r="AQ26" i="1"/>
  <c r="AF26" i="1"/>
  <c r="M26" i="1"/>
  <c r="BM25" i="1"/>
  <c r="BP24" i="1"/>
  <c r="AQ22" i="1"/>
  <c r="BJ21" i="1"/>
  <c r="AI21" i="1"/>
  <c r="AM20" i="1"/>
  <c r="O20" i="1"/>
  <c r="I20" i="1"/>
  <c r="AQ19" i="1"/>
  <c r="AE19" i="1"/>
  <c r="M19" i="1"/>
  <c r="BM18" i="1"/>
  <c r="BG18" i="1"/>
  <c r="AU18" i="1"/>
  <c r="AI18" i="1"/>
  <c r="AM17" i="1"/>
  <c r="O17" i="1"/>
  <c r="I17" i="1"/>
  <c r="AQ16" i="1"/>
  <c r="AE16" i="1"/>
  <c r="M16" i="1"/>
  <c r="BM15" i="1"/>
  <c r="BG15" i="1"/>
  <c r="AU15" i="1"/>
  <c r="AI15" i="1"/>
  <c r="AM14" i="1"/>
  <c r="O14" i="1"/>
  <c r="I14" i="1"/>
  <c r="AQ13" i="1"/>
  <c r="AE13" i="1"/>
  <c r="M13" i="1"/>
  <c r="BM12" i="1"/>
  <c r="BG12" i="1"/>
  <c r="AU12" i="1"/>
  <c r="AI12" i="1"/>
  <c r="AM11" i="1"/>
  <c r="O11" i="1"/>
  <c r="I11" i="1"/>
  <c r="AQ10" i="1"/>
  <c r="AE10" i="1"/>
  <c r="M10" i="1"/>
  <c r="BM9" i="1"/>
  <c r="BG9" i="1"/>
  <c r="AU9" i="1"/>
  <c r="AI9" i="1"/>
  <c r="AF32" i="1"/>
  <c r="BJ31" i="1"/>
  <c r="AI31" i="1"/>
  <c r="M31" i="1"/>
  <c r="BM30" i="1"/>
  <c r="BP28" i="1"/>
  <c r="BG28" i="1"/>
  <c r="AM27" i="1"/>
  <c r="R27" i="1"/>
  <c r="I27" i="1"/>
  <c r="AE26" i="1"/>
  <c r="I26" i="1"/>
  <c r="AI25" i="1"/>
  <c r="M25" i="1"/>
  <c r="AI24" i="1"/>
  <c r="O24" i="1"/>
  <c r="BJ22" i="1"/>
  <c r="AE22" i="1"/>
  <c r="M22" i="1"/>
  <c r="BP21" i="1"/>
  <c r="BP20" i="1"/>
  <c r="BJ20" i="1"/>
  <c r="BD20" i="1"/>
  <c r="AF20" i="1"/>
  <c r="R19" i="1"/>
  <c r="L19" i="1"/>
  <c r="BP17" i="1"/>
  <c r="BJ17" i="1"/>
  <c r="BD17" i="1"/>
  <c r="AF17" i="1"/>
  <c r="R16" i="1"/>
  <c r="L16" i="1"/>
  <c r="BP14" i="1"/>
  <c r="BJ14" i="1"/>
  <c r="BD14" i="1"/>
  <c r="AF14" i="1"/>
  <c r="R13" i="1"/>
  <c r="L13" i="1"/>
  <c r="BP11" i="1"/>
  <c r="BJ11" i="1"/>
  <c r="BD11" i="1"/>
  <c r="AF11" i="1"/>
  <c r="R10" i="1"/>
  <c r="L10" i="1"/>
  <c r="BP8" i="1"/>
  <c r="BJ8" i="1"/>
  <c r="BD8" i="1"/>
  <c r="AI20" i="1"/>
  <c r="O19" i="1"/>
  <c r="R18" i="1"/>
  <c r="AU17" i="1"/>
  <c r="I16" i="1"/>
  <c r="L15" i="1"/>
  <c r="AM13" i="1"/>
  <c r="AI11" i="1"/>
  <c r="O10" i="1"/>
  <c r="AE9" i="1"/>
  <c r="M9" i="1"/>
  <c r="BG8" i="1"/>
  <c r="AM7" i="1"/>
  <c r="AE7" i="1"/>
  <c r="M7" i="1"/>
  <c r="BG6" i="1"/>
  <c r="BJ5" i="1"/>
  <c r="BM20" i="1"/>
  <c r="BP19" i="1"/>
  <c r="AF19" i="1"/>
  <c r="AE18" i="1"/>
  <c r="M18" i="1"/>
  <c r="BG17" i="1"/>
  <c r="BJ16" i="1"/>
  <c r="AQ15" i="1"/>
  <c r="BD13" i="1"/>
  <c r="BM11" i="1"/>
  <c r="BP10" i="1"/>
  <c r="AF10" i="1"/>
  <c r="L9" i="1"/>
  <c r="AI8" i="1"/>
  <c r="I8" i="1"/>
  <c r="BD7" i="1"/>
  <c r="L7" i="1"/>
  <c r="AE6" i="1"/>
  <c r="M6" i="1"/>
  <c r="BG5" i="1"/>
  <c r="AU20" i="1"/>
  <c r="I19" i="1"/>
  <c r="L18" i="1"/>
  <c r="AM16" i="1"/>
  <c r="AI14" i="1"/>
  <c r="O13" i="1"/>
  <c r="R12" i="1"/>
  <c r="AU11" i="1"/>
  <c r="I10" i="1"/>
  <c r="AQ9" i="1"/>
  <c r="I7" i="1"/>
  <c r="BM6" i="1"/>
  <c r="L6" i="1"/>
  <c r="BP5" i="1"/>
  <c r="AF5" i="1"/>
  <c r="L12" i="1"/>
  <c r="BM8" i="1"/>
  <c r="O7" i="1"/>
  <c r="BG20" i="1"/>
  <c r="BJ19" i="1"/>
  <c r="AQ18" i="1"/>
  <c r="BD16" i="1"/>
  <c r="BM14" i="1"/>
  <c r="BP13" i="1"/>
  <c r="AF13" i="1"/>
  <c r="AE12" i="1"/>
  <c r="M12" i="1"/>
  <c r="BG11" i="1"/>
  <c r="BJ10" i="1"/>
  <c r="O8" i="1"/>
  <c r="BJ7" i="1"/>
  <c r="R7" i="1"/>
  <c r="AU6" i="1"/>
  <c r="BM5" i="1"/>
  <c r="AU5" i="1"/>
  <c r="AM5" i="1"/>
  <c r="AM10" i="1"/>
  <c r="AF8" i="1"/>
  <c r="AQ7" i="1"/>
  <c r="R6" i="1"/>
  <c r="BD5" i="1"/>
  <c r="AM19" i="1"/>
  <c r="AI17" i="1"/>
  <c r="O16" i="1"/>
  <c r="R15" i="1"/>
  <c r="AU14" i="1"/>
  <c r="I13" i="1"/>
  <c r="BD19" i="1"/>
  <c r="BM17" i="1"/>
  <c r="BP16" i="1"/>
  <c r="AF16" i="1"/>
  <c r="AE15" i="1"/>
  <c r="M15" i="1"/>
  <c r="BG14" i="1"/>
  <c r="BJ13" i="1"/>
  <c r="AQ12" i="1"/>
  <c r="BD10" i="1"/>
  <c r="R9" i="1"/>
  <c r="AU8" i="1"/>
  <c r="AM8" i="1"/>
  <c r="BP7" i="1"/>
  <c r="AF7" i="1"/>
  <c r="AQ6" i="1"/>
  <c r="AI6" i="1"/>
  <c r="AI5" i="1"/>
  <c r="I5" i="1"/>
  <c r="O5" i="1"/>
  <c r="O50" i="1" l="1"/>
  <c r="P5" i="1"/>
  <c r="I50" i="1"/>
  <c r="AV5" i="1"/>
  <c r="U5" i="1"/>
  <c r="K5" i="1"/>
  <c r="J5" i="1"/>
  <c r="AI50" i="1"/>
  <c r="AG7" i="1"/>
  <c r="AH7" i="1" s="1"/>
  <c r="Z9" i="1"/>
  <c r="T9" i="1"/>
  <c r="AJ9" i="1"/>
  <c r="AK9" i="1" s="1"/>
  <c r="AL9" i="1" s="1"/>
  <c r="BH14" i="1"/>
  <c r="AR15" i="1"/>
  <c r="AS15" i="1" s="1"/>
  <c r="AT15" i="1" s="1"/>
  <c r="N15" i="1"/>
  <c r="Q15" i="1"/>
  <c r="X15" i="1"/>
  <c r="Y15" i="1" s="1"/>
  <c r="AG16" i="1"/>
  <c r="AH16" i="1" s="1"/>
  <c r="BN17" i="1"/>
  <c r="K13" i="1"/>
  <c r="J13" i="1"/>
  <c r="AV13" i="1"/>
  <c r="AW13" i="1" s="1"/>
  <c r="AX13" i="1" s="1"/>
  <c r="U13" i="1"/>
  <c r="Z15" i="1"/>
  <c r="T15" i="1"/>
  <c r="S15" i="1"/>
  <c r="AJ15" i="1"/>
  <c r="AK15" i="1" s="1"/>
  <c r="AL15" i="1" s="1"/>
  <c r="P16" i="1"/>
  <c r="BD50" i="1"/>
  <c r="BE5" i="1"/>
  <c r="Z6" i="1"/>
  <c r="T6" i="1"/>
  <c r="AC6" i="1"/>
  <c r="S6" i="1"/>
  <c r="AJ6" i="1"/>
  <c r="AK6" i="1" s="1"/>
  <c r="AL6" i="1" s="1"/>
  <c r="AG8" i="1"/>
  <c r="AH8" i="1" s="1"/>
  <c r="AM50" i="1"/>
  <c r="AU50" i="1"/>
  <c r="AY50" i="1" s="1"/>
  <c r="BM50" i="1"/>
  <c r="BN5" i="1"/>
  <c r="T7" i="1"/>
  <c r="S7" i="1"/>
  <c r="AJ7" i="1"/>
  <c r="AK7" i="1" s="1"/>
  <c r="AL7" i="1" s="1"/>
  <c r="Z7" i="1"/>
  <c r="BK7" i="1"/>
  <c r="P8" i="1"/>
  <c r="BH11" i="1"/>
  <c r="AR12" i="1"/>
  <c r="AS12" i="1" s="1"/>
  <c r="AT12" i="1" s="1"/>
  <c r="N12" i="1"/>
  <c r="Q12" i="1"/>
  <c r="X12" i="1"/>
  <c r="Y12" i="1" s="1"/>
  <c r="AG13" i="1"/>
  <c r="AH13" i="1" s="1"/>
  <c r="BQ13" i="1"/>
  <c r="BN14" i="1"/>
  <c r="BH20" i="1"/>
  <c r="P7" i="1"/>
  <c r="BN8" i="1"/>
  <c r="AF50" i="1"/>
  <c r="AG5" i="1"/>
  <c r="AH5" i="1" s="1"/>
  <c r="BP50" i="1"/>
  <c r="BQ5" i="1"/>
  <c r="BN6" i="1"/>
  <c r="K7" i="1"/>
  <c r="J7" i="1"/>
  <c r="U7" i="1"/>
  <c r="AV7" i="1"/>
  <c r="AW7" i="1" s="1"/>
  <c r="AX7" i="1" s="1"/>
  <c r="K10" i="1"/>
  <c r="J10" i="1"/>
  <c r="AV10" i="1"/>
  <c r="AW10" i="1" s="1"/>
  <c r="AX10" i="1" s="1"/>
  <c r="U10" i="1"/>
  <c r="Z12" i="1"/>
  <c r="T12" i="1"/>
  <c r="S12" i="1"/>
  <c r="AJ12" i="1"/>
  <c r="AK12" i="1" s="1"/>
  <c r="AL12" i="1" s="1"/>
  <c r="P13" i="1"/>
  <c r="K19" i="1"/>
  <c r="J19" i="1"/>
  <c r="AV19" i="1"/>
  <c r="AW19" i="1" s="1"/>
  <c r="AX19" i="1" s="1"/>
  <c r="U19" i="1"/>
  <c r="BG50" i="1"/>
  <c r="BH5" i="1"/>
  <c r="AR6" i="1"/>
  <c r="AS6" i="1" s="1"/>
  <c r="AT6" i="1" s="1"/>
  <c r="N6" i="1"/>
  <c r="X6" i="1"/>
  <c r="Y6" i="1" s="1"/>
  <c r="Q6" i="1"/>
  <c r="AV8" i="1"/>
  <c r="AW8" i="1" s="1"/>
  <c r="AX8" i="1" s="1"/>
  <c r="J8" i="1"/>
  <c r="U8" i="1"/>
  <c r="K8" i="1"/>
  <c r="AG10" i="1"/>
  <c r="AH10" i="1" s="1"/>
  <c r="BN11" i="1"/>
  <c r="BH17" i="1"/>
  <c r="AR18" i="1"/>
  <c r="AS18" i="1" s="1"/>
  <c r="AT18" i="1" s="1"/>
  <c r="N18" i="1"/>
  <c r="Q18" i="1"/>
  <c r="X18" i="1"/>
  <c r="Y18" i="1" s="1"/>
  <c r="AG19" i="1"/>
  <c r="AH19" i="1" s="1"/>
  <c r="BQ19" i="1"/>
  <c r="BN20" i="1"/>
  <c r="BJ50" i="1"/>
  <c r="BH6" i="1"/>
  <c r="Q7" i="1"/>
  <c r="AR7" i="1"/>
  <c r="AS7" i="1" s="1"/>
  <c r="AT7" i="1" s="1"/>
  <c r="X7" i="1"/>
  <c r="Y7" i="1" s="1"/>
  <c r="N7" i="1"/>
  <c r="BH8" i="1"/>
  <c r="AR9" i="1"/>
  <c r="AS9" i="1" s="1"/>
  <c r="AT9" i="1" s="1"/>
  <c r="N9" i="1"/>
  <c r="Q9" i="1"/>
  <c r="X9" i="1"/>
  <c r="Y9" i="1" s="1"/>
  <c r="P10" i="1"/>
  <c r="K16" i="1"/>
  <c r="J16" i="1"/>
  <c r="AV16" i="1"/>
  <c r="AW16" i="1" s="1"/>
  <c r="AX16" i="1" s="1"/>
  <c r="U16" i="1"/>
  <c r="Z18" i="1"/>
  <c r="T18" i="1"/>
  <c r="AJ18" i="1"/>
  <c r="AK18" i="1" s="1"/>
  <c r="AL18" i="1" s="1"/>
  <c r="S18" i="1"/>
  <c r="P19" i="1"/>
  <c r="BK8" i="1"/>
  <c r="BQ8" i="1"/>
  <c r="S10" i="1"/>
  <c r="AJ10" i="1"/>
  <c r="AK10" i="1" s="1"/>
  <c r="AL10" i="1" s="1"/>
  <c r="Z10" i="1"/>
  <c r="T10" i="1"/>
  <c r="AG11" i="1"/>
  <c r="AH11" i="1" s="1"/>
  <c r="BQ11" i="1"/>
  <c r="S13" i="1"/>
  <c r="AJ13" i="1"/>
  <c r="AK13" i="1" s="1"/>
  <c r="AL13" i="1" s="1"/>
  <c r="T13" i="1"/>
  <c r="Z13" i="1"/>
  <c r="AG14" i="1"/>
  <c r="AH14" i="1" s="1"/>
  <c r="BQ14" i="1"/>
  <c r="S16" i="1"/>
  <c r="AJ16" i="1"/>
  <c r="AK16" i="1" s="1"/>
  <c r="AL16" i="1" s="1"/>
  <c r="Z16" i="1"/>
  <c r="T16" i="1"/>
  <c r="AG17" i="1"/>
  <c r="AH17" i="1" s="1"/>
  <c r="BQ17" i="1"/>
  <c r="S19" i="1"/>
  <c r="AJ19" i="1"/>
  <c r="AK19" i="1" s="1"/>
  <c r="AL19" i="1" s="1"/>
  <c r="Z19" i="1"/>
  <c r="T19" i="1"/>
  <c r="AG20" i="1"/>
  <c r="AH20" i="1" s="1"/>
  <c r="BK20" i="1"/>
  <c r="BQ20" i="1"/>
  <c r="BQ21" i="1"/>
  <c r="AR22" i="1"/>
  <c r="AS22" i="1" s="1"/>
  <c r="AT22" i="1" s="1"/>
  <c r="Q22" i="1"/>
  <c r="X22" i="1"/>
  <c r="Y22" i="1" s="1"/>
  <c r="N22" i="1"/>
  <c r="P24" i="1"/>
  <c r="X25" i="1"/>
  <c r="Q25" i="1"/>
  <c r="N25" i="1"/>
  <c r="AR25" i="1"/>
  <c r="AS25" i="1" s="1"/>
  <c r="AT25" i="1" s="1"/>
  <c r="AV26" i="1"/>
  <c r="AW26" i="1" s="1"/>
  <c r="AX26" i="1" s="1"/>
  <c r="J26" i="1"/>
  <c r="U26" i="1"/>
  <c r="AV27" i="1"/>
  <c r="AW27" i="1" s="1"/>
  <c r="AX27" i="1" s="1"/>
  <c r="K27" i="1"/>
  <c r="U27" i="1"/>
  <c r="AJ27" i="1"/>
  <c r="AK27" i="1" s="1"/>
  <c r="AL27" i="1" s="1"/>
  <c r="Z27" i="1"/>
  <c r="BH28" i="1"/>
  <c r="BQ28" i="1"/>
  <c r="BN30" i="1"/>
  <c r="N31" i="1"/>
  <c r="X31" i="1"/>
  <c r="Y31" i="1" s="1"/>
  <c r="AR31" i="1"/>
  <c r="AS31" i="1" s="1"/>
  <c r="AT31" i="1" s="1"/>
  <c r="Q31" i="1"/>
  <c r="BK31" i="1"/>
  <c r="AG32" i="1"/>
  <c r="AH32" i="1" s="1"/>
  <c r="Q10" i="1"/>
  <c r="X10" i="1"/>
  <c r="N10" i="1"/>
  <c r="AR10" i="1"/>
  <c r="AS10" i="1" s="1"/>
  <c r="AT10" i="1" s="1"/>
  <c r="AV11" i="1"/>
  <c r="AW11" i="1" s="1"/>
  <c r="AX11" i="1" s="1"/>
  <c r="U11" i="1"/>
  <c r="K11" i="1"/>
  <c r="J11" i="1"/>
  <c r="P11" i="1"/>
  <c r="BN12" i="1"/>
  <c r="Q13" i="1"/>
  <c r="X13" i="1"/>
  <c r="Y13" i="1" s="1"/>
  <c r="N13" i="1"/>
  <c r="AR13" i="1"/>
  <c r="AS13" i="1" s="1"/>
  <c r="AT13" i="1" s="1"/>
  <c r="AV14" i="1"/>
  <c r="AW14" i="1" s="1"/>
  <c r="AX14" i="1" s="1"/>
  <c r="U14" i="1"/>
  <c r="K14" i="1"/>
  <c r="J14" i="1"/>
  <c r="P14" i="1"/>
  <c r="Q16" i="1"/>
  <c r="X16" i="1"/>
  <c r="Y16" i="1" s="1"/>
  <c r="AR16" i="1"/>
  <c r="AS16" i="1" s="1"/>
  <c r="AT16" i="1" s="1"/>
  <c r="N16" i="1"/>
  <c r="AV17" i="1"/>
  <c r="AW17" i="1" s="1"/>
  <c r="AX17" i="1" s="1"/>
  <c r="U17" i="1"/>
  <c r="K17" i="1"/>
  <c r="J17" i="1"/>
  <c r="P17" i="1"/>
  <c r="Q19" i="1"/>
  <c r="X19" i="1"/>
  <c r="Y19" i="1" s="1"/>
  <c r="N19" i="1"/>
  <c r="AR19" i="1"/>
  <c r="AS19" i="1" s="1"/>
  <c r="AT19" i="1" s="1"/>
  <c r="AV20" i="1"/>
  <c r="AW20" i="1" s="1"/>
  <c r="AX20" i="1" s="1"/>
  <c r="U20" i="1"/>
  <c r="K20" i="1"/>
  <c r="J20" i="1"/>
  <c r="P20" i="1"/>
  <c r="BK21" i="1"/>
  <c r="Q26" i="1"/>
  <c r="AR26" i="1"/>
  <c r="AS26" i="1" s="1"/>
  <c r="AT26" i="1" s="1"/>
  <c r="X26" i="1"/>
  <c r="Y26" i="1" s="1"/>
  <c r="N26" i="1"/>
  <c r="AG26" i="1"/>
  <c r="AH26" i="1" s="1"/>
  <c r="AG28" i="1"/>
  <c r="AH28" i="1" s="1"/>
  <c r="BQ30" i="1"/>
  <c r="Z21" i="1"/>
  <c r="T21" i="1"/>
  <c r="S21" i="1"/>
  <c r="AJ21" i="1"/>
  <c r="AK21" i="1" s="1"/>
  <c r="AL21" i="1" s="1"/>
  <c r="K23" i="1"/>
  <c r="J23" i="1"/>
  <c r="U23" i="1"/>
  <c r="AV23" i="1"/>
  <c r="AW23" i="1" s="1"/>
  <c r="AX23" i="1" s="1"/>
  <c r="BK23" i="1"/>
  <c r="BE25" i="1"/>
  <c r="BE26" i="1"/>
  <c r="AG27" i="1"/>
  <c r="AH27" i="1" s="1"/>
  <c r="T28" i="1"/>
  <c r="AJ28" i="1"/>
  <c r="AK28" i="1" s="1"/>
  <c r="AL28" i="1" s="1"/>
  <c r="S28" i="1"/>
  <c r="Z28" i="1"/>
  <c r="BK29" i="1"/>
  <c r="AG30" i="1"/>
  <c r="AH30" i="1" s="1"/>
  <c r="N21" i="1"/>
  <c r="AR21" i="1"/>
  <c r="AS21" i="1" s="1"/>
  <c r="AT21" i="1" s="1"/>
  <c r="X21" i="1"/>
  <c r="Y21" i="1" s="1"/>
  <c r="Q21" i="1"/>
  <c r="U24" i="1"/>
  <c r="AV24" i="1"/>
  <c r="AW24" i="1" s="1"/>
  <c r="AX24" i="1" s="1"/>
  <c r="Z25" i="1"/>
  <c r="AJ25" i="1"/>
  <c r="AK25" i="1" s="1"/>
  <c r="AL25" i="1" s="1"/>
  <c r="P26" i="1"/>
  <c r="L50" i="1"/>
  <c r="R50" i="1"/>
  <c r="S5" i="1"/>
  <c r="AJ5" i="1"/>
  <c r="Z5" i="1"/>
  <c r="T5" i="1"/>
  <c r="AG6" i="1"/>
  <c r="AH6" i="1" s="1"/>
  <c r="BE6" i="1"/>
  <c r="BK6" i="1"/>
  <c r="AJ8" i="1"/>
  <c r="AK8" i="1" s="1"/>
  <c r="AL8" i="1" s="1"/>
  <c r="Z8" i="1"/>
  <c r="AG9" i="1"/>
  <c r="AH9" i="1" s="1"/>
  <c r="BQ9" i="1"/>
  <c r="AJ11" i="1"/>
  <c r="AK11" i="1" s="1"/>
  <c r="AL11" i="1" s="1"/>
  <c r="Z11" i="1"/>
  <c r="T11" i="1"/>
  <c r="AG12" i="1"/>
  <c r="AH12" i="1" s="1"/>
  <c r="BE12" i="1"/>
  <c r="BK12" i="1"/>
  <c r="BQ12" i="1"/>
  <c r="AJ14" i="1"/>
  <c r="AK14" i="1" s="1"/>
  <c r="AL14" i="1" s="1"/>
  <c r="Z14" i="1"/>
  <c r="T14" i="1"/>
  <c r="AG15" i="1"/>
  <c r="AH15" i="1" s="1"/>
  <c r="BK15" i="1"/>
  <c r="BQ15" i="1"/>
  <c r="S17" i="1"/>
  <c r="AJ17" i="1"/>
  <c r="AK17" i="1" s="1"/>
  <c r="AL17" i="1" s="1"/>
  <c r="Z17" i="1"/>
  <c r="AG18" i="1"/>
  <c r="AH18" i="1" s="1"/>
  <c r="BQ18" i="1"/>
  <c r="AJ20" i="1"/>
  <c r="AK20" i="1" s="1"/>
  <c r="AL20" i="1" s="1"/>
  <c r="Z20" i="1"/>
  <c r="AG21" i="1"/>
  <c r="AH21" i="1" s="1"/>
  <c r="BH21" i="1"/>
  <c r="AJ22" i="1"/>
  <c r="AK22" i="1" s="1"/>
  <c r="AL22" i="1" s="1"/>
  <c r="T22" i="1"/>
  <c r="Z22" i="1"/>
  <c r="Q23" i="1"/>
  <c r="N23" i="1"/>
  <c r="AR23" i="1"/>
  <c r="AS23" i="1" s="1"/>
  <c r="AT23" i="1" s="1"/>
  <c r="X23" i="1"/>
  <c r="Y23" i="1" s="1"/>
  <c r="AG24" i="1"/>
  <c r="AH24" i="1" s="1"/>
  <c r="P27" i="1"/>
  <c r="BN27" i="1"/>
  <c r="BN28" i="1"/>
  <c r="M50" i="1"/>
  <c r="X5" i="1"/>
  <c r="AR5" i="1"/>
  <c r="N5" i="1"/>
  <c r="Q5" i="1"/>
  <c r="AE50" i="1"/>
  <c r="AQ50" i="1"/>
  <c r="U6" i="1"/>
  <c r="AV6" i="1"/>
  <c r="AW6" i="1" s="1"/>
  <c r="AX6" i="1" s="1"/>
  <c r="AD6" i="1"/>
  <c r="J6" i="1"/>
  <c r="K6" i="1"/>
  <c r="P6" i="1"/>
  <c r="BH7" i="1"/>
  <c r="BN7" i="1"/>
  <c r="X8" i="1"/>
  <c r="Y8" i="1" s="1"/>
  <c r="Q8" i="1"/>
  <c r="AR8" i="1"/>
  <c r="AS8" i="1" s="1"/>
  <c r="AT8" i="1" s="1"/>
  <c r="N8" i="1"/>
  <c r="U9" i="1"/>
  <c r="K9" i="1"/>
  <c r="J9" i="1"/>
  <c r="AV9" i="1"/>
  <c r="AW9" i="1" s="1"/>
  <c r="AX9" i="1" s="1"/>
  <c r="P9" i="1"/>
  <c r="BH10" i="1"/>
  <c r="BN10" i="1"/>
  <c r="X11" i="1"/>
  <c r="Y11" i="1" s="1"/>
  <c r="AR11" i="1"/>
  <c r="AS11" i="1" s="1"/>
  <c r="AT11" i="1" s="1"/>
  <c r="N11" i="1"/>
  <c r="Q11" i="1"/>
  <c r="U12" i="1"/>
  <c r="K12" i="1"/>
  <c r="J12" i="1"/>
  <c r="AV12" i="1"/>
  <c r="AW12" i="1" s="1"/>
  <c r="AX12" i="1" s="1"/>
  <c r="P12" i="1"/>
  <c r="BN13" i="1"/>
  <c r="X14" i="1"/>
  <c r="AR14" i="1"/>
  <c r="AS14" i="1" s="1"/>
  <c r="AT14" i="1" s="1"/>
  <c r="N14" i="1"/>
  <c r="Q14" i="1"/>
  <c r="U15" i="1"/>
  <c r="AV15" i="1"/>
  <c r="AW15" i="1" s="1"/>
  <c r="AX15" i="1" s="1"/>
  <c r="P15" i="1"/>
  <c r="BN16" i="1"/>
  <c r="X17" i="1"/>
  <c r="Y17" i="1" s="1"/>
  <c r="AR17" i="1"/>
  <c r="AS17" i="1" s="1"/>
  <c r="AT17" i="1" s="1"/>
  <c r="N17" i="1"/>
  <c r="Q17" i="1"/>
  <c r="U18" i="1"/>
  <c r="AV18" i="1"/>
  <c r="AW18" i="1" s="1"/>
  <c r="AX18" i="1" s="1"/>
  <c r="P18" i="1"/>
  <c r="BH19" i="1"/>
  <c r="BN19" i="1"/>
  <c r="X20" i="1"/>
  <c r="AR20" i="1"/>
  <c r="AS20" i="1" s="1"/>
  <c r="AT20" i="1" s="1"/>
  <c r="N20" i="1"/>
  <c r="Q20" i="1"/>
  <c r="U21" i="1"/>
  <c r="AV21" i="1"/>
  <c r="AW21" i="1" s="1"/>
  <c r="AX21" i="1" s="1"/>
  <c r="P21" i="1"/>
  <c r="P23" i="1"/>
  <c r="BE23" i="1"/>
  <c r="BN24" i="1"/>
  <c r="Z26" i="1"/>
  <c r="S26" i="1"/>
  <c r="AJ26" i="1"/>
  <c r="AK26" i="1" s="1"/>
  <c r="AL26" i="1" s="1"/>
  <c r="BH31" i="1"/>
  <c r="Q32" i="1"/>
  <c r="AR32" i="1"/>
  <c r="AS32" i="1" s="1"/>
  <c r="AT32" i="1" s="1"/>
  <c r="X32" i="1"/>
  <c r="N32" i="1"/>
  <c r="AJ38" i="1"/>
  <c r="AK38" i="1" s="1"/>
  <c r="AL38" i="1" s="1"/>
  <c r="Z38" i="1"/>
  <c r="S38" i="1"/>
  <c r="AR34" i="1"/>
  <c r="AS34" i="1" s="1"/>
  <c r="AT34" i="1" s="1"/>
  <c r="X34" i="1"/>
  <c r="Y34" i="1" s="1"/>
  <c r="N34" i="1"/>
  <c r="Q34" i="1"/>
  <c r="BH34" i="1"/>
  <c r="K35" i="1"/>
  <c r="J35" i="1"/>
  <c r="U35" i="1"/>
  <c r="AV35" i="1"/>
  <c r="AW35" i="1" s="1"/>
  <c r="AX35" i="1" s="1"/>
  <c r="AG25" i="1"/>
  <c r="AH25" i="1" s="1"/>
  <c r="BH27" i="1"/>
  <c r="P29" i="1"/>
  <c r="P30" i="1"/>
  <c r="BN33" i="1"/>
  <c r="AG37" i="1"/>
  <c r="AH37" i="1" s="1"/>
  <c r="J33" i="1"/>
  <c r="AV33" i="1"/>
  <c r="AW33" i="1" s="1"/>
  <c r="AX33" i="1" s="1"/>
  <c r="K33" i="1"/>
  <c r="U33" i="1"/>
  <c r="AD33" i="1"/>
  <c r="BK35" i="1"/>
  <c r="P36" i="1"/>
  <c r="AG40" i="1"/>
  <c r="AH40" i="1" s="1"/>
  <c r="BQ41" i="1"/>
  <c r="BE33" i="1"/>
  <c r="BQ34" i="1"/>
  <c r="AG41" i="1"/>
  <c r="AH41" i="1" s="1"/>
  <c r="K29" i="1"/>
  <c r="AV29" i="1"/>
  <c r="AW29" i="1" s="1"/>
  <c r="AX29" i="1" s="1"/>
  <c r="U29" i="1"/>
  <c r="J29" i="1"/>
  <c r="BH30" i="1"/>
  <c r="Z31" i="1"/>
  <c r="S31" i="1"/>
  <c r="AC31" i="1"/>
  <c r="T31" i="1"/>
  <c r="AJ31" i="1"/>
  <c r="AK31" i="1" s="1"/>
  <c r="AL31" i="1" s="1"/>
  <c r="P32" i="1"/>
  <c r="BK33" i="1"/>
  <c r="P38" i="1"/>
  <c r="BE28" i="1"/>
  <c r="AG31" i="1"/>
  <c r="AH31" i="1" s="1"/>
  <c r="AJ33" i="1"/>
  <c r="AK33" i="1" s="1"/>
  <c r="AL33" i="1" s="1"/>
  <c r="Z33" i="1"/>
  <c r="Q35" i="1"/>
  <c r="X35" i="1"/>
  <c r="AR35" i="1"/>
  <c r="AS35" i="1" s="1"/>
  <c r="AT35" i="1" s="1"/>
  <c r="N35" i="1"/>
  <c r="AG36" i="1"/>
  <c r="AH36" i="1" s="1"/>
  <c r="AJ40" i="1"/>
  <c r="AK40" i="1" s="1"/>
  <c r="AL40" i="1" s="1"/>
  <c r="S40" i="1"/>
  <c r="T40" i="1"/>
  <c r="Z40" i="1"/>
  <c r="P46" i="1"/>
  <c r="BK47" i="1"/>
  <c r="AR48" i="1"/>
  <c r="AS48" i="1" s="1"/>
  <c r="AT48" i="1" s="1"/>
  <c r="N48" i="1"/>
  <c r="X48" i="1"/>
  <c r="Y48" i="1" s="1"/>
  <c r="Q48" i="1"/>
  <c r="BQ40" i="1"/>
  <c r="P44" i="1"/>
  <c r="BK41" i="1"/>
  <c r="AG43" i="1"/>
  <c r="AH43" i="1" s="1"/>
  <c r="BQ43" i="1"/>
  <c r="BK46" i="1"/>
  <c r="AJ39" i="1"/>
  <c r="AK39" i="1" s="1"/>
  <c r="AL39" i="1" s="1"/>
  <c r="T39" i="1"/>
  <c r="Z39" i="1"/>
  <c r="BH40" i="1"/>
  <c r="Z42" i="1"/>
  <c r="AJ42" i="1"/>
  <c r="AK42" i="1" s="1"/>
  <c r="AL42" i="1" s="1"/>
  <c r="BK44" i="1"/>
  <c r="BQ46" i="1"/>
  <c r="BE47" i="1"/>
  <c r="P45" i="1"/>
  <c r="AG22" i="1"/>
  <c r="AH22" i="1" s="1"/>
  <c r="AJ23" i="1"/>
  <c r="AK23" i="1" s="1"/>
  <c r="AL23" i="1" s="1"/>
  <c r="Z23" i="1"/>
  <c r="T23" i="1"/>
  <c r="S23" i="1"/>
  <c r="AG23" i="1"/>
  <c r="AH23" i="1" s="1"/>
  <c r="BQ23" i="1"/>
  <c r="Z24" i="1"/>
  <c r="AJ24" i="1"/>
  <c r="AK24" i="1" s="1"/>
  <c r="AL24" i="1" s="1"/>
  <c r="BQ25" i="1"/>
  <c r="BK26" i="1"/>
  <c r="AR28" i="1"/>
  <c r="AS28" i="1" s="1"/>
  <c r="AT28" i="1" s="1"/>
  <c r="X28" i="1"/>
  <c r="Y28" i="1" s="1"/>
  <c r="Q28" i="1"/>
  <c r="N28" i="1"/>
  <c r="BK28" i="1"/>
  <c r="Q29" i="1"/>
  <c r="N29" i="1"/>
  <c r="AR29" i="1"/>
  <c r="AS29" i="1" s="1"/>
  <c r="AT29" i="1" s="1"/>
  <c r="X29" i="1"/>
  <c r="Y29" i="1" s="1"/>
  <c r="BE29" i="1"/>
  <c r="AV30" i="1"/>
  <c r="AW30" i="1" s="1"/>
  <c r="AX30" i="1" s="1"/>
  <c r="U30" i="1"/>
  <c r="BE31" i="1"/>
  <c r="BN31" i="1"/>
  <c r="AV32" i="1"/>
  <c r="AW32" i="1" s="1"/>
  <c r="AX32" i="1" s="1"/>
  <c r="J32" i="1"/>
  <c r="U32" i="1"/>
  <c r="Z32" i="1"/>
  <c r="AJ32" i="1"/>
  <c r="AK32" i="1" s="1"/>
  <c r="AL32" i="1" s="1"/>
  <c r="BN34" i="1"/>
  <c r="U36" i="1"/>
  <c r="AV36" i="1"/>
  <c r="AW36" i="1" s="1"/>
  <c r="AX36" i="1" s="1"/>
  <c r="K38" i="1"/>
  <c r="U38" i="1"/>
  <c r="AV38" i="1"/>
  <c r="AW38" i="1" s="1"/>
  <c r="AX38" i="1" s="1"/>
  <c r="J38" i="1"/>
  <c r="BK40" i="1"/>
  <c r="Z45" i="1"/>
  <c r="T45" i="1"/>
  <c r="AC45" i="1"/>
  <c r="AJ45" i="1"/>
  <c r="AK45" i="1" s="1"/>
  <c r="AL45" i="1" s="1"/>
  <c r="S45" i="1"/>
  <c r="AG46" i="1"/>
  <c r="AH46" i="1" s="1"/>
  <c r="BQ38" i="1"/>
  <c r="AR40" i="1"/>
  <c r="AS40" i="1" s="1"/>
  <c r="AT40" i="1" s="1"/>
  <c r="N40" i="1"/>
  <c r="Q40" i="1"/>
  <c r="X40" i="1"/>
  <c r="U41" i="1"/>
  <c r="AV41" i="1"/>
  <c r="AW41" i="1" s="1"/>
  <c r="AX41" i="1" s="1"/>
  <c r="BE41" i="1"/>
  <c r="P43" i="1"/>
  <c r="BH43" i="1"/>
  <c r="AG44" i="1"/>
  <c r="AH44" i="1" s="1"/>
  <c r="BH44" i="1"/>
  <c r="X47" i="1"/>
  <c r="Y47" i="1" s="1"/>
  <c r="N47" i="1"/>
  <c r="AR47" i="1"/>
  <c r="AS47" i="1" s="1"/>
  <c r="AT47" i="1" s="1"/>
  <c r="Q47" i="1"/>
  <c r="U22" i="1"/>
  <c r="K22" i="1"/>
  <c r="J22" i="1"/>
  <c r="AV22" i="1"/>
  <c r="AW22" i="1" s="1"/>
  <c r="AX22" i="1" s="1"/>
  <c r="P22" i="1"/>
  <c r="BH23" i="1"/>
  <c r="BN23" i="1"/>
  <c r="AR24" i="1"/>
  <c r="AS24" i="1" s="1"/>
  <c r="AT24" i="1" s="1"/>
  <c r="N24" i="1"/>
  <c r="Q24" i="1"/>
  <c r="X24" i="1"/>
  <c r="U25" i="1"/>
  <c r="AV25" i="1"/>
  <c r="AW25" i="1" s="1"/>
  <c r="AX25" i="1" s="1"/>
  <c r="K25" i="1"/>
  <c r="J25" i="1"/>
  <c r="P25" i="1"/>
  <c r="X27" i="1"/>
  <c r="Q27" i="1"/>
  <c r="N27" i="1"/>
  <c r="AR27" i="1"/>
  <c r="AS27" i="1" s="1"/>
  <c r="AT27" i="1" s="1"/>
  <c r="U28" i="1"/>
  <c r="K28" i="1"/>
  <c r="J28" i="1"/>
  <c r="AV28" i="1"/>
  <c r="AW28" i="1" s="1"/>
  <c r="AX28" i="1" s="1"/>
  <c r="P28" i="1"/>
  <c r="T29" i="1"/>
  <c r="Z29" i="1"/>
  <c r="S29" i="1"/>
  <c r="AJ29" i="1"/>
  <c r="AK29" i="1" s="1"/>
  <c r="AL29" i="1" s="1"/>
  <c r="AG29" i="1"/>
  <c r="AH29" i="1" s="1"/>
  <c r="BQ29" i="1"/>
  <c r="Z30" i="1"/>
  <c r="AJ30" i="1"/>
  <c r="AK30" i="1" s="1"/>
  <c r="AL30" i="1" s="1"/>
  <c r="BK30" i="1"/>
  <c r="BQ31" i="1"/>
  <c r="P33" i="1"/>
  <c r="BK34" i="1"/>
  <c r="P35" i="1"/>
  <c r="BQ36" i="1"/>
  <c r="N37" i="1"/>
  <c r="AR37" i="1"/>
  <c r="AS37" i="1" s="1"/>
  <c r="AT37" i="1" s="1"/>
  <c r="X37" i="1"/>
  <c r="Q37" i="1"/>
  <c r="AG38" i="1"/>
  <c r="AH38" i="1" s="1"/>
  <c r="BK38" i="1"/>
  <c r="U39" i="1"/>
  <c r="AV39" i="1"/>
  <c r="AW39" i="1" s="1"/>
  <c r="AX39" i="1" s="1"/>
  <c r="BH39" i="1"/>
  <c r="Q41" i="1"/>
  <c r="AR41" i="1"/>
  <c r="AS41" i="1" s="1"/>
  <c r="AT41" i="1" s="1"/>
  <c r="N41" i="1"/>
  <c r="X41" i="1"/>
  <c r="Y41" i="1" s="1"/>
  <c r="AV44" i="1"/>
  <c r="AW44" i="1" s="1"/>
  <c r="AX44" i="1" s="1"/>
  <c r="U44" i="1"/>
  <c r="K44" i="1"/>
  <c r="J44" i="1"/>
  <c r="AJ46" i="1"/>
  <c r="AK46" i="1" s="1"/>
  <c r="AL46" i="1" s="1"/>
  <c r="T46" i="1"/>
  <c r="Z46" i="1"/>
  <c r="S46" i="1"/>
  <c r="AV47" i="1"/>
  <c r="AW47" i="1" s="1"/>
  <c r="AX47" i="1" s="1"/>
  <c r="U47" i="1"/>
  <c r="K47" i="1"/>
  <c r="J47" i="1"/>
  <c r="BQ47" i="1"/>
  <c r="AG33" i="1"/>
  <c r="AH33" i="1" s="1"/>
  <c r="T34" i="1"/>
  <c r="AJ34" i="1"/>
  <c r="AK34" i="1" s="1"/>
  <c r="AL34" i="1" s="1"/>
  <c r="Z34" i="1"/>
  <c r="S34" i="1"/>
  <c r="AG34" i="1"/>
  <c r="AH34" i="1" s="1"/>
  <c r="AJ35" i="1"/>
  <c r="AK35" i="1" s="1"/>
  <c r="AL35" i="1" s="1"/>
  <c r="S35" i="1"/>
  <c r="Z35" i="1"/>
  <c r="AG35" i="1"/>
  <c r="AH35" i="1" s="1"/>
  <c r="BQ35" i="1"/>
  <c r="Z36" i="1"/>
  <c r="T36" i="1"/>
  <c r="AJ36" i="1"/>
  <c r="AK36" i="1" s="1"/>
  <c r="AL36" i="1" s="1"/>
  <c r="BE36" i="1"/>
  <c r="BN36" i="1"/>
  <c r="AJ37" i="1"/>
  <c r="AK37" i="1" s="1"/>
  <c r="AL37" i="1" s="1"/>
  <c r="Z37" i="1"/>
  <c r="BQ37" i="1"/>
  <c r="Q38" i="1"/>
  <c r="N38" i="1"/>
  <c r="AR38" i="1"/>
  <c r="AS38" i="1" s="1"/>
  <c r="AT38" i="1" s="1"/>
  <c r="X38" i="1"/>
  <c r="BE38" i="1"/>
  <c r="AG39" i="1"/>
  <c r="AH39" i="1" s="1"/>
  <c r="BK39" i="1"/>
  <c r="AJ41" i="1"/>
  <c r="AK41" i="1" s="1"/>
  <c r="AL41" i="1" s="1"/>
  <c r="Z41" i="1"/>
  <c r="T41" i="1"/>
  <c r="S41" i="1"/>
  <c r="BN43" i="1"/>
  <c r="BQ44" i="1"/>
  <c r="U46" i="1"/>
  <c r="AV46" i="1"/>
  <c r="AW46" i="1" s="1"/>
  <c r="AX46" i="1" s="1"/>
  <c r="K46" i="1"/>
  <c r="BE40" i="1"/>
  <c r="P42" i="1"/>
  <c r="J43" i="1"/>
  <c r="K43" i="1"/>
  <c r="U43" i="1"/>
  <c r="AV43" i="1"/>
  <c r="AW43" i="1" s="1"/>
  <c r="AX43" i="1" s="1"/>
  <c r="T43" i="1"/>
  <c r="S43" i="1"/>
  <c r="AJ43" i="1"/>
  <c r="AK43" i="1" s="1"/>
  <c r="AL43" i="1" s="1"/>
  <c r="Z43" i="1"/>
  <c r="BH45" i="1"/>
  <c r="P47" i="1"/>
  <c r="AG47" i="1"/>
  <c r="AH47" i="1" s="1"/>
  <c r="BN47" i="1"/>
  <c r="BE37" i="1"/>
  <c r="P39" i="1"/>
  <c r="BN39" i="1"/>
  <c r="BN40" i="1"/>
  <c r="P41" i="1"/>
  <c r="AV42" i="1"/>
  <c r="AW42" i="1" s="1"/>
  <c r="AX42" i="1" s="1"/>
  <c r="U42" i="1"/>
  <c r="BH42" i="1"/>
  <c r="BK43" i="1"/>
  <c r="BN44" i="1"/>
  <c r="U45" i="1"/>
  <c r="K45" i="1"/>
  <c r="AV45" i="1"/>
  <c r="AW45" i="1" s="1"/>
  <c r="AX45" i="1" s="1"/>
  <c r="J45" i="1"/>
  <c r="AD45" i="1"/>
  <c r="N46" i="1"/>
  <c r="X46" i="1"/>
  <c r="AR46" i="1"/>
  <c r="AS46" i="1" s="1"/>
  <c r="AT46" i="1" s="1"/>
  <c r="Q46" i="1"/>
  <c r="BE46" i="1"/>
  <c r="BH47" i="1"/>
  <c r="BH48" i="1"/>
  <c r="X49" i="1"/>
  <c r="Y49" i="1" s="1"/>
  <c r="Q49" i="1"/>
  <c r="AR49" i="1"/>
  <c r="AS49" i="1" s="1"/>
  <c r="AT49" i="1" s="1"/>
  <c r="N49" i="1"/>
  <c r="BH29" i="1"/>
  <c r="AR30" i="1"/>
  <c r="AS30" i="1" s="1"/>
  <c r="AT30" i="1" s="1"/>
  <c r="Q30" i="1"/>
  <c r="N30" i="1"/>
  <c r="X30" i="1"/>
  <c r="U31" i="1"/>
  <c r="AV31" i="1"/>
  <c r="AW31" i="1" s="1"/>
  <c r="AX31" i="1" s="1"/>
  <c r="K31" i="1"/>
  <c r="J31" i="1"/>
  <c r="P31" i="1"/>
  <c r="BH32" i="1"/>
  <c r="BN32" i="1"/>
  <c r="X33" i="1"/>
  <c r="Q33" i="1"/>
  <c r="AR33" i="1"/>
  <c r="AS33" i="1" s="1"/>
  <c r="AT33" i="1" s="1"/>
  <c r="N33" i="1"/>
  <c r="U34" i="1"/>
  <c r="K34" i="1"/>
  <c r="AV34" i="1"/>
  <c r="AW34" i="1" s="1"/>
  <c r="AX34" i="1" s="1"/>
  <c r="AD34" i="1"/>
  <c r="J34" i="1"/>
  <c r="P34" i="1"/>
  <c r="BN35" i="1"/>
  <c r="Q36" i="1"/>
  <c r="AR36" i="1"/>
  <c r="AS36" i="1" s="1"/>
  <c r="AT36" i="1" s="1"/>
  <c r="N36" i="1"/>
  <c r="X36" i="1"/>
  <c r="Y36" i="1" s="1"/>
  <c r="U37" i="1"/>
  <c r="J37" i="1"/>
  <c r="AV37" i="1"/>
  <c r="AW37" i="1" s="1"/>
  <c r="AX37" i="1" s="1"/>
  <c r="K37" i="1"/>
  <c r="P37" i="1"/>
  <c r="BN38" i="1"/>
  <c r="AR39" i="1"/>
  <c r="AS39" i="1" s="1"/>
  <c r="AT39" i="1" s="1"/>
  <c r="N39" i="1"/>
  <c r="Q39" i="1"/>
  <c r="X39" i="1"/>
  <c r="Y39" i="1" s="1"/>
  <c r="U40" i="1"/>
  <c r="AV40" i="1"/>
  <c r="AW40" i="1" s="1"/>
  <c r="AX40" i="1" s="1"/>
  <c r="P40" i="1"/>
  <c r="BN41" i="1"/>
  <c r="AR42" i="1"/>
  <c r="AS42" i="1" s="1"/>
  <c r="AT42" i="1" s="1"/>
  <c r="X42" i="1"/>
  <c r="Q42" i="1"/>
  <c r="N42" i="1"/>
  <c r="AR43" i="1"/>
  <c r="AS43" i="1" s="1"/>
  <c r="AT43" i="1" s="1"/>
  <c r="N43" i="1"/>
  <c r="Q43" i="1"/>
  <c r="X43" i="1"/>
  <c r="Y43" i="1" s="1"/>
  <c r="BE43" i="1"/>
  <c r="X44" i="1"/>
  <c r="Y44" i="1" s="1"/>
  <c r="N44" i="1"/>
  <c r="AR44" i="1"/>
  <c r="AS44" i="1" s="1"/>
  <c r="AT44" i="1" s="1"/>
  <c r="Q44" i="1"/>
  <c r="BE44" i="1"/>
  <c r="AR45" i="1"/>
  <c r="AS45" i="1" s="1"/>
  <c r="AT45" i="1" s="1"/>
  <c r="N45" i="1"/>
  <c r="Q45" i="1"/>
  <c r="X45" i="1"/>
  <c r="Y45" i="1" s="1"/>
  <c r="BN48" i="1"/>
  <c r="AG49" i="1"/>
  <c r="AH49" i="1" s="1"/>
  <c r="BE49" i="1"/>
  <c r="BK49" i="1"/>
  <c r="BQ49" i="1"/>
  <c r="Z48" i="1"/>
  <c r="T48" i="1"/>
  <c r="AJ48" i="1"/>
  <c r="AK48" i="1" s="1"/>
  <c r="AL48" i="1" s="1"/>
  <c r="S48" i="1"/>
  <c r="AC48" i="1"/>
  <c r="AV49" i="1"/>
  <c r="AW49" i="1" s="1"/>
  <c r="AX49" i="1" s="1"/>
  <c r="K49" i="1"/>
  <c r="U49" i="1"/>
  <c r="J49" i="1"/>
  <c r="P49" i="1"/>
  <c r="AG48" i="1"/>
  <c r="AH48" i="1" s="1"/>
  <c r="BE48" i="1"/>
  <c r="BK48" i="1"/>
  <c r="BQ48" i="1"/>
  <c r="BH49" i="1"/>
  <c r="BN49" i="1"/>
  <c r="AG42" i="1"/>
  <c r="AH42" i="1" s="1"/>
  <c r="BK42" i="1"/>
  <c r="BQ42" i="1"/>
  <c r="AJ44" i="1"/>
  <c r="AK44" i="1" s="1"/>
  <c r="AL44" i="1" s="1"/>
  <c r="T44" i="1"/>
  <c r="S44" i="1"/>
  <c r="Z44" i="1"/>
  <c r="AG45" i="1"/>
  <c r="AH45" i="1" s="1"/>
  <c r="BE45" i="1"/>
  <c r="BK45" i="1"/>
  <c r="BQ45" i="1"/>
  <c r="AJ47" i="1"/>
  <c r="AK47" i="1" s="1"/>
  <c r="AL47" i="1" s="1"/>
  <c r="AC47" i="1"/>
  <c r="T47" i="1"/>
  <c r="S47" i="1"/>
  <c r="Z47" i="1"/>
  <c r="U48" i="1"/>
  <c r="AV48" i="1"/>
  <c r="AW48" i="1" s="1"/>
  <c r="AX48" i="1" s="1"/>
  <c r="K48" i="1"/>
  <c r="J48" i="1"/>
  <c r="P48" i="1"/>
  <c r="AJ49" i="1"/>
  <c r="AK49" i="1" s="1"/>
  <c r="AL49" i="1" s="1"/>
  <c r="Z49" i="1"/>
  <c r="T49" i="1"/>
  <c r="S49" i="1"/>
  <c r="AD7" i="1"/>
  <c r="BL7" i="1"/>
  <c r="BF7" i="1"/>
  <c r="AC12" i="1"/>
  <c r="AD13" i="1"/>
  <c r="AC21" i="1"/>
  <c r="H18" i="1"/>
  <c r="AD18" i="1" s="1"/>
  <c r="BL18" i="1"/>
  <c r="BN18" i="1" s="1"/>
  <c r="BF18" i="1"/>
  <c r="BH18" i="1" s="1"/>
  <c r="BC18" i="1"/>
  <c r="BE18" i="1" s="1"/>
  <c r="AC19" i="1"/>
  <c r="AD20" i="1"/>
  <c r="AC7" i="1"/>
  <c r="AD11" i="1"/>
  <c r="H9" i="1"/>
  <c r="AD9" i="1" s="1"/>
  <c r="BL9" i="1"/>
  <c r="BN9" i="1" s="1"/>
  <c r="BF9" i="1"/>
  <c r="BH9" i="1" s="1"/>
  <c r="BC9" i="1"/>
  <c r="BE9" i="1" s="1"/>
  <c r="AD10" i="1"/>
  <c r="AC18" i="1"/>
  <c r="AD19" i="1"/>
  <c r="AD23" i="1"/>
  <c r="BC7" i="1"/>
  <c r="BE7" i="1" s="1"/>
  <c r="AD8" i="1"/>
  <c r="G9" i="1"/>
  <c r="AC9" i="1" s="1"/>
  <c r="H15" i="1"/>
  <c r="AD15" i="1" s="1"/>
  <c r="BL15" i="1"/>
  <c r="BN15" i="1" s="1"/>
  <c r="BF15" i="1"/>
  <c r="BH15" i="1" s="1"/>
  <c r="BC15" i="1"/>
  <c r="BE15" i="1" s="1"/>
  <c r="AC16" i="1"/>
  <c r="AD17" i="1"/>
  <c r="BI18" i="1"/>
  <c r="BK18" i="1" s="1"/>
  <c r="AD28" i="1"/>
  <c r="BI9" i="1"/>
  <c r="BK9" i="1" s="1"/>
  <c r="AC15" i="1"/>
  <c r="AD16" i="1"/>
  <c r="AD22" i="1"/>
  <c r="AD5" i="1"/>
  <c r="BO6" i="1"/>
  <c r="BQ6" i="1" s="1"/>
  <c r="BO7" i="1"/>
  <c r="BQ7" i="1" s="1"/>
  <c r="H12" i="1"/>
  <c r="AD12" i="1" s="1"/>
  <c r="BL12" i="1"/>
  <c r="BF12" i="1"/>
  <c r="BH12" i="1" s="1"/>
  <c r="BC12" i="1"/>
  <c r="AC13" i="1"/>
  <c r="AD14" i="1"/>
  <c r="BI15" i="1"/>
  <c r="BO18" i="1"/>
  <c r="AD25" i="1"/>
  <c r="BI21" i="1"/>
  <c r="AC23" i="1"/>
  <c r="BL25" i="1"/>
  <c r="BN25" i="1" s="1"/>
  <c r="BI26" i="1"/>
  <c r="BO30" i="1"/>
  <c r="BI30" i="1"/>
  <c r="BC30" i="1"/>
  <c r="BE30" i="1" s="1"/>
  <c r="G30" i="1"/>
  <c r="AC30" i="1" s="1"/>
  <c r="H30" i="1"/>
  <c r="AD30" i="1" s="1"/>
  <c r="G10" i="1"/>
  <c r="AC10" i="1" s="1"/>
  <c r="BC10" i="1"/>
  <c r="BE10" i="1" s="1"/>
  <c r="BI10" i="1"/>
  <c r="BK10" i="1" s="1"/>
  <c r="BO10" i="1"/>
  <c r="BQ10" i="1" s="1"/>
  <c r="BC13" i="1"/>
  <c r="BE13" i="1" s="1"/>
  <c r="BI13" i="1"/>
  <c r="BK13" i="1" s="1"/>
  <c r="BO13" i="1"/>
  <c r="BC16" i="1"/>
  <c r="BE16" i="1" s="1"/>
  <c r="BI16" i="1"/>
  <c r="BK16" i="1" s="1"/>
  <c r="BO16" i="1"/>
  <c r="BQ16" i="1" s="1"/>
  <c r="BC19" i="1"/>
  <c r="BE19" i="1" s="1"/>
  <c r="BI19" i="1"/>
  <c r="BK19" i="1" s="1"/>
  <c r="BO19" i="1"/>
  <c r="BC21" i="1"/>
  <c r="BE21" i="1" s="1"/>
  <c r="BO22" i="1"/>
  <c r="BQ22" i="1" s="1"/>
  <c r="BI22" i="1"/>
  <c r="BK22" i="1" s="1"/>
  <c r="BL22" i="1"/>
  <c r="BN22" i="1" s="1"/>
  <c r="BO24" i="1"/>
  <c r="BQ24" i="1" s="1"/>
  <c r="BI24" i="1"/>
  <c r="BK24" i="1" s="1"/>
  <c r="BC24" i="1"/>
  <c r="BE24" i="1" s="1"/>
  <c r="G24" i="1"/>
  <c r="AC24" i="1" s="1"/>
  <c r="BF24" i="1"/>
  <c r="BH24" i="1" s="1"/>
  <c r="BL26" i="1"/>
  <c r="BN26" i="1" s="1"/>
  <c r="BL21" i="1"/>
  <c r="BN21" i="1" s="1"/>
  <c r="G22" i="1"/>
  <c r="AC22" i="1" s="1"/>
  <c r="BC22" i="1"/>
  <c r="BE22" i="1" s="1"/>
  <c r="H24" i="1"/>
  <c r="AD24" i="1" s="1"/>
  <c r="BI25" i="1"/>
  <c r="BK25" i="1" s="1"/>
  <c r="BF25" i="1"/>
  <c r="BH25" i="1" s="1"/>
  <c r="G25" i="1"/>
  <c r="AC25" i="1" s="1"/>
  <c r="BO25" i="1"/>
  <c r="AC28" i="1"/>
  <c r="AD38" i="1"/>
  <c r="BO26" i="1"/>
  <c r="BQ26" i="1" s="1"/>
  <c r="AD29" i="1"/>
  <c r="BO32" i="1"/>
  <c r="BQ32" i="1" s="1"/>
  <c r="BC32" i="1"/>
  <c r="BE32" i="1" s="1"/>
  <c r="BI32" i="1"/>
  <c r="BK32" i="1" s="1"/>
  <c r="BL32" i="1"/>
  <c r="H32" i="1"/>
  <c r="AD32" i="1" s="1"/>
  <c r="BO36" i="1"/>
  <c r="BI36" i="1"/>
  <c r="BK36" i="1" s="1"/>
  <c r="BC36" i="1"/>
  <c r="G36" i="1"/>
  <c r="AC36" i="1" s="1"/>
  <c r="BL36" i="1"/>
  <c r="BF36" i="1"/>
  <c r="BH36" i="1" s="1"/>
  <c r="H36" i="1"/>
  <c r="AD36" i="1" s="1"/>
  <c r="AD37" i="1"/>
  <c r="BF10" i="1"/>
  <c r="BF13" i="1"/>
  <c r="BH13" i="1" s="1"/>
  <c r="BF16" i="1"/>
  <c r="BH16" i="1" s="1"/>
  <c r="BF19" i="1"/>
  <c r="H21" i="1"/>
  <c r="AD21" i="1" s="1"/>
  <c r="BF22" i="1"/>
  <c r="BH22" i="1" s="1"/>
  <c r="BL24" i="1"/>
  <c r="G26" i="1"/>
  <c r="AC26" i="1" s="1"/>
  <c r="BF26" i="1"/>
  <c r="BH26" i="1" s="1"/>
  <c r="BF30" i="1"/>
  <c r="AD31" i="1"/>
  <c r="G32" i="1"/>
  <c r="AC32" i="1" s="1"/>
  <c r="AD35" i="1"/>
  <c r="G5" i="1"/>
  <c r="BC5" i="1"/>
  <c r="BI5" i="1"/>
  <c r="BK5" i="1" s="1"/>
  <c r="G8" i="1"/>
  <c r="AC8" i="1" s="1"/>
  <c r="BC8" i="1"/>
  <c r="BE8" i="1" s="1"/>
  <c r="BI8" i="1"/>
  <c r="G11" i="1"/>
  <c r="AC11" i="1" s="1"/>
  <c r="BC11" i="1"/>
  <c r="BE11" i="1" s="1"/>
  <c r="BI11" i="1"/>
  <c r="BK11" i="1" s="1"/>
  <c r="G14" i="1"/>
  <c r="AC14" i="1" s="1"/>
  <c r="BC14" i="1"/>
  <c r="BE14" i="1" s="1"/>
  <c r="BI14" i="1"/>
  <c r="BK14" i="1" s="1"/>
  <c r="G17" i="1"/>
  <c r="AC17" i="1" s="1"/>
  <c r="BC17" i="1"/>
  <c r="BE17" i="1" s="1"/>
  <c r="BI17" i="1"/>
  <c r="BK17" i="1" s="1"/>
  <c r="G20" i="1"/>
  <c r="AC20" i="1" s="1"/>
  <c r="BC20" i="1"/>
  <c r="BE20" i="1" s="1"/>
  <c r="BI20" i="1"/>
  <c r="H26" i="1"/>
  <c r="AD26" i="1" s="1"/>
  <c r="BO27" i="1"/>
  <c r="BQ27" i="1" s="1"/>
  <c r="BI27" i="1"/>
  <c r="BK27" i="1" s="1"/>
  <c r="BC27" i="1"/>
  <c r="BE27" i="1" s="1"/>
  <c r="G27" i="1"/>
  <c r="AC27" i="1" s="1"/>
  <c r="H27" i="1"/>
  <c r="AD27" i="1" s="1"/>
  <c r="BL30" i="1"/>
  <c r="AC34" i="1"/>
  <c r="BI35" i="1"/>
  <c r="BO35" i="1"/>
  <c r="BF35" i="1"/>
  <c r="BH35" i="1" s="1"/>
  <c r="G35" i="1"/>
  <c r="AC35" i="1" s="1"/>
  <c r="BL35" i="1"/>
  <c r="BC35" i="1"/>
  <c r="BE35" i="1" s="1"/>
  <c r="BL37" i="1"/>
  <c r="BN37" i="1" s="1"/>
  <c r="G37" i="1"/>
  <c r="AC37" i="1" s="1"/>
  <c r="BI37" i="1"/>
  <c r="BK37" i="1" s="1"/>
  <c r="BF37" i="1"/>
  <c r="BH37" i="1" s="1"/>
  <c r="AD43" i="1"/>
  <c r="AC29" i="1"/>
  <c r="AC44" i="1"/>
  <c r="BL46" i="1"/>
  <c r="BN46" i="1" s="1"/>
  <c r="BF46" i="1"/>
  <c r="BH46" i="1" s="1"/>
  <c r="G46" i="1"/>
  <c r="AC46" i="1" s="1"/>
  <c r="BC46" i="1"/>
  <c r="BI46" i="1"/>
  <c r="BO46" i="1"/>
  <c r="BL29" i="1"/>
  <c r="BN29" i="1" s="1"/>
  <c r="BC34" i="1"/>
  <c r="BE34" i="1" s="1"/>
  <c r="H46" i="1"/>
  <c r="AD46" i="1" s="1"/>
  <c r="BL38" i="1"/>
  <c r="G38" i="1"/>
  <c r="AC38" i="1" s="1"/>
  <c r="BF38" i="1"/>
  <c r="BH38" i="1" s="1"/>
  <c r="BC42" i="1"/>
  <c r="BE42" i="1" s="1"/>
  <c r="G42" i="1"/>
  <c r="AC42" i="1" s="1"/>
  <c r="BO42" i="1"/>
  <c r="BF42" i="1"/>
  <c r="H42" i="1"/>
  <c r="AD42" i="1" s="1"/>
  <c r="BL42" i="1"/>
  <c r="BN42" i="1" s="1"/>
  <c r="AC49" i="1"/>
  <c r="BO33" i="1"/>
  <c r="BQ33" i="1" s="1"/>
  <c r="BI33" i="1"/>
  <c r="BC33" i="1"/>
  <c r="G33" i="1"/>
  <c r="AC33" i="1" s="1"/>
  <c r="BF33" i="1"/>
  <c r="BH33" i="1" s="1"/>
  <c r="BF40" i="1"/>
  <c r="H40" i="1"/>
  <c r="AD40" i="1" s="1"/>
  <c r="BL40" i="1"/>
  <c r="G40" i="1"/>
  <c r="AC40" i="1" s="1"/>
  <c r="BO40" i="1"/>
  <c r="AC43" i="1"/>
  <c r="BF41" i="1"/>
  <c r="BH41" i="1" s="1"/>
  <c r="H41" i="1"/>
  <c r="AD41" i="1" s="1"/>
  <c r="BL41" i="1"/>
  <c r="G41" i="1"/>
  <c r="AC41" i="1" s="1"/>
  <c r="AD44" i="1"/>
  <c r="BO39" i="1"/>
  <c r="BQ39" i="1" s="1"/>
  <c r="BI39" i="1"/>
  <c r="BC39" i="1"/>
  <c r="BE39" i="1" s="1"/>
  <c r="G39" i="1"/>
  <c r="AC39" i="1" s="1"/>
  <c r="BL39" i="1"/>
  <c r="H39" i="1"/>
  <c r="AD39" i="1" s="1"/>
  <c r="BF39" i="1"/>
  <c r="AD47" i="1"/>
  <c r="AD49" i="1"/>
  <c r="BL43" i="1"/>
  <c r="BF43" i="1"/>
  <c r="BL45" i="1"/>
  <c r="BN45" i="1" s="1"/>
  <c r="AD48" i="1"/>
  <c r="P14" i="5"/>
  <c r="Q14" i="5" s="1"/>
  <c r="R14" i="5" s="1"/>
  <c r="N14" i="5"/>
  <c r="P20" i="5"/>
  <c r="Q20" i="5" s="1"/>
  <c r="R20" i="5" s="1"/>
  <c r="N20" i="5"/>
  <c r="K24" i="5"/>
  <c r="J24" i="5"/>
  <c r="K27" i="5"/>
  <c r="J27" i="5"/>
  <c r="K30" i="5"/>
  <c r="J30" i="5"/>
  <c r="P35" i="5"/>
  <c r="Q35" i="5" s="1"/>
  <c r="R35" i="5" s="1"/>
  <c r="N35" i="5"/>
  <c r="K8" i="5"/>
  <c r="J8" i="5"/>
  <c r="I8" i="5"/>
  <c r="L122" i="5"/>
  <c r="P5" i="5"/>
  <c r="U5" i="5"/>
  <c r="V5" i="5" s="1"/>
  <c r="T47" i="5"/>
  <c r="U47" i="5" s="1"/>
  <c r="V47" i="5" s="1"/>
  <c r="N65" i="5"/>
  <c r="T65" i="5"/>
  <c r="U65" i="5" s="1"/>
  <c r="V65" i="5" s="1"/>
  <c r="K65" i="5"/>
  <c r="M122" i="5"/>
  <c r="M123" i="5" s="1"/>
  <c r="N123" i="5" s="1"/>
  <c r="I9" i="5"/>
  <c r="Q9" i="5"/>
  <c r="R9" i="5" s="1"/>
  <c r="P10" i="5"/>
  <c r="Q10" i="5" s="1"/>
  <c r="R10" i="5" s="1"/>
  <c r="K11" i="5"/>
  <c r="J11" i="5"/>
  <c r="I11" i="5"/>
  <c r="K14" i="5"/>
  <c r="K17" i="5"/>
  <c r="K20" i="5"/>
  <c r="K23" i="5"/>
  <c r="K26" i="5"/>
  <c r="K29" i="5"/>
  <c r="K32" i="5"/>
  <c r="K35" i="5"/>
  <c r="K38" i="5"/>
  <c r="K41" i="5"/>
  <c r="T44" i="5"/>
  <c r="U44" i="5" s="1"/>
  <c r="V44" i="5" s="1"/>
  <c r="T50" i="5"/>
  <c r="U50" i="5" s="1"/>
  <c r="V50" i="5" s="1"/>
  <c r="N50" i="5"/>
  <c r="N76" i="5"/>
  <c r="P76" i="5"/>
  <c r="Q76" i="5" s="1"/>
  <c r="R76" i="5" s="1"/>
  <c r="P89" i="5"/>
  <c r="Q89" i="5" s="1"/>
  <c r="R89" i="5" s="1"/>
  <c r="N89" i="5"/>
  <c r="P17" i="5"/>
  <c r="Q17" i="5" s="1"/>
  <c r="R17" i="5" s="1"/>
  <c r="N17" i="5"/>
  <c r="K18" i="5"/>
  <c r="J18" i="5"/>
  <c r="P29" i="5"/>
  <c r="Q29" i="5" s="1"/>
  <c r="R29" i="5" s="1"/>
  <c r="N29" i="5"/>
  <c r="K33" i="5"/>
  <c r="J33" i="5"/>
  <c r="K36" i="5"/>
  <c r="J36" i="5"/>
  <c r="P38" i="5"/>
  <c r="Q38" i="5" s="1"/>
  <c r="R38" i="5" s="1"/>
  <c r="N38" i="5"/>
  <c r="K39" i="5"/>
  <c r="J39" i="5"/>
  <c r="P41" i="5"/>
  <c r="Q41" i="5" s="1"/>
  <c r="R41" i="5" s="1"/>
  <c r="N41" i="5"/>
  <c r="K42" i="5"/>
  <c r="J42" i="5"/>
  <c r="P107" i="5"/>
  <c r="Q107" i="5" s="1"/>
  <c r="R107" i="5" s="1"/>
  <c r="N107" i="5"/>
  <c r="I18" i="5"/>
  <c r="I42" i="5"/>
  <c r="J15" i="5"/>
  <c r="K15" i="5"/>
  <c r="J21" i="5"/>
  <c r="K21" i="5"/>
  <c r="P23" i="5"/>
  <c r="Q23" i="5" s="1"/>
  <c r="R23" i="5" s="1"/>
  <c r="N23" i="5"/>
  <c r="P26" i="5"/>
  <c r="Q26" i="5" s="1"/>
  <c r="R26" i="5" s="1"/>
  <c r="N26" i="5"/>
  <c r="P32" i="5"/>
  <c r="Q32" i="5" s="1"/>
  <c r="R32" i="5" s="1"/>
  <c r="N32" i="5"/>
  <c r="I6" i="5"/>
  <c r="Q6" i="5"/>
  <c r="R6" i="5" s="1"/>
  <c r="J12" i="5"/>
  <c r="K12" i="5"/>
  <c r="Q12" i="5"/>
  <c r="R12" i="5" s="1"/>
  <c r="I15" i="5"/>
  <c r="I24" i="5"/>
  <c r="I27" i="5"/>
  <c r="I30" i="5"/>
  <c r="I33" i="5"/>
  <c r="I36" i="5"/>
  <c r="I39" i="5"/>
  <c r="L123" i="5"/>
  <c r="G122" i="5"/>
  <c r="J6" i="5"/>
  <c r="U8" i="5"/>
  <c r="V8" i="5" s="1"/>
  <c r="N11" i="5"/>
  <c r="I12" i="5"/>
  <c r="P64" i="5"/>
  <c r="Q64" i="5" s="1"/>
  <c r="R64" i="5" s="1"/>
  <c r="N64" i="5"/>
  <c r="H122" i="5"/>
  <c r="K5" i="5"/>
  <c r="J5" i="5"/>
  <c r="I5" i="5"/>
  <c r="S122" i="5"/>
  <c r="P49" i="5"/>
  <c r="Q49" i="5" s="1"/>
  <c r="R49" i="5" s="1"/>
  <c r="T51" i="5"/>
  <c r="U51" i="5" s="1"/>
  <c r="V51" i="5" s="1"/>
  <c r="N51" i="5"/>
  <c r="N52" i="5"/>
  <c r="P52" i="5"/>
  <c r="Q52" i="5" s="1"/>
  <c r="R52" i="5" s="1"/>
  <c r="K55" i="5"/>
  <c r="T56" i="5"/>
  <c r="U56" i="5" s="1"/>
  <c r="V56" i="5" s="1"/>
  <c r="K59" i="5"/>
  <c r="T68" i="5"/>
  <c r="U68" i="5" s="1"/>
  <c r="V68" i="5" s="1"/>
  <c r="N70" i="5"/>
  <c r="P70" i="5"/>
  <c r="Q70" i="5" s="1"/>
  <c r="R70" i="5" s="1"/>
  <c r="T73" i="5"/>
  <c r="U73" i="5" s="1"/>
  <c r="V73" i="5" s="1"/>
  <c r="K73" i="5"/>
  <c r="Q75" i="5"/>
  <c r="R75" i="5" s="1"/>
  <c r="J77" i="5"/>
  <c r="K77" i="5"/>
  <c r="T83" i="5"/>
  <c r="U83" i="5" s="1"/>
  <c r="V83" i="5" s="1"/>
  <c r="K83" i="5"/>
  <c r="T89" i="5"/>
  <c r="U89" i="5" s="1"/>
  <c r="V89" i="5" s="1"/>
  <c r="K89" i="5"/>
  <c r="T90" i="5"/>
  <c r="U90" i="5" s="1"/>
  <c r="V90" i="5" s="1"/>
  <c r="N90" i="5"/>
  <c r="T93" i="5"/>
  <c r="U93" i="5" s="1"/>
  <c r="V93" i="5" s="1"/>
  <c r="J99" i="5"/>
  <c r="I99" i="5"/>
  <c r="T101" i="5"/>
  <c r="U101" i="5" s="1"/>
  <c r="V101" i="5" s="1"/>
  <c r="K101" i="5"/>
  <c r="T107" i="5"/>
  <c r="U107" i="5" s="1"/>
  <c r="V107" i="5" s="1"/>
  <c r="K107" i="5"/>
  <c r="T108" i="5"/>
  <c r="U108" i="5" s="1"/>
  <c r="V108" i="5" s="1"/>
  <c r="N108" i="5"/>
  <c r="P110" i="5"/>
  <c r="Q110" i="5" s="1"/>
  <c r="R110" i="5" s="1"/>
  <c r="N110" i="5"/>
  <c r="T45" i="5"/>
  <c r="U45" i="5" s="1"/>
  <c r="V45" i="5" s="1"/>
  <c r="T48" i="5"/>
  <c r="U48" i="5" s="1"/>
  <c r="V48" i="5" s="1"/>
  <c r="T54" i="5"/>
  <c r="U54" i="5" s="1"/>
  <c r="V54" i="5" s="1"/>
  <c r="N54" i="5"/>
  <c r="N55" i="5"/>
  <c r="P55" i="5"/>
  <c r="Q55" i="5" s="1"/>
  <c r="R55" i="5" s="1"/>
  <c r="N63" i="5"/>
  <c r="P63" i="5"/>
  <c r="Q63" i="5" s="1"/>
  <c r="R63" i="5" s="1"/>
  <c r="J71" i="5"/>
  <c r="I71" i="5"/>
  <c r="J93" i="5"/>
  <c r="I93" i="5"/>
  <c r="K93" i="5"/>
  <c r="O122" i="5"/>
  <c r="I14" i="5"/>
  <c r="I17" i="5"/>
  <c r="I20" i="5"/>
  <c r="I23" i="5"/>
  <c r="I26" i="5"/>
  <c r="I29" i="5"/>
  <c r="I32" i="5"/>
  <c r="I35" i="5"/>
  <c r="I38" i="5"/>
  <c r="I41" i="5"/>
  <c r="I44" i="5"/>
  <c r="I47" i="5"/>
  <c r="I50" i="5"/>
  <c r="T57" i="5"/>
  <c r="U57" i="5" s="1"/>
  <c r="V57" i="5" s="1"/>
  <c r="N57" i="5"/>
  <c r="N58" i="5"/>
  <c r="P58" i="5"/>
  <c r="Q58" i="5" s="1"/>
  <c r="R58" i="5" s="1"/>
  <c r="U61" i="5"/>
  <c r="V61" i="5" s="1"/>
  <c r="T63" i="5"/>
  <c r="U63" i="5" s="1"/>
  <c r="V63" i="5" s="1"/>
  <c r="K63" i="5"/>
  <c r="N67" i="5"/>
  <c r="P67" i="5"/>
  <c r="Q67" i="5" s="1"/>
  <c r="R67" i="5" s="1"/>
  <c r="K71" i="5"/>
  <c r="T72" i="5"/>
  <c r="U72" i="5" s="1"/>
  <c r="V72" i="5" s="1"/>
  <c r="K72" i="5"/>
  <c r="J80" i="5"/>
  <c r="K80" i="5"/>
  <c r="I80" i="5"/>
  <c r="K50" i="5"/>
  <c r="I53" i="5"/>
  <c r="T60" i="5"/>
  <c r="U60" i="5" s="1"/>
  <c r="V60" i="5" s="1"/>
  <c r="N60" i="5"/>
  <c r="P61" i="5"/>
  <c r="Q61" i="5" s="1"/>
  <c r="R61" i="5" s="1"/>
  <c r="N61" i="5"/>
  <c r="J64" i="5"/>
  <c r="I64" i="5"/>
  <c r="N66" i="5"/>
  <c r="P66" i="5"/>
  <c r="Q66" i="5" s="1"/>
  <c r="R66" i="5" s="1"/>
  <c r="Q78" i="5"/>
  <c r="R78" i="5" s="1"/>
  <c r="J87" i="5"/>
  <c r="I87" i="5"/>
  <c r="T88" i="5"/>
  <c r="U88" i="5" s="1"/>
  <c r="V88" i="5" s="1"/>
  <c r="K88" i="5"/>
  <c r="J105" i="5"/>
  <c r="I105" i="5"/>
  <c r="T106" i="5"/>
  <c r="U106" i="5" s="1"/>
  <c r="V106" i="5" s="1"/>
  <c r="K106" i="5"/>
  <c r="J14" i="5"/>
  <c r="J17" i="5"/>
  <c r="J20" i="5"/>
  <c r="J23" i="5"/>
  <c r="J26" i="5"/>
  <c r="J29" i="5"/>
  <c r="J32" i="5"/>
  <c r="J35" i="5"/>
  <c r="J38" i="5"/>
  <c r="J41" i="5"/>
  <c r="K44" i="5"/>
  <c r="K47" i="5"/>
  <c r="K51" i="5"/>
  <c r="K53" i="5"/>
  <c r="I56" i="5"/>
  <c r="K64" i="5"/>
  <c r="T66" i="5"/>
  <c r="U66" i="5" s="1"/>
  <c r="V66" i="5" s="1"/>
  <c r="K66" i="5"/>
  <c r="U79" i="5"/>
  <c r="V79" i="5" s="1"/>
  <c r="J84" i="5"/>
  <c r="K84" i="5"/>
  <c r="T86" i="5"/>
  <c r="U86" i="5" s="1"/>
  <c r="V86" i="5" s="1"/>
  <c r="K86" i="5"/>
  <c r="K87" i="5"/>
  <c r="J102" i="5"/>
  <c r="K102" i="5"/>
  <c r="T104" i="5"/>
  <c r="U104" i="5" s="1"/>
  <c r="V104" i="5" s="1"/>
  <c r="K104" i="5"/>
  <c r="K105" i="5"/>
  <c r="N78" i="5"/>
  <c r="N79" i="5"/>
  <c r="P79" i="5"/>
  <c r="Q79" i="5" s="1"/>
  <c r="R79" i="5" s="1"/>
  <c r="Q85" i="5"/>
  <c r="R85" i="5" s="1"/>
  <c r="P86" i="5"/>
  <c r="Q86" i="5" s="1"/>
  <c r="R86" i="5" s="1"/>
  <c r="N86" i="5"/>
  <c r="N88" i="5"/>
  <c r="Q103" i="5"/>
  <c r="R103" i="5" s="1"/>
  <c r="P104" i="5"/>
  <c r="Q104" i="5" s="1"/>
  <c r="R104" i="5" s="1"/>
  <c r="N104" i="5"/>
  <c r="N106" i="5"/>
  <c r="P113" i="5"/>
  <c r="Q113" i="5" s="1"/>
  <c r="R113" i="5" s="1"/>
  <c r="N113" i="5"/>
  <c r="P116" i="5"/>
  <c r="Q116" i="5" s="1"/>
  <c r="R116" i="5" s="1"/>
  <c r="N116" i="5"/>
  <c r="T71" i="5"/>
  <c r="U71" i="5" s="1"/>
  <c r="V71" i="5" s="1"/>
  <c r="U96" i="5"/>
  <c r="V96" i="5" s="1"/>
  <c r="P98" i="5"/>
  <c r="Q98" i="5" s="1"/>
  <c r="R98" i="5" s="1"/>
  <c r="N98" i="5"/>
  <c r="T99" i="5"/>
  <c r="U99" i="5" s="1"/>
  <c r="V99" i="5" s="1"/>
  <c r="N99" i="5"/>
  <c r="N72" i="5"/>
  <c r="N73" i="5"/>
  <c r="P73" i="5"/>
  <c r="Q73" i="5" s="1"/>
  <c r="R73" i="5" s="1"/>
  <c r="K75" i="5"/>
  <c r="K76" i="5"/>
  <c r="U85" i="5"/>
  <c r="V85" i="5" s="1"/>
  <c r="K91" i="5"/>
  <c r="P92" i="5"/>
  <c r="Q92" i="5" s="1"/>
  <c r="R92" i="5" s="1"/>
  <c r="N92" i="5"/>
  <c r="K95" i="5"/>
  <c r="U97" i="5"/>
  <c r="V97" i="5" s="1"/>
  <c r="U103" i="5"/>
  <c r="V103" i="5" s="1"/>
  <c r="T111" i="5"/>
  <c r="U111" i="5" s="1"/>
  <c r="V111" i="5" s="1"/>
  <c r="T114" i="5"/>
  <c r="U114" i="5" s="1"/>
  <c r="V114" i="5" s="1"/>
  <c r="T117" i="5"/>
  <c r="U117" i="5" s="1"/>
  <c r="V117" i="5" s="1"/>
  <c r="P83" i="5"/>
  <c r="Q83" i="5" s="1"/>
  <c r="R83" i="5" s="1"/>
  <c r="N83" i="5"/>
  <c r="N85" i="5"/>
  <c r="K90" i="5"/>
  <c r="P101" i="5"/>
  <c r="Q101" i="5" s="1"/>
  <c r="R101" i="5" s="1"/>
  <c r="N101" i="5"/>
  <c r="N103" i="5"/>
  <c r="K108" i="5"/>
  <c r="K111" i="5"/>
  <c r="K114" i="5"/>
  <c r="K117" i="5"/>
  <c r="K120" i="5"/>
  <c r="P119" i="5"/>
  <c r="Q119" i="5" s="1"/>
  <c r="R119" i="5" s="1"/>
  <c r="N119" i="5"/>
  <c r="P95" i="5"/>
  <c r="Q95" i="5" s="1"/>
  <c r="R95" i="5" s="1"/>
  <c r="N95" i="5"/>
  <c r="N97" i="5"/>
  <c r="W8" i="3"/>
  <c r="BG12" i="3"/>
  <c r="CT8" i="3"/>
  <c r="CW9" i="3"/>
  <c r="EB10" i="3"/>
  <c r="CZ6" i="3"/>
  <c r="AR15" i="3"/>
  <c r="DP19" i="3"/>
  <c r="CX19" i="3"/>
  <c r="CF19" i="3"/>
  <c r="CH19" i="3" s="1"/>
  <c r="BN19" i="3"/>
  <c r="AV19" i="3"/>
  <c r="AX19" i="3" s="1"/>
  <c r="AJ19" i="3"/>
  <c r="R19" i="3"/>
  <c r="T19" i="3" s="1"/>
  <c r="DJ19" i="3"/>
  <c r="DE19" i="3"/>
  <c r="CU19" i="3" a="1"/>
  <c r="CU19" i="3" s="1"/>
  <c r="CW19" i="3" s="1"/>
  <c r="CO19" i="3" a="1"/>
  <c r="CO19" i="3" s="1"/>
  <c r="CD19" i="3" a="1"/>
  <c r="CD19" i="3" s="1"/>
  <c r="BH19" i="3"/>
  <c r="BC19" i="3"/>
  <c r="AS19" i="3" a="1"/>
  <c r="AS19" i="3" s="1"/>
  <c r="AN19" i="3" a="1"/>
  <c r="AN19" i="3" s="1"/>
  <c r="X19" i="3"/>
  <c r="Z19" i="3" s="1"/>
  <c r="S19" i="3"/>
  <c r="M19" i="3"/>
  <c r="DY19" i="3" a="1"/>
  <c r="DY19" i="3" s="1"/>
  <c r="DS19" i="3" a="1"/>
  <c r="DS19" i="3" s="1"/>
  <c r="DM19" i="3" a="1"/>
  <c r="DM19" i="3" s="1"/>
  <c r="CY19" i="3"/>
  <c r="CR19" i="3"/>
  <c r="CL19" i="3"/>
  <c r="BR19" i="3" a="1"/>
  <c r="BR19" i="3" s="1"/>
  <c r="BL19" i="3" a="1"/>
  <c r="BL19" i="3" s="1"/>
  <c r="BF19" i="3" a="1"/>
  <c r="BF19" i="3" s="1"/>
  <c r="AA19" i="3" a="1"/>
  <c r="AA19" i="3" s="1"/>
  <c r="AC19" i="3" s="1"/>
  <c r="U19" i="3" a="1"/>
  <c r="U19" i="3" s="1"/>
  <c r="O19" i="3" a="1"/>
  <c r="O19" i="3" s="1"/>
  <c r="Q19" i="3" s="1"/>
  <c r="G19" i="3"/>
  <c r="DT19" i="3" a="1"/>
  <c r="DT19" i="3" s="1"/>
  <c r="DD19" i="3"/>
  <c r="DF19" i="3" s="1"/>
  <c r="CP19" i="3" a="1"/>
  <c r="CP19" i="3" s="1"/>
  <c r="BZ19" i="3"/>
  <c r="BK19" i="3" a="1"/>
  <c r="BK19" i="3" s="1"/>
  <c r="BM19" i="3" s="1"/>
  <c r="BB19" i="3"/>
  <c r="BD19" i="3" s="1"/>
  <c r="AG19" i="3" a="1"/>
  <c r="AG19" i="3" s="1"/>
  <c r="Y19" i="3"/>
  <c r="J19" i="3" a="1"/>
  <c r="J19" i="3" s="1"/>
  <c r="DK19" i="3"/>
  <c r="CV19" i="3" a="1"/>
  <c r="CV19" i="3" s="1"/>
  <c r="CG19" i="3"/>
  <c r="BX19" i="3" a="1"/>
  <c r="BX19" i="3" s="1"/>
  <c r="BQ19" i="3" a="1"/>
  <c r="BQ19" i="3" s="1"/>
  <c r="BS19" i="3" s="1"/>
  <c r="BI19" i="3"/>
  <c r="AT19" i="3" a="1"/>
  <c r="AT19" i="3" s="1"/>
  <c r="AM19" i="3" a="1"/>
  <c r="AM19" i="3" s="1"/>
  <c r="AE19" i="3"/>
  <c r="P19" i="3" a="1"/>
  <c r="P19" i="3" s="1"/>
  <c r="I19" i="3" a="1"/>
  <c r="I19" i="3" s="1"/>
  <c r="DZ19" i="3" a="1"/>
  <c r="DZ19" i="3" s="1"/>
  <c r="DB19" i="3" a="1"/>
  <c r="DB19" i="3" s="1"/>
  <c r="CM19" i="3"/>
  <c r="BW19" i="3" a="1"/>
  <c r="BW19" i="3" s="1"/>
  <c r="AZ19" i="3" a="1"/>
  <c r="AZ19" i="3" s="1"/>
  <c r="AD19" i="3"/>
  <c r="AF19" i="3" s="1"/>
  <c r="V19" i="3" a="1"/>
  <c r="V19" i="3" s="1"/>
  <c r="F19" i="3"/>
  <c r="DW19" i="3"/>
  <c r="DH19" i="3" a="1"/>
  <c r="DH19" i="3" s="1"/>
  <c r="DA19" i="3" a="1"/>
  <c r="DA19" i="3" s="1"/>
  <c r="CJ19" i="3" a="1"/>
  <c r="CJ19" i="3" s="1"/>
  <c r="CC19" i="3" a="1"/>
  <c r="CC19" i="3" s="1"/>
  <c r="CE19" i="3" s="1"/>
  <c r="BU19" i="3"/>
  <c r="BE19" i="3" a="1"/>
  <c r="BE19" i="3" s="1"/>
  <c r="AW19" i="3"/>
  <c r="AB19" i="3" a="1"/>
  <c r="AB19" i="3" s="1"/>
  <c r="AQ19" i="3" a="1"/>
  <c r="AQ19" i="3" s="1"/>
  <c r="BO19" i="3"/>
  <c r="H20" i="3"/>
  <c r="L5" i="3"/>
  <c r="S5" i="3"/>
  <c r="AB5" i="3" a="1"/>
  <c r="AB5" i="3" s="1"/>
  <c r="AY5" i="3" a="1"/>
  <c r="AY5" i="3" s="1"/>
  <c r="BN5" i="3"/>
  <c r="CU5" i="3" a="1"/>
  <c r="CU5" i="3" s="1"/>
  <c r="DK5" i="3"/>
  <c r="DX6" i="3"/>
  <c r="EC7" i="3"/>
  <c r="AC7" i="3"/>
  <c r="CE7" i="3"/>
  <c r="K11" i="3"/>
  <c r="CQ15" i="3"/>
  <c r="CH17" i="3"/>
  <c r="BT19" i="3"/>
  <c r="DN19" i="3" a="1"/>
  <c r="DN19" i="3" s="1"/>
  <c r="AU23" i="3"/>
  <c r="T28" i="3"/>
  <c r="EB28" i="3"/>
  <c r="DV5" i="3"/>
  <c r="DD5" i="3"/>
  <c r="CL5" i="3"/>
  <c r="BT5" i="3"/>
  <c r="BB5" i="3"/>
  <c r="AP5" i="3" a="1"/>
  <c r="AP5" i="3" s="1"/>
  <c r="X5" i="3"/>
  <c r="F5" i="3"/>
  <c r="DY5" i="3" a="1"/>
  <c r="DY5" i="3" s="1"/>
  <c r="DN5" i="3" a="1"/>
  <c r="DN5" i="3" s="1"/>
  <c r="DH5" i="3" a="1"/>
  <c r="DH5" i="3" s="1"/>
  <c r="CR5" i="3"/>
  <c r="CM5" i="3"/>
  <c r="CG5" i="3"/>
  <c r="BW5" i="3" a="1"/>
  <c r="BW5" i="3" s="1"/>
  <c r="BL5" i="3" a="1"/>
  <c r="BL5" i="3" s="1"/>
  <c r="BF5" i="3" a="1"/>
  <c r="BF5" i="3" s="1"/>
  <c r="AQ5" i="3" a="1"/>
  <c r="AQ5" i="3" s="1"/>
  <c r="AM5" i="3" a="1"/>
  <c r="AM5" i="3" s="1"/>
  <c r="AG5" i="3" a="1"/>
  <c r="AG5" i="3" s="1"/>
  <c r="V5" i="3" a="1"/>
  <c r="V5" i="3" s="1"/>
  <c r="DS5" i="3" a="1"/>
  <c r="DS5" i="3" s="1"/>
  <c r="DM5" i="3" a="1"/>
  <c r="DM5" i="3" s="1"/>
  <c r="DB5" i="3" a="1"/>
  <c r="DB5" i="3" s="1"/>
  <c r="CF5" i="3"/>
  <c r="CA5" i="3"/>
  <c r="BQ5" i="3" a="1"/>
  <c r="BQ5" i="3" s="1"/>
  <c r="BK5" i="3" a="1"/>
  <c r="BK5" i="3" s="1"/>
  <c r="AZ5" i="3" a="1"/>
  <c r="AZ5" i="3" s="1"/>
  <c r="AK5" i="3"/>
  <c r="AA5" i="3" a="1"/>
  <c r="AA5" i="3" s="1"/>
  <c r="P5" i="3" a="1"/>
  <c r="P5" i="3" s="1"/>
  <c r="J5" i="3" a="1"/>
  <c r="J5" i="3" s="1"/>
  <c r="R5" i="3"/>
  <c r="AW5" i="3"/>
  <c r="BE5" i="3" a="1"/>
  <c r="BE5" i="3" s="1"/>
  <c r="BU5" i="3"/>
  <c r="CD5" i="3" a="1"/>
  <c r="CD5" i="3" s="1"/>
  <c r="DJ5" i="3"/>
  <c r="DQ5" i="3"/>
  <c r="DZ5" i="3" a="1"/>
  <c r="DZ5" i="3" s="1"/>
  <c r="CQ9" i="3"/>
  <c r="AU10" i="3"/>
  <c r="M5" i="3"/>
  <c r="U5" i="3" a="1"/>
  <c r="U5" i="3" s="1"/>
  <c r="AJ5" i="3"/>
  <c r="BH5" i="3"/>
  <c r="BX5" i="3" a="1"/>
  <c r="BX5" i="3" s="1"/>
  <c r="CO5" i="3" a="1"/>
  <c r="CO5" i="3" s="1"/>
  <c r="DE5" i="3"/>
  <c r="T6" i="3"/>
  <c r="H7" i="3"/>
  <c r="AS5" i="3" a="1"/>
  <c r="AS5" i="3" s="1"/>
  <c r="BI5" i="3"/>
  <c r="BR5" i="3" a="1"/>
  <c r="BR5" i="3" s="1"/>
  <c r="CI5" i="3" a="1"/>
  <c r="CI5" i="3" s="1"/>
  <c r="CX5" i="3"/>
  <c r="K7" i="3"/>
  <c r="BY10" i="3"/>
  <c r="BA14" i="3"/>
  <c r="AH19" i="3" a="1"/>
  <c r="AH19" i="3" s="1"/>
  <c r="EB20" i="3"/>
  <c r="T22" i="3"/>
  <c r="AN5" i="3" a="1"/>
  <c r="AN5" i="3" s="1"/>
  <c r="BC5" i="3"/>
  <c r="BZ5" i="3"/>
  <c r="CY5" i="3"/>
  <c r="DU6" i="3"/>
  <c r="L7" i="3"/>
  <c r="N7" i="3" s="1"/>
  <c r="AG7" i="3" a="1"/>
  <c r="AG7" i="3" s="1"/>
  <c r="AI7" i="3" s="1"/>
  <c r="CI7" i="3" a="1"/>
  <c r="CI7" i="3" s="1"/>
  <c r="CK7" i="3" s="1"/>
  <c r="EB8" i="3"/>
  <c r="BM9" i="3"/>
  <c r="EA9" i="3"/>
  <c r="BS11" i="3"/>
  <c r="BY12" i="3"/>
  <c r="BA15" i="3"/>
  <c r="BG17" i="3"/>
  <c r="L19" i="3"/>
  <c r="AK19" i="3"/>
  <c r="BO5" i="3"/>
  <c r="CV5" i="3" a="1"/>
  <c r="CV5" i="3" s="1"/>
  <c r="BJ7" i="3"/>
  <c r="BS12" i="3"/>
  <c r="BJ13" i="3"/>
  <c r="AY19" i="3" a="1"/>
  <c r="AY19" i="3" s="1"/>
  <c r="BA19" i="3" s="1"/>
  <c r="CS19" i="3"/>
  <c r="DQ19" i="3"/>
  <c r="BA21" i="3"/>
  <c r="BM31" i="3"/>
  <c r="G5" i="3"/>
  <c r="AD5" i="3"/>
  <c r="DP7" i="3"/>
  <c r="CX7" i="3"/>
  <c r="CZ7" i="3" s="1"/>
  <c r="CF7" i="3"/>
  <c r="CH7" i="3" s="1"/>
  <c r="BN7" i="3"/>
  <c r="BP7" i="3" s="1"/>
  <c r="AV7" i="3"/>
  <c r="AX7" i="3" s="1"/>
  <c r="AJ7" i="3"/>
  <c r="AL7" i="3" s="1"/>
  <c r="DW7" i="3"/>
  <c r="DM7" i="3" a="1"/>
  <c r="DM7" i="3" s="1"/>
  <c r="DO7" i="3" s="1"/>
  <c r="DG7" i="3" a="1"/>
  <c r="DG7" i="3" s="1"/>
  <c r="DI7" i="3" s="1"/>
  <c r="CV7" i="3" a="1"/>
  <c r="CV7" i="3" s="1"/>
  <c r="BZ7" i="3"/>
  <c r="CB7" i="3" s="1"/>
  <c r="BU7" i="3"/>
  <c r="BK7" i="3" a="1"/>
  <c r="BK7" i="3" s="1"/>
  <c r="BE7" i="3" a="1"/>
  <c r="BE7" i="3" s="1"/>
  <c r="BG7" i="3" s="1"/>
  <c r="AT7" i="3" a="1"/>
  <c r="AT7" i="3" s="1"/>
  <c r="AP7" i="3" a="1"/>
  <c r="AP7" i="3" s="1"/>
  <c r="AR7" i="3" s="1"/>
  <c r="AK7" i="3"/>
  <c r="R7" i="3"/>
  <c r="T7" i="3" s="1"/>
  <c r="DV7" i="3"/>
  <c r="DX7" i="3" s="1"/>
  <c r="CP7" i="3" a="1"/>
  <c r="CP7" i="3" s="1"/>
  <c r="CQ7" i="3" s="1"/>
  <c r="BW7" i="3" a="1"/>
  <c r="BW7" i="3" s="1"/>
  <c r="BY7" i="3" s="1"/>
  <c r="BQ7" i="3" a="1"/>
  <c r="BQ7" i="3" s="1"/>
  <c r="BS7" i="3" s="1"/>
  <c r="BI7" i="3"/>
  <c r="BC7" i="3"/>
  <c r="AW7" i="3"/>
  <c r="AQ7" i="3" a="1"/>
  <c r="AQ7" i="3" s="1"/>
  <c r="AE7" i="3"/>
  <c r="U7" i="3" a="1"/>
  <c r="U7" i="3" s="1"/>
  <c r="W7" i="3" s="1"/>
  <c r="J7" i="3" a="1"/>
  <c r="J7" i="3" s="1"/>
  <c r="DZ7" i="3" a="1"/>
  <c r="DZ7" i="3" s="1"/>
  <c r="DS7" i="3" a="1"/>
  <c r="DS7" i="3" s="1"/>
  <c r="DU7" i="3" s="1"/>
  <c r="DJ7" i="3"/>
  <c r="DL7" i="3" s="1"/>
  <c r="DB7" i="3" a="1"/>
  <c r="DB7" i="3" s="1"/>
  <c r="CU7" i="3" a="1"/>
  <c r="CU7" i="3" s="1"/>
  <c r="CW7" i="3" s="1"/>
  <c r="CM7" i="3"/>
  <c r="BX7" i="3" a="1"/>
  <c r="BX7" i="3" s="1"/>
  <c r="BO7" i="3"/>
  <c r="AZ7" i="3" a="1"/>
  <c r="AZ7" i="3" s="1"/>
  <c r="AS7" i="3" a="1"/>
  <c r="AS7" i="3" s="1"/>
  <c r="AU7" i="3" s="1"/>
  <c r="AM7" i="3" a="1"/>
  <c r="AM7" i="3" s="1"/>
  <c r="AO7" i="3" s="1"/>
  <c r="AD7" i="3"/>
  <c r="X7" i="3"/>
  <c r="Z7" i="3" s="1"/>
  <c r="DH7" i="3" a="1"/>
  <c r="DH7" i="3" s="1"/>
  <c r="DY7" i="3" a="1"/>
  <c r="DY7" i="3" s="1"/>
  <c r="DQ7" i="3"/>
  <c r="DA7" i="3" a="1"/>
  <c r="DA7" i="3" s="1"/>
  <c r="DC7" i="3" s="1"/>
  <c r="CS7" i="3"/>
  <c r="CL7" i="3"/>
  <c r="CN7" i="3" s="1"/>
  <c r="CD7" i="3" a="1"/>
  <c r="CD7" i="3" s="1"/>
  <c r="AY7" i="3" a="1"/>
  <c r="AY7" i="3" s="1"/>
  <c r="BA7" i="3" s="1"/>
  <c r="AN7" i="3" a="1"/>
  <c r="AN7" i="3" s="1"/>
  <c r="BT7" i="3"/>
  <c r="BV7" i="3" s="1"/>
  <c r="CR7" i="3"/>
  <c r="CT7" i="3" s="1"/>
  <c r="BA9" i="3"/>
  <c r="CK13" i="3"/>
  <c r="BD16" i="3"/>
  <c r="CA19" i="3"/>
  <c r="DV19" i="3"/>
  <c r="DX19" i="3" s="1"/>
  <c r="CE24" i="3"/>
  <c r="O5" i="3" a="1"/>
  <c r="O5" i="3" s="1"/>
  <c r="AE5" i="3"/>
  <c r="AT5" i="3" a="1"/>
  <c r="AT5" i="3" s="1"/>
  <c r="CP5" i="3" a="1"/>
  <c r="CP5" i="3" s="1"/>
  <c r="DG5" i="3" a="1"/>
  <c r="DG5" i="3" s="1"/>
  <c r="DW5" i="3"/>
  <c r="W6" i="3"/>
  <c r="BL7" i="3" a="1"/>
  <c r="BL7" i="3" s="1"/>
  <c r="I5" i="3" a="1"/>
  <c r="I5" i="3" s="1"/>
  <c r="Y5" i="3"/>
  <c r="AH5" i="3" a="1"/>
  <c r="AH5" i="3" s="1"/>
  <c r="AV5" i="3"/>
  <c r="CC5" i="3" a="1"/>
  <c r="CC5" i="3" s="1"/>
  <c r="CJ5" i="3" a="1"/>
  <c r="CJ5" i="3" s="1"/>
  <c r="CS5" i="3"/>
  <c r="DA5" i="3" a="1"/>
  <c r="DA5" i="3" s="1"/>
  <c r="DP5" i="3"/>
  <c r="DF6" i="3"/>
  <c r="M7" i="3"/>
  <c r="V7" i="3" a="1"/>
  <c r="V7" i="3" s="1"/>
  <c r="BB7" i="3"/>
  <c r="CJ7" i="3" a="1"/>
  <c r="CJ7" i="3" s="1"/>
  <c r="K9" i="3"/>
  <c r="BP9" i="3"/>
  <c r="AF11" i="3"/>
  <c r="BM14" i="3"/>
  <c r="CK14" i="3"/>
  <c r="BM16" i="3"/>
  <c r="K17" i="3"/>
  <c r="AP19" i="3" a="1"/>
  <c r="AP19" i="3" s="1"/>
  <c r="CI19" i="3" a="1"/>
  <c r="CI19" i="3" s="1"/>
  <c r="CK19" i="3" s="1"/>
  <c r="DG19" i="3" a="1"/>
  <c r="DG19" i="3" s="1"/>
  <c r="DI19" i="3" s="1"/>
  <c r="K30" i="3"/>
  <c r="CK35" i="3"/>
  <c r="BA12" i="3"/>
  <c r="I13" i="3" a="1"/>
  <c r="I13" i="3" s="1"/>
  <c r="P13" i="3" a="1"/>
  <c r="P13" i="3" s="1"/>
  <c r="X13" i="3"/>
  <c r="Z13" i="3" s="1"/>
  <c r="AE13" i="3"/>
  <c r="AF13" i="3" s="1"/>
  <c r="AN13" i="3" a="1"/>
  <c r="AN13" i="3" s="1"/>
  <c r="AT13" i="3" a="1"/>
  <c r="AT13" i="3" s="1"/>
  <c r="BB13" i="3"/>
  <c r="BD13" i="3" s="1"/>
  <c r="BI13" i="3"/>
  <c r="BQ13" i="3" a="1"/>
  <c r="BQ13" i="3" s="1"/>
  <c r="BS13" i="3" s="1"/>
  <c r="CG13" i="3"/>
  <c r="CO13" i="3" a="1"/>
  <c r="CO13" i="3" s="1"/>
  <c r="CQ13" i="3" s="1"/>
  <c r="CV13" i="3" a="1"/>
  <c r="CV13" i="3" s="1"/>
  <c r="DD13" i="3"/>
  <c r="DM13" i="3" a="1"/>
  <c r="DM13" i="3" s="1"/>
  <c r="DT13" i="3" a="1"/>
  <c r="DT13" i="3" s="1"/>
  <c r="DU13" i="3" s="1"/>
  <c r="Q14" i="3"/>
  <c r="H15" i="3"/>
  <c r="CN15" i="3"/>
  <c r="I16" i="3" a="1"/>
  <c r="I16" i="3" s="1"/>
  <c r="AN16" i="3" a="1"/>
  <c r="AN16" i="3" s="1"/>
  <c r="BI16" i="3"/>
  <c r="BJ16" i="3" s="1"/>
  <c r="CF16" i="3"/>
  <c r="CH16" i="3" s="1"/>
  <c r="CO16" i="3" a="1"/>
  <c r="CO16" i="3" s="1"/>
  <c r="DV17" i="3"/>
  <c r="DX17" i="3" s="1"/>
  <c r="DD17" i="3"/>
  <c r="DF17" i="3" s="1"/>
  <c r="CL17" i="3"/>
  <c r="CN17" i="3" s="1"/>
  <c r="BT17" i="3"/>
  <c r="BV17" i="3" s="1"/>
  <c r="BB17" i="3"/>
  <c r="AP17" i="3" a="1"/>
  <c r="AP17" i="3" s="1"/>
  <c r="X17" i="3"/>
  <c r="Z17" i="3" s="1"/>
  <c r="F17" i="3"/>
  <c r="DY17" i="3" a="1"/>
  <c r="DY17" i="3" s="1"/>
  <c r="EA17" i="3" s="1"/>
  <c r="DN17" i="3" a="1"/>
  <c r="DN17" i="3" s="1"/>
  <c r="DH17" i="3" a="1"/>
  <c r="DH17" i="3" s="1"/>
  <c r="DI17" i="3" s="1"/>
  <c r="CR17" i="3"/>
  <c r="CT17" i="3" s="1"/>
  <c r="CM17" i="3"/>
  <c r="CG17" i="3"/>
  <c r="BW17" i="3" a="1"/>
  <c r="BW17" i="3" s="1"/>
  <c r="BY17" i="3" s="1"/>
  <c r="BL17" i="3" a="1"/>
  <c r="BL17" i="3" s="1"/>
  <c r="BF17" i="3" a="1"/>
  <c r="BF17" i="3" s="1"/>
  <c r="AQ17" i="3" a="1"/>
  <c r="AQ17" i="3" s="1"/>
  <c r="AM17" i="3" a="1"/>
  <c r="AM17" i="3" s="1"/>
  <c r="AO17" i="3" s="1"/>
  <c r="AG17" i="3" a="1"/>
  <c r="AG17" i="3" s="1"/>
  <c r="V17" i="3" a="1"/>
  <c r="V17" i="3" s="1"/>
  <c r="W17" i="3" s="1"/>
  <c r="DB17" i="3" a="1"/>
  <c r="DB17" i="3" s="1"/>
  <c r="DC17" i="3" s="1"/>
  <c r="CV17" i="3" a="1"/>
  <c r="CV17" i="3" s="1"/>
  <c r="CC17" i="3" a="1"/>
  <c r="CC17" i="3" s="1"/>
  <c r="CE17" i="3" s="1"/>
  <c r="BO17" i="3"/>
  <c r="BI17" i="3"/>
  <c r="BC17" i="3"/>
  <c r="AV17" i="3"/>
  <c r="AX17" i="3" s="1"/>
  <c r="AJ17" i="3"/>
  <c r="AD17" i="3"/>
  <c r="AF17" i="3" s="1"/>
  <c r="J17" i="3" a="1"/>
  <c r="J17" i="3" s="1"/>
  <c r="R17" i="3"/>
  <c r="T17" i="3" s="1"/>
  <c r="AH17" i="3" a="1"/>
  <c r="AH17" i="3" s="1"/>
  <c r="BK17" i="3" a="1"/>
  <c r="BK17" i="3" s="1"/>
  <c r="BM17" i="3" s="1"/>
  <c r="BZ17" i="3"/>
  <c r="CB17" i="3" s="1"/>
  <c r="CI17" i="3" a="1"/>
  <c r="CI17" i="3" s="1"/>
  <c r="CK17" i="3" s="1"/>
  <c r="CP17" i="3" a="1"/>
  <c r="CP17" i="3" s="1"/>
  <c r="CQ17" i="3" s="1"/>
  <c r="CX17" i="3"/>
  <c r="CZ17" i="3" s="1"/>
  <c r="DM17" i="3" a="1"/>
  <c r="DM17" i="3" s="1"/>
  <c r="DU20" i="3"/>
  <c r="DJ21" i="3"/>
  <c r="DL21" i="3" s="1"/>
  <c r="CR21" i="3"/>
  <c r="BZ21" i="3"/>
  <c r="BH21" i="3"/>
  <c r="BJ21" i="3" s="1"/>
  <c r="AQ21" i="3" a="1"/>
  <c r="AQ21" i="3" s="1"/>
  <c r="AD21" i="3"/>
  <c r="AF21" i="3" s="1"/>
  <c r="L21" i="3"/>
  <c r="DT21" i="3" a="1"/>
  <c r="DT21" i="3" s="1"/>
  <c r="DN21" i="3" a="1"/>
  <c r="DN21" i="3" s="1"/>
  <c r="CX21" i="3"/>
  <c r="CS21" i="3"/>
  <c r="CM21" i="3"/>
  <c r="CN21" i="3" s="1"/>
  <c r="CC21" i="3" a="1"/>
  <c r="CC21" i="3" s="1"/>
  <c r="CE21" i="3" s="1"/>
  <c r="BR21" i="3" a="1"/>
  <c r="BR21" i="3" s="1"/>
  <c r="BL21" i="3" a="1"/>
  <c r="BL21" i="3" s="1"/>
  <c r="AV21" i="3"/>
  <c r="AM21" i="3" a="1"/>
  <c r="AM21" i="3" s="1"/>
  <c r="AO21" i="3" s="1"/>
  <c r="AB21" i="3" a="1"/>
  <c r="AB21" i="3" s="1"/>
  <c r="F21" i="3"/>
  <c r="DW21" i="3"/>
  <c r="DM21" i="3" a="1"/>
  <c r="DM21" i="3" s="1"/>
  <c r="DO21" i="3" s="1"/>
  <c r="DB21" i="3" a="1"/>
  <c r="DB21" i="3" s="1"/>
  <c r="CV21" i="3" a="1"/>
  <c r="CV21" i="3" s="1"/>
  <c r="CF21" i="3"/>
  <c r="CH21" i="3" s="1"/>
  <c r="CA21" i="3"/>
  <c r="BU21" i="3"/>
  <c r="BK21" i="3" a="1"/>
  <c r="BK21" i="3" s="1"/>
  <c r="BM21" i="3" s="1"/>
  <c r="AZ21" i="3" a="1"/>
  <c r="AZ21" i="3" s="1"/>
  <c r="AT21" i="3" a="1"/>
  <c r="AT21" i="3" s="1"/>
  <c r="AP21" i="3" a="1"/>
  <c r="AP21" i="3" s="1"/>
  <c r="AR21" i="3" s="1"/>
  <c r="AK21" i="3"/>
  <c r="AA21" i="3" a="1"/>
  <c r="AA21" i="3" s="1"/>
  <c r="U21" i="3" a="1"/>
  <c r="U21" i="3" s="1"/>
  <c r="J21" i="3" a="1"/>
  <c r="J21" i="3" s="1"/>
  <c r="DZ21" i="3" a="1"/>
  <c r="DZ21" i="3" s="1"/>
  <c r="EA21" i="3" s="1"/>
  <c r="DQ21" i="3"/>
  <c r="DR21" i="3" s="1"/>
  <c r="DA21" i="3" a="1"/>
  <c r="DA21" i="3" s="1"/>
  <c r="DC21" i="3" s="1"/>
  <c r="BT21" i="3"/>
  <c r="BV21" i="3" s="1"/>
  <c r="BE21" i="3" a="1"/>
  <c r="BE21" i="3" s="1"/>
  <c r="BG21" i="3" s="1"/>
  <c r="AW21" i="3"/>
  <c r="AH21" i="3" a="1"/>
  <c r="AH21" i="3" s="1"/>
  <c r="AI21" i="3" s="1"/>
  <c r="Y21" i="3"/>
  <c r="Z21" i="3" s="1"/>
  <c r="R21" i="3"/>
  <c r="T21" i="3" s="1"/>
  <c r="M21" i="3"/>
  <c r="V21" i="3" a="1"/>
  <c r="V21" i="3" s="1"/>
  <c r="AE21" i="3"/>
  <c r="BQ21" i="3" a="1"/>
  <c r="BQ21" i="3" s="1"/>
  <c r="BS21" i="3" s="1"/>
  <c r="CJ21" i="3" a="1"/>
  <c r="CJ21" i="3" s="1"/>
  <c r="CK21" i="3" s="1"/>
  <c r="CU21" i="3" a="1"/>
  <c r="CU21" i="3" s="1"/>
  <c r="DD21" i="3"/>
  <c r="DF21" i="3" s="1"/>
  <c r="DV21" i="3"/>
  <c r="CB22" i="3"/>
  <c r="R24" i="3"/>
  <c r="T24" i="3" s="1"/>
  <c r="AJ24" i="3"/>
  <c r="AL24" i="3" s="1"/>
  <c r="CK25" i="3"/>
  <c r="W26" i="3"/>
  <c r="AL31" i="3"/>
  <c r="AO12" i="3"/>
  <c r="S13" i="3"/>
  <c r="AP13" i="3" a="1"/>
  <c r="AP13" i="3" s="1"/>
  <c r="CA13" i="3"/>
  <c r="CB13" i="3" s="1"/>
  <c r="DG13" i="3" a="1"/>
  <c r="DG13" i="3" s="1"/>
  <c r="DI13" i="3" s="1"/>
  <c r="DV13" i="3"/>
  <c r="DX13" i="3" s="1"/>
  <c r="DW16" i="3"/>
  <c r="DS16" i="3" a="1"/>
  <c r="DS16" i="3" s="1"/>
  <c r="DN16" i="3" a="1"/>
  <c r="DN16" i="3" s="1"/>
  <c r="DO16" i="3" s="1"/>
  <c r="DE16" i="3"/>
  <c r="DF16" i="3" s="1"/>
  <c r="DA16" i="3" a="1"/>
  <c r="DA16" i="3" s="1"/>
  <c r="DC16" i="3" s="1"/>
  <c r="CV16" i="3" a="1"/>
  <c r="CV16" i="3" s="1"/>
  <c r="CW16" i="3" s="1"/>
  <c r="CM16" i="3"/>
  <c r="CN16" i="3" s="1"/>
  <c r="CI16" i="3" a="1"/>
  <c r="CI16" i="3" s="1"/>
  <c r="CD16" i="3" a="1"/>
  <c r="CD16" i="3" s="1"/>
  <c r="BU16" i="3"/>
  <c r="BQ16" i="3" a="1"/>
  <c r="BQ16" i="3" s="1"/>
  <c r="BS16" i="3" s="1"/>
  <c r="BL16" i="3" a="1"/>
  <c r="BL16" i="3" s="1"/>
  <c r="BC16" i="3"/>
  <c r="AY16" i="3" a="1"/>
  <c r="AY16" i="3" s="1"/>
  <c r="BA16" i="3" s="1"/>
  <c r="AT16" i="3" a="1"/>
  <c r="AT16" i="3" s="1"/>
  <c r="AU16" i="3" s="1"/>
  <c r="AM16" i="3" a="1"/>
  <c r="AM16" i="3" s="1"/>
  <c r="AO16" i="3" s="1"/>
  <c r="AH16" i="3" a="1"/>
  <c r="AH16" i="3" s="1"/>
  <c r="AI16" i="3" s="1"/>
  <c r="Y16" i="3"/>
  <c r="U16" i="3" a="1"/>
  <c r="U16" i="3" s="1"/>
  <c r="W16" i="3" s="1"/>
  <c r="P16" i="3" a="1"/>
  <c r="P16" i="3" s="1"/>
  <c r="Q16" i="3" s="1"/>
  <c r="G16" i="3"/>
  <c r="DT16" i="3" a="1"/>
  <c r="DT16" i="3" s="1"/>
  <c r="CX16" i="3"/>
  <c r="CS16" i="3"/>
  <c r="CC16" i="3" a="1"/>
  <c r="CC16" i="3" s="1"/>
  <c r="BR16" i="3" a="1"/>
  <c r="BR16" i="3" s="1"/>
  <c r="AV16" i="3"/>
  <c r="AX16" i="3" s="1"/>
  <c r="AB16" i="3" a="1"/>
  <c r="AB16" i="3" s="1"/>
  <c r="L16" i="3"/>
  <c r="F16" i="3"/>
  <c r="DV16" i="3"/>
  <c r="DX16" i="3" s="1"/>
  <c r="DP16" i="3"/>
  <c r="DJ16" i="3"/>
  <c r="DL16" i="3" s="1"/>
  <c r="CP16" i="3" a="1"/>
  <c r="CP16" i="3" s="1"/>
  <c r="CJ16" i="3" a="1"/>
  <c r="CJ16" i="3" s="1"/>
  <c r="BW16" i="3" a="1"/>
  <c r="BW16" i="3" s="1"/>
  <c r="BY16" i="3" s="1"/>
  <c r="AW16" i="3"/>
  <c r="AQ16" i="3" a="1"/>
  <c r="AQ16" i="3" s="1"/>
  <c r="AK16" i="3"/>
  <c r="AE16" i="3"/>
  <c r="AF16" i="3" s="1"/>
  <c r="X16" i="3"/>
  <c r="R16" i="3"/>
  <c r="T16" i="3" s="1"/>
  <c r="AA16" i="3" a="1"/>
  <c r="AA16" i="3" s="1"/>
  <c r="CA16" i="3"/>
  <c r="CB16" i="3" s="1"/>
  <c r="DG16" i="3" a="1"/>
  <c r="DG16" i="3" s="1"/>
  <c r="DR17" i="3"/>
  <c r="DR18" i="3"/>
  <c r="DI21" i="3"/>
  <c r="DW24" i="3"/>
  <c r="DX24" i="3" s="1"/>
  <c r="DS24" i="3" a="1"/>
  <c r="DS24" i="3" s="1"/>
  <c r="DN24" i="3" a="1"/>
  <c r="DN24" i="3" s="1"/>
  <c r="DE24" i="3"/>
  <c r="DA24" i="3" a="1"/>
  <c r="DA24" i="3" s="1"/>
  <c r="CV24" i="3" a="1"/>
  <c r="CV24" i="3" s="1"/>
  <c r="CM24" i="3"/>
  <c r="CI24" i="3" a="1"/>
  <c r="CI24" i="3" s="1"/>
  <c r="CD24" i="3" a="1"/>
  <c r="CD24" i="3" s="1"/>
  <c r="BU24" i="3"/>
  <c r="BQ24" i="3" a="1"/>
  <c r="BQ24" i="3" s="1"/>
  <c r="BL24" i="3" a="1"/>
  <c r="BL24" i="3" s="1"/>
  <c r="BC24" i="3"/>
  <c r="AY24" i="3" a="1"/>
  <c r="AY24" i="3" s="1"/>
  <c r="AT24" i="3" a="1"/>
  <c r="AT24" i="3" s="1"/>
  <c r="AM24" i="3" a="1"/>
  <c r="AM24" i="3" s="1"/>
  <c r="AO24" i="3" s="1"/>
  <c r="AH24" i="3" a="1"/>
  <c r="AH24" i="3" s="1"/>
  <c r="Y24" i="3"/>
  <c r="U24" i="3" a="1"/>
  <c r="U24" i="3" s="1"/>
  <c r="P24" i="3" a="1"/>
  <c r="P24" i="3" s="1"/>
  <c r="G24" i="3"/>
  <c r="DM24" i="3" a="1"/>
  <c r="DM24" i="3" s="1"/>
  <c r="DO24" i="3" s="1"/>
  <c r="DB24" i="3" a="1"/>
  <c r="DB24" i="3" s="1"/>
  <c r="CF24" i="3"/>
  <c r="CH24" i="3" s="1"/>
  <c r="CA24" i="3"/>
  <c r="BK24" i="3" a="1"/>
  <c r="BK24" i="3" s="1"/>
  <c r="AZ24" i="3" a="1"/>
  <c r="AZ24" i="3" s="1"/>
  <c r="AP24" i="3" a="1"/>
  <c r="AP24" i="3" s="1"/>
  <c r="AR24" i="3" s="1"/>
  <c r="AK24" i="3"/>
  <c r="AA24" i="3" a="1"/>
  <c r="AA24" i="3" s="1"/>
  <c r="AC24" i="3" s="1"/>
  <c r="J24" i="3" a="1"/>
  <c r="J24" i="3" s="1"/>
  <c r="DZ24" i="3" a="1"/>
  <c r="DZ24" i="3" s="1"/>
  <c r="EA24" i="3" s="1"/>
  <c r="DT24" i="3" a="1"/>
  <c r="DT24" i="3" s="1"/>
  <c r="DG24" i="3" a="1"/>
  <c r="DG24" i="3" s="1"/>
  <c r="DI24" i="3" s="1"/>
  <c r="CG24" i="3"/>
  <c r="BZ24" i="3"/>
  <c r="CB24" i="3" s="1"/>
  <c r="AB24" i="3" a="1"/>
  <c r="AB24" i="3" s="1"/>
  <c r="V24" i="3" a="1"/>
  <c r="V24" i="3" s="1"/>
  <c r="O24" i="3" a="1"/>
  <c r="O24" i="3" s="1"/>
  <c r="Q24" i="3" s="1"/>
  <c r="I24" i="3" a="1"/>
  <c r="I24" i="3" s="1"/>
  <c r="DD24" i="3"/>
  <c r="BR24" i="3" a="1"/>
  <c r="BR24" i="3" s="1"/>
  <c r="BB24" i="3"/>
  <c r="BD24" i="3" s="1"/>
  <c r="AN24" i="3" a="1"/>
  <c r="AN24" i="3" s="1"/>
  <c r="AG24" i="3" a="1"/>
  <c r="AG24" i="3" s="1"/>
  <c r="AI24" i="3" s="1"/>
  <c r="X24" i="3"/>
  <c r="Z24" i="3" s="1"/>
  <c r="DK24" i="3"/>
  <c r="CO24" i="3" a="1"/>
  <c r="CO24" i="3" s="1"/>
  <c r="CQ24" i="3" s="1"/>
  <c r="BX24" i="3" a="1"/>
  <c r="BX24" i="3" s="1"/>
  <c r="BI24" i="3"/>
  <c r="AS24" i="3" a="1"/>
  <c r="AS24" i="3" s="1"/>
  <c r="AU24" i="3" s="1"/>
  <c r="AE24" i="3"/>
  <c r="DQ24" i="3"/>
  <c r="DJ24" i="3"/>
  <c r="DL24" i="3" s="1"/>
  <c r="CU24" i="3" a="1"/>
  <c r="CU24" i="3" s="1"/>
  <c r="CL24" i="3"/>
  <c r="CN24" i="3" s="1"/>
  <c r="BO24" i="3"/>
  <c r="BH24" i="3"/>
  <c r="BJ24" i="3" s="1"/>
  <c r="AD24" i="3"/>
  <c r="F24" i="3"/>
  <c r="DP24" i="3"/>
  <c r="BW24" i="3" a="1"/>
  <c r="BW24" i="3" s="1"/>
  <c r="BY24" i="3" s="1"/>
  <c r="BF24" i="3" a="1"/>
  <c r="BF24" i="3" s="1"/>
  <c r="M24" i="3"/>
  <c r="CY24" i="3"/>
  <c r="CZ24" i="3" s="1"/>
  <c r="CJ24" i="3" a="1"/>
  <c r="CJ24" i="3" s="1"/>
  <c r="BT24" i="3"/>
  <c r="BE24" i="3" a="1"/>
  <c r="BE24" i="3" s="1"/>
  <c r="AQ24" i="3" a="1"/>
  <c r="AQ24" i="3" s="1"/>
  <c r="L24" i="3"/>
  <c r="N24" i="3" s="1"/>
  <c r="AV24" i="3"/>
  <c r="AX24" i="3" s="1"/>
  <c r="BN24" i="3"/>
  <c r="CP24" i="3" a="1"/>
  <c r="CP24" i="3" s="1"/>
  <c r="AF27" i="3"/>
  <c r="AF28" i="3"/>
  <c r="DZ6" i="3" a="1"/>
  <c r="DZ6" i="3" s="1"/>
  <c r="DQ6" i="3"/>
  <c r="DM6" i="3" a="1"/>
  <c r="DM6" i="3" s="1"/>
  <c r="DO6" i="3" s="1"/>
  <c r="DH6" i="3" a="1"/>
  <c r="DH6" i="3" s="1"/>
  <c r="DI6" i="3" s="1"/>
  <c r="CY6" i="3"/>
  <c r="CU6" i="3" a="1"/>
  <c r="CU6" i="3" s="1"/>
  <c r="CW6" i="3" s="1"/>
  <c r="CP6" i="3" a="1"/>
  <c r="CP6" i="3" s="1"/>
  <c r="CQ6" i="3" s="1"/>
  <c r="CG6" i="3"/>
  <c r="CH6" i="3" s="1"/>
  <c r="CC6" i="3" a="1"/>
  <c r="CC6" i="3" s="1"/>
  <c r="CE6" i="3" s="1"/>
  <c r="BX6" i="3" a="1"/>
  <c r="BX6" i="3" s="1"/>
  <c r="BY6" i="3" s="1"/>
  <c r="BO6" i="3"/>
  <c r="BK6" i="3" a="1"/>
  <c r="BK6" i="3" s="1"/>
  <c r="BM6" i="3" s="1"/>
  <c r="BF6" i="3" a="1"/>
  <c r="BF6" i="3" s="1"/>
  <c r="BG6" i="3" s="1"/>
  <c r="AW6" i="3"/>
  <c r="AX6" i="3" s="1"/>
  <c r="AS6" i="3" a="1"/>
  <c r="AS6" i="3" s="1"/>
  <c r="AK6" i="3"/>
  <c r="AL6" i="3" s="1"/>
  <c r="AG6" i="3" a="1"/>
  <c r="AG6" i="3" s="1"/>
  <c r="AI6" i="3" s="1"/>
  <c r="AB6" i="3" a="1"/>
  <c r="AB6" i="3" s="1"/>
  <c r="AC6" i="3" s="1"/>
  <c r="S6" i="3"/>
  <c r="EC6" i="3" s="1"/>
  <c r="O6" i="3" a="1"/>
  <c r="O6" i="3" s="1"/>
  <c r="Q6" i="3" s="1"/>
  <c r="J6" i="3" a="1"/>
  <c r="J6" i="3" s="1"/>
  <c r="DY6" i="3" a="1"/>
  <c r="DY6" i="3" s="1"/>
  <c r="I6" i="3" a="1"/>
  <c r="I6" i="3" s="1"/>
  <c r="Y6" i="3"/>
  <c r="Z6" i="3" s="1"/>
  <c r="AD6" i="3"/>
  <c r="AF6" i="3" s="1"/>
  <c r="AY6" i="3" a="1"/>
  <c r="AY6" i="3" s="1"/>
  <c r="BA6" i="3" s="1"/>
  <c r="BI6" i="3"/>
  <c r="BJ6" i="3" s="1"/>
  <c r="BN6" i="3"/>
  <c r="BP6" i="3" s="1"/>
  <c r="BT6" i="3"/>
  <c r="BV6" i="3" s="1"/>
  <c r="CJ6" i="3" a="1"/>
  <c r="CJ6" i="3" s="1"/>
  <c r="CK6" i="3" s="1"/>
  <c r="DA6" i="3" a="1"/>
  <c r="DA6" i="3" s="1"/>
  <c r="DC6" i="3" s="1"/>
  <c r="DK6" i="3"/>
  <c r="DL6" i="3" s="1"/>
  <c r="DP6" i="3"/>
  <c r="DW6" i="3"/>
  <c r="H8" i="3"/>
  <c r="AI8" i="3"/>
  <c r="DJ9" i="3"/>
  <c r="DL9" i="3" s="1"/>
  <c r="CR9" i="3"/>
  <c r="CT9" i="3" s="1"/>
  <c r="BZ9" i="3"/>
  <c r="BH9" i="3"/>
  <c r="BJ9" i="3" s="1"/>
  <c r="AQ9" i="3" a="1"/>
  <c r="AQ9" i="3" s="1"/>
  <c r="AR9" i="3" s="1"/>
  <c r="AD9" i="3"/>
  <c r="AF9" i="3" s="1"/>
  <c r="L9" i="3"/>
  <c r="N9" i="3" s="1"/>
  <c r="DT9" i="3" a="1"/>
  <c r="DT9" i="3" s="1"/>
  <c r="DU9" i="3" s="1"/>
  <c r="DN9" i="3" a="1"/>
  <c r="DN9" i="3" s="1"/>
  <c r="DO9" i="3" s="1"/>
  <c r="CX9" i="3"/>
  <c r="CS9" i="3"/>
  <c r="CM9" i="3"/>
  <c r="CN9" i="3" s="1"/>
  <c r="CC9" i="3" a="1"/>
  <c r="CC9" i="3" s="1"/>
  <c r="CE9" i="3" s="1"/>
  <c r="BR9" i="3" a="1"/>
  <c r="BR9" i="3" s="1"/>
  <c r="BS9" i="3" s="1"/>
  <c r="BL9" i="3" a="1"/>
  <c r="BL9" i="3" s="1"/>
  <c r="AV9" i="3"/>
  <c r="AM9" i="3" a="1"/>
  <c r="AM9" i="3" s="1"/>
  <c r="AO9" i="3" s="1"/>
  <c r="AB9" i="3" a="1"/>
  <c r="AB9" i="3" s="1"/>
  <c r="F9" i="3"/>
  <c r="DV9" i="3"/>
  <c r="DX9" i="3" s="1"/>
  <c r="DP9" i="3"/>
  <c r="DR9" i="3" s="1"/>
  <c r="CV9" i="3" a="1"/>
  <c r="CV9" i="3" s="1"/>
  <c r="CP9" i="3" a="1"/>
  <c r="CP9" i="3" s="1"/>
  <c r="CJ9" i="3" a="1"/>
  <c r="CJ9" i="3" s="1"/>
  <c r="BW9" i="3" a="1"/>
  <c r="BW9" i="3" s="1"/>
  <c r="BY9" i="3" s="1"/>
  <c r="BC9" i="3"/>
  <c r="AW9" i="3"/>
  <c r="AK9" i="3"/>
  <c r="AL9" i="3" s="1"/>
  <c r="AE9" i="3"/>
  <c r="X9" i="3"/>
  <c r="Z9" i="3" s="1"/>
  <c r="R9" i="3"/>
  <c r="T9" i="3" s="1"/>
  <c r="J9" i="3" a="1"/>
  <c r="J9" i="3" s="1"/>
  <c r="S9" i="3"/>
  <c r="AA9" i="3" a="1"/>
  <c r="AA9" i="3" s="1"/>
  <c r="AH9" i="3" a="1"/>
  <c r="AH9" i="3" s="1"/>
  <c r="AI9" i="3" s="1"/>
  <c r="BE9" i="3" a="1"/>
  <c r="BE9" i="3" s="1"/>
  <c r="BG9" i="3" s="1"/>
  <c r="CA9" i="3"/>
  <c r="EC9" i="3" s="1"/>
  <c r="CI9" i="3" a="1"/>
  <c r="CI9" i="3" s="1"/>
  <c r="CY9" i="3"/>
  <c r="DG9" i="3" a="1"/>
  <c r="DG9" i="3" s="1"/>
  <c r="DI9" i="3" s="1"/>
  <c r="BG10" i="3"/>
  <c r="T11" i="3"/>
  <c r="Y12" i="3"/>
  <c r="BB12" i="3"/>
  <c r="BZ12" i="3"/>
  <c r="DD12" i="3"/>
  <c r="L13" i="3"/>
  <c r="N13" i="3" s="1"/>
  <c r="U13" i="3" a="1"/>
  <c r="U13" i="3" s="1"/>
  <c r="W13" i="3" s="1"/>
  <c r="BF13" i="3" a="1"/>
  <c r="BF13" i="3" s="1"/>
  <c r="BU13" i="3"/>
  <c r="CJ13" i="3" a="1"/>
  <c r="CJ13" i="3" s="1"/>
  <c r="CS13" i="3"/>
  <c r="DA13" i="3" a="1"/>
  <c r="DA13" i="3" s="1"/>
  <c r="DC13" i="3" s="1"/>
  <c r="DH13" i="3" a="1"/>
  <c r="DH13" i="3" s="1"/>
  <c r="EB14" i="3"/>
  <c r="DJ15" i="3"/>
  <c r="CR15" i="3"/>
  <c r="CT15" i="3" s="1"/>
  <c r="BZ15" i="3"/>
  <c r="CB15" i="3" s="1"/>
  <c r="BH15" i="3"/>
  <c r="BJ15" i="3" s="1"/>
  <c r="AQ15" i="3" a="1"/>
  <c r="AQ15" i="3" s="1"/>
  <c r="AD15" i="3"/>
  <c r="AF15" i="3" s="1"/>
  <c r="L15" i="3"/>
  <c r="N15" i="3" s="1"/>
  <c r="DP15" i="3"/>
  <c r="DK15" i="3"/>
  <c r="DE15" i="3"/>
  <c r="DF15" i="3" s="1"/>
  <c r="CU15" i="3" a="1"/>
  <c r="CU15" i="3" s="1"/>
  <c r="CW15" i="3" s="1"/>
  <c r="CJ15" i="3" a="1"/>
  <c r="CJ15" i="3" s="1"/>
  <c r="CK15" i="3" s="1"/>
  <c r="CD15" i="3" a="1"/>
  <c r="CD15" i="3" s="1"/>
  <c r="CE15" i="3" s="1"/>
  <c r="BN15" i="3"/>
  <c r="BP15" i="3" s="1"/>
  <c r="BI15" i="3"/>
  <c r="BC15" i="3"/>
  <c r="AS15" i="3" a="1"/>
  <c r="AS15" i="3" s="1"/>
  <c r="AU15" i="3" s="1"/>
  <c r="X15" i="3"/>
  <c r="S15" i="3"/>
  <c r="I15" i="3" a="1"/>
  <c r="I15" i="3" s="1"/>
  <c r="DW15" i="3"/>
  <c r="DX15" i="3" s="1"/>
  <c r="DQ15" i="3"/>
  <c r="BQ15" i="3" a="1"/>
  <c r="BQ15" i="3" s="1"/>
  <c r="BS15" i="3" s="1"/>
  <c r="BK15" i="3" a="1"/>
  <c r="BK15" i="3" s="1"/>
  <c r="BM15" i="3" s="1"/>
  <c r="BE15" i="3" a="1"/>
  <c r="BE15" i="3" s="1"/>
  <c r="BG15" i="3" s="1"/>
  <c r="AW15" i="3"/>
  <c r="Y15" i="3"/>
  <c r="EC15" i="3" s="1"/>
  <c r="R15" i="3"/>
  <c r="T15" i="3" s="1"/>
  <c r="J15" i="3" a="1"/>
  <c r="J15" i="3" s="1"/>
  <c r="AA15" i="3" a="1"/>
  <c r="AA15" i="3" s="1"/>
  <c r="AC15" i="3" s="1"/>
  <c r="BB15" i="3"/>
  <c r="CA15" i="3"/>
  <c r="CP15" i="3" a="1"/>
  <c r="CP15" i="3" s="1"/>
  <c r="CX15" i="3"/>
  <c r="CZ15" i="3" s="1"/>
  <c r="DG15" i="3" a="1"/>
  <c r="DG15" i="3" s="1"/>
  <c r="DI15" i="3" s="1"/>
  <c r="M16" i="3"/>
  <c r="AP16" i="3" a="1"/>
  <c r="AP16" i="3" s="1"/>
  <c r="AR16" i="3" s="1"/>
  <c r="BT16" i="3"/>
  <c r="CR16" i="3"/>
  <c r="CT16" i="3" s="1"/>
  <c r="G17" i="3"/>
  <c r="EC17" i="3" s="1"/>
  <c r="AK17" i="3"/>
  <c r="BN17" i="3"/>
  <c r="BP17" i="3" s="1"/>
  <c r="DJ17" i="3"/>
  <c r="DQ17" i="3"/>
  <c r="BJ18" i="3"/>
  <c r="DL18" i="3"/>
  <c r="BA20" i="3"/>
  <c r="CW20" i="3"/>
  <c r="G21" i="3"/>
  <c r="P21" i="3" a="1"/>
  <c r="P21" i="3" s="1"/>
  <c r="Q21" i="3" s="1"/>
  <c r="AJ21" i="3"/>
  <c r="AL21" i="3" s="1"/>
  <c r="AS21" i="3" a="1"/>
  <c r="AS21" i="3" s="1"/>
  <c r="AU21" i="3" s="1"/>
  <c r="BB21" i="3"/>
  <c r="BD21" i="3" s="1"/>
  <c r="BW21" i="3" a="1"/>
  <c r="BW21" i="3" s="1"/>
  <c r="CY21" i="3"/>
  <c r="DH21" i="3" a="1"/>
  <c r="DH21" i="3" s="1"/>
  <c r="DS21" i="3" a="1"/>
  <c r="DS21" i="3" s="1"/>
  <c r="DU21" i="3" s="1"/>
  <c r="DY22" i="3" a="1"/>
  <c r="DY22" i="3" s="1"/>
  <c r="EA22" i="3" s="1"/>
  <c r="DT22" i="3" a="1"/>
  <c r="DT22" i="3" s="1"/>
  <c r="DK22" i="3"/>
  <c r="DG22" i="3" a="1"/>
  <c r="DG22" i="3" s="1"/>
  <c r="DI22" i="3" s="1"/>
  <c r="DB22" i="3" a="1"/>
  <c r="DB22" i="3" s="1"/>
  <c r="CS22" i="3"/>
  <c r="CT22" i="3" s="1"/>
  <c r="CO22" i="3" a="1"/>
  <c r="CO22" i="3" s="1"/>
  <c r="CQ22" i="3" s="1"/>
  <c r="CJ22" i="3" a="1"/>
  <c r="CJ22" i="3" s="1"/>
  <c r="DP22" i="3"/>
  <c r="DR22" i="3" s="1"/>
  <c r="DJ22" i="3"/>
  <c r="DE22" i="3"/>
  <c r="DF22" i="3" s="1"/>
  <c r="CU22" i="3" a="1"/>
  <c r="CU22" i="3" s="1"/>
  <c r="CW22" i="3" s="1"/>
  <c r="CD22" i="3" a="1"/>
  <c r="CD22" i="3" s="1"/>
  <c r="BU22" i="3"/>
  <c r="BQ22" i="3" a="1"/>
  <c r="BQ22" i="3" s="1"/>
  <c r="BL22" i="3" a="1"/>
  <c r="BL22" i="3" s="1"/>
  <c r="BC22" i="3"/>
  <c r="AY22" i="3" a="1"/>
  <c r="AY22" i="3" s="1"/>
  <c r="BA22" i="3" s="1"/>
  <c r="AT22" i="3" a="1"/>
  <c r="AT22" i="3" s="1"/>
  <c r="AM22" i="3" a="1"/>
  <c r="AM22" i="3" s="1"/>
  <c r="AH22" i="3" a="1"/>
  <c r="AH22" i="3" s="1"/>
  <c r="Y22" i="3"/>
  <c r="U22" i="3" a="1"/>
  <c r="U22" i="3" s="1"/>
  <c r="P22" i="3" a="1"/>
  <c r="P22" i="3" s="1"/>
  <c r="Q22" i="3" s="1"/>
  <c r="G22" i="3"/>
  <c r="DV22" i="3"/>
  <c r="DX22" i="3" s="1"/>
  <c r="CV22" i="3" a="1"/>
  <c r="CV22" i="3" s="1"/>
  <c r="CP22" i="3" a="1"/>
  <c r="CP22" i="3" s="1"/>
  <c r="CI22" i="3" a="1"/>
  <c r="CI22" i="3" s="1"/>
  <c r="CC22" i="3" a="1"/>
  <c r="CC22" i="3" s="1"/>
  <c r="BR22" i="3" a="1"/>
  <c r="BR22" i="3" s="1"/>
  <c r="CL22" i="3"/>
  <c r="CN22" i="3" s="1"/>
  <c r="BX22" i="3" a="1"/>
  <c r="BX22" i="3" s="1"/>
  <c r="BK22" i="3" a="1"/>
  <c r="BK22" i="3" s="1"/>
  <c r="BM22" i="3" s="1"/>
  <c r="AZ22" i="3" a="1"/>
  <c r="AZ22" i="3" s="1"/>
  <c r="AP22" i="3" a="1"/>
  <c r="AP22" i="3" s="1"/>
  <c r="AR22" i="3" s="1"/>
  <c r="AK22" i="3"/>
  <c r="AL22" i="3" s="1"/>
  <c r="AA22" i="3" a="1"/>
  <c r="AA22" i="3" s="1"/>
  <c r="AC22" i="3" s="1"/>
  <c r="J22" i="3" a="1"/>
  <c r="J22" i="3" s="1"/>
  <c r="DW22" i="3"/>
  <c r="DN22" i="3" a="1"/>
  <c r="DN22" i="3" s="1"/>
  <c r="CY22" i="3"/>
  <c r="BO22" i="3"/>
  <c r="BP22" i="3" s="1"/>
  <c r="BI22" i="3"/>
  <c r="BJ22" i="3" s="1"/>
  <c r="AS22" i="3" a="1"/>
  <c r="AS22" i="3" s="1"/>
  <c r="AD22" i="3"/>
  <c r="X22" i="3"/>
  <c r="Z22" i="3" s="1"/>
  <c r="S22" i="3"/>
  <c r="I22" i="3" a="1"/>
  <c r="I22" i="3" s="1"/>
  <c r="DZ22" i="3" a="1"/>
  <c r="DZ22" i="3" s="1"/>
  <c r="CF22" i="3"/>
  <c r="CH22" i="3" s="1"/>
  <c r="BT22" i="3"/>
  <c r="BB22" i="3"/>
  <c r="BD22" i="3" s="1"/>
  <c r="AN22" i="3" a="1"/>
  <c r="AN22" i="3" s="1"/>
  <c r="AG22" i="3" a="1"/>
  <c r="AG22" i="3" s="1"/>
  <c r="AI22" i="3" s="1"/>
  <c r="DM22" i="3" a="1"/>
  <c r="DM22" i="3" s="1"/>
  <c r="DO22" i="3" s="1"/>
  <c r="DA22" i="3" a="1"/>
  <c r="DA22" i="3" s="1"/>
  <c r="DC22" i="3" s="1"/>
  <c r="AE22" i="3"/>
  <c r="L22" i="3"/>
  <c r="N22" i="3" s="1"/>
  <c r="V22" i="3" a="1"/>
  <c r="V22" i="3" s="1"/>
  <c r="BF22" i="3" a="1"/>
  <c r="BF22" i="3" s="1"/>
  <c r="BG22" i="3" s="1"/>
  <c r="CX22" i="3"/>
  <c r="DS22" i="3" a="1"/>
  <c r="DS22" i="3" s="1"/>
  <c r="DU22" i="3" s="1"/>
  <c r="AW24" i="3"/>
  <c r="CR24" i="3"/>
  <c r="DO29" i="3"/>
  <c r="BD9" i="3"/>
  <c r="DP13" i="3"/>
  <c r="CX13" i="3"/>
  <c r="CZ13" i="3" s="1"/>
  <c r="CF13" i="3"/>
  <c r="CH13" i="3" s="1"/>
  <c r="BN13" i="3"/>
  <c r="BP13" i="3" s="1"/>
  <c r="AV13" i="3"/>
  <c r="AX13" i="3" s="1"/>
  <c r="AJ13" i="3"/>
  <c r="R13" i="3"/>
  <c r="T13" i="3" s="1"/>
  <c r="DY13" i="3" a="1"/>
  <c r="DY13" i="3" s="1"/>
  <c r="EA13" i="3" s="1"/>
  <c r="DN13" i="3" a="1"/>
  <c r="DN13" i="3" s="1"/>
  <c r="CR13" i="3"/>
  <c r="CM13" i="3"/>
  <c r="CC13" i="3" a="1"/>
  <c r="CC13" i="3" s="1"/>
  <c r="BW13" i="3" a="1"/>
  <c r="BW13" i="3" s="1"/>
  <c r="BY13" i="3" s="1"/>
  <c r="BL13" i="3" a="1"/>
  <c r="BL13" i="3" s="1"/>
  <c r="BM13" i="3" s="1"/>
  <c r="AQ13" i="3" a="1"/>
  <c r="AQ13" i="3" s="1"/>
  <c r="AM13" i="3" a="1"/>
  <c r="AM13" i="3" s="1"/>
  <c r="AO13" i="3" s="1"/>
  <c r="AB13" i="3" a="1"/>
  <c r="AB13" i="3" s="1"/>
  <c r="V13" i="3" a="1"/>
  <c r="V13" i="3" s="1"/>
  <c r="EF13" i="3" s="1"/>
  <c r="F13" i="3"/>
  <c r="DK13" i="3"/>
  <c r="DL13" i="3" s="1"/>
  <c r="DE13" i="3"/>
  <c r="CY13" i="3"/>
  <c r="BR13" i="3" a="1"/>
  <c r="BR13" i="3" s="1"/>
  <c r="BE13" i="3" a="1"/>
  <c r="BE13" i="3" s="1"/>
  <c r="AY13" i="3" a="1"/>
  <c r="AY13" i="3" s="1"/>
  <c r="BA13" i="3" s="1"/>
  <c r="AS13" i="3" a="1"/>
  <c r="AS13" i="3" s="1"/>
  <c r="AU13" i="3" s="1"/>
  <c r="AG13" i="3" a="1"/>
  <c r="AG13" i="3" s="1"/>
  <c r="AI13" i="3" s="1"/>
  <c r="M13" i="3"/>
  <c r="G13" i="3"/>
  <c r="AA13" i="3" a="1"/>
  <c r="AA13" i="3" s="1"/>
  <c r="AW13" i="3"/>
  <c r="BT13" i="3"/>
  <c r="BV13" i="3" s="1"/>
  <c r="AU14" i="3"/>
  <c r="J16" i="3" a="1"/>
  <c r="J16" i="3" s="1"/>
  <c r="S16" i="3"/>
  <c r="BE16" i="3" a="1"/>
  <c r="BE16" i="3" s="1"/>
  <c r="CY16" i="3"/>
  <c r="AT44" i="3" a="1"/>
  <c r="AT44" i="3" s="1"/>
  <c r="AQ44" i="3" a="1"/>
  <c r="AQ44" i="3" s="1"/>
  <c r="AT43" i="3" a="1"/>
  <c r="AT43" i="3" s="1"/>
  <c r="AT38" i="3" a="1"/>
  <c r="AT38" i="3" s="1"/>
  <c r="AT42" i="3" a="1"/>
  <c r="AT42" i="3" s="1"/>
  <c r="AQ38" i="3" a="1"/>
  <c r="AQ38" i="3" s="1"/>
  <c r="AQ36" i="3" a="1"/>
  <c r="AQ36" i="3" s="1"/>
  <c r="AT29" i="3" a="1"/>
  <c r="AT29" i="3" s="1"/>
  <c r="AT41" i="3" a="1"/>
  <c r="AT41" i="3" s="1"/>
  <c r="AQ34" i="3" a="1"/>
  <c r="AQ34" i="3" s="1"/>
  <c r="AT33" i="3" a="1"/>
  <c r="AT33" i="3" s="1"/>
  <c r="EF33" i="3" s="1"/>
  <c r="AT36" i="3" a="1"/>
  <c r="AT36" i="3" s="1"/>
  <c r="AQ33" i="3" a="1"/>
  <c r="AQ33" i="3" s="1"/>
  <c r="AT34" i="3" a="1"/>
  <c r="AT34" i="3" s="1"/>
  <c r="AQ32" i="3" a="1"/>
  <c r="AQ32" i="3" s="1"/>
  <c r="AQ30" i="3" a="1"/>
  <c r="AQ30" i="3" s="1"/>
  <c r="AQ25" i="3" a="1"/>
  <c r="AQ25" i="3" s="1"/>
  <c r="AQ28" i="3" a="1"/>
  <c r="AQ28" i="3" s="1"/>
  <c r="AT26" i="3" a="1"/>
  <c r="AT26" i="3" s="1"/>
  <c r="AQ20" i="3" a="1"/>
  <c r="AQ20" i="3" s="1"/>
  <c r="AR20" i="3" s="1"/>
  <c r="AT14" i="3" a="1"/>
  <c r="AT14" i="3" s="1"/>
  <c r="AT23" i="3" a="1"/>
  <c r="AT23" i="3" s="1"/>
  <c r="AT6" i="3" a="1"/>
  <c r="AT6" i="3" s="1"/>
  <c r="T8" i="3"/>
  <c r="AX8" i="3"/>
  <c r="CE8" i="3"/>
  <c r="BV9" i="3"/>
  <c r="DR10" i="3"/>
  <c r="BM11" i="3"/>
  <c r="DZ12" i="3" a="1"/>
  <c r="DZ12" i="3" s="1"/>
  <c r="DQ12" i="3"/>
  <c r="DR12" i="3" s="1"/>
  <c r="DM12" i="3" a="1"/>
  <c r="DM12" i="3" s="1"/>
  <c r="DH12" i="3" a="1"/>
  <c r="DH12" i="3" s="1"/>
  <c r="CY12" i="3"/>
  <c r="CU12" i="3" a="1"/>
  <c r="CU12" i="3" s="1"/>
  <c r="CW12" i="3" s="1"/>
  <c r="CP12" i="3" a="1"/>
  <c r="CP12" i="3" s="1"/>
  <c r="CG12" i="3"/>
  <c r="CH12" i="3" s="1"/>
  <c r="CC12" i="3" a="1"/>
  <c r="CC12" i="3" s="1"/>
  <c r="BX12" i="3" a="1"/>
  <c r="BX12" i="3" s="1"/>
  <c r="BO12" i="3"/>
  <c r="BP12" i="3" s="1"/>
  <c r="BK12" i="3" a="1"/>
  <c r="BK12" i="3" s="1"/>
  <c r="BM12" i="3" s="1"/>
  <c r="BF12" i="3" a="1"/>
  <c r="BF12" i="3" s="1"/>
  <c r="AW12" i="3"/>
  <c r="AX12" i="3" s="1"/>
  <c r="AS12" i="3" a="1"/>
  <c r="AS12" i="3" s="1"/>
  <c r="AU12" i="3" s="1"/>
  <c r="AK12" i="3"/>
  <c r="AL12" i="3" s="1"/>
  <c r="AG12" i="3" a="1"/>
  <c r="AG12" i="3" s="1"/>
  <c r="AB12" i="3" a="1"/>
  <c r="AB12" i="3" s="1"/>
  <c r="S12" i="3"/>
  <c r="O12" i="3" a="1"/>
  <c r="O12" i="3" s="1"/>
  <c r="Q12" i="3" s="1"/>
  <c r="J12" i="3" a="1"/>
  <c r="J12" i="3" s="1"/>
  <c r="DJ12" i="3"/>
  <c r="DL12" i="3" s="1"/>
  <c r="DE12" i="3"/>
  <c r="CO12" i="3" a="1"/>
  <c r="CO12" i="3" s="1"/>
  <c r="CQ12" i="3" s="1"/>
  <c r="CD12" i="3" a="1"/>
  <c r="CD12" i="3" s="1"/>
  <c r="BH12" i="3"/>
  <c r="BJ12" i="3" s="1"/>
  <c r="BC12" i="3"/>
  <c r="AN12" i="3" a="1"/>
  <c r="AN12" i="3" s="1"/>
  <c r="X12" i="3"/>
  <c r="Z12" i="3" s="1"/>
  <c r="R12" i="3"/>
  <c r="T12" i="3" s="1"/>
  <c r="M12" i="3"/>
  <c r="N12" i="3" s="1"/>
  <c r="DY12" i="3" a="1"/>
  <c r="DY12" i="3" s="1"/>
  <c r="EA12" i="3" s="1"/>
  <c r="DS12" i="3" a="1"/>
  <c r="DS12" i="3" s="1"/>
  <c r="DU12" i="3" s="1"/>
  <c r="CX12" i="3"/>
  <c r="CR12" i="3"/>
  <c r="CT12" i="3" s="1"/>
  <c r="CL12" i="3"/>
  <c r="CN12" i="3" s="1"/>
  <c r="BR12" i="3" a="1"/>
  <c r="BR12" i="3" s="1"/>
  <c r="BL12" i="3" a="1"/>
  <c r="BL12" i="3" s="1"/>
  <c r="AA12" i="3" a="1"/>
  <c r="AA12" i="3" s="1"/>
  <c r="U12" i="3" a="1"/>
  <c r="U12" i="3" s="1"/>
  <c r="W12" i="3" s="1"/>
  <c r="G12" i="3"/>
  <c r="EC12" i="3" s="1"/>
  <c r="AH12" i="3" a="1"/>
  <c r="AH12" i="3" s="1"/>
  <c r="AP12" i="3" a="1"/>
  <c r="AP12" i="3" s="1"/>
  <c r="AR12" i="3" s="1"/>
  <c r="BT12" i="3"/>
  <c r="BV12" i="3" s="1"/>
  <c r="CA12" i="3"/>
  <c r="CI12" i="3" a="1"/>
  <c r="CI12" i="3" s="1"/>
  <c r="CK12" i="3" s="1"/>
  <c r="DG12" i="3" a="1"/>
  <c r="DG12" i="3" s="1"/>
  <c r="DI12" i="3" s="1"/>
  <c r="DN12" i="3" a="1"/>
  <c r="DN12" i="3" s="1"/>
  <c r="DV12" i="3"/>
  <c r="DX12" i="3" s="1"/>
  <c r="O13" i="3" a="1"/>
  <c r="O13" i="3" s="1"/>
  <c r="Q13" i="3" s="1"/>
  <c r="AK13" i="3"/>
  <c r="BO13" i="3"/>
  <c r="CD13" i="3" a="1"/>
  <c r="CD13" i="3" s="1"/>
  <c r="CL13" i="3"/>
  <c r="CN13" i="3" s="1"/>
  <c r="CU13" i="3" a="1"/>
  <c r="CU13" i="3" s="1"/>
  <c r="CW13" i="3" s="1"/>
  <c r="DQ13" i="3"/>
  <c r="DZ13" i="3" a="1"/>
  <c r="DZ13" i="3" s="1"/>
  <c r="CE14" i="3"/>
  <c r="AX15" i="3"/>
  <c r="BV15" i="3"/>
  <c r="AJ16" i="3"/>
  <c r="BF16" i="3" a="1"/>
  <c r="BF16" i="3" s="1"/>
  <c r="BN16" i="3"/>
  <c r="BP16" i="3" s="1"/>
  <c r="DH16" i="3" a="1"/>
  <c r="DH16" i="3" s="1"/>
  <c r="DQ16" i="3"/>
  <c r="DY16" i="3" a="1"/>
  <c r="DY16" i="3" s="1"/>
  <c r="EA16" i="3" s="1"/>
  <c r="O17" i="3" a="1"/>
  <c r="O17" i="3" s="1"/>
  <c r="Q17" i="3" s="1"/>
  <c r="AE17" i="3"/>
  <c r="AS17" i="3" a="1"/>
  <c r="AS17" i="3" s="1"/>
  <c r="AU17" i="3" s="1"/>
  <c r="AZ17" i="3" a="1"/>
  <c r="AZ17" i="3" s="1"/>
  <c r="BA17" i="3" s="1"/>
  <c r="BH17" i="3"/>
  <c r="BJ17" i="3" s="1"/>
  <c r="BQ17" i="3" a="1"/>
  <c r="BQ17" i="3" s="1"/>
  <c r="BS17" i="3" s="1"/>
  <c r="BX17" i="3" a="1"/>
  <c r="BX17" i="3" s="1"/>
  <c r="CU17" i="3" a="1"/>
  <c r="CU17" i="3" s="1"/>
  <c r="CW17" i="3" s="1"/>
  <c r="DK17" i="3"/>
  <c r="DS17" i="3" a="1"/>
  <c r="DS17" i="3" s="1"/>
  <c r="DU17" i="3" s="1"/>
  <c r="DZ17" i="3" a="1"/>
  <c r="DZ17" i="3" s="1"/>
  <c r="H18" i="3"/>
  <c r="Z18" i="3"/>
  <c r="AO18" i="3"/>
  <c r="BS18" i="3"/>
  <c r="CH18" i="3"/>
  <c r="I21" i="3" a="1"/>
  <c r="I21" i="3" s="1"/>
  <c r="S21" i="3"/>
  <c r="BC21" i="3"/>
  <c r="BN21" i="3"/>
  <c r="BP21" i="3" s="1"/>
  <c r="BX21" i="3" a="1"/>
  <c r="BX21" i="3" s="1"/>
  <c r="CG21" i="3"/>
  <c r="CP21" i="3" a="1"/>
  <c r="CP21" i="3" s="1"/>
  <c r="CQ21" i="3" s="1"/>
  <c r="DK21" i="3"/>
  <c r="AX22" i="3"/>
  <c r="BY22" i="3"/>
  <c r="DI23" i="3"/>
  <c r="CS24" i="3"/>
  <c r="N25" i="3"/>
  <c r="CT27" i="3"/>
  <c r="AT28" i="3" a="1"/>
  <c r="AT28" i="3" s="1"/>
  <c r="W32" i="3"/>
  <c r="BG33" i="3"/>
  <c r="CN23" i="3"/>
  <c r="AL26" i="3"/>
  <c r="DP27" i="3"/>
  <c r="CX27" i="3"/>
  <c r="CZ27" i="3" s="1"/>
  <c r="CF27" i="3"/>
  <c r="CH27" i="3" s="1"/>
  <c r="BN27" i="3"/>
  <c r="BP27" i="3" s="1"/>
  <c r="AV27" i="3"/>
  <c r="AJ27" i="3"/>
  <c r="R27" i="3"/>
  <c r="DZ27" i="3" a="1"/>
  <c r="DZ27" i="3" s="1"/>
  <c r="DT27" i="3" a="1"/>
  <c r="DT27" i="3" s="1"/>
  <c r="DU27" i="3" s="1"/>
  <c r="DD27" i="3"/>
  <c r="CY27" i="3"/>
  <c r="CS27" i="3"/>
  <c r="CI27" i="3" a="1"/>
  <c r="CI27" i="3" s="1"/>
  <c r="CK27" i="3" s="1"/>
  <c r="BX27" i="3" a="1"/>
  <c r="BX27" i="3" s="1"/>
  <c r="BR27" i="3" a="1"/>
  <c r="BR27" i="3" s="1"/>
  <c r="BB27" i="3"/>
  <c r="AW27" i="3"/>
  <c r="AH27" i="3" a="1"/>
  <c r="AH27" i="3" s="1"/>
  <c r="L27" i="3"/>
  <c r="N27" i="3" s="1"/>
  <c r="G27" i="3"/>
  <c r="DW27" i="3"/>
  <c r="DQ27" i="3"/>
  <c r="DJ27" i="3"/>
  <c r="DL27" i="3" s="1"/>
  <c r="CJ27" i="3" a="1"/>
  <c r="CJ27" i="3" s="1"/>
  <c r="CD27" i="3" a="1"/>
  <c r="CD27" i="3" s="1"/>
  <c r="BW27" i="3" a="1"/>
  <c r="BW27" i="3" s="1"/>
  <c r="BY27" i="3" s="1"/>
  <c r="BQ27" i="3" a="1"/>
  <c r="BQ27" i="3" s="1"/>
  <c r="BS27" i="3" s="1"/>
  <c r="BK27" i="3" a="1"/>
  <c r="BK27" i="3" s="1"/>
  <c r="BM27" i="3" s="1"/>
  <c r="AQ27" i="3" a="1"/>
  <c r="AQ27" i="3" s="1"/>
  <c r="AR27" i="3" s="1"/>
  <c r="AE27" i="3"/>
  <c r="Y27" i="3"/>
  <c r="S27" i="3"/>
  <c r="DM27" i="3" a="1"/>
  <c r="DM27" i="3" s="1"/>
  <c r="DO27" i="3" s="1"/>
  <c r="DE27" i="3"/>
  <c r="CV27" i="3" a="1"/>
  <c r="CV27" i="3" s="1"/>
  <c r="CO27" i="3" a="1"/>
  <c r="CO27" i="3" s="1"/>
  <c r="CG27" i="3"/>
  <c r="BI27" i="3"/>
  <c r="AT27" i="3" a="1"/>
  <c r="AT27" i="3" s="1"/>
  <c r="AN27" i="3" a="1"/>
  <c r="AN27" i="3" s="1"/>
  <c r="AG27" i="3" a="1"/>
  <c r="AG27" i="3" s="1"/>
  <c r="AI27" i="3" s="1"/>
  <c r="X27" i="3"/>
  <c r="P27" i="3" a="1"/>
  <c r="P27" i="3" s="1"/>
  <c r="Q27" i="3" s="1"/>
  <c r="I27" i="3" a="1"/>
  <c r="I27" i="3" s="1"/>
  <c r="DY27" i="3" a="1"/>
  <c r="DY27" i="3" s="1"/>
  <c r="EA27" i="3" s="1"/>
  <c r="DG27" i="3" a="1"/>
  <c r="DG27" i="3" s="1"/>
  <c r="CM27" i="3"/>
  <c r="BU27" i="3"/>
  <c r="BL27" i="3" a="1"/>
  <c r="BL27" i="3" s="1"/>
  <c r="BC27" i="3"/>
  <c r="AK27" i="3"/>
  <c r="AB27" i="3" a="1"/>
  <c r="AB27" i="3" s="1"/>
  <c r="J27" i="3" a="1"/>
  <c r="J27" i="3" s="1"/>
  <c r="DN27" i="3" a="1"/>
  <c r="DN27" i="3" s="1"/>
  <c r="CL27" i="3"/>
  <c r="CC27" i="3" a="1"/>
  <c r="CC27" i="3" s="1"/>
  <c r="CE27" i="3" s="1"/>
  <c r="BT27" i="3"/>
  <c r="BV27" i="3" s="1"/>
  <c r="AZ27" i="3" a="1"/>
  <c r="AZ27" i="3" s="1"/>
  <c r="BA27" i="3" s="1"/>
  <c r="AS27" i="3" a="1"/>
  <c r="AS27" i="3" s="1"/>
  <c r="AA27" i="3" a="1"/>
  <c r="AA27" i="3" s="1"/>
  <c r="DV27" i="3"/>
  <c r="DB27" i="3" a="1"/>
  <c r="DB27" i="3" s="1"/>
  <c r="DC27" i="3" s="1"/>
  <c r="CU27" i="3" a="1"/>
  <c r="CU27" i="3" s="1"/>
  <c r="CW27" i="3" s="1"/>
  <c r="CA27" i="3"/>
  <c r="CB27" i="3" s="1"/>
  <c r="BH27" i="3"/>
  <c r="F27" i="3"/>
  <c r="U27" i="3" a="1"/>
  <c r="U27" i="3" s="1"/>
  <c r="W27" i="3" s="1"/>
  <c r="AM27" i="3" a="1"/>
  <c r="AM27" i="3" s="1"/>
  <c r="AO27" i="3" s="1"/>
  <c r="BE27" i="3" a="1"/>
  <c r="BE27" i="3" s="1"/>
  <c r="BG27" i="3" s="1"/>
  <c r="CP27" i="3" a="1"/>
  <c r="CP27" i="3" s="1"/>
  <c r="DH27" i="3" a="1"/>
  <c r="DH27" i="3" s="1"/>
  <c r="BJ28" i="3"/>
  <c r="Q30" i="3"/>
  <c r="AC43" i="3"/>
  <c r="DW10" i="3"/>
  <c r="DX10" i="3" s="1"/>
  <c r="DS10" i="3" a="1"/>
  <c r="DS10" i="3" s="1"/>
  <c r="DU10" i="3" s="1"/>
  <c r="DN10" i="3" a="1"/>
  <c r="DN10" i="3" s="1"/>
  <c r="DE10" i="3"/>
  <c r="DF10" i="3" s="1"/>
  <c r="DA10" i="3" a="1"/>
  <c r="DA10" i="3" s="1"/>
  <c r="CV10" i="3" a="1"/>
  <c r="CV10" i="3" s="1"/>
  <c r="CM10" i="3"/>
  <c r="CN10" i="3" s="1"/>
  <c r="CI10" i="3" a="1"/>
  <c r="CI10" i="3" s="1"/>
  <c r="CK10" i="3" s="1"/>
  <c r="CD10" i="3" a="1"/>
  <c r="CD10" i="3" s="1"/>
  <c r="CE10" i="3" s="1"/>
  <c r="BU10" i="3"/>
  <c r="BQ10" i="3" a="1"/>
  <c r="BQ10" i="3" s="1"/>
  <c r="BS10" i="3" s="1"/>
  <c r="BL10" i="3" a="1"/>
  <c r="BL10" i="3" s="1"/>
  <c r="BC10" i="3"/>
  <c r="BD10" i="3" s="1"/>
  <c r="AY10" i="3" a="1"/>
  <c r="AY10" i="3" s="1"/>
  <c r="AT10" i="3" a="1"/>
  <c r="AT10" i="3" s="1"/>
  <c r="AM10" i="3" a="1"/>
  <c r="AM10" i="3" s="1"/>
  <c r="AO10" i="3" s="1"/>
  <c r="AH10" i="3" a="1"/>
  <c r="AH10" i="3" s="1"/>
  <c r="AI10" i="3" s="1"/>
  <c r="Y10" i="3"/>
  <c r="Z10" i="3" s="1"/>
  <c r="U10" i="3" a="1"/>
  <c r="U10" i="3" s="1"/>
  <c r="W10" i="3" s="1"/>
  <c r="P10" i="3" a="1"/>
  <c r="P10" i="3" s="1"/>
  <c r="Q10" i="3" s="1"/>
  <c r="G10" i="3"/>
  <c r="H10" i="3" s="1"/>
  <c r="DM10" i="3" a="1"/>
  <c r="DM10" i="3" s="1"/>
  <c r="DB10" i="3" a="1"/>
  <c r="DB10" i="3" s="1"/>
  <c r="CF10" i="3"/>
  <c r="CH10" i="3" s="1"/>
  <c r="CA10" i="3"/>
  <c r="CB10" i="3" s="1"/>
  <c r="BK10" i="3" a="1"/>
  <c r="BK10" i="3" s="1"/>
  <c r="AZ10" i="3" a="1"/>
  <c r="AZ10" i="3" s="1"/>
  <c r="AP10" i="3" a="1"/>
  <c r="AP10" i="3" s="1"/>
  <c r="AR10" i="3" s="1"/>
  <c r="AK10" i="3"/>
  <c r="AL10" i="3" s="1"/>
  <c r="AA10" i="3" a="1"/>
  <c r="AA10" i="3" s="1"/>
  <c r="AC10" i="3" s="1"/>
  <c r="J10" i="3" a="1"/>
  <c r="J10" i="3" s="1"/>
  <c r="BH10" i="3"/>
  <c r="BJ10" i="3" s="1"/>
  <c r="BN10" i="3"/>
  <c r="BP10" i="3" s="1"/>
  <c r="BT10" i="3"/>
  <c r="BV10" i="3" s="1"/>
  <c r="CO10" i="3" a="1"/>
  <c r="CO10" i="3" s="1"/>
  <c r="CQ10" i="3" s="1"/>
  <c r="CU10" i="3" a="1"/>
  <c r="CU10" i="3" s="1"/>
  <c r="CW10" i="3" s="1"/>
  <c r="DH10" i="3" a="1"/>
  <c r="DH10" i="3" s="1"/>
  <c r="DI10" i="3" s="1"/>
  <c r="DO14" i="3"/>
  <c r="DZ18" i="3" a="1"/>
  <c r="DZ18" i="3" s="1"/>
  <c r="EA18" i="3" s="1"/>
  <c r="DQ18" i="3"/>
  <c r="DM18" i="3" a="1"/>
  <c r="DM18" i="3" s="1"/>
  <c r="DH18" i="3" a="1"/>
  <c r="DH18" i="3" s="1"/>
  <c r="CY18" i="3"/>
  <c r="CZ18" i="3" s="1"/>
  <c r="CU18" i="3" a="1"/>
  <c r="CU18" i="3" s="1"/>
  <c r="CP18" i="3" a="1"/>
  <c r="CP18" i="3" s="1"/>
  <c r="CQ18" i="3" s="1"/>
  <c r="CG18" i="3"/>
  <c r="CC18" i="3" a="1"/>
  <c r="CC18" i="3" s="1"/>
  <c r="CE18" i="3" s="1"/>
  <c r="BX18" i="3" a="1"/>
  <c r="BX18" i="3" s="1"/>
  <c r="BY18" i="3" s="1"/>
  <c r="BO18" i="3"/>
  <c r="BP18" i="3" s="1"/>
  <c r="BK18" i="3" a="1"/>
  <c r="BK18" i="3" s="1"/>
  <c r="BM18" i="3" s="1"/>
  <c r="BF18" i="3" a="1"/>
  <c r="BF18" i="3" s="1"/>
  <c r="AW18" i="3"/>
  <c r="AX18" i="3" s="1"/>
  <c r="AS18" i="3" a="1"/>
  <c r="AS18" i="3" s="1"/>
  <c r="AK18" i="3"/>
  <c r="AG18" i="3" a="1"/>
  <c r="AG18" i="3" s="1"/>
  <c r="AI18" i="3" s="1"/>
  <c r="AB18" i="3" a="1"/>
  <c r="AB18" i="3" s="1"/>
  <c r="AC18" i="3" s="1"/>
  <c r="S18" i="3"/>
  <c r="O18" i="3" a="1"/>
  <c r="O18" i="3" s="1"/>
  <c r="J18" i="3" a="1"/>
  <c r="J18" i="3" s="1"/>
  <c r="DW18" i="3"/>
  <c r="DX18" i="3" s="1"/>
  <c r="DG18" i="3" a="1"/>
  <c r="DG18" i="3" s="1"/>
  <c r="DI18" i="3" s="1"/>
  <c r="CV18" i="3" a="1"/>
  <c r="CV18" i="3" s="1"/>
  <c r="BZ18" i="3"/>
  <c r="BU18" i="3"/>
  <c r="BE18" i="3" a="1"/>
  <c r="BE18" i="3" s="1"/>
  <c r="AT18" i="3" a="1"/>
  <c r="AT18" i="3" s="1"/>
  <c r="AP18" i="3" a="1"/>
  <c r="AP18" i="3" s="1"/>
  <c r="AR18" i="3" s="1"/>
  <c r="AJ18" i="3"/>
  <c r="AE18" i="3"/>
  <c r="AF18" i="3" s="1"/>
  <c r="U18" i="3" a="1"/>
  <c r="U18" i="3" s="1"/>
  <c r="I18" i="3" a="1"/>
  <c r="I18" i="3" s="1"/>
  <c r="P18" i="3" a="1"/>
  <c r="P18" i="3" s="1"/>
  <c r="V18" i="3" a="1"/>
  <c r="V18" i="3" s="1"/>
  <c r="BT18" i="3"/>
  <c r="BV18" i="3" s="1"/>
  <c r="CA18" i="3"/>
  <c r="DA18" i="3" a="1"/>
  <c r="DA18" i="3" s="1"/>
  <c r="DC18" i="3" s="1"/>
  <c r="DN18" i="3" a="1"/>
  <c r="DN18" i="3" s="1"/>
  <c r="DT18" i="3" a="1"/>
  <c r="DT18" i="3" s="1"/>
  <c r="DU18" i="3" s="1"/>
  <c r="N20" i="3"/>
  <c r="AI20" i="3"/>
  <c r="AU20" i="3"/>
  <c r="CH20" i="3"/>
  <c r="BY26" i="3"/>
  <c r="BF27" i="3" a="1"/>
  <c r="BF27" i="3" s="1"/>
  <c r="BD28" i="3"/>
  <c r="BA31" i="3"/>
  <c r="CK32" i="3"/>
  <c r="BJ37" i="3"/>
  <c r="AX29" i="3"/>
  <c r="CB30" i="3"/>
  <c r="CN30" i="3"/>
  <c r="K37" i="3"/>
  <c r="AP44" i="3" a="1"/>
  <c r="AP44" i="3" s="1"/>
  <c r="AR44" i="3" s="1"/>
  <c r="AS44" i="3" a="1"/>
  <c r="AS44" i="3" s="1"/>
  <c r="AU44" i="3" s="1"/>
  <c r="AP38" i="3" a="1"/>
  <c r="AP38" i="3" s="1"/>
  <c r="AP42" i="3" a="1"/>
  <c r="AP42" i="3" s="1"/>
  <c r="AS38" i="3" a="1"/>
  <c r="AS38" i="3" s="1"/>
  <c r="AU38" i="3" s="1"/>
  <c r="AP34" i="3" a="1"/>
  <c r="AP34" i="3" s="1"/>
  <c r="AR34" i="3" s="1"/>
  <c r="AP33" i="3" a="1"/>
  <c r="AP33" i="3" s="1"/>
  <c r="AR33" i="3" s="1"/>
  <c r="AP45" i="3" a="1"/>
  <c r="AP45" i="3" s="1"/>
  <c r="AS33" i="3" a="1"/>
  <c r="AS33" i="3" s="1"/>
  <c r="AS43" i="3" a="1"/>
  <c r="AS43" i="3" s="1"/>
  <c r="AU43" i="3" s="1"/>
  <c r="AP32" i="3" a="1"/>
  <c r="AP32" i="3" s="1"/>
  <c r="AR32" i="3" s="1"/>
  <c r="AS29" i="3" a="1"/>
  <c r="AS29" i="3" s="1"/>
  <c r="AU29" i="3" s="1"/>
  <c r="AS34" i="3" a="1"/>
  <c r="AS34" i="3" s="1"/>
  <c r="AU34" i="3" s="1"/>
  <c r="AP28" i="3" a="1"/>
  <c r="AP28" i="3" s="1"/>
  <c r="AP26" i="3" a="1"/>
  <c r="AP26" i="3" s="1"/>
  <c r="AR26" i="3" s="1"/>
  <c r="AS8" i="3" a="1"/>
  <c r="AS8" i="3" s="1"/>
  <c r="AU8" i="3" s="1"/>
  <c r="DV11" i="3"/>
  <c r="DX11" i="3" s="1"/>
  <c r="DD11" i="3"/>
  <c r="DF11" i="3" s="1"/>
  <c r="CL11" i="3"/>
  <c r="CN11" i="3" s="1"/>
  <c r="BT11" i="3"/>
  <c r="BB11" i="3"/>
  <c r="BD11" i="3" s="1"/>
  <c r="AP11" i="3" a="1"/>
  <c r="AP11" i="3" s="1"/>
  <c r="AR11" i="3" s="1"/>
  <c r="X11" i="3"/>
  <c r="Z11" i="3" s="1"/>
  <c r="F11" i="3"/>
  <c r="O11" i="3" a="1"/>
  <c r="O11" i="3" s="1"/>
  <c r="U11" i="3" a="1"/>
  <c r="U11" i="3" s="1"/>
  <c r="W11" i="3" s="1"/>
  <c r="AE11" i="3"/>
  <c r="EC11" i="3" s="1"/>
  <c r="AJ11" i="3"/>
  <c r="AL11" i="3" s="1"/>
  <c r="AT11" i="3" a="1"/>
  <c r="AT11" i="3" s="1"/>
  <c r="AU11" i="3" s="1"/>
  <c r="BE11" i="3" a="1"/>
  <c r="BE11" i="3" s="1"/>
  <c r="BG11" i="3" s="1"/>
  <c r="BO11" i="3"/>
  <c r="BP11" i="3" s="1"/>
  <c r="BU11" i="3"/>
  <c r="BZ11" i="3"/>
  <c r="CB11" i="3" s="1"/>
  <c r="CP11" i="3" a="1"/>
  <c r="CP11" i="3" s="1"/>
  <c r="CQ11" i="3" s="1"/>
  <c r="CV11" i="3" a="1"/>
  <c r="CV11" i="3" s="1"/>
  <c r="CW11" i="3" s="1"/>
  <c r="DG11" i="3" a="1"/>
  <c r="DG11" i="3" s="1"/>
  <c r="DI11" i="3" s="1"/>
  <c r="DQ11" i="3"/>
  <c r="DR11" i="3" s="1"/>
  <c r="DW11" i="3"/>
  <c r="AP14" i="3" a="1"/>
  <c r="AP14" i="3" s="1"/>
  <c r="AR14" i="3" s="1"/>
  <c r="W23" i="3"/>
  <c r="BA23" i="3"/>
  <c r="DC23" i="3"/>
  <c r="EA23" i="3"/>
  <c r="AP29" i="3" a="1"/>
  <c r="AP29" i="3" s="1"/>
  <c r="DV31" i="3"/>
  <c r="DX31" i="3" s="1"/>
  <c r="DD31" i="3"/>
  <c r="DF31" i="3" s="1"/>
  <c r="CL31" i="3"/>
  <c r="CN31" i="3" s="1"/>
  <c r="BT31" i="3"/>
  <c r="BV31" i="3" s="1"/>
  <c r="BB31" i="3"/>
  <c r="AP31" i="3" a="1"/>
  <c r="AP31" i="3" s="1"/>
  <c r="X31" i="3"/>
  <c r="Z31" i="3" s="1"/>
  <c r="F31" i="3"/>
  <c r="DT31" i="3" a="1"/>
  <c r="DT31" i="3" s="1"/>
  <c r="CX31" i="3"/>
  <c r="CS31" i="3"/>
  <c r="CI31" i="3" a="1"/>
  <c r="CI31" i="3" s="1"/>
  <c r="CC31" i="3" a="1"/>
  <c r="CC31" i="3" s="1"/>
  <c r="CE31" i="3" s="1"/>
  <c r="BR31" i="3" a="1"/>
  <c r="BR31" i="3" s="1"/>
  <c r="AV31" i="3"/>
  <c r="AX31" i="3" s="1"/>
  <c r="AH31" i="3" a="1"/>
  <c r="AH31" i="3" s="1"/>
  <c r="AB31" i="3" a="1"/>
  <c r="AB31" i="3" s="1"/>
  <c r="L31" i="3"/>
  <c r="N31" i="3" s="1"/>
  <c r="G31" i="3"/>
  <c r="DY31" i="3" a="1"/>
  <c r="DY31" i="3" s="1"/>
  <c r="EA31" i="3" s="1"/>
  <c r="DS31" i="3" a="1"/>
  <c r="DS31" i="3" s="1"/>
  <c r="DU31" i="3" s="1"/>
  <c r="CY31" i="3"/>
  <c r="CR31" i="3"/>
  <c r="CT31" i="3" s="1"/>
  <c r="BL31" i="3" a="1"/>
  <c r="BL31" i="3" s="1"/>
  <c r="AS31" i="3" a="1"/>
  <c r="AS31" i="3" s="1"/>
  <c r="AN31" i="3" a="1"/>
  <c r="AN31" i="3" s="1"/>
  <c r="AG31" i="3" a="1"/>
  <c r="AG31" i="3" s="1"/>
  <c r="AA31" i="3" a="1"/>
  <c r="AA31" i="3" s="1"/>
  <c r="AC31" i="3" s="1"/>
  <c r="U31" i="3" a="1"/>
  <c r="U31" i="3" s="1"/>
  <c r="W31" i="3" s="1"/>
  <c r="DM31" i="3" a="1"/>
  <c r="DM31" i="3" s="1"/>
  <c r="DO31" i="3" s="1"/>
  <c r="DE31" i="3"/>
  <c r="CG31" i="3"/>
  <c r="BZ31" i="3"/>
  <c r="CB31" i="3" s="1"/>
  <c r="BC31" i="3"/>
  <c r="Y31" i="3"/>
  <c r="DK31" i="3"/>
  <c r="CV31" i="3" a="1"/>
  <c r="CV31" i="3" s="1"/>
  <c r="CO31" i="3" a="1"/>
  <c r="CO31" i="3" s="1"/>
  <c r="CQ31" i="3" s="1"/>
  <c r="CF31" i="3"/>
  <c r="BX31" i="3" a="1"/>
  <c r="BX31" i="3" s="1"/>
  <c r="BQ31" i="3" a="1"/>
  <c r="BQ31" i="3" s="1"/>
  <c r="BI31" i="3"/>
  <c r="BJ31" i="3" s="1"/>
  <c r="AT31" i="3" a="1"/>
  <c r="AT31" i="3" s="1"/>
  <c r="AM31" i="3" a="1"/>
  <c r="AM31" i="3" s="1"/>
  <c r="AO31" i="3" s="1"/>
  <c r="AE31" i="3"/>
  <c r="P31" i="3" a="1"/>
  <c r="P31" i="3" s="1"/>
  <c r="EF31" i="3" s="1"/>
  <c r="I31" i="3" a="1"/>
  <c r="I31" i="3" s="1"/>
  <c r="DQ31" i="3"/>
  <c r="DR31" i="3" s="1"/>
  <c r="CU31" i="3" a="1"/>
  <c r="CU31" i="3" s="1"/>
  <c r="CW31" i="3" s="1"/>
  <c r="CJ31" i="3" a="1"/>
  <c r="CJ31" i="3" s="1"/>
  <c r="BW31" i="3" a="1"/>
  <c r="BW31" i="3" s="1"/>
  <c r="AZ31" i="3" a="1"/>
  <c r="AZ31" i="3" s="1"/>
  <c r="AD31" i="3"/>
  <c r="S31" i="3"/>
  <c r="O31" i="3" a="1"/>
  <c r="O31" i="3" s="1"/>
  <c r="Q31" i="3" s="1"/>
  <c r="AQ31" i="3" a="1"/>
  <c r="AQ31" i="3" s="1"/>
  <c r="BE31" i="3" a="1"/>
  <c r="BE31" i="3" s="1"/>
  <c r="BG31" i="3" s="1"/>
  <c r="DH31" i="3" a="1"/>
  <c r="DH31" i="3" s="1"/>
  <c r="DI31" i="3" s="1"/>
  <c r="DW31" i="3"/>
  <c r="CW34" i="3"/>
  <c r="BG36" i="3"/>
  <c r="DP37" i="3"/>
  <c r="CX37" i="3"/>
  <c r="CF37" i="3"/>
  <c r="BN37" i="3"/>
  <c r="BP37" i="3" s="1"/>
  <c r="AV37" i="3"/>
  <c r="AX37" i="3" s="1"/>
  <c r="AJ37" i="3"/>
  <c r="AL37" i="3" s="1"/>
  <c r="R37" i="3"/>
  <c r="T37" i="3" s="1"/>
  <c r="DY37" i="3" a="1"/>
  <c r="DY37" i="3" s="1"/>
  <c r="DN37" i="3" a="1"/>
  <c r="DN37" i="3" s="1"/>
  <c r="CR37" i="3"/>
  <c r="CM37" i="3"/>
  <c r="CC37" i="3" a="1"/>
  <c r="CC37" i="3" s="1"/>
  <c r="CE37" i="3" s="1"/>
  <c r="BW37" i="3" a="1"/>
  <c r="BW37" i="3" s="1"/>
  <c r="BL37" i="3" a="1"/>
  <c r="BL37" i="3" s="1"/>
  <c r="AQ37" i="3" a="1"/>
  <c r="AQ37" i="3" s="1"/>
  <c r="AM37" i="3" a="1"/>
  <c r="AM37" i="3" s="1"/>
  <c r="AO37" i="3" s="1"/>
  <c r="AB37" i="3" a="1"/>
  <c r="AB37" i="3" s="1"/>
  <c r="V37" i="3" a="1"/>
  <c r="V37" i="3" s="1"/>
  <c r="W37" i="3" s="1"/>
  <c r="F37" i="3"/>
  <c r="DK37" i="3"/>
  <c r="DE37" i="3"/>
  <c r="CY37" i="3"/>
  <c r="BR37" i="3" a="1"/>
  <c r="BR37" i="3" s="1"/>
  <c r="BE37" i="3" a="1"/>
  <c r="BE37" i="3" s="1"/>
  <c r="AY37" i="3" a="1"/>
  <c r="AY37" i="3" s="1"/>
  <c r="AS37" i="3" a="1"/>
  <c r="AS37" i="3" s="1"/>
  <c r="AG37" i="3" a="1"/>
  <c r="AG37" i="3" s="1"/>
  <c r="M37" i="3"/>
  <c r="G37" i="3"/>
  <c r="DV37" i="3"/>
  <c r="DG37" i="3" a="1"/>
  <c r="DG37" i="3" s="1"/>
  <c r="CA37" i="3"/>
  <c r="BT37" i="3"/>
  <c r="AW37" i="3"/>
  <c r="AP37" i="3" a="1"/>
  <c r="AP37" i="3" s="1"/>
  <c r="AR37" i="3" s="1"/>
  <c r="DW37" i="3"/>
  <c r="DM37" i="3" a="1"/>
  <c r="DM37" i="3" s="1"/>
  <c r="DO37" i="3" s="1"/>
  <c r="DB37" i="3" a="1"/>
  <c r="DB37" i="3" s="1"/>
  <c r="DT37" i="3" a="1"/>
  <c r="DT37" i="3" s="1"/>
  <c r="DJ37" i="3"/>
  <c r="DL37" i="3" s="1"/>
  <c r="CS37" i="3"/>
  <c r="CI37" i="3" a="1"/>
  <c r="CI37" i="3" s="1"/>
  <c r="AH37" i="3" a="1"/>
  <c r="AH37" i="3" s="1"/>
  <c r="Y37" i="3"/>
  <c r="J37" i="3" a="1"/>
  <c r="J37" i="3" s="1"/>
  <c r="DH37" i="3" a="1"/>
  <c r="DH37" i="3" s="1"/>
  <c r="CJ37" i="3" a="1"/>
  <c r="CJ37" i="3" s="1"/>
  <c r="BX37" i="3" a="1"/>
  <c r="BX37" i="3" s="1"/>
  <c r="BB37" i="3"/>
  <c r="BD37" i="3" s="1"/>
  <c r="X37" i="3"/>
  <c r="Z37" i="3" s="1"/>
  <c r="DZ37" i="3" a="1"/>
  <c r="DZ37" i="3" s="1"/>
  <c r="DD37" i="3"/>
  <c r="DF37" i="3" s="1"/>
  <c r="CO37" i="3" a="1"/>
  <c r="CO37" i="3" s="1"/>
  <c r="CQ37" i="3" s="1"/>
  <c r="BO37" i="3"/>
  <c r="AZ37" i="3" a="1"/>
  <c r="AZ37" i="3" s="1"/>
  <c r="AN37" i="3" a="1"/>
  <c r="AN37" i="3" s="1"/>
  <c r="S37" i="3"/>
  <c r="DS37" i="3" a="1"/>
  <c r="DS37" i="3" s="1"/>
  <c r="DU37" i="3" s="1"/>
  <c r="DA37" i="3" a="1"/>
  <c r="DA37" i="3" s="1"/>
  <c r="DC37" i="3" s="1"/>
  <c r="BZ37" i="3"/>
  <c r="CB37" i="3" s="1"/>
  <c r="BK37" i="3" a="1"/>
  <c r="BK37" i="3" s="1"/>
  <c r="BM37" i="3" s="1"/>
  <c r="P37" i="3" a="1"/>
  <c r="P37" i="3" s="1"/>
  <c r="CG37" i="3"/>
  <c r="BQ37" i="3" a="1"/>
  <c r="BQ37" i="3" s="1"/>
  <c r="AT37" i="3" a="1"/>
  <c r="AT37" i="3" s="1"/>
  <c r="AD37" i="3"/>
  <c r="L37" i="3"/>
  <c r="BI37" i="3"/>
  <c r="AA37" i="3" a="1"/>
  <c r="AA37" i="3" s="1"/>
  <c r="DQ37" i="3"/>
  <c r="CL37" i="3"/>
  <c r="CN37" i="3" s="1"/>
  <c r="BF37" i="3" a="1"/>
  <c r="BF37" i="3" s="1"/>
  <c r="AE37" i="3"/>
  <c r="CU37" i="3" a="1"/>
  <c r="CU37" i="3" s="1"/>
  <c r="CW37" i="3" s="1"/>
  <c r="AK37" i="3"/>
  <c r="O37" i="3" a="1"/>
  <c r="O37" i="3" s="1"/>
  <c r="Q37" i="3" s="1"/>
  <c r="BU37" i="3"/>
  <c r="DO39" i="3"/>
  <c r="Q28" i="3"/>
  <c r="EA28" i="3"/>
  <c r="DU29" i="3"/>
  <c r="DO30" i="3"/>
  <c r="T31" i="3"/>
  <c r="DL31" i="3"/>
  <c r="BM33" i="3"/>
  <c r="AO34" i="3"/>
  <c r="BA34" i="3"/>
  <c r="DO41" i="3"/>
  <c r="Z23" i="3"/>
  <c r="CH23" i="3"/>
  <c r="DF23" i="3"/>
  <c r="K25" i="3"/>
  <c r="AL25" i="3"/>
  <c r="CZ25" i="3"/>
  <c r="DU26" i="3"/>
  <c r="H28" i="3"/>
  <c r="AS28" i="3" a="1"/>
  <c r="AS28" i="3" s="1"/>
  <c r="DO28" i="3"/>
  <c r="BY29" i="3"/>
  <c r="DI30" i="3"/>
  <c r="EA34" i="3"/>
  <c r="T35" i="3"/>
  <c r="N33" i="3"/>
  <c r="CQ33" i="3"/>
  <c r="Q35" i="3"/>
  <c r="AI35" i="3"/>
  <c r="DJ23" i="3"/>
  <c r="DL23" i="3" s="1"/>
  <c r="CR23" i="3"/>
  <c r="CT23" i="3" s="1"/>
  <c r="BZ23" i="3"/>
  <c r="CB23" i="3" s="1"/>
  <c r="BH23" i="3"/>
  <c r="BJ23" i="3" s="1"/>
  <c r="AQ23" i="3" a="1"/>
  <c r="AQ23" i="3" s="1"/>
  <c r="EC23" i="3" s="1"/>
  <c r="AD23" i="3"/>
  <c r="AF23" i="3" s="1"/>
  <c r="L23" i="3"/>
  <c r="N23" i="3" s="1"/>
  <c r="DT23" i="3" a="1"/>
  <c r="DT23" i="3" s="1"/>
  <c r="DU23" i="3" s="1"/>
  <c r="DN23" i="3" a="1"/>
  <c r="DN23" i="3" s="1"/>
  <c r="DO23" i="3" s="1"/>
  <c r="CX23" i="3"/>
  <c r="CZ23" i="3" s="1"/>
  <c r="CS23" i="3"/>
  <c r="CM23" i="3"/>
  <c r="CC23" i="3" a="1"/>
  <c r="CC23" i="3" s="1"/>
  <c r="CE23" i="3" s="1"/>
  <c r="BR23" i="3" a="1"/>
  <c r="BR23" i="3" s="1"/>
  <c r="BS23" i="3" s="1"/>
  <c r="BL23" i="3" a="1"/>
  <c r="BL23" i="3" s="1"/>
  <c r="BM23" i="3" s="1"/>
  <c r="AV23" i="3"/>
  <c r="AX23" i="3" s="1"/>
  <c r="AM23" i="3" a="1"/>
  <c r="AM23" i="3" s="1"/>
  <c r="AO23" i="3" s="1"/>
  <c r="AB23" i="3" a="1"/>
  <c r="AB23" i="3" s="1"/>
  <c r="AC23" i="3" s="1"/>
  <c r="F23" i="3"/>
  <c r="J23" i="3" a="1"/>
  <c r="J23" i="3" s="1"/>
  <c r="K23" i="3" s="1"/>
  <c r="P23" i="3" a="1"/>
  <c r="P23" i="3" s="1"/>
  <c r="Q23" i="3" s="1"/>
  <c r="AJ23" i="3"/>
  <c r="AL23" i="3" s="1"/>
  <c r="AP23" i="3" a="1"/>
  <c r="AP23" i="3" s="1"/>
  <c r="AR23" i="3" s="1"/>
  <c r="BB23" i="3"/>
  <c r="BD23" i="3" s="1"/>
  <c r="BI23" i="3"/>
  <c r="BO23" i="3"/>
  <c r="BP23" i="3" s="1"/>
  <c r="BU23" i="3"/>
  <c r="BV23" i="3" s="1"/>
  <c r="CI23" i="3" a="1"/>
  <c r="CI23" i="3" s="1"/>
  <c r="CK23" i="3" s="1"/>
  <c r="DB23" i="3" a="1"/>
  <c r="DB23" i="3" s="1"/>
  <c r="DH23" i="3" a="1"/>
  <c r="DH23" i="3" s="1"/>
  <c r="AF25" i="3"/>
  <c r="CN34" i="3"/>
  <c r="AC35" i="3"/>
  <c r="CQ40" i="3"/>
  <c r="I8" i="3" a="1"/>
  <c r="I8" i="3" s="1"/>
  <c r="M8" i="3"/>
  <c r="N8" i="3" s="1"/>
  <c r="V8" i="3" a="1"/>
  <c r="V8" i="3" s="1"/>
  <c r="AA8" i="3" a="1"/>
  <c r="AA8" i="3" s="1"/>
  <c r="AC8" i="3" s="1"/>
  <c r="AE8" i="3"/>
  <c r="AF8" i="3" s="1"/>
  <c r="AN8" i="3" a="1"/>
  <c r="AN8" i="3" s="1"/>
  <c r="EF8" i="3" s="1"/>
  <c r="AZ8" i="3" a="1"/>
  <c r="AZ8" i="3" s="1"/>
  <c r="BA8" i="3" s="1"/>
  <c r="BE8" i="3" a="1"/>
  <c r="BE8" i="3" s="1"/>
  <c r="BG8" i="3" s="1"/>
  <c r="BI8" i="3"/>
  <c r="BJ8" i="3" s="1"/>
  <c r="BR8" i="3" a="1"/>
  <c r="BR8" i="3" s="1"/>
  <c r="BS8" i="3" s="1"/>
  <c r="BW8" i="3" a="1"/>
  <c r="BW8" i="3" s="1"/>
  <c r="BY8" i="3" s="1"/>
  <c r="CA8" i="3"/>
  <c r="CB8" i="3" s="1"/>
  <c r="CJ8" i="3" a="1"/>
  <c r="CJ8" i="3" s="1"/>
  <c r="CK8" i="3" s="1"/>
  <c r="CO8" i="3" a="1"/>
  <c r="CO8" i="3" s="1"/>
  <c r="CQ8" i="3" s="1"/>
  <c r="CS8" i="3"/>
  <c r="DB8" i="3" a="1"/>
  <c r="DB8" i="3" s="1"/>
  <c r="DC8" i="3" s="1"/>
  <c r="DG8" i="3" a="1"/>
  <c r="DG8" i="3" s="1"/>
  <c r="DI8" i="3" s="1"/>
  <c r="DK8" i="3"/>
  <c r="DL8" i="3" s="1"/>
  <c r="DT8" i="3" a="1"/>
  <c r="DT8" i="3" s="1"/>
  <c r="DT48" i="3" s="1"/>
  <c r="I14" i="3" a="1"/>
  <c r="I14" i="3" s="1"/>
  <c r="M14" i="3"/>
  <c r="N14" i="3" s="1"/>
  <c r="V14" i="3" a="1"/>
  <c r="V14" i="3" s="1"/>
  <c r="W14" i="3" s="1"/>
  <c r="AA14" i="3" a="1"/>
  <c r="AA14" i="3" s="1"/>
  <c r="AC14" i="3" s="1"/>
  <c r="AE14" i="3"/>
  <c r="AF14" i="3" s="1"/>
  <c r="AN14" i="3" a="1"/>
  <c r="AN14" i="3" s="1"/>
  <c r="AO14" i="3" s="1"/>
  <c r="AZ14" i="3" a="1"/>
  <c r="AZ14" i="3" s="1"/>
  <c r="BE14" i="3" a="1"/>
  <c r="BE14" i="3" s="1"/>
  <c r="BG14" i="3" s="1"/>
  <c r="BI14" i="3"/>
  <c r="BJ14" i="3" s="1"/>
  <c r="BR14" i="3" a="1"/>
  <c r="BR14" i="3" s="1"/>
  <c r="BS14" i="3" s="1"/>
  <c r="BW14" i="3" a="1"/>
  <c r="BW14" i="3" s="1"/>
  <c r="BY14" i="3" s="1"/>
  <c r="CA14" i="3"/>
  <c r="CB14" i="3" s="1"/>
  <c r="CJ14" i="3" a="1"/>
  <c r="CJ14" i="3" s="1"/>
  <c r="CO14" i="3" a="1"/>
  <c r="CO14" i="3" s="1"/>
  <c r="CQ14" i="3" s="1"/>
  <c r="CS14" i="3"/>
  <c r="CT14" i="3" s="1"/>
  <c r="DB14" i="3" a="1"/>
  <c r="DB14" i="3" s="1"/>
  <c r="DC14" i="3" s="1"/>
  <c r="DG14" i="3" a="1"/>
  <c r="DG14" i="3" s="1"/>
  <c r="DI14" i="3" s="1"/>
  <c r="DK14" i="3"/>
  <c r="DL14" i="3" s="1"/>
  <c r="DT14" i="3" a="1"/>
  <c r="DT14" i="3" s="1"/>
  <c r="DU14" i="3" s="1"/>
  <c r="I20" i="3" a="1"/>
  <c r="I20" i="3" s="1"/>
  <c r="M20" i="3"/>
  <c r="EC20" i="3" s="1"/>
  <c r="V20" i="3" a="1"/>
  <c r="V20" i="3" s="1"/>
  <c r="W20" i="3" s="1"/>
  <c r="AA20" i="3" a="1"/>
  <c r="AA20" i="3" s="1"/>
  <c r="AC20" i="3" s="1"/>
  <c r="AE20" i="3"/>
  <c r="AF20" i="3" s="1"/>
  <c r="AN20" i="3" a="1"/>
  <c r="AN20" i="3" s="1"/>
  <c r="AO20" i="3" s="1"/>
  <c r="AZ20" i="3" a="1"/>
  <c r="AZ20" i="3" s="1"/>
  <c r="BE20" i="3" a="1"/>
  <c r="BE20" i="3" s="1"/>
  <c r="BG20" i="3" s="1"/>
  <c r="BI20" i="3"/>
  <c r="BJ20" i="3" s="1"/>
  <c r="BR20" i="3" a="1"/>
  <c r="BR20" i="3" s="1"/>
  <c r="BS20" i="3" s="1"/>
  <c r="BW20" i="3" a="1"/>
  <c r="BW20" i="3" s="1"/>
  <c r="BY20" i="3" s="1"/>
  <c r="CA20" i="3"/>
  <c r="CB20" i="3" s="1"/>
  <c r="CJ20" i="3" a="1"/>
  <c r="CJ20" i="3" s="1"/>
  <c r="CK20" i="3" s="1"/>
  <c r="CO20" i="3" a="1"/>
  <c r="CO20" i="3" s="1"/>
  <c r="CQ20" i="3" s="1"/>
  <c r="CS20" i="3"/>
  <c r="CT20" i="3" s="1"/>
  <c r="DB20" i="3" a="1"/>
  <c r="DB20" i="3" s="1"/>
  <c r="DC20" i="3" s="1"/>
  <c r="DG20" i="3" a="1"/>
  <c r="DG20" i="3" s="1"/>
  <c r="DI20" i="3" s="1"/>
  <c r="DK20" i="3"/>
  <c r="DL20" i="3" s="1"/>
  <c r="DT20" i="3" a="1"/>
  <c r="DT20" i="3" s="1"/>
  <c r="DV25" i="3"/>
  <c r="DX25" i="3" s="1"/>
  <c r="DD25" i="3"/>
  <c r="DF25" i="3" s="1"/>
  <c r="CL25" i="3"/>
  <c r="CN25" i="3" s="1"/>
  <c r="BT25" i="3"/>
  <c r="BV25" i="3" s="1"/>
  <c r="BB25" i="3"/>
  <c r="BD25" i="3" s="1"/>
  <c r="AP25" i="3" a="1"/>
  <c r="AP25" i="3" s="1"/>
  <c r="X25" i="3"/>
  <c r="Z25" i="3" s="1"/>
  <c r="F25" i="3"/>
  <c r="DS25" i="3" a="1"/>
  <c r="DS25" i="3" s="1"/>
  <c r="DU25" i="3" s="1"/>
  <c r="DM25" i="3" a="1"/>
  <c r="DM25" i="3" s="1"/>
  <c r="DB25" i="3" a="1"/>
  <c r="DB25" i="3" s="1"/>
  <c r="CF25" i="3"/>
  <c r="CA25" i="3"/>
  <c r="BQ25" i="3" a="1"/>
  <c r="BQ25" i="3" s="1"/>
  <c r="BS25" i="3" s="1"/>
  <c r="BK25" i="3" a="1"/>
  <c r="BK25" i="3" s="1"/>
  <c r="BM25" i="3" s="1"/>
  <c r="AZ25" i="3" a="1"/>
  <c r="AZ25" i="3" s="1"/>
  <c r="BA25" i="3" s="1"/>
  <c r="AK25" i="3"/>
  <c r="EC25" i="3" s="1"/>
  <c r="AA25" i="3" a="1"/>
  <c r="AA25" i="3" s="1"/>
  <c r="P25" i="3" a="1"/>
  <c r="P25" i="3" s="1"/>
  <c r="EF25" i="3" s="1"/>
  <c r="O25" i="3" a="1"/>
  <c r="O25" i="3" s="1"/>
  <c r="V25" i="3" a="1"/>
  <c r="V25" i="3" s="1"/>
  <c r="W25" i="3" s="1"/>
  <c r="AB25" i="3" a="1"/>
  <c r="AB25" i="3" s="1"/>
  <c r="AT25" i="3" a="1"/>
  <c r="AT25" i="3" s="1"/>
  <c r="AU25" i="3" s="1"/>
  <c r="BZ25" i="3"/>
  <c r="CG25" i="3"/>
  <c r="DA25" i="3" a="1"/>
  <c r="DA25" i="3" s="1"/>
  <c r="DC25" i="3" s="1"/>
  <c r="DG25" i="3" a="1"/>
  <c r="DG25" i="3" s="1"/>
  <c r="DI25" i="3" s="1"/>
  <c r="DN25" i="3" a="1"/>
  <c r="DN25" i="3" s="1"/>
  <c r="DT25" i="3" a="1"/>
  <c r="DT25" i="3" s="1"/>
  <c r="DZ25" i="3" a="1"/>
  <c r="DZ25" i="3" s="1"/>
  <c r="EA25" i="3" s="1"/>
  <c r="H29" i="3"/>
  <c r="AO29" i="3"/>
  <c r="BS29" i="3"/>
  <c r="DW30" i="3"/>
  <c r="DS30" i="3" a="1"/>
  <c r="DS30" i="3" s="1"/>
  <c r="DU30" i="3" s="1"/>
  <c r="DN30" i="3" a="1"/>
  <c r="DN30" i="3" s="1"/>
  <c r="DE30" i="3"/>
  <c r="DA30" i="3" a="1"/>
  <c r="DA30" i="3" s="1"/>
  <c r="DC30" i="3" s="1"/>
  <c r="CV30" i="3" a="1"/>
  <c r="CV30" i="3" s="1"/>
  <c r="CW30" i="3" s="1"/>
  <c r="CM30" i="3"/>
  <c r="CI30" i="3" a="1"/>
  <c r="CI30" i="3" s="1"/>
  <c r="CD30" i="3" a="1"/>
  <c r="CD30" i="3" s="1"/>
  <c r="CE30" i="3" s="1"/>
  <c r="BU30" i="3"/>
  <c r="BQ30" i="3" a="1"/>
  <c r="BQ30" i="3" s="1"/>
  <c r="BS30" i="3" s="1"/>
  <c r="BL30" i="3" a="1"/>
  <c r="BL30" i="3" s="1"/>
  <c r="BM30" i="3" s="1"/>
  <c r="BC30" i="3"/>
  <c r="AY30" i="3" a="1"/>
  <c r="AY30" i="3" s="1"/>
  <c r="BA30" i="3" s="1"/>
  <c r="AT30" i="3" a="1"/>
  <c r="AT30" i="3" s="1"/>
  <c r="AM30" i="3" a="1"/>
  <c r="AM30" i="3" s="1"/>
  <c r="AO30" i="3" s="1"/>
  <c r="AH30" i="3" a="1"/>
  <c r="AH30" i="3" s="1"/>
  <c r="EF30" i="3" s="1"/>
  <c r="Y30" i="3"/>
  <c r="Z30" i="3" s="1"/>
  <c r="U30" i="3" a="1"/>
  <c r="U30" i="3" s="1"/>
  <c r="W30" i="3" s="1"/>
  <c r="P30" i="3" a="1"/>
  <c r="P30" i="3" s="1"/>
  <c r="G30" i="3"/>
  <c r="DZ30" i="3" a="1"/>
  <c r="DZ30" i="3" s="1"/>
  <c r="DJ30" i="3"/>
  <c r="DL30" i="3" s="1"/>
  <c r="DD30" i="3"/>
  <c r="CY30" i="3"/>
  <c r="CO30" i="3" a="1"/>
  <c r="CO30" i="3" s="1"/>
  <c r="CQ30" i="3" s="1"/>
  <c r="BX30" i="3" a="1"/>
  <c r="BX30" i="3" s="1"/>
  <c r="BY30" i="3" s="1"/>
  <c r="BH30" i="3"/>
  <c r="BJ30" i="3" s="1"/>
  <c r="BB30" i="3"/>
  <c r="BD30" i="3" s="1"/>
  <c r="AW30" i="3"/>
  <c r="AN30" i="3" a="1"/>
  <c r="AN30" i="3" s="1"/>
  <c r="R30" i="3"/>
  <c r="M30" i="3"/>
  <c r="N30" i="3" s="1"/>
  <c r="DY30" i="3" a="1"/>
  <c r="DY30" i="3" s="1"/>
  <c r="EA30" i="3" s="1"/>
  <c r="CX30" i="3"/>
  <c r="CZ30" i="3" s="1"/>
  <c r="CR30" i="3"/>
  <c r="CT30" i="3" s="1"/>
  <c r="BR30" i="3" a="1"/>
  <c r="BR30" i="3" s="1"/>
  <c r="AS30" i="3" a="1"/>
  <c r="AS30" i="3" s="1"/>
  <c r="AG30" i="3" a="1"/>
  <c r="AG30" i="3" s="1"/>
  <c r="AA30" i="3" a="1"/>
  <c r="AA30" i="3" s="1"/>
  <c r="AC30" i="3" s="1"/>
  <c r="F30" i="3"/>
  <c r="S30" i="3"/>
  <c r="AP30" i="3" a="1"/>
  <c r="AP30" i="3" s="1"/>
  <c r="AR30" i="3" s="1"/>
  <c r="AV30" i="3"/>
  <c r="BE30" i="3" a="1"/>
  <c r="BE30" i="3" s="1"/>
  <c r="BG30" i="3" s="1"/>
  <c r="BT30" i="3"/>
  <c r="BV30" i="3" s="1"/>
  <c r="CJ30" i="3" a="1"/>
  <c r="CJ30" i="3" s="1"/>
  <c r="DV30" i="3"/>
  <c r="DX30" i="3" s="1"/>
  <c r="DZ32" i="3" a="1"/>
  <c r="DZ32" i="3" s="1"/>
  <c r="EA32" i="3" s="1"/>
  <c r="DQ32" i="3"/>
  <c r="DM32" i="3" a="1"/>
  <c r="DM32" i="3" s="1"/>
  <c r="DO32" i="3" s="1"/>
  <c r="DH32" i="3" a="1"/>
  <c r="DH32" i="3" s="1"/>
  <c r="CY32" i="3"/>
  <c r="CU32" i="3" a="1"/>
  <c r="CU32" i="3" s="1"/>
  <c r="CW32" i="3" s="1"/>
  <c r="CP32" i="3" a="1"/>
  <c r="CP32" i="3" s="1"/>
  <c r="CG32" i="3"/>
  <c r="CC32" i="3" a="1"/>
  <c r="CC32" i="3" s="1"/>
  <c r="BX32" i="3" a="1"/>
  <c r="BX32" i="3" s="1"/>
  <c r="BO32" i="3"/>
  <c r="BP32" i="3" s="1"/>
  <c r="BK32" i="3" a="1"/>
  <c r="BK32" i="3" s="1"/>
  <c r="BF32" i="3" a="1"/>
  <c r="BF32" i="3" s="1"/>
  <c r="BG32" i="3" s="1"/>
  <c r="AW32" i="3"/>
  <c r="AS32" i="3" a="1"/>
  <c r="AS32" i="3" s="1"/>
  <c r="AU32" i="3" s="1"/>
  <c r="AK32" i="3"/>
  <c r="AL32" i="3" s="1"/>
  <c r="AG32" i="3" a="1"/>
  <c r="AG32" i="3" s="1"/>
  <c r="AB32" i="3" a="1"/>
  <c r="AB32" i="3" s="1"/>
  <c r="S32" i="3"/>
  <c r="O32" i="3" a="1"/>
  <c r="O32" i="3" s="1"/>
  <c r="J32" i="3" a="1"/>
  <c r="J32" i="3" s="1"/>
  <c r="DS32" i="3" a="1"/>
  <c r="DS32" i="3" s="1"/>
  <c r="DU32" i="3" s="1"/>
  <c r="DB32" i="3" a="1"/>
  <c r="DB32" i="3" s="1"/>
  <c r="DC32" i="3" s="1"/>
  <c r="CL32" i="3"/>
  <c r="CN32" i="3" s="1"/>
  <c r="CF32" i="3"/>
  <c r="CA32" i="3"/>
  <c r="CB32" i="3" s="1"/>
  <c r="BQ32" i="3" a="1"/>
  <c r="BQ32" i="3" s="1"/>
  <c r="BS32" i="3" s="1"/>
  <c r="AZ32" i="3" a="1"/>
  <c r="AZ32" i="3" s="1"/>
  <c r="BA32" i="3" s="1"/>
  <c r="AA32" i="3" a="1"/>
  <c r="AA32" i="3" s="1"/>
  <c r="AC32" i="3" s="1"/>
  <c r="P32" i="3" a="1"/>
  <c r="P32" i="3" s="1"/>
  <c r="DW32" i="3"/>
  <c r="DP32" i="3"/>
  <c r="DR32" i="3" s="1"/>
  <c r="DJ32" i="3"/>
  <c r="DL32" i="3" s="1"/>
  <c r="DD32" i="3"/>
  <c r="DF32" i="3" s="1"/>
  <c r="CJ32" i="3" a="1"/>
  <c r="CJ32" i="3" s="1"/>
  <c r="CD32" i="3" a="1"/>
  <c r="CD32" i="3" s="1"/>
  <c r="AM32" i="3" a="1"/>
  <c r="AM32" i="3" s="1"/>
  <c r="AO32" i="3" s="1"/>
  <c r="AE32" i="3"/>
  <c r="AF32" i="3" s="1"/>
  <c r="Y32" i="3"/>
  <c r="Z32" i="3" s="1"/>
  <c r="R32" i="3"/>
  <c r="T32" i="3" s="1"/>
  <c r="L32" i="3"/>
  <c r="N32" i="3" s="1"/>
  <c r="F32" i="3"/>
  <c r="DV32" i="3"/>
  <c r="DX32" i="3" s="1"/>
  <c r="CV32" i="3" a="1"/>
  <c r="CV32" i="3" s="1"/>
  <c r="BW32" i="3" a="1"/>
  <c r="BW32" i="3" s="1"/>
  <c r="AH32" i="3" a="1"/>
  <c r="AH32" i="3" s="1"/>
  <c r="BC32" i="3"/>
  <c r="BD32" i="3" s="1"/>
  <c r="BL32" i="3" a="1"/>
  <c r="BL32" i="3" s="1"/>
  <c r="BT32" i="3"/>
  <c r="BV32" i="3" s="1"/>
  <c r="CX32" i="3"/>
  <c r="DG32" i="3" a="1"/>
  <c r="DG32" i="3" s="1"/>
  <c r="BD33" i="3"/>
  <c r="CN33" i="3"/>
  <c r="CB34" i="3"/>
  <c r="BM35" i="3"/>
  <c r="CB35" i="3"/>
  <c r="DR36" i="3"/>
  <c r="DJ39" i="3"/>
  <c r="CR39" i="3"/>
  <c r="BZ39" i="3"/>
  <c r="BH39" i="3"/>
  <c r="BJ39" i="3" s="1"/>
  <c r="AQ39" i="3" a="1"/>
  <c r="AQ39" i="3" s="1"/>
  <c r="AD39" i="3"/>
  <c r="AF39" i="3" s="1"/>
  <c r="L39" i="3"/>
  <c r="DP39" i="3"/>
  <c r="DR39" i="3" s="1"/>
  <c r="DK39" i="3"/>
  <c r="DE39" i="3"/>
  <c r="CU39" i="3" a="1"/>
  <c r="CU39" i="3" s="1"/>
  <c r="CW39" i="3" s="1"/>
  <c r="CJ39" i="3" a="1"/>
  <c r="CJ39" i="3" s="1"/>
  <c r="CK39" i="3" s="1"/>
  <c r="CD39" i="3" a="1"/>
  <c r="CD39" i="3" s="1"/>
  <c r="BN39" i="3"/>
  <c r="BP39" i="3" s="1"/>
  <c r="BI39" i="3"/>
  <c r="BC39" i="3"/>
  <c r="AS39" i="3" a="1"/>
  <c r="AS39" i="3" s="1"/>
  <c r="AU39" i="3" s="1"/>
  <c r="X39" i="3"/>
  <c r="S39" i="3"/>
  <c r="I39" i="3" a="1"/>
  <c r="I39" i="3" s="1"/>
  <c r="DZ39" i="3" a="1"/>
  <c r="DZ39" i="3" s="1"/>
  <c r="DT39" i="3" a="1"/>
  <c r="DT39" i="3" s="1"/>
  <c r="DA39" i="3" a="1"/>
  <c r="DA39" i="3" s="1"/>
  <c r="DW39" i="3"/>
  <c r="DX39" i="3" s="1"/>
  <c r="DQ39" i="3"/>
  <c r="BQ39" i="3" a="1"/>
  <c r="BQ39" i="3" s="1"/>
  <c r="BK39" i="3" a="1"/>
  <c r="BK39" i="3" s="1"/>
  <c r="BM39" i="3" s="1"/>
  <c r="BE39" i="3" a="1"/>
  <c r="BE39" i="3" s="1"/>
  <c r="BG39" i="3" s="1"/>
  <c r="AW39" i="3"/>
  <c r="AX39" i="3" s="1"/>
  <c r="Y39" i="3"/>
  <c r="R39" i="3"/>
  <c r="T39" i="3" s="1"/>
  <c r="DG39" i="3" a="1"/>
  <c r="DG39" i="3" s="1"/>
  <c r="CV39" i="3" a="1"/>
  <c r="CV39" i="3" s="1"/>
  <c r="CO39" i="3" a="1"/>
  <c r="CO39" i="3" s="1"/>
  <c r="CQ39" i="3" s="1"/>
  <c r="CG39" i="3"/>
  <c r="BR39" i="3" a="1"/>
  <c r="BR39" i="3" s="1"/>
  <c r="AT39" i="3" a="1"/>
  <c r="AT39" i="3" s="1"/>
  <c r="AN39" i="3" a="1"/>
  <c r="AN39" i="3" s="1"/>
  <c r="AG39" i="3" a="1"/>
  <c r="AG39" i="3" s="1"/>
  <c r="P39" i="3" a="1"/>
  <c r="P39" i="3" s="1"/>
  <c r="CX39" i="3"/>
  <c r="CM39" i="3"/>
  <c r="BU39" i="3"/>
  <c r="BL39" i="3" a="1"/>
  <c r="BL39" i="3" s="1"/>
  <c r="BB39" i="3"/>
  <c r="AK39" i="3"/>
  <c r="AB39" i="3" a="1"/>
  <c r="AB39" i="3" s="1"/>
  <c r="J39" i="3" a="1"/>
  <c r="J39" i="3" s="1"/>
  <c r="DS39" i="3" a="1"/>
  <c r="DS39" i="3" s="1"/>
  <c r="DH39" i="3" a="1"/>
  <c r="DH39" i="3" s="1"/>
  <c r="CL39" i="3"/>
  <c r="CC39" i="3" a="1"/>
  <c r="CC39" i="3" s="1"/>
  <c r="CE39" i="3" s="1"/>
  <c r="BT39" i="3"/>
  <c r="BV39" i="3" s="1"/>
  <c r="AJ39" i="3"/>
  <c r="G39" i="3"/>
  <c r="DD39" i="3"/>
  <c r="AZ39" i="3" a="1"/>
  <c r="AZ39" i="3" s="1"/>
  <c r="BA39" i="3" s="1"/>
  <c r="AH39" i="3" a="1"/>
  <c r="AH39" i="3" s="1"/>
  <c r="AA39" i="3" a="1"/>
  <c r="AA39" i="3" s="1"/>
  <c r="AC39" i="3" s="1"/>
  <c r="F39" i="3"/>
  <c r="DN39" i="3" a="1"/>
  <c r="DN39" i="3" s="1"/>
  <c r="CS39" i="3"/>
  <c r="CA39" i="3"/>
  <c r="AP39" i="3" a="1"/>
  <c r="AP39" i="3" s="1"/>
  <c r="AR39" i="3" s="1"/>
  <c r="DB39" i="3" a="1"/>
  <c r="DB39" i="3" s="1"/>
  <c r="CF39" i="3"/>
  <c r="CH39" i="3" s="1"/>
  <c r="BF39" i="3" a="1"/>
  <c r="BF39" i="3" s="1"/>
  <c r="AM39" i="3" a="1"/>
  <c r="AM39" i="3" s="1"/>
  <c r="AO39" i="3" s="1"/>
  <c r="O39" i="3" a="1"/>
  <c r="O39" i="3" s="1"/>
  <c r="DY39" i="3" a="1"/>
  <c r="DY39" i="3" s="1"/>
  <c r="EA39" i="3" s="1"/>
  <c r="CY39" i="3"/>
  <c r="BX39" i="3" a="1"/>
  <c r="BX39" i="3" s="1"/>
  <c r="BY39" i="3" s="1"/>
  <c r="M39" i="3"/>
  <c r="CP39" i="3" a="1"/>
  <c r="CP39" i="3" s="1"/>
  <c r="BP41" i="3"/>
  <c r="N44" i="3"/>
  <c r="W44" i="3"/>
  <c r="DR30" i="3"/>
  <c r="AX32" i="3"/>
  <c r="CQ32" i="3"/>
  <c r="AC33" i="3"/>
  <c r="DL33" i="3"/>
  <c r="BV34" i="3"/>
  <c r="Q38" i="3"/>
  <c r="DL41" i="3"/>
  <c r="EB44" i="3"/>
  <c r="H44" i="3"/>
  <c r="DV35" i="3"/>
  <c r="DX35" i="3" s="1"/>
  <c r="DD35" i="3"/>
  <c r="DF35" i="3" s="1"/>
  <c r="CL35" i="3"/>
  <c r="CN35" i="3" s="1"/>
  <c r="BT35" i="3"/>
  <c r="BB35" i="3"/>
  <c r="BD35" i="3" s="1"/>
  <c r="AP35" i="3" a="1"/>
  <c r="AP35" i="3" s="1"/>
  <c r="X35" i="3"/>
  <c r="F35" i="3"/>
  <c r="DP35" i="3"/>
  <c r="DR35" i="3" s="1"/>
  <c r="DK35" i="3"/>
  <c r="DA35" i="3" a="1"/>
  <c r="DA35" i="3" s="1"/>
  <c r="DC35" i="3" s="1"/>
  <c r="CU35" i="3" a="1"/>
  <c r="CU35" i="3" s="1"/>
  <c r="CW35" i="3" s="1"/>
  <c r="CJ35" i="3" a="1"/>
  <c r="CJ35" i="3" s="1"/>
  <c r="BN35" i="3"/>
  <c r="BI35" i="3"/>
  <c r="BJ35" i="3" s="1"/>
  <c r="AY35" i="3" a="1"/>
  <c r="AY35" i="3" s="1"/>
  <c r="BA35" i="3" s="1"/>
  <c r="AS35" i="3" a="1"/>
  <c r="AS35" i="3" s="1"/>
  <c r="AU35" i="3" s="1"/>
  <c r="AD35" i="3"/>
  <c r="Y35" i="3"/>
  <c r="S35" i="3"/>
  <c r="I35" i="3" a="1"/>
  <c r="I35" i="3" s="1"/>
  <c r="DW35" i="3"/>
  <c r="CP35" i="3" a="1"/>
  <c r="CP35" i="3" s="1"/>
  <c r="CC35" i="3" a="1"/>
  <c r="CC35" i="3" s="1"/>
  <c r="CE35" i="3" s="1"/>
  <c r="BW35" i="3" a="1"/>
  <c r="BW35" i="3" s="1"/>
  <c r="BY35" i="3" s="1"/>
  <c r="BQ35" i="3" a="1"/>
  <c r="BQ35" i="3" s="1"/>
  <c r="BS35" i="3" s="1"/>
  <c r="BC35" i="3"/>
  <c r="AV35" i="3"/>
  <c r="AQ35" i="3" a="1"/>
  <c r="AQ35" i="3" s="1"/>
  <c r="AK35" i="3"/>
  <c r="AL35" i="3" s="1"/>
  <c r="AE35" i="3"/>
  <c r="CY35" i="3"/>
  <c r="CR35" i="3"/>
  <c r="CT35" i="3" s="1"/>
  <c r="BU35" i="3"/>
  <c r="AW35" i="3"/>
  <c r="U35" i="3" a="1"/>
  <c r="U35" i="3" s="1"/>
  <c r="L35" i="3"/>
  <c r="J35" i="3" a="1"/>
  <c r="J35" i="3" s="1"/>
  <c r="BE35" i="3" a="1"/>
  <c r="BE35" i="3" s="1"/>
  <c r="BG35" i="3" s="1"/>
  <c r="CF35" i="3"/>
  <c r="CO35" i="3" a="1"/>
  <c r="CO35" i="3" s="1"/>
  <c r="CQ35" i="3" s="1"/>
  <c r="CX35" i="3"/>
  <c r="CZ35" i="3" s="1"/>
  <c r="DH35" i="3" a="1"/>
  <c r="DH35" i="3" s="1"/>
  <c r="DI35" i="3" s="1"/>
  <c r="DS35" i="3" a="1"/>
  <c r="DS35" i="3" s="1"/>
  <c r="DU35" i="3" s="1"/>
  <c r="DZ35" i="3" a="1"/>
  <c r="DZ35" i="3" s="1"/>
  <c r="EA35" i="3" s="1"/>
  <c r="CH36" i="3"/>
  <c r="BA42" i="3"/>
  <c r="BJ33" i="3"/>
  <c r="BY33" i="3"/>
  <c r="CT33" i="3"/>
  <c r="CE34" i="3"/>
  <c r="M35" i="3"/>
  <c r="EC35" i="3" s="1"/>
  <c r="V35" i="3" a="1"/>
  <c r="V35" i="3" s="1"/>
  <c r="AN35" i="3" a="1"/>
  <c r="AN35" i="3" s="1"/>
  <c r="AO35" i="3" s="1"/>
  <c r="BF35" i="3" a="1"/>
  <c r="BF35" i="3" s="1"/>
  <c r="BO35" i="3"/>
  <c r="BX35" i="3" a="1"/>
  <c r="BX35" i="3" s="1"/>
  <c r="CG35" i="3"/>
  <c r="DJ35" i="3"/>
  <c r="DL35" i="3" s="1"/>
  <c r="BA36" i="3"/>
  <c r="BS38" i="3"/>
  <c r="BJ40" i="3"/>
  <c r="DV41" i="3"/>
  <c r="DD41" i="3"/>
  <c r="DF41" i="3" s="1"/>
  <c r="CL41" i="3"/>
  <c r="BT41" i="3"/>
  <c r="BB41" i="3"/>
  <c r="AP41" i="3" a="1"/>
  <c r="AP41" i="3" s="1"/>
  <c r="X41" i="3"/>
  <c r="Z41" i="3" s="1"/>
  <c r="F41" i="3"/>
  <c r="DY41" i="3" a="1"/>
  <c r="DY41" i="3" s="1"/>
  <c r="DN41" i="3" a="1"/>
  <c r="DN41" i="3" s="1"/>
  <c r="DH41" i="3" a="1"/>
  <c r="DH41" i="3" s="1"/>
  <c r="CR41" i="3"/>
  <c r="CM41" i="3"/>
  <c r="CG41" i="3"/>
  <c r="BW41" i="3" a="1"/>
  <c r="BW41" i="3" s="1"/>
  <c r="BL41" i="3" a="1"/>
  <c r="BL41" i="3" s="1"/>
  <c r="BF41" i="3" a="1"/>
  <c r="BF41" i="3" s="1"/>
  <c r="AQ41" i="3" a="1"/>
  <c r="AQ41" i="3" s="1"/>
  <c r="AM41" i="3" a="1"/>
  <c r="AM41" i="3" s="1"/>
  <c r="AG41" i="3" a="1"/>
  <c r="AG41" i="3" s="1"/>
  <c r="AI41" i="3" s="1"/>
  <c r="V41" i="3" a="1"/>
  <c r="V41" i="3" s="1"/>
  <c r="DS41" i="3" a="1"/>
  <c r="DS41" i="3" s="1"/>
  <c r="CY41" i="3"/>
  <c r="CS41" i="3"/>
  <c r="AS41" i="3" a="1"/>
  <c r="AS41" i="3" s="1"/>
  <c r="AU41" i="3" s="1"/>
  <c r="AN41" i="3" a="1"/>
  <c r="AN41" i="3" s="1"/>
  <c r="AH41" i="3" a="1"/>
  <c r="AH41" i="3" s="1"/>
  <c r="AA41" i="3" a="1"/>
  <c r="AA41" i="3" s="1"/>
  <c r="U41" i="3" a="1"/>
  <c r="U41" i="3" s="1"/>
  <c r="W41" i="3" s="1"/>
  <c r="DB41" i="3" a="1"/>
  <c r="DB41" i="3" s="1"/>
  <c r="CV41" i="3" a="1"/>
  <c r="CV41" i="3" s="1"/>
  <c r="CC41" i="3" a="1"/>
  <c r="CC41" i="3" s="1"/>
  <c r="CE41" i="3" s="1"/>
  <c r="BO41" i="3"/>
  <c r="BI41" i="3"/>
  <c r="BC41" i="3"/>
  <c r="AV41" i="3"/>
  <c r="AX41" i="3" s="1"/>
  <c r="AJ41" i="3"/>
  <c r="AL41" i="3" s="1"/>
  <c r="AD41" i="3"/>
  <c r="AF41" i="3" s="1"/>
  <c r="J41" i="3" a="1"/>
  <c r="J41" i="3" s="1"/>
  <c r="DQ41" i="3"/>
  <c r="CX41" i="3"/>
  <c r="CZ41" i="3" s="1"/>
  <c r="CO41" i="3" a="1"/>
  <c r="CO41" i="3" s="1"/>
  <c r="CQ41" i="3" s="1"/>
  <c r="BU41" i="3"/>
  <c r="BK41" i="3" a="1"/>
  <c r="BK41" i="3" s="1"/>
  <c r="BM41" i="3" s="1"/>
  <c r="P41" i="3" a="1"/>
  <c r="P41" i="3" s="1"/>
  <c r="G41" i="3"/>
  <c r="DT41" i="3" a="1"/>
  <c r="DT41" i="3" s="1"/>
  <c r="DG41" i="3" a="1"/>
  <c r="DG41" i="3" s="1"/>
  <c r="DI41" i="3" s="1"/>
  <c r="CU41" i="3" a="1"/>
  <c r="CU41" i="3" s="1"/>
  <c r="CW41" i="3" s="1"/>
  <c r="CJ41" i="3" a="1"/>
  <c r="CJ41" i="3" s="1"/>
  <c r="BX41" i="3" a="1"/>
  <c r="BX41" i="3" s="1"/>
  <c r="AZ41" i="3" a="1"/>
  <c r="AZ41" i="3" s="1"/>
  <c r="AE41" i="3"/>
  <c r="S41" i="3"/>
  <c r="I41" i="3" a="1"/>
  <c r="I41" i="3" s="1"/>
  <c r="DP41" i="3"/>
  <c r="DR41" i="3" s="1"/>
  <c r="DE41" i="3"/>
  <c r="CI41" i="3" a="1"/>
  <c r="CI41" i="3" s="1"/>
  <c r="AY41" i="3" a="1"/>
  <c r="AY41" i="3" s="1"/>
  <c r="BA41" i="3" s="1"/>
  <c r="R41" i="3"/>
  <c r="T41" i="3" s="1"/>
  <c r="DZ41" i="3" a="1"/>
  <c r="DZ41" i="3" s="1"/>
  <c r="CF41" i="3"/>
  <c r="CH41" i="3" s="1"/>
  <c r="BH41" i="3"/>
  <c r="AW41" i="3"/>
  <c r="AB41" i="3" a="1"/>
  <c r="AB41" i="3" s="1"/>
  <c r="O41" i="3" a="1"/>
  <c r="O41" i="3" s="1"/>
  <c r="Q41" i="3" s="1"/>
  <c r="DW41" i="3"/>
  <c r="DA41" i="3" a="1"/>
  <c r="DA41" i="3" s="1"/>
  <c r="CA41" i="3"/>
  <c r="BE41" i="3" a="1"/>
  <c r="BE41" i="3" s="1"/>
  <c r="L41" i="3"/>
  <c r="N41" i="3" s="1"/>
  <c r="BZ41" i="3"/>
  <c r="CB41" i="3" s="1"/>
  <c r="DC42" i="3"/>
  <c r="DW40" i="3"/>
  <c r="DS40" i="3" a="1"/>
  <c r="DS40" i="3" s="1"/>
  <c r="DU40" i="3" s="1"/>
  <c r="DN40" i="3" a="1"/>
  <c r="DN40" i="3" s="1"/>
  <c r="DE40" i="3"/>
  <c r="DA40" i="3" a="1"/>
  <c r="DA40" i="3" s="1"/>
  <c r="CV40" i="3" a="1"/>
  <c r="CV40" i="3" s="1"/>
  <c r="CM40" i="3"/>
  <c r="CI40" i="3" a="1"/>
  <c r="CI40" i="3" s="1"/>
  <c r="CD40" i="3" a="1"/>
  <c r="CD40" i="3" s="1"/>
  <c r="BU40" i="3"/>
  <c r="BQ40" i="3" a="1"/>
  <c r="BQ40" i="3" s="1"/>
  <c r="BL40" i="3" a="1"/>
  <c r="BL40" i="3" s="1"/>
  <c r="BC40" i="3"/>
  <c r="BD40" i="3" s="1"/>
  <c r="AY40" i="3" a="1"/>
  <c r="AY40" i="3" s="1"/>
  <c r="AT40" i="3" a="1"/>
  <c r="AT40" i="3" s="1"/>
  <c r="AU40" i="3" s="1"/>
  <c r="AM40" i="3" a="1"/>
  <c r="AM40" i="3" s="1"/>
  <c r="AH40" i="3" a="1"/>
  <c r="AH40" i="3" s="1"/>
  <c r="AI40" i="3" s="1"/>
  <c r="Y40" i="3"/>
  <c r="U40" i="3" a="1"/>
  <c r="U40" i="3" s="1"/>
  <c r="W40" i="3" s="1"/>
  <c r="P40" i="3" a="1"/>
  <c r="P40" i="3" s="1"/>
  <c r="G40" i="3"/>
  <c r="DT40" i="3" a="1"/>
  <c r="DT40" i="3" s="1"/>
  <c r="CX40" i="3"/>
  <c r="CZ40" i="3" s="1"/>
  <c r="CS40" i="3"/>
  <c r="CC40" i="3" a="1"/>
  <c r="CC40" i="3" s="1"/>
  <c r="CE40" i="3" s="1"/>
  <c r="BR40" i="3" a="1"/>
  <c r="BR40" i="3" s="1"/>
  <c r="AV40" i="3"/>
  <c r="AX40" i="3" s="1"/>
  <c r="AB40" i="3" a="1"/>
  <c r="AB40" i="3" s="1"/>
  <c r="L40" i="3"/>
  <c r="N40" i="3" s="1"/>
  <c r="F40" i="3"/>
  <c r="DZ40" i="3" a="1"/>
  <c r="DZ40" i="3" s="1"/>
  <c r="EA40" i="3" s="1"/>
  <c r="DM40" i="3" a="1"/>
  <c r="DM40" i="3" s="1"/>
  <c r="DO40" i="3" s="1"/>
  <c r="DG40" i="3" a="1"/>
  <c r="DG40" i="3" s="1"/>
  <c r="DI40" i="3" s="1"/>
  <c r="CL40" i="3"/>
  <c r="CF40" i="3"/>
  <c r="CH40" i="3" s="1"/>
  <c r="BZ40" i="3"/>
  <c r="CB40" i="3" s="1"/>
  <c r="BF40" i="3" a="1"/>
  <c r="BF40" i="3" s="1"/>
  <c r="BG40" i="3" s="1"/>
  <c r="AZ40" i="3" a="1"/>
  <c r="AZ40" i="3" s="1"/>
  <c r="O40" i="3" a="1"/>
  <c r="O40" i="3" s="1"/>
  <c r="Q40" i="3" s="1"/>
  <c r="I40" i="3" a="1"/>
  <c r="I40" i="3" s="1"/>
  <c r="DV40" i="3"/>
  <c r="DP40" i="3"/>
  <c r="DJ40" i="3"/>
  <c r="DL40" i="3" s="1"/>
  <c r="CP40" i="3" a="1"/>
  <c r="CP40" i="3" s="1"/>
  <c r="CJ40" i="3" a="1"/>
  <c r="CJ40" i="3" s="1"/>
  <c r="BW40" i="3" a="1"/>
  <c r="BW40" i="3" s="1"/>
  <c r="AW40" i="3"/>
  <c r="AQ40" i="3" a="1"/>
  <c r="AQ40" i="3" s="1"/>
  <c r="AK40" i="3"/>
  <c r="AL40" i="3" s="1"/>
  <c r="AE40" i="3"/>
  <c r="X40" i="3"/>
  <c r="Z40" i="3" s="1"/>
  <c r="R40" i="3"/>
  <c r="DB40" i="3" a="1"/>
  <c r="DB40" i="3" s="1"/>
  <c r="CR40" i="3"/>
  <c r="CT40" i="3" s="1"/>
  <c r="BO40" i="3"/>
  <c r="AN40" i="3" a="1"/>
  <c r="AN40" i="3" s="1"/>
  <c r="AD40" i="3"/>
  <c r="AF40" i="3" s="1"/>
  <c r="J40" i="3" a="1"/>
  <c r="J40" i="3" s="1"/>
  <c r="BX40" i="3" a="1"/>
  <c r="BX40" i="3" s="1"/>
  <c r="AP40" i="3" a="1"/>
  <c r="AP40" i="3" s="1"/>
  <c r="AR40" i="3" s="1"/>
  <c r="S40" i="3"/>
  <c r="DQ40" i="3"/>
  <c r="CU40" i="3" a="1"/>
  <c r="CU40" i="3" s="1"/>
  <c r="CW40" i="3" s="1"/>
  <c r="CG40" i="3"/>
  <c r="BK40" i="3" a="1"/>
  <c r="BK40" i="3" s="1"/>
  <c r="DD40" i="3"/>
  <c r="DF40" i="3" s="1"/>
  <c r="BT40" i="3"/>
  <c r="BV40" i="3" s="1"/>
  <c r="BI40" i="3"/>
  <c r="AA40" i="3" a="1"/>
  <c r="AA40" i="3" s="1"/>
  <c r="AC40" i="3" s="1"/>
  <c r="V40" i="3" a="1"/>
  <c r="V40" i="3" s="1"/>
  <c r="BN40" i="3"/>
  <c r="DH40" i="3" a="1"/>
  <c r="DH40" i="3" s="1"/>
  <c r="DZ26" i="3" a="1"/>
  <c r="DZ26" i="3" s="1"/>
  <c r="EA26" i="3" s="1"/>
  <c r="DQ26" i="3"/>
  <c r="DM26" i="3" a="1"/>
  <c r="DM26" i="3" s="1"/>
  <c r="DO26" i="3" s="1"/>
  <c r="DH26" i="3" a="1"/>
  <c r="DH26" i="3" s="1"/>
  <c r="DI26" i="3" s="1"/>
  <c r="CY26" i="3"/>
  <c r="CZ26" i="3" s="1"/>
  <c r="CU26" i="3" a="1"/>
  <c r="CU26" i="3" s="1"/>
  <c r="CW26" i="3" s="1"/>
  <c r="CP26" i="3" a="1"/>
  <c r="CP26" i="3" s="1"/>
  <c r="CQ26" i="3" s="1"/>
  <c r="CG26" i="3"/>
  <c r="CH26" i="3" s="1"/>
  <c r="CC26" i="3" a="1"/>
  <c r="CC26" i="3" s="1"/>
  <c r="CE26" i="3" s="1"/>
  <c r="BX26" i="3" a="1"/>
  <c r="BX26" i="3" s="1"/>
  <c r="BO26" i="3"/>
  <c r="BK26" i="3" a="1"/>
  <c r="BK26" i="3" s="1"/>
  <c r="BM26" i="3" s="1"/>
  <c r="BF26" i="3" a="1"/>
  <c r="BF26" i="3" s="1"/>
  <c r="BG26" i="3" s="1"/>
  <c r="AW26" i="3"/>
  <c r="AX26" i="3" s="1"/>
  <c r="AS26" i="3" a="1"/>
  <c r="AS26" i="3" s="1"/>
  <c r="AU26" i="3" s="1"/>
  <c r="AK26" i="3"/>
  <c r="AG26" i="3" a="1"/>
  <c r="AG26" i="3" s="1"/>
  <c r="AI26" i="3" s="1"/>
  <c r="AB26" i="3" a="1"/>
  <c r="AB26" i="3" s="1"/>
  <c r="AC26" i="3" s="1"/>
  <c r="S26" i="3"/>
  <c r="O26" i="3" a="1"/>
  <c r="O26" i="3" s="1"/>
  <c r="Q26" i="3" s="1"/>
  <c r="J26" i="3" a="1"/>
  <c r="J26" i="3" s="1"/>
  <c r="I26" i="3" a="1"/>
  <c r="I26" i="3" s="1"/>
  <c r="Y26" i="3"/>
  <c r="Z26" i="3" s="1"/>
  <c r="AD26" i="3"/>
  <c r="AY26" i="3" a="1"/>
  <c r="AY26" i="3" s="1"/>
  <c r="BA26" i="3" s="1"/>
  <c r="BI26" i="3"/>
  <c r="BJ26" i="3" s="1"/>
  <c r="BN26" i="3"/>
  <c r="BP26" i="3" s="1"/>
  <c r="BT26" i="3"/>
  <c r="BV26" i="3" s="1"/>
  <c r="CJ26" i="3" a="1"/>
  <c r="CJ26" i="3" s="1"/>
  <c r="CK26" i="3" s="1"/>
  <c r="DA26" i="3" a="1"/>
  <c r="DA26" i="3" s="1"/>
  <c r="DC26" i="3" s="1"/>
  <c r="DK26" i="3"/>
  <c r="DL26" i="3" s="1"/>
  <c r="DP26" i="3"/>
  <c r="DR26" i="3" s="1"/>
  <c r="DV26" i="3"/>
  <c r="DX26" i="3" s="1"/>
  <c r="DJ29" i="3"/>
  <c r="DL29" i="3" s="1"/>
  <c r="CR29" i="3"/>
  <c r="CT29" i="3" s="1"/>
  <c r="BZ29" i="3"/>
  <c r="CB29" i="3" s="1"/>
  <c r="BH29" i="3"/>
  <c r="BJ29" i="3" s="1"/>
  <c r="AQ29" i="3" a="1"/>
  <c r="AQ29" i="3" s="1"/>
  <c r="AD29" i="3"/>
  <c r="EB29" i="3" s="1"/>
  <c r="L29" i="3"/>
  <c r="N29" i="3" s="1"/>
  <c r="O29" i="3" a="1"/>
  <c r="O29" i="3" s="1"/>
  <c r="Y29" i="3"/>
  <c r="Z29" i="3" s="1"/>
  <c r="AE29" i="3"/>
  <c r="AJ29" i="3"/>
  <c r="AL29" i="3" s="1"/>
  <c r="AY29" i="3" a="1"/>
  <c r="AY29" i="3" s="1"/>
  <c r="BA29" i="3" s="1"/>
  <c r="BE29" i="3" a="1"/>
  <c r="BE29" i="3" s="1"/>
  <c r="BG29" i="3" s="1"/>
  <c r="BO29" i="3"/>
  <c r="BP29" i="3" s="1"/>
  <c r="BT29" i="3"/>
  <c r="BV29" i="3" s="1"/>
  <c r="CP29" i="3" a="1"/>
  <c r="CP29" i="3" s="1"/>
  <c r="CQ29" i="3" s="1"/>
  <c r="DA29" i="3" a="1"/>
  <c r="DA29" i="3" s="1"/>
  <c r="DC29" i="3" s="1"/>
  <c r="DG29" i="3" a="1"/>
  <c r="DG29" i="3" s="1"/>
  <c r="DI29" i="3" s="1"/>
  <c r="DQ29" i="3"/>
  <c r="DR29" i="3" s="1"/>
  <c r="DV29" i="3"/>
  <c r="DX29" i="3" s="1"/>
  <c r="DP33" i="3"/>
  <c r="CX33" i="3"/>
  <c r="CZ33" i="3" s="1"/>
  <c r="CF33" i="3"/>
  <c r="CH33" i="3" s="1"/>
  <c r="BN33" i="3"/>
  <c r="AV33" i="3"/>
  <c r="AX33" i="3" s="1"/>
  <c r="AJ33" i="3"/>
  <c r="AL33" i="3" s="1"/>
  <c r="R33" i="3"/>
  <c r="I33" i="3" a="1"/>
  <c r="I33" i="3" s="1"/>
  <c r="O33" i="3" a="1"/>
  <c r="O33" i="3" s="1"/>
  <c r="Q33" i="3" s="1"/>
  <c r="Y33" i="3"/>
  <c r="Z33" i="3" s="1"/>
  <c r="AD33" i="3"/>
  <c r="AF33" i="3" s="1"/>
  <c r="AY33" i="3" a="1"/>
  <c r="AY33" i="3" s="1"/>
  <c r="BA33" i="3" s="1"/>
  <c r="BI33" i="3"/>
  <c r="BO33" i="3"/>
  <c r="EC33" i="3" s="1"/>
  <c r="BT33" i="3"/>
  <c r="BV33" i="3" s="1"/>
  <c r="CJ33" i="3" a="1"/>
  <c r="CJ33" i="3" s="1"/>
  <c r="CK33" i="3" s="1"/>
  <c r="CP33" i="3" a="1"/>
  <c r="CP33" i="3" s="1"/>
  <c r="DA33" i="3" a="1"/>
  <c r="DA33" i="3" s="1"/>
  <c r="DC33" i="3" s="1"/>
  <c r="DK33" i="3"/>
  <c r="DQ33" i="3"/>
  <c r="DV33" i="3"/>
  <c r="DX33" i="3" s="1"/>
  <c r="DL34" i="3"/>
  <c r="DZ36" i="3" a="1"/>
  <c r="DZ36" i="3" s="1"/>
  <c r="DQ36" i="3"/>
  <c r="DM36" i="3" a="1"/>
  <c r="DM36" i="3" s="1"/>
  <c r="DO36" i="3" s="1"/>
  <c r="DH36" i="3" a="1"/>
  <c r="DH36" i="3" s="1"/>
  <c r="DI36" i="3" s="1"/>
  <c r="CY36" i="3"/>
  <c r="CU36" i="3" a="1"/>
  <c r="CU36" i="3" s="1"/>
  <c r="CW36" i="3" s="1"/>
  <c r="CP36" i="3" a="1"/>
  <c r="CP36" i="3" s="1"/>
  <c r="CG36" i="3"/>
  <c r="CC36" i="3" a="1"/>
  <c r="CC36" i="3" s="1"/>
  <c r="CE36" i="3" s="1"/>
  <c r="BX36" i="3" a="1"/>
  <c r="BX36" i="3" s="1"/>
  <c r="BY36" i="3" s="1"/>
  <c r="BO36" i="3"/>
  <c r="BK36" i="3" a="1"/>
  <c r="BK36" i="3" s="1"/>
  <c r="BM36" i="3" s="1"/>
  <c r="BF36" i="3" a="1"/>
  <c r="BF36" i="3" s="1"/>
  <c r="AW36" i="3"/>
  <c r="AS36" i="3" a="1"/>
  <c r="AS36" i="3" s="1"/>
  <c r="AK36" i="3"/>
  <c r="AL36" i="3" s="1"/>
  <c r="AG36" i="3" a="1"/>
  <c r="AG36" i="3" s="1"/>
  <c r="AI36" i="3" s="1"/>
  <c r="AB36" i="3" a="1"/>
  <c r="AB36" i="3" s="1"/>
  <c r="AC36" i="3" s="1"/>
  <c r="S36" i="3"/>
  <c r="T36" i="3" s="1"/>
  <c r="O36" i="3" a="1"/>
  <c r="O36" i="3" s="1"/>
  <c r="J36" i="3" a="1"/>
  <c r="J36" i="3" s="1"/>
  <c r="DJ36" i="3"/>
  <c r="DL36" i="3" s="1"/>
  <c r="DE36" i="3"/>
  <c r="DF36" i="3" s="1"/>
  <c r="DY36" i="3" a="1"/>
  <c r="DY36" i="3" s="1"/>
  <c r="EA36" i="3" s="1"/>
  <c r="DS36" i="3" a="1"/>
  <c r="DS36" i="3" s="1"/>
  <c r="DU36" i="3" s="1"/>
  <c r="CX36" i="3"/>
  <c r="CS36" i="3"/>
  <c r="CT36" i="3" s="1"/>
  <c r="CI36" i="3" a="1"/>
  <c r="CI36" i="3" s="1"/>
  <c r="CK36" i="3" s="1"/>
  <c r="BR36" i="3" a="1"/>
  <c r="BR36" i="3" s="1"/>
  <c r="BS36" i="3" s="1"/>
  <c r="BB36" i="3"/>
  <c r="BD36" i="3" s="1"/>
  <c r="AV36" i="3"/>
  <c r="AH36" i="3" a="1"/>
  <c r="AH36" i="3" s="1"/>
  <c r="L36" i="3"/>
  <c r="N36" i="3" s="1"/>
  <c r="G36" i="3"/>
  <c r="P36" i="3" a="1"/>
  <c r="P36" i="3" s="1"/>
  <c r="V36" i="3" a="1"/>
  <c r="V36" i="3" s="1"/>
  <c r="W36" i="3" s="1"/>
  <c r="AP36" i="3" a="1"/>
  <c r="AP36" i="3" s="1"/>
  <c r="BH36" i="3"/>
  <c r="BJ36" i="3" s="1"/>
  <c r="BN36" i="3"/>
  <c r="BU36" i="3"/>
  <c r="BV36" i="3" s="1"/>
  <c r="CA36" i="3"/>
  <c r="CB36" i="3" s="1"/>
  <c r="CO36" i="3" a="1"/>
  <c r="CO36" i="3" s="1"/>
  <c r="CQ36" i="3" s="1"/>
  <c r="DB36" i="3" a="1"/>
  <c r="DB36" i="3" s="1"/>
  <c r="DC36" i="3" s="1"/>
  <c r="CE38" i="3"/>
  <c r="CN43" i="3"/>
  <c r="EB38" i="3"/>
  <c r="AI38" i="3"/>
  <c r="BM38" i="3"/>
  <c r="DR38" i="3"/>
  <c r="BA46" i="3"/>
  <c r="Z42" i="3"/>
  <c r="BA43" i="3"/>
  <c r="DL43" i="3"/>
  <c r="Z38" i="3"/>
  <c r="BP38" i="3"/>
  <c r="CW38" i="3"/>
  <c r="BY42" i="3"/>
  <c r="CZ42" i="3"/>
  <c r="W43" i="3"/>
  <c r="DX43" i="3"/>
  <c r="DZ46" i="3" a="1"/>
  <c r="DZ46" i="3" s="1"/>
  <c r="DQ46" i="3"/>
  <c r="DM46" i="3" a="1"/>
  <c r="DM46" i="3" s="1"/>
  <c r="DH46" i="3" a="1"/>
  <c r="DH46" i="3" s="1"/>
  <c r="CY46" i="3"/>
  <c r="CU46" i="3" a="1"/>
  <c r="CU46" i="3" s="1"/>
  <c r="CP46" i="3" a="1"/>
  <c r="CP46" i="3" s="1"/>
  <c r="CG46" i="3"/>
  <c r="CC46" i="3" a="1"/>
  <c r="CC46" i="3" s="1"/>
  <c r="CE46" i="3" s="1"/>
  <c r="BX46" i="3" a="1"/>
  <c r="BX46" i="3" s="1"/>
  <c r="BO46" i="3"/>
  <c r="BK46" i="3" a="1"/>
  <c r="BK46" i="3" s="1"/>
  <c r="BF46" i="3" a="1"/>
  <c r="BF46" i="3" s="1"/>
  <c r="AW46" i="3"/>
  <c r="AS46" i="3" a="1"/>
  <c r="AS46" i="3" s="1"/>
  <c r="AU46" i="3" s="1"/>
  <c r="AK46" i="3"/>
  <c r="AG46" i="3" a="1"/>
  <c r="AG46" i="3" s="1"/>
  <c r="AB46" i="3" a="1"/>
  <c r="AB46" i="3" s="1"/>
  <c r="S46" i="3"/>
  <c r="O46" i="3" a="1"/>
  <c r="O46" i="3" s="1"/>
  <c r="J46" i="3" a="1"/>
  <c r="J46" i="3" s="1"/>
  <c r="DV46" i="3"/>
  <c r="DP46" i="3"/>
  <c r="DK46" i="3"/>
  <c r="DA46" i="3" a="1"/>
  <c r="DA46" i="3" s="1"/>
  <c r="DY46" i="3" a="1"/>
  <c r="DY46" i="3" s="1"/>
  <c r="EA46" i="3" s="1"/>
  <c r="DN46" i="3" a="1"/>
  <c r="DN46" i="3" s="1"/>
  <c r="CR46" i="3"/>
  <c r="CM46" i="3"/>
  <c r="BW46" i="3" a="1"/>
  <c r="BW46" i="3" s="1"/>
  <c r="BL46" i="3" a="1"/>
  <c r="BL46" i="3" s="1"/>
  <c r="AQ46" i="3" a="1"/>
  <c r="AQ46" i="3" s="1"/>
  <c r="AM46" i="3" a="1"/>
  <c r="AM46" i="3" s="1"/>
  <c r="AO46" i="3" s="1"/>
  <c r="V46" i="3" a="1"/>
  <c r="V46" i="3" s="1"/>
  <c r="F46" i="3"/>
  <c r="DS46" i="3" a="1"/>
  <c r="DS46" i="3" s="1"/>
  <c r="DJ46" i="3"/>
  <c r="DL46" i="3" s="1"/>
  <c r="DB46" i="3" a="1"/>
  <c r="DB46" i="3" s="1"/>
  <c r="CF46" i="3"/>
  <c r="BZ46" i="3"/>
  <c r="BT46" i="3"/>
  <c r="AZ46" i="3" a="1"/>
  <c r="AZ46" i="3" s="1"/>
  <c r="AT46" i="3" a="1"/>
  <c r="AT46" i="3" s="1"/>
  <c r="I46" i="3" a="1"/>
  <c r="I46" i="3" s="1"/>
  <c r="CS46" i="3"/>
  <c r="CL46" i="3"/>
  <c r="CN46" i="3" s="1"/>
  <c r="AN46" i="3" a="1"/>
  <c r="AN46" i="3" s="1"/>
  <c r="AH46" i="3" a="1"/>
  <c r="AH46" i="3" s="1"/>
  <c r="AA46" i="3" a="1"/>
  <c r="AA46" i="3" s="1"/>
  <c r="AC46" i="3" s="1"/>
  <c r="U46" i="3" a="1"/>
  <c r="U46" i="3" s="1"/>
  <c r="W46" i="3" s="1"/>
  <c r="DW46" i="3"/>
  <c r="DG46" i="3" a="1"/>
  <c r="DG46" i="3" s="1"/>
  <c r="DI46" i="3" s="1"/>
  <c r="CX46" i="3"/>
  <c r="CZ46" i="3" s="1"/>
  <c r="CJ46" i="3" a="1"/>
  <c r="CJ46" i="3" s="1"/>
  <c r="CK46" i="3" s="1"/>
  <c r="CD46" i="3" a="1"/>
  <c r="CD46" i="3" s="1"/>
  <c r="BQ46" i="3" a="1"/>
  <c r="BQ46" i="3" s="1"/>
  <c r="BS46" i="3" s="1"/>
  <c r="AE46" i="3"/>
  <c r="Y46" i="3"/>
  <c r="R46" i="3"/>
  <c r="L46" i="3"/>
  <c r="N46" i="3" s="1"/>
  <c r="BR46" i="3" a="1"/>
  <c r="BR46" i="3" s="1"/>
  <c r="BE46" i="3" a="1"/>
  <c r="BE46" i="3" s="1"/>
  <c r="BG46" i="3" s="1"/>
  <c r="G46" i="3"/>
  <c r="DE46" i="3"/>
  <c r="BC46" i="3"/>
  <c r="AD46" i="3"/>
  <c r="DT46" i="3" a="1"/>
  <c r="DT46" i="3" s="1"/>
  <c r="DD46" i="3"/>
  <c r="DF46" i="3" s="1"/>
  <c r="CO46" i="3" a="1"/>
  <c r="CO46" i="3" s="1"/>
  <c r="CQ46" i="3" s="1"/>
  <c r="CA46" i="3"/>
  <c r="BN46" i="3"/>
  <c r="BP46" i="3" s="1"/>
  <c r="BB46" i="3"/>
  <c r="BD46" i="3" s="1"/>
  <c r="AP46" i="3" a="1"/>
  <c r="AP46" i="3" s="1"/>
  <c r="P46" i="3" a="1"/>
  <c r="P46" i="3" s="1"/>
  <c r="AV46" i="3"/>
  <c r="X46" i="3"/>
  <c r="Z46" i="3" s="1"/>
  <c r="BU46" i="3"/>
  <c r="CV46" i="3" a="1"/>
  <c r="CV46" i="3" s="1"/>
  <c r="AJ46" i="3"/>
  <c r="BH46" i="3"/>
  <c r="BJ46" i="3" s="1"/>
  <c r="I28" i="3" a="1"/>
  <c r="I28" i="3" s="1"/>
  <c r="M28" i="3"/>
  <c r="N28" i="3" s="1"/>
  <c r="V28" i="3" a="1"/>
  <c r="V28" i="3" s="1"/>
  <c r="W28" i="3" s="1"/>
  <c r="AA28" i="3" a="1"/>
  <c r="AA28" i="3" s="1"/>
  <c r="AC28" i="3" s="1"/>
  <c r="AE28" i="3"/>
  <c r="AN28" i="3" a="1"/>
  <c r="AN28" i="3" s="1"/>
  <c r="AO28" i="3" s="1"/>
  <c r="AZ28" i="3" a="1"/>
  <c r="AZ28" i="3" s="1"/>
  <c r="BA28" i="3" s="1"/>
  <c r="BE28" i="3" a="1"/>
  <c r="BE28" i="3" s="1"/>
  <c r="BG28" i="3" s="1"/>
  <c r="BI28" i="3"/>
  <c r="BR28" i="3" a="1"/>
  <c r="BR28" i="3" s="1"/>
  <c r="BS28" i="3" s="1"/>
  <c r="BW28" i="3" a="1"/>
  <c r="BW28" i="3" s="1"/>
  <c r="BY28" i="3" s="1"/>
  <c r="CA28" i="3"/>
  <c r="CB28" i="3" s="1"/>
  <c r="CJ28" i="3" a="1"/>
  <c r="CJ28" i="3" s="1"/>
  <c r="CK28" i="3" s="1"/>
  <c r="CO28" i="3" a="1"/>
  <c r="CO28" i="3" s="1"/>
  <c r="CQ28" i="3" s="1"/>
  <c r="CS28" i="3"/>
  <c r="CT28" i="3" s="1"/>
  <c r="DB28" i="3" a="1"/>
  <c r="DB28" i="3" s="1"/>
  <c r="DC28" i="3" s="1"/>
  <c r="DG28" i="3" a="1"/>
  <c r="DG28" i="3" s="1"/>
  <c r="DI28" i="3" s="1"/>
  <c r="DK28" i="3"/>
  <c r="DL28" i="3" s="1"/>
  <c r="DT28" i="3" a="1"/>
  <c r="DT28" i="3" s="1"/>
  <c r="DU28" i="3" s="1"/>
  <c r="DW34" i="3"/>
  <c r="DS34" i="3" a="1"/>
  <c r="DS34" i="3" s="1"/>
  <c r="DU34" i="3" s="1"/>
  <c r="DN34" i="3" a="1"/>
  <c r="DN34" i="3" s="1"/>
  <c r="DO34" i="3" s="1"/>
  <c r="I34" i="3" a="1"/>
  <c r="I34" i="3" s="1"/>
  <c r="M34" i="3"/>
  <c r="V34" i="3" a="1"/>
  <c r="V34" i="3" s="1"/>
  <c r="W34" i="3" s="1"/>
  <c r="AA34" i="3" a="1"/>
  <c r="AA34" i="3" s="1"/>
  <c r="AC34" i="3" s="1"/>
  <c r="AE34" i="3"/>
  <c r="AF34" i="3" s="1"/>
  <c r="AN34" i="3" a="1"/>
  <c r="AN34" i="3" s="1"/>
  <c r="AZ34" i="3" a="1"/>
  <c r="AZ34" i="3" s="1"/>
  <c r="BE34" i="3" a="1"/>
  <c r="BE34" i="3" s="1"/>
  <c r="BG34" i="3" s="1"/>
  <c r="BI34" i="3"/>
  <c r="BJ34" i="3" s="1"/>
  <c r="BR34" i="3" a="1"/>
  <c r="BR34" i="3" s="1"/>
  <c r="BS34" i="3" s="1"/>
  <c r="BW34" i="3" a="1"/>
  <c r="BW34" i="3" s="1"/>
  <c r="BY34" i="3" s="1"/>
  <c r="CA34" i="3"/>
  <c r="CJ34" i="3" a="1"/>
  <c r="CJ34" i="3" s="1"/>
  <c r="CK34" i="3" s="1"/>
  <c r="CO34" i="3" a="1"/>
  <c r="CO34" i="3" s="1"/>
  <c r="CQ34" i="3" s="1"/>
  <c r="CS34" i="3"/>
  <c r="CT34" i="3" s="1"/>
  <c r="DB34" i="3" a="1"/>
  <c r="DB34" i="3" s="1"/>
  <c r="DC34" i="3" s="1"/>
  <c r="DG34" i="3" a="1"/>
  <c r="DG34" i="3" s="1"/>
  <c r="DI34" i="3" s="1"/>
  <c r="DQ34" i="3"/>
  <c r="DR34" i="3" s="1"/>
  <c r="DV34" i="3"/>
  <c r="DO38" i="3"/>
  <c r="DZ42" i="3" a="1"/>
  <c r="DZ42" i="3" s="1"/>
  <c r="EA42" i="3" s="1"/>
  <c r="DQ42" i="3"/>
  <c r="DR42" i="3" s="1"/>
  <c r="DM42" i="3" a="1"/>
  <c r="DM42" i="3" s="1"/>
  <c r="DH42" i="3" a="1"/>
  <c r="DH42" i="3" s="1"/>
  <c r="DI42" i="3" s="1"/>
  <c r="CY42" i="3"/>
  <c r="CU42" i="3" a="1"/>
  <c r="CU42" i="3" s="1"/>
  <c r="CP42" i="3" a="1"/>
  <c r="CP42" i="3" s="1"/>
  <c r="CG42" i="3"/>
  <c r="CH42" i="3" s="1"/>
  <c r="CC42" i="3" a="1"/>
  <c r="CC42" i="3" s="1"/>
  <c r="BX42" i="3" a="1"/>
  <c r="BX42" i="3" s="1"/>
  <c r="BO42" i="3"/>
  <c r="BP42" i="3" s="1"/>
  <c r="BK42" i="3" a="1"/>
  <c r="BK42" i="3" s="1"/>
  <c r="BM42" i="3" s="1"/>
  <c r="BF42" i="3" a="1"/>
  <c r="BF42" i="3" s="1"/>
  <c r="BG42" i="3" s="1"/>
  <c r="AW42" i="3"/>
  <c r="DJ42" i="3"/>
  <c r="DE42" i="3"/>
  <c r="DF42" i="3" s="1"/>
  <c r="CO42" i="3" a="1"/>
  <c r="CO42" i="3" s="1"/>
  <c r="CD42" i="3" a="1"/>
  <c r="CD42" i="3" s="1"/>
  <c r="BH42" i="3"/>
  <c r="BC42" i="3"/>
  <c r="AS42" i="3" a="1"/>
  <c r="AS42" i="3" s="1"/>
  <c r="AK42" i="3"/>
  <c r="AL42" i="3" s="1"/>
  <c r="AG42" i="3" a="1"/>
  <c r="AG42" i="3" s="1"/>
  <c r="AB42" i="3" a="1"/>
  <c r="AB42" i="3" s="1"/>
  <c r="S42" i="3"/>
  <c r="T42" i="3" s="1"/>
  <c r="O42" i="3" a="1"/>
  <c r="O42" i="3" s="1"/>
  <c r="Q42" i="3" s="1"/>
  <c r="J42" i="3" a="1"/>
  <c r="J42" i="3" s="1"/>
  <c r="DV42" i="3"/>
  <c r="DX42" i="3" s="1"/>
  <c r="DB42" i="3" a="1"/>
  <c r="DB42" i="3" s="1"/>
  <c r="CV42" i="3" a="1"/>
  <c r="CV42" i="3" s="1"/>
  <c r="CI42" i="3" a="1"/>
  <c r="CI42" i="3" s="1"/>
  <c r="CK42" i="3" s="1"/>
  <c r="BI42" i="3"/>
  <c r="BB42" i="3"/>
  <c r="AQ42" i="3" a="1"/>
  <c r="AQ42" i="3" s="1"/>
  <c r="AM42" i="3" a="1"/>
  <c r="AM42" i="3" s="1"/>
  <c r="V42" i="3" a="1"/>
  <c r="V42" i="3" s="1"/>
  <c r="DS42" i="3" a="1"/>
  <c r="DS42" i="3" s="1"/>
  <c r="DU42" i="3" s="1"/>
  <c r="DK42" i="3"/>
  <c r="CM42" i="3"/>
  <c r="BQ42" i="3" a="1"/>
  <c r="BQ42" i="3" s="1"/>
  <c r="BS42" i="3" s="1"/>
  <c r="AZ42" i="3" a="1"/>
  <c r="AZ42" i="3" s="1"/>
  <c r="AN42" i="3" a="1"/>
  <c r="AN42" i="3" s="1"/>
  <c r="AH42" i="3" a="1"/>
  <c r="AH42" i="3" s="1"/>
  <c r="AA42" i="3" a="1"/>
  <c r="AA42" i="3" s="1"/>
  <c r="U42" i="3" a="1"/>
  <c r="U42" i="3" s="1"/>
  <c r="I42" i="3" a="1"/>
  <c r="I42" i="3" s="1"/>
  <c r="P42" i="3" a="1"/>
  <c r="P42" i="3" s="1"/>
  <c r="AD42" i="3"/>
  <c r="AF42" i="3" s="1"/>
  <c r="BT42" i="3"/>
  <c r="BV42" i="3" s="1"/>
  <c r="CL42" i="3"/>
  <c r="CN42" i="3" s="1"/>
  <c r="DN42" i="3" a="1"/>
  <c r="DN42" i="3" s="1"/>
  <c r="DC43" i="3"/>
  <c r="AL45" i="3"/>
  <c r="CQ45" i="3"/>
  <c r="EA45" i="3"/>
  <c r="AO47" i="3"/>
  <c r="AX42" i="3"/>
  <c r="N43" i="3"/>
  <c r="CW44" i="3"/>
  <c r="AC45" i="3"/>
  <c r="DC45" i="3"/>
  <c r="AI43" i="3"/>
  <c r="BP44" i="3"/>
  <c r="DV45" i="3"/>
  <c r="DX45" i="3" s="1"/>
  <c r="DZ45" i="3" a="1"/>
  <c r="DZ45" i="3" s="1"/>
  <c r="DJ45" i="3"/>
  <c r="CR45" i="3"/>
  <c r="BZ45" i="3"/>
  <c r="BH45" i="3"/>
  <c r="AQ45" i="3" a="1"/>
  <c r="AQ45" i="3" s="1"/>
  <c r="AD45" i="3"/>
  <c r="L45" i="3"/>
  <c r="N45" i="3" s="1"/>
  <c r="DT45" i="3" a="1"/>
  <c r="DT45" i="3" s="1"/>
  <c r="DN45" i="3" a="1"/>
  <c r="DN45" i="3" s="1"/>
  <c r="DH45" i="3" a="1"/>
  <c r="DH45" i="3" s="1"/>
  <c r="CL45" i="3"/>
  <c r="CN45" i="3" s="1"/>
  <c r="CG45" i="3"/>
  <c r="CH45" i="3" s="1"/>
  <c r="BW45" i="3" a="1"/>
  <c r="BW45" i="3" s="1"/>
  <c r="BY45" i="3" s="1"/>
  <c r="BQ45" i="3" a="1"/>
  <c r="BQ45" i="3" s="1"/>
  <c r="BF45" i="3" a="1"/>
  <c r="BF45" i="3" s="1"/>
  <c r="AG45" i="3" a="1"/>
  <c r="AG45" i="3" s="1"/>
  <c r="V45" i="3" a="1"/>
  <c r="V45" i="3" s="1"/>
  <c r="W45" i="3" s="1"/>
  <c r="P45" i="3" a="1"/>
  <c r="P45" i="3" s="1"/>
  <c r="DM45" i="3" a="1"/>
  <c r="DM45" i="3" s="1"/>
  <c r="DB45" i="3" a="1"/>
  <c r="DB45" i="3" s="1"/>
  <c r="CV45" i="3" a="1"/>
  <c r="CV45" i="3" s="1"/>
  <c r="DQ45" i="3"/>
  <c r="DK45" i="3"/>
  <c r="DE45" i="3"/>
  <c r="CU45" i="3" a="1"/>
  <c r="CU45" i="3" s="1"/>
  <c r="CJ45" i="3" a="1"/>
  <c r="CJ45" i="3" s="1"/>
  <c r="CD45" i="3" a="1"/>
  <c r="CD45" i="3" s="1"/>
  <c r="BN45" i="3"/>
  <c r="BP45" i="3" s="1"/>
  <c r="BI45" i="3"/>
  <c r="BC45" i="3"/>
  <c r="AS45" i="3" a="1"/>
  <c r="AS45" i="3" s="1"/>
  <c r="X45" i="3"/>
  <c r="Z45" i="3" s="1"/>
  <c r="S45" i="3"/>
  <c r="I45" i="3" a="1"/>
  <c r="I45" i="3" s="1"/>
  <c r="DS45" i="3" a="1"/>
  <c r="DS45" i="3" s="1"/>
  <c r="DU45" i="3" s="1"/>
  <c r="DG45" i="3" a="1"/>
  <c r="DG45" i="3" s="1"/>
  <c r="CC45" i="3" a="1"/>
  <c r="CC45" i="3" s="1"/>
  <c r="BT45" i="3"/>
  <c r="BV45" i="3" s="1"/>
  <c r="BL45" i="3" a="1"/>
  <c r="BL45" i="3" s="1"/>
  <c r="BE45" i="3" a="1"/>
  <c r="BE45" i="3" s="1"/>
  <c r="AV45" i="3"/>
  <c r="AX45" i="3" s="1"/>
  <c r="Y45" i="3"/>
  <c r="DP45" i="3"/>
  <c r="DD45" i="3"/>
  <c r="DF45" i="3" s="1"/>
  <c r="CI45" i="3" a="1"/>
  <c r="CI45" i="3" s="1"/>
  <c r="CK45" i="3" s="1"/>
  <c r="CA45" i="3"/>
  <c r="BK45" i="3" a="1"/>
  <c r="BK45" i="3" s="1"/>
  <c r="BB45" i="3"/>
  <c r="BD45" i="3" s="1"/>
  <c r="AT45" i="3" a="1"/>
  <c r="AT45" i="3" s="1"/>
  <c r="AN45" i="3" a="1"/>
  <c r="AN45" i="3" s="1"/>
  <c r="G45" i="3"/>
  <c r="EC45" i="3" s="1"/>
  <c r="CS45" i="3"/>
  <c r="BR45" i="3" a="1"/>
  <c r="BR45" i="3" s="1"/>
  <c r="AM45" i="3" a="1"/>
  <c r="AM45" i="3" s="1"/>
  <c r="AE45" i="3"/>
  <c r="O45" i="3" a="1"/>
  <c r="O45" i="3" s="1"/>
  <c r="Q45" i="3" s="1"/>
  <c r="F45" i="3"/>
  <c r="R45" i="3"/>
  <c r="T45" i="3" s="1"/>
  <c r="AH45" i="3" a="1"/>
  <c r="AH45" i="3" s="1"/>
  <c r="AW45" i="3"/>
  <c r="CX45" i="3"/>
  <c r="CZ45" i="3" s="1"/>
  <c r="DP43" i="3"/>
  <c r="DR43" i="3" s="1"/>
  <c r="CX43" i="3"/>
  <c r="CZ43" i="3" s="1"/>
  <c r="CF43" i="3"/>
  <c r="CH43" i="3" s="1"/>
  <c r="BN43" i="3"/>
  <c r="BP43" i="3" s="1"/>
  <c r="AV43" i="3"/>
  <c r="AX43" i="3" s="1"/>
  <c r="AJ43" i="3"/>
  <c r="AL43" i="3" s="1"/>
  <c r="R43" i="3"/>
  <c r="T43" i="3" s="1"/>
  <c r="DY43" i="3" a="1"/>
  <c r="DY43" i="3" s="1"/>
  <c r="EA43" i="3" s="1"/>
  <c r="DN43" i="3" a="1"/>
  <c r="DN43" i="3" s="1"/>
  <c r="DO43" i="3" s="1"/>
  <c r="CR43" i="3"/>
  <c r="CT43" i="3" s="1"/>
  <c r="CM43" i="3"/>
  <c r="CC43" i="3" a="1"/>
  <c r="CC43" i="3" s="1"/>
  <c r="CE43" i="3" s="1"/>
  <c r="BW43" i="3" a="1"/>
  <c r="BW43" i="3" s="1"/>
  <c r="BY43" i="3" s="1"/>
  <c r="BL43" i="3" a="1"/>
  <c r="BL43" i="3" s="1"/>
  <c r="BM43" i="3" s="1"/>
  <c r="AQ43" i="3" a="1"/>
  <c r="AQ43" i="3" s="1"/>
  <c r="EC43" i="3" s="1"/>
  <c r="AM43" i="3" a="1"/>
  <c r="AM43" i="3" s="1"/>
  <c r="AO43" i="3" s="1"/>
  <c r="AB43" i="3" a="1"/>
  <c r="AB43" i="3" s="1"/>
  <c r="V43" i="3" a="1"/>
  <c r="V43" i="3" s="1"/>
  <c r="F43" i="3"/>
  <c r="J43" i="3" a="1"/>
  <c r="J43" i="3" s="1"/>
  <c r="P43" i="3" a="1"/>
  <c r="P43" i="3" s="1"/>
  <c r="Q43" i="3" s="1"/>
  <c r="AP43" i="3" a="1"/>
  <c r="AP43" i="3" s="1"/>
  <c r="AR43" i="3" s="1"/>
  <c r="BB43" i="3"/>
  <c r="BD43" i="3" s="1"/>
  <c r="BH43" i="3"/>
  <c r="BJ43" i="3" s="1"/>
  <c r="BO43" i="3"/>
  <c r="BU43" i="3"/>
  <c r="BV43" i="3" s="1"/>
  <c r="CA43" i="3"/>
  <c r="CB43" i="3" s="1"/>
  <c r="CI43" i="3" a="1"/>
  <c r="CI43" i="3" s="1"/>
  <c r="CK43" i="3" s="1"/>
  <c r="CO43" i="3" a="1"/>
  <c r="CO43" i="3" s="1"/>
  <c r="CQ43" i="3" s="1"/>
  <c r="DH43" i="3" a="1"/>
  <c r="DH43" i="3" s="1"/>
  <c r="DI43" i="3" s="1"/>
  <c r="BF47" i="3" a="1"/>
  <c r="BF47" i="3" s="1"/>
  <c r="CL47" i="3"/>
  <c r="DH47" i="3" a="1"/>
  <c r="DH47" i="3" s="1"/>
  <c r="Q44" i="3"/>
  <c r="AI44" i="3"/>
  <c r="BM44" i="3"/>
  <c r="CT44" i="3"/>
  <c r="AB47" i="3" a="1"/>
  <c r="AB47" i="3" s="1"/>
  <c r="AC47" i="3" s="1"/>
  <c r="AQ47" i="3" a="1"/>
  <c r="AQ47" i="3" s="1"/>
  <c r="BW47" i="3" a="1"/>
  <c r="BW47" i="3" s="1"/>
  <c r="BY47" i="3" s="1"/>
  <c r="CO47" i="3" a="1"/>
  <c r="CO47" i="3" s="1"/>
  <c r="CQ47" i="3" s="1"/>
  <c r="CN44" i="3"/>
  <c r="DO44" i="3"/>
  <c r="DW47" i="3"/>
  <c r="DX47" i="3" s="1"/>
  <c r="DS47" i="3" a="1"/>
  <c r="DS47" i="3" s="1"/>
  <c r="DP47" i="3"/>
  <c r="CX47" i="3"/>
  <c r="CF47" i="3"/>
  <c r="CH47" i="3" s="1"/>
  <c r="BN47" i="3"/>
  <c r="BP47" i="3" s="1"/>
  <c r="AV47" i="3"/>
  <c r="AX47" i="3" s="1"/>
  <c r="AJ47" i="3"/>
  <c r="R47" i="3"/>
  <c r="T47" i="3" s="1"/>
  <c r="DD47" i="3"/>
  <c r="CY47" i="3"/>
  <c r="CS47" i="3"/>
  <c r="CI47" i="3" a="1"/>
  <c r="CI47" i="3" s="1"/>
  <c r="CK47" i="3" s="1"/>
  <c r="BX47" i="3" a="1"/>
  <c r="BX47" i="3" s="1"/>
  <c r="BR47" i="3" a="1"/>
  <c r="BR47" i="3" s="1"/>
  <c r="BB47" i="3"/>
  <c r="AW47" i="3"/>
  <c r="AH47" i="3" a="1"/>
  <c r="AH47" i="3" s="1"/>
  <c r="L47" i="3"/>
  <c r="N47" i="3" s="1"/>
  <c r="G47" i="3"/>
  <c r="H47" i="3" s="1"/>
  <c r="DT47" i="3" a="1"/>
  <c r="DT47" i="3" s="1"/>
  <c r="DN47" i="3" a="1"/>
  <c r="DN47" i="3" s="1"/>
  <c r="CR47" i="3"/>
  <c r="CM47" i="3"/>
  <c r="DY47" i="3" a="1"/>
  <c r="DY47" i="3" s="1"/>
  <c r="EA47" i="3" s="1"/>
  <c r="DM47" i="3" a="1"/>
  <c r="DM47" i="3" s="1"/>
  <c r="DG47" i="3" a="1"/>
  <c r="DG47" i="3" s="1"/>
  <c r="DI47" i="3" s="1"/>
  <c r="CV47" i="3" a="1"/>
  <c r="CV47" i="3" s="1"/>
  <c r="BZ47" i="3"/>
  <c r="BU47" i="3"/>
  <c r="BK47" i="3" a="1"/>
  <c r="BK47" i="3" s="1"/>
  <c r="BE47" i="3" a="1"/>
  <c r="BE47" i="3" s="1"/>
  <c r="AT47" i="3" a="1"/>
  <c r="AT47" i="3" s="1"/>
  <c r="AP47" i="3" a="1"/>
  <c r="AP47" i="3" s="1"/>
  <c r="AR47" i="3" s="1"/>
  <c r="AK47" i="3"/>
  <c r="AE47" i="3"/>
  <c r="U47" i="3" a="1"/>
  <c r="U47" i="3" s="1"/>
  <c r="W47" i="3" s="1"/>
  <c r="J47" i="3" a="1"/>
  <c r="J47" i="3" s="1"/>
  <c r="DQ47" i="3"/>
  <c r="CJ47" i="3" a="1"/>
  <c r="CJ47" i="3" s="1"/>
  <c r="CC47" i="3" a="1"/>
  <c r="CC47" i="3" s="1"/>
  <c r="CE47" i="3" s="1"/>
  <c r="BT47" i="3"/>
  <c r="BV47" i="3" s="1"/>
  <c r="BL47" i="3" a="1"/>
  <c r="BL47" i="3" s="1"/>
  <c r="Y47" i="3"/>
  <c r="I47" i="3" a="1"/>
  <c r="I47" i="3" s="1"/>
  <c r="DE47" i="3"/>
  <c r="CU47" i="3" a="1"/>
  <c r="CU47" i="3" s="1"/>
  <c r="CW47" i="3" s="1"/>
  <c r="CA47" i="3"/>
  <c r="BC47" i="3"/>
  <c r="AN47" i="3" a="1"/>
  <c r="AN47" i="3" s="1"/>
  <c r="AG47" i="3" a="1"/>
  <c r="AG47" i="3" s="1"/>
  <c r="X47" i="3"/>
  <c r="Z47" i="3" s="1"/>
  <c r="P47" i="3" a="1"/>
  <c r="P47" i="3" s="1"/>
  <c r="DK47" i="3"/>
  <c r="DL47" i="3" s="1"/>
  <c r="DA47" i="3" a="1"/>
  <c r="DA47" i="3" s="1"/>
  <c r="DC47" i="3" s="1"/>
  <c r="CP47" i="3" a="1"/>
  <c r="CP47" i="3" s="1"/>
  <c r="CG47" i="3"/>
  <c r="BQ47" i="3" a="1"/>
  <c r="BQ47" i="3" s="1"/>
  <c r="BS47" i="3" s="1"/>
  <c r="BH47" i="3"/>
  <c r="AZ47" i="3" a="1"/>
  <c r="AZ47" i="3" s="1"/>
  <c r="BA47" i="3" s="1"/>
  <c r="AS47" i="3" a="1"/>
  <c r="AS47" i="3" s="1"/>
  <c r="AU47" i="3" s="1"/>
  <c r="M47" i="3"/>
  <c r="O47" i="3" a="1"/>
  <c r="O47" i="3" s="1"/>
  <c r="AD47" i="3"/>
  <c r="BI47" i="3"/>
  <c r="I38" i="3" a="1"/>
  <c r="I38" i="3" s="1"/>
  <c r="M38" i="3"/>
  <c r="N38" i="3" s="1"/>
  <c r="V38" i="3" a="1"/>
  <c r="V38" i="3" s="1"/>
  <c r="W38" i="3" s="1"/>
  <c r="AA38" i="3" a="1"/>
  <c r="AA38" i="3" s="1"/>
  <c r="AC38" i="3" s="1"/>
  <c r="AE38" i="3"/>
  <c r="AF38" i="3" s="1"/>
  <c r="AN38" i="3" a="1"/>
  <c r="AN38" i="3" s="1"/>
  <c r="AO38" i="3" s="1"/>
  <c r="AZ38" i="3" a="1"/>
  <c r="AZ38" i="3" s="1"/>
  <c r="BA38" i="3" s="1"/>
  <c r="BE38" i="3" a="1"/>
  <c r="BE38" i="3" s="1"/>
  <c r="BG38" i="3" s="1"/>
  <c r="BI38" i="3"/>
  <c r="BJ38" i="3" s="1"/>
  <c r="BR38" i="3" a="1"/>
  <c r="BR38" i="3" s="1"/>
  <c r="BW38" i="3" a="1"/>
  <c r="BW38" i="3" s="1"/>
  <c r="BY38" i="3" s="1"/>
  <c r="CA38" i="3"/>
  <c r="CB38" i="3" s="1"/>
  <c r="CJ38" i="3" a="1"/>
  <c r="CJ38" i="3" s="1"/>
  <c r="CK38" i="3" s="1"/>
  <c r="CO38" i="3" a="1"/>
  <c r="CO38" i="3" s="1"/>
  <c r="CQ38" i="3" s="1"/>
  <c r="CS38" i="3"/>
  <c r="CT38" i="3" s="1"/>
  <c r="DB38" i="3" a="1"/>
  <c r="DB38" i="3" s="1"/>
  <c r="DC38" i="3" s="1"/>
  <c r="DG38" i="3" a="1"/>
  <c r="DG38" i="3" s="1"/>
  <c r="DI38" i="3" s="1"/>
  <c r="DK38" i="3"/>
  <c r="DL38" i="3" s="1"/>
  <c r="DT38" i="3" a="1"/>
  <c r="DT38" i="3" s="1"/>
  <c r="DU38" i="3" s="1"/>
  <c r="I44" i="3" a="1"/>
  <c r="I44" i="3" s="1"/>
  <c r="M44" i="3"/>
  <c r="V44" i="3" a="1"/>
  <c r="V44" i="3" s="1"/>
  <c r="AA44" i="3" a="1"/>
  <c r="AA44" i="3" s="1"/>
  <c r="AC44" i="3" s="1"/>
  <c r="AE44" i="3"/>
  <c r="AF44" i="3" s="1"/>
  <c r="AN44" i="3" a="1"/>
  <c r="AN44" i="3" s="1"/>
  <c r="AO44" i="3" s="1"/>
  <c r="AZ44" i="3" a="1"/>
  <c r="AZ44" i="3" s="1"/>
  <c r="BA44" i="3" s="1"/>
  <c r="BE44" i="3" a="1"/>
  <c r="BE44" i="3" s="1"/>
  <c r="BG44" i="3" s="1"/>
  <c r="BI44" i="3"/>
  <c r="BJ44" i="3" s="1"/>
  <c r="BR44" i="3" a="1"/>
  <c r="BR44" i="3" s="1"/>
  <c r="BS44" i="3" s="1"/>
  <c r="BW44" i="3" a="1"/>
  <c r="BW44" i="3" s="1"/>
  <c r="BY44" i="3" s="1"/>
  <c r="CA44" i="3"/>
  <c r="CB44" i="3" s="1"/>
  <c r="CJ44" i="3" a="1"/>
  <c r="CJ44" i="3" s="1"/>
  <c r="CK44" i="3" s="1"/>
  <c r="CO44" i="3" a="1"/>
  <c r="CO44" i="3" s="1"/>
  <c r="CQ44" i="3" s="1"/>
  <c r="CS44" i="3"/>
  <c r="DB44" i="3" a="1"/>
  <c r="DB44" i="3" s="1"/>
  <c r="DC44" i="3" s="1"/>
  <c r="DG44" i="3" a="1"/>
  <c r="DG44" i="3" s="1"/>
  <c r="DI44" i="3" s="1"/>
  <c r="DK44" i="3"/>
  <c r="DL44" i="3" s="1"/>
  <c r="DT44" i="3" a="1"/>
  <c r="DT44" i="3" s="1"/>
  <c r="DU44" i="3" s="1"/>
  <c r="G123" i="5"/>
  <c r="S123" i="5"/>
  <c r="H123" i="5"/>
  <c r="O123" i="5"/>
  <c r="BO50" i="1" l="1"/>
  <c r="W49" i="1"/>
  <c r="AZ49" i="1"/>
  <c r="BA49" i="1" s="1"/>
  <c r="BB49" i="1" s="1"/>
  <c r="V49" i="1"/>
  <c r="Y42" i="1"/>
  <c r="W31" i="1"/>
  <c r="V31" i="1"/>
  <c r="AZ31" i="1"/>
  <c r="BA31" i="1" s="1"/>
  <c r="BB31" i="1" s="1"/>
  <c r="V44" i="1"/>
  <c r="AZ44" i="1"/>
  <c r="BA44" i="1" s="1"/>
  <c r="BB44" i="1" s="1"/>
  <c r="W44" i="1"/>
  <c r="J41" i="1"/>
  <c r="W38" i="1"/>
  <c r="V38" i="1"/>
  <c r="AZ38" i="1"/>
  <c r="BA38" i="1" s="1"/>
  <c r="BB38" i="1" s="1"/>
  <c r="Y32" i="1"/>
  <c r="AZ21" i="1"/>
  <c r="BA21" i="1" s="1"/>
  <c r="BB21" i="1" s="1"/>
  <c r="W21" i="1"/>
  <c r="V21" i="1"/>
  <c r="W23" i="1"/>
  <c r="V23" i="1"/>
  <c r="AZ23" i="1"/>
  <c r="BA23" i="1" s="1"/>
  <c r="BB23" i="1" s="1"/>
  <c r="AA27" i="1"/>
  <c r="AB27" i="1"/>
  <c r="AN27" i="1"/>
  <c r="AO27" i="1" s="1"/>
  <c r="AP27" i="1" s="1"/>
  <c r="AN16" i="1"/>
  <c r="AO16" i="1" s="1"/>
  <c r="AP16" i="1" s="1"/>
  <c r="AB16" i="1"/>
  <c r="AA16" i="1"/>
  <c r="AA15" i="1"/>
  <c r="AN15" i="1"/>
  <c r="AO15" i="1" s="1"/>
  <c r="AP15" i="1" s="1"/>
  <c r="AB15" i="1"/>
  <c r="BF50" i="1"/>
  <c r="BH50" i="1" s="1"/>
  <c r="AA48" i="1"/>
  <c r="AN48" i="1"/>
  <c r="AO48" i="1" s="1"/>
  <c r="AP48" i="1" s="1"/>
  <c r="AB48" i="1"/>
  <c r="J40" i="1"/>
  <c r="V37" i="1"/>
  <c r="AZ37" i="1"/>
  <c r="BA37" i="1" s="1"/>
  <c r="BB37" i="1" s="1"/>
  <c r="W37" i="1"/>
  <c r="AZ34" i="1"/>
  <c r="BA34" i="1" s="1"/>
  <c r="BB34" i="1" s="1"/>
  <c r="W34" i="1"/>
  <c r="V34" i="1"/>
  <c r="Y30" i="1"/>
  <c r="AN46" i="1"/>
  <c r="AO46" i="1" s="1"/>
  <c r="AP46" i="1" s="1"/>
  <c r="AB46" i="1"/>
  <c r="AA46" i="1"/>
  <c r="K39" i="1"/>
  <c r="T30" i="1"/>
  <c r="Y27" i="1"/>
  <c r="AZ22" i="1"/>
  <c r="BA22" i="1" s="1"/>
  <c r="BB22" i="1" s="1"/>
  <c r="W22" i="1"/>
  <c r="V22" i="1"/>
  <c r="T32" i="1"/>
  <c r="J30" i="1"/>
  <c r="AN24" i="1"/>
  <c r="AO24" i="1" s="1"/>
  <c r="AP24" i="1" s="1"/>
  <c r="AB24" i="1"/>
  <c r="AA24" i="1"/>
  <c r="AN23" i="1"/>
  <c r="AO23" i="1" s="1"/>
  <c r="AP23" i="1" s="1"/>
  <c r="AB23" i="1"/>
  <c r="AA23" i="1"/>
  <c r="AA40" i="1"/>
  <c r="AN40" i="1"/>
  <c r="AO40" i="1" s="1"/>
  <c r="AP40" i="1" s="1"/>
  <c r="AB40" i="1"/>
  <c r="AB38" i="1"/>
  <c r="AN38" i="1"/>
  <c r="AO38" i="1" s="1"/>
  <c r="AP38" i="1" s="1"/>
  <c r="AA38" i="1"/>
  <c r="AN26" i="1"/>
  <c r="AO26" i="1" s="1"/>
  <c r="AP26" i="1" s="1"/>
  <c r="AB26" i="1"/>
  <c r="AA26" i="1"/>
  <c r="AR50" i="1"/>
  <c r="AS50" i="1" s="1"/>
  <c r="AT50" i="1" s="1"/>
  <c r="AS5" i="1"/>
  <c r="AT5" i="1" s="1"/>
  <c r="AA14" i="1"/>
  <c r="AN14" i="1"/>
  <c r="AO14" i="1" s="1"/>
  <c r="AP14" i="1" s="1"/>
  <c r="AB14" i="1"/>
  <c r="S8" i="1"/>
  <c r="Z50" i="1"/>
  <c r="AN5" i="1"/>
  <c r="AB5" i="1"/>
  <c r="AA5" i="1"/>
  <c r="W24" i="1"/>
  <c r="AZ24" i="1"/>
  <c r="BA24" i="1" s="1"/>
  <c r="BB24" i="1" s="1"/>
  <c r="V24" i="1"/>
  <c r="AA28" i="1"/>
  <c r="AB28" i="1"/>
  <c r="AN28" i="1"/>
  <c r="AO28" i="1" s="1"/>
  <c r="AP28" i="1" s="1"/>
  <c r="AZ11" i="1"/>
  <c r="BA11" i="1" s="1"/>
  <c r="BB11" i="1" s="1"/>
  <c r="W11" i="1"/>
  <c r="V11" i="1"/>
  <c r="AN13" i="1"/>
  <c r="AO13" i="1" s="1"/>
  <c r="AP13" i="1" s="1"/>
  <c r="AB13" i="1"/>
  <c r="AA13" i="1"/>
  <c r="BK50" i="1"/>
  <c r="W13" i="1"/>
  <c r="AZ13" i="1"/>
  <c r="BA13" i="1" s="1"/>
  <c r="BB13" i="1" s="1"/>
  <c r="V13" i="1"/>
  <c r="AA9" i="1"/>
  <c r="AN9" i="1"/>
  <c r="AO9" i="1" s="1"/>
  <c r="AP9" i="1" s="1"/>
  <c r="AB9" i="1"/>
  <c r="U50" i="1"/>
  <c r="AZ5" i="1"/>
  <c r="BA5" i="1" s="1"/>
  <c r="BB5" i="1" s="1"/>
  <c r="V5" i="1"/>
  <c r="W5" i="1"/>
  <c r="BI50" i="1"/>
  <c r="AD50" i="1"/>
  <c r="BL50" i="1"/>
  <c r="AA44" i="1"/>
  <c r="AN44" i="1"/>
  <c r="AO44" i="1" s="1"/>
  <c r="AP44" i="1" s="1"/>
  <c r="AB44" i="1"/>
  <c r="W40" i="1"/>
  <c r="V40" i="1"/>
  <c r="AZ40" i="1"/>
  <c r="BA40" i="1" s="1"/>
  <c r="BB40" i="1" s="1"/>
  <c r="J42" i="1"/>
  <c r="AZ43" i="1"/>
  <c r="BA43" i="1" s="1"/>
  <c r="BB43" i="1" s="1"/>
  <c r="V43" i="1"/>
  <c r="W43" i="1"/>
  <c r="S37" i="1"/>
  <c r="AB35" i="1"/>
  <c r="AN35" i="1"/>
  <c r="AO35" i="1" s="1"/>
  <c r="AP35" i="1" s="1"/>
  <c r="AA35" i="1"/>
  <c r="AA34" i="1"/>
  <c r="AN34" i="1"/>
  <c r="AO34" i="1" s="1"/>
  <c r="AP34" i="1" s="1"/>
  <c r="AB34" i="1"/>
  <c r="AZ25" i="1"/>
  <c r="BA25" i="1" s="1"/>
  <c r="BB25" i="1" s="1"/>
  <c r="V25" i="1"/>
  <c r="W25" i="1"/>
  <c r="W41" i="1"/>
  <c r="V41" i="1"/>
  <c r="AZ41" i="1"/>
  <c r="BA41" i="1" s="1"/>
  <c r="BB41" i="1" s="1"/>
  <c r="AB45" i="1"/>
  <c r="AA45" i="1"/>
  <c r="AN45" i="1"/>
  <c r="AO45" i="1" s="1"/>
  <c r="AP45" i="1" s="1"/>
  <c r="K32" i="1"/>
  <c r="K30" i="1"/>
  <c r="S24" i="1"/>
  <c r="AB39" i="1"/>
  <c r="AN39" i="1"/>
  <c r="AO39" i="1" s="1"/>
  <c r="AP39" i="1" s="1"/>
  <c r="AA39" i="1"/>
  <c r="T33" i="1"/>
  <c r="W29" i="1"/>
  <c r="V29" i="1"/>
  <c r="AZ29" i="1"/>
  <c r="BA29" i="1" s="1"/>
  <c r="BB29" i="1" s="1"/>
  <c r="W33" i="1"/>
  <c r="V33" i="1"/>
  <c r="AZ33" i="1"/>
  <c r="BA33" i="1" s="1"/>
  <c r="BB33" i="1" s="1"/>
  <c r="T38" i="1"/>
  <c r="J15" i="1"/>
  <c r="Y14" i="1"/>
  <c r="W9" i="1"/>
  <c r="AZ9" i="1"/>
  <c r="BA9" i="1" s="1"/>
  <c r="BB9" i="1" s="1"/>
  <c r="V9" i="1"/>
  <c r="W6" i="1"/>
  <c r="V6" i="1"/>
  <c r="AZ6" i="1"/>
  <c r="BA6" i="1" s="1"/>
  <c r="BB6" i="1" s="1"/>
  <c r="X50" i="1"/>
  <c r="Y5" i="1"/>
  <c r="AA22" i="1"/>
  <c r="AN22" i="1"/>
  <c r="AO22" i="1" s="1"/>
  <c r="AP22" i="1" s="1"/>
  <c r="AB22" i="1"/>
  <c r="T20" i="1"/>
  <c r="AJ50" i="1"/>
  <c r="AK50" i="1" s="1"/>
  <c r="AL50" i="1" s="1"/>
  <c r="AK5" i="1"/>
  <c r="AL5" i="1" s="1"/>
  <c r="J24" i="1"/>
  <c r="AN21" i="1"/>
  <c r="AO21" i="1" s="1"/>
  <c r="AP21" i="1" s="1"/>
  <c r="AA21" i="1"/>
  <c r="AB21" i="1"/>
  <c r="W14" i="1"/>
  <c r="V14" i="1"/>
  <c r="AZ14" i="1"/>
  <c r="BA14" i="1" s="1"/>
  <c r="BB14" i="1" s="1"/>
  <c r="T27" i="1"/>
  <c r="W26" i="1"/>
  <c r="AZ26" i="1"/>
  <c r="BA26" i="1" s="1"/>
  <c r="BB26" i="1" s="1"/>
  <c r="V26" i="1"/>
  <c r="AA18" i="1"/>
  <c r="AN18" i="1"/>
  <c r="AO18" i="1" s="1"/>
  <c r="AP18" i="1" s="1"/>
  <c r="AB18" i="1"/>
  <c r="W19" i="1"/>
  <c r="AZ19" i="1"/>
  <c r="BA19" i="1" s="1"/>
  <c r="BB19" i="1" s="1"/>
  <c r="V19" i="1"/>
  <c r="AV50" i="1"/>
  <c r="AW50" i="1" s="1"/>
  <c r="AX50" i="1" s="1"/>
  <c r="AW5" i="1"/>
  <c r="AX5" i="1" s="1"/>
  <c r="AZ46" i="1"/>
  <c r="BA46" i="1" s="1"/>
  <c r="BB46" i="1" s="1"/>
  <c r="V46" i="1"/>
  <c r="W46" i="1"/>
  <c r="J39" i="1"/>
  <c r="AN29" i="1"/>
  <c r="AO29" i="1" s="1"/>
  <c r="AP29" i="1" s="1"/>
  <c r="AA29" i="1"/>
  <c r="AB29" i="1"/>
  <c r="Y24" i="1"/>
  <c r="K41" i="1"/>
  <c r="J36" i="1"/>
  <c r="S32" i="1"/>
  <c r="S42" i="1"/>
  <c r="AA33" i="1"/>
  <c r="AB33" i="1"/>
  <c r="AN33" i="1"/>
  <c r="AO33" i="1" s="1"/>
  <c r="AP33" i="1" s="1"/>
  <c r="J21" i="1"/>
  <c r="J18" i="1"/>
  <c r="K15" i="1"/>
  <c r="W12" i="1"/>
  <c r="AZ12" i="1"/>
  <c r="BA12" i="1" s="1"/>
  <c r="BB12" i="1" s="1"/>
  <c r="V12" i="1"/>
  <c r="AA20" i="1"/>
  <c r="AB20" i="1"/>
  <c r="AN20" i="1"/>
  <c r="AO20" i="1" s="1"/>
  <c r="AP20" i="1" s="1"/>
  <c r="S14" i="1"/>
  <c r="AA11" i="1"/>
  <c r="AB11" i="1"/>
  <c r="AN11" i="1"/>
  <c r="AO11" i="1" s="1"/>
  <c r="AP11" i="1" s="1"/>
  <c r="T25" i="1"/>
  <c r="K24" i="1"/>
  <c r="W17" i="1"/>
  <c r="V17" i="1"/>
  <c r="AZ17" i="1"/>
  <c r="BA17" i="1" s="1"/>
  <c r="BB17" i="1" s="1"/>
  <c r="S27" i="1"/>
  <c r="Y25" i="1"/>
  <c r="W16" i="1"/>
  <c r="AZ16" i="1"/>
  <c r="BA16" i="1" s="1"/>
  <c r="BB16" i="1" s="1"/>
  <c r="V16" i="1"/>
  <c r="BQ50" i="1"/>
  <c r="BN50" i="1"/>
  <c r="BC50" i="1"/>
  <c r="BE50" i="1" s="1"/>
  <c r="Y38" i="1"/>
  <c r="AN30" i="1"/>
  <c r="AO30" i="1" s="1"/>
  <c r="AP30" i="1" s="1"/>
  <c r="AA30" i="1"/>
  <c r="AB30" i="1"/>
  <c r="N50" i="1"/>
  <c r="Q50" i="1"/>
  <c r="G50" i="1"/>
  <c r="AC5" i="1"/>
  <c r="AC50" i="1" s="1"/>
  <c r="AA49" i="1"/>
  <c r="AN49" i="1"/>
  <c r="AO49" i="1" s="1"/>
  <c r="AP49" i="1" s="1"/>
  <c r="AB49" i="1"/>
  <c r="AZ48" i="1"/>
  <c r="BA48" i="1" s="1"/>
  <c r="BB48" i="1" s="1"/>
  <c r="W48" i="1"/>
  <c r="V48" i="1"/>
  <c r="Y46" i="1"/>
  <c r="AZ45" i="1"/>
  <c r="BA45" i="1" s="1"/>
  <c r="BB45" i="1" s="1"/>
  <c r="W45" i="1"/>
  <c r="V45" i="1"/>
  <c r="W42" i="1"/>
  <c r="AZ42" i="1"/>
  <c r="BA42" i="1" s="1"/>
  <c r="BB42" i="1" s="1"/>
  <c r="V42" i="1"/>
  <c r="J46" i="1"/>
  <c r="AB41" i="1"/>
  <c r="AA41" i="1"/>
  <c r="AN41" i="1"/>
  <c r="AO41" i="1" s="1"/>
  <c r="AP41" i="1" s="1"/>
  <c r="AA37" i="1"/>
  <c r="AN37" i="1"/>
  <c r="AO37" i="1" s="1"/>
  <c r="AP37" i="1" s="1"/>
  <c r="AB37" i="1"/>
  <c r="AN36" i="1"/>
  <c r="AO36" i="1" s="1"/>
  <c r="AP36" i="1" s="1"/>
  <c r="AB36" i="1"/>
  <c r="AA36" i="1"/>
  <c r="W47" i="1"/>
  <c r="AZ47" i="1"/>
  <c r="BA47" i="1" s="1"/>
  <c r="BB47" i="1" s="1"/>
  <c r="V47" i="1"/>
  <c r="V39" i="1"/>
  <c r="AZ39" i="1"/>
  <c r="BA39" i="1" s="1"/>
  <c r="BB39" i="1" s="1"/>
  <c r="W39" i="1"/>
  <c r="S30" i="1"/>
  <c r="Y40" i="1"/>
  <c r="AZ36" i="1"/>
  <c r="BA36" i="1" s="1"/>
  <c r="BB36" i="1" s="1"/>
  <c r="V36" i="1"/>
  <c r="W36" i="1"/>
  <c r="AN32" i="1"/>
  <c r="AO32" i="1" s="1"/>
  <c r="AP32" i="1" s="1"/>
  <c r="AA32" i="1"/>
  <c r="AB32" i="1"/>
  <c r="T42" i="1"/>
  <c r="Y35" i="1"/>
  <c r="W35" i="1"/>
  <c r="AZ35" i="1"/>
  <c r="BA35" i="1" s="1"/>
  <c r="BB35" i="1" s="1"/>
  <c r="V35" i="1"/>
  <c r="Y20" i="1"/>
  <c r="K18" i="1"/>
  <c r="W15" i="1"/>
  <c r="AZ15" i="1"/>
  <c r="BA15" i="1" s="1"/>
  <c r="BB15" i="1" s="1"/>
  <c r="V15" i="1"/>
  <c r="S22" i="1"/>
  <c r="T17" i="1"/>
  <c r="AB8" i="1"/>
  <c r="AA8" i="1"/>
  <c r="AN8" i="1"/>
  <c r="AO8" i="1" s="1"/>
  <c r="AP8" i="1" s="1"/>
  <c r="T50" i="1"/>
  <c r="S50" i="1"/>
  <c r="S25" i="1"/>
  <c r="AZ20" i="1"/>
  <c r="BA20" i="1" s="1"/>
  <c r="BB20" i="1" s="1"/>
  <c r="W20" i="1"/>
  <c r="V20" i="1"/>
  <c r="J27" i="1"/>
  <c r="AN19" i="1"/>
  <c r="AO19" i="1" s="1"/>
  <c r="AP19" i="1" s="1"/>
  <c r="AB19" i="1"/>
  <c r="AA19" i="1"/>
  <c r="AN10" i="1"/>
  <c r="AO10" i="1" s="1"/>
  <c r="AP10" i="1" s="1"/>
  <c r="AB10" i="1"/>
  <c r="AA10" i="1"/>
  <c r="AZ8" i="1"/>
  <c r="BA8" i="1" s="1"/>
  <c r="BB8" i="1" s="1"/>
  <c r="W8" i="1"/>
  <c r="V8" i="1"/>
  <c r="AA12" i="1"/>
  <c r="AN12" i="1"/>
  <c r="AO12" i="1" s="1"/>
  <c r="AP12" i="1" s="1"/>
  <c r="AB12" i="1"/>
  <c r="W7" i="1"/>
  <c r="AZ7" i="1"/>
  <c r="BA7" i="1" s="1"/>
  <c r="BB7" i="1" s="1"/>
  <c r="V7" i="1"/>
  <c r="AN7" i="1"/>
  <c r="AO7" i="1" s="1"/>
  <c r="AP7" i="1" s="1"/>
  <c r="AB7" i="1"/>
  <c r="AA7" i="1"/>
  <c r="H50" i="1"/>
  <c r="K50" i="1" s="1"/>
  <c r="K42" i="1"/>
  <c r="AN43" i="1"/>
  <c r="AO43" i="1" s="1"/>
  <c r="AP43" i="1" s="1"/>
  <c r="AB43" i="1"/>
  <c r="AA43" i="1"/>
  <c r="T37" i="1"/>
  <c r="Y37" i="1"/>
  <c r="V28" i="1"/>
  <c r="AZ28" i="1"/>
  <c r="BA28" i="1" s="1"/>
  <c r="BB28" i="1" s="1"/>
  <c r="W28" i="1"/>
  <c r="AB47" i="1"/>
  <c r="AN47" i="1"/>
  <c r="AO47" i="1" s="1"/>
  <c r="AP47" i="1" s="1"/>
  <c r="AA47" i="1"/>
  <c r="K40" i="1"/>
  <c r="Y33" i="1"/>
  <c r="S36" i="1"/>
  <c r="T35" i="1"/>
  <c r="K36" i="1"/>
  <c r="W32" i="1"/>
  <c r="AZ32" i="1"/>
  <c r="BA32" i="1" s="1"/>
  <c r="BB32" i="1" s="1"/>
  <c r="V32" i="1"/>
  <c r="AZ30" i="1"/>
  <c r="BA30" i="1" s="1"/>
  <c r="BB30" i="1" s="1"/>
  <c r="V30" i="1"/>
  <c r="W30" i="1"/>
  <c r="T24" i="1"/>
  <c r="AA42" i="1"/>
  <c r="AN42" i="1"/>
  <c r="AO42" i="1" s="1"/>
  <c r="AP42" i="1" s="1"/>
  <c r="AB42" i="1"/>
  <c r="S39" i="1"/>
  <c r="S33" i="1"/>
  <c r="AA31" i="1"/>
  <c r="AN31" i="1"/>
  <c r="AO31" i="1" s="1"/>
  <c r="AP31" i="1" s="1"/>
  <c r="AB31" i="1"/>
  <c r="T26" i="1"/>
  <c r="K21" i="1"/>
  <c r="W18" i="1"/>
  <c r="AZ18" i="1"/>
  <c r="BA18" i="1" s="1"/>
  <c r="BB18" i="1" s="1"/>
  <c r="V18" i="1"/>
  <c r="S20" i="1"/>
  <c r="AA17" i="1"/>
  <c r="AB17" i="1"/>
  <c r="AN17" i="1"/>
  <c r="AO17" i="1" s="1"/>
  <c r="AP17" i="1" s="1"/>
  <c r="S11" i="1"/>
  <c r="T8" i="1"/>
  <c r="AA25" i="1"/>
  <c r="AN25" i="1"/>
  <c r="AO25" i="1" s="1"/>
  <c r="AP25" i="1" s="1"/>
  <c r="AB25" i="1"/>
  <c r="Y10" i="1"/>
  <c r="W27" i="1"/>
  <c r="AZ27" i="1"/>
  <c r="BA27" i="1" s="1"/>
  <c r="BB27" i="1" s="1"/>
  <c r="V27" i="1"/>
  <c r="K26" i="1"/>
  <c r="W10" i="1"/>
  <c r="AZ10" i="1"/>
  <c r="BA10" i="1" s="1"/>
  <c r="BB10" i="1" s="1"/>
  <c r="V10" i="1"/>
  <c r="AG50" i="1"/>
  <c r="AH50" i="1" s="1"/>
  <c r="AA6" i="1"/>
  <c r="AN6" i="1"/>
  <c r="AO6" i="1" s="1"/>
  <c r="AP6" i="1" s="1"/>
  <c r="AB6" i="1"/>
  <c r="S9" i="1"/>
  <c r="P50" i="1"/>
  <c r="T122" i="5"/>
  <c r="U122" i="5" s="1"/>
  <c r="V122" i="5" s="1"/>
  <c r="I122" i="5"/>
  <c r="K122" i="5"/>
  <c r="P122" i="5"/>
  <c r="Q122" i="5" s="1"/>
  <c r="R122" i="5" s="1"/>
  <c r="Q5" i="5"/>
  <c r="R5" i="5" s="1"/>
  <c r="N122" i="5"/>
  <c r="J122" i="5"/>
  <c r="BJ47" i="3"/>
  <c r="CB47" i="3"/>
  <c r="EF43" i="3"/>
  <c r="CB45" i="3"/>
  <c r="CW42" i="3"/>
  <c r="EE46" i="3"/>
  <c r="K46" i="3"/>
  <c r="CT41" i="3"/>
  <c r="H25" i="3"/>
  <c r="EB25" i="3"/>
  <c r="ED25" i="3" s="1"/>
  <c r="EC28" i="3"/>
  <c r="ED28" i="3" s="1"/>
  <c r="EC37" i="3"/>
  <c r="H31" i="3"/>
  <c r="EB31" i="3"/>
  <c r="EF10" i="3"/>
  <c r="EC8" i="3"/>
  <c r="K22" i="3"/>
  <c r="EE22" i="3"/>
  <c r="EC22" i="3"/>
  <c r="CJ48" i="3"/>
  <c r="AE48" i="3"/>
  <c r="BO48" i="3"/>
  <c r="AS48" i="3"/>
  <c r="AU48" i="3" s="1"/>
  <c r="AU5" i="3"/>
  <c r="BE48" i="3"/>
  <c r="BG5" i="3"/>
  <c r="AK48" i="3"/>
  <c r="AQ48" i="3"/>
  <c r="AP48" i="3"/>
  <c r="AR48" i="3" s="1"/>
  <c r="AR5" i="3"/>
  <c r="AY48" i="3"/>
  <c r="BA5" i="3"/>
  <c r="EF19" i="3"/>
  <c r="CQ19" i="3"/>
  <c r="ED10" i="3"/>
  <c r="BD47" i="3"/>
  <c r="CZ47" i="3"/>
  <c r="BS45" i="3"/>
  <c r="CT45" i="3"/>
  <c r="EF44" i="3"/>
  <c r="EC44" i="3"/>
  <c r="ED44" i="3" s="1"/>
  <c r="CQ42" i="3"/>
  <c r="K34" i="3"/>
  <c r="EE34" i="3"/>
  <c r="AR46" i="3"/>
  <c r="BP36" i="3"/>
  <c r="EF36" i="3"/>
  <c r="T33" i="3"/>
  <c r="EB33" i="3"/>
  <c r="ED33" i="3" s="1"/>
  <c r="AX35" i="3"/>
  <c r="BV35" i="3"/>
  <c r="EB36" i="3"/>
  <c r="ED36" i="3" s="1"/>
  <c r="CN39" i="3"/>
  <c r="BD39" i="3"/>
  <c r="DI32" i="3"/>
  <c r="EF32" i="3"/>
  <c r="CE32" i="3"/>
  <c r="AI30" i="3"/>
  <c r="AU28" i="3"/>
  <c r="CT37" i="3"/>
  <c r="EE37" i="3"/>
  <c r="K27" i="3"/>
  <c r="EE27" i="3"/>
  <c r="EC24" i="3"/>
  <c r="DI16" i="3"/>
  <c r="EC16" i="3"/>
  <c r="CC48" i="3"/>
  <c r="CE5" i="3"/>
  <c r="EB12" i="3"/>
  <c r="ED12" i="3" s="1"/>
  <c r="ED20" i="3"/>
  <c r="M48" i="3"/>
  <c r="AW48" i="3"/>
  <c r="DM48" i="3"/>
  <c r="DO5" i="3"/>
  <c r="DH48" i="3"/>
  <c r="EF11" i="3"/>
  <c r="DO19" i="3"/>
  <c r="Q47" i="3"/>
  <c r="AI47" i="3"/>
  <c r="EE47" i="3"/>
  <c r="K47" i="3"/>
  <c r="DR47" i="3"/>
  <c r="DR45" i="3"/>
  <c r="CE45" i="3"/>
  <c r="AU45" i="3"/>
  <c r="CW45" i="3"/>
  <c r="DO45" i="3"/>
  <c r="DL45" i="3"/>
  <c r="K43" i="3"/>
  <c r="EE42" i="3"/>
  <c r="K42" i="3"/>
  <c r="AF46" i="3"/>
  <c r="DU46" i="3"/>
  <c r="BY46" i="3"/>
  <c r="BM46" i="3"/>
  <c r="CW46" i="3"/>
  <c r="CZ36" i="3"/>
  <c r="Q36" i="3"/>
  <c r="EE29" i="3"/>
  <c r="Q29" i="3"/>
  <c r="BP40" i="3"/>
  <c r="BM40" i="3"/>
  <c r="DX40" i="3"/>
  <c r="BS40" i="3"/>
  <c r="DC40" i="3"/>
  <c r="BG41" i="3"/>
  <c r="CK41" i="3"/>
  <c r="EC41" i="3"/>
  <c r="AC41" i="3"/>
  <c r="DU41" i="3"/>
  <c r="BV41" i="3"/>
  <c r="K35" i="3"/>
  <c r="EE35" i="3"/>
  <c r="EG35" i="3" s="1"/>
  <c r="DF39" i="3"/>
  <c r="DI39" i="3"/>
  <c r="BS39" i="3"/>
  <c r="K39" i="3"/>
  <c r="EE39" i="3"/>
  <c r="EG39" i="3" s="1"/>
  <c r="CT39" i="3"/>
  <c r="CZ32" i="3"/>
  <c r="Q32" i="3"/>
  <c r="AX30" i="3"/>
  <c r="AU30" i="3"/>
  <c r="T30" i="3"/>
  <c r="CK30" i="3"/>
  <c r="CB25" i="3"/>
  <c r="AC25" i="3"/>
  <c r="CH25" i="3"/>
  <c r="AR25" i="3"/>
  <c r="EE20" i="3"/>
  <c r="K20" i="3"/>
  <c r="EB23" i="3"/>
  <c r="ED23" i="3" s="1"/>
  <c r="H23" i="3"/>
  <c r="EE36" i="3"/>
  <c r="EC29" i="3"/>
  <c r="ED29" i="3" s="1"/>
  <c r="AC37" i="3"/>
  <c r="EF37" i="3"/>
  <c r="BV37" i="3"/>
  <c r="AI37" i="3"/>
  <c r="CH37" i="3"/>
  <c r="CK31" i="3"/>
  <c r="AR31" i="3"/>
  <c r="AR42" i="3"/>
  <c r="EE18" i="3"/>
  <c r="EG18" i="3" s="1"/>
  <c r="K18" i="3"/>
  <c r="BG18" i="3"/>
  <c r="EF18" i="3"/>
  <c r="AU18" i="3"/>
  <c r="DO18" i="3"/>
  <c r="DC10" i="3"/>
  <c r="DX27" i="3"/>
  <c r="CN27" i="3"/>
  <c r="T27" i="3"/>
  <c r="DR27" i="3"/>
  <c r="EC14" i="3"/>
  <c r="ED14" i="3" s="1"/>
  <c r="CZ12" i="3"/>
  <c r="BG16" i="3"/>
  <c r="EB13" i="3"/>
  <c r="H13" i="3"/>
  <c r="DR13" i="3"/>
  <c r="CT24" i="3"/>
  <c r="CK22" i="3"/>
  <c r="W22" i="3"/>
  <c r="BV16" i="3"/>
  <c r="K15" i="3"/>
  <c r="EE15" i="3"/>
  <c r="DR15" i="3"/>
  <c r="CB12" i="3"/>
  <c r="K32" i="3"/>
  <c r="BG24" i="3"/>
  <c r="BM24" i="3"/>
  <c r="BA24" i="3"/>
  <c r="CK24" i="3"/>
  <c r="DU24" i="3"/>
  <c r="DR16" i="3"/>
  <c r="CK16" i="3"/>
  <c r="DU16" i="3"/>
  <c r="AR13" i="3"/>
  <c r="EB22" i="3"/>
  <c r="ED22" i="3" s="1"/>
  <c r="EF21" i="3"/>
  <c r="AX21" i="3"/>
  <c r="CZ21" i="3"/>
  <c r="AI17" i="3"/>
  <c r="EB17" i="3"/>
  <c r="ED17" i="3" s="1"/>
  <c r="H17" i="3"/>
  <c r="K16" i="3"/>
  <c r="EE16" i="3"/>
  <c r="DO13" i="3"/>
  <c r="AR19" i="3"/>
  <c r="AV48" i="3"/>
  <c r="AX48" i="3" s="1"/>
  <c r="AX5" i="3"/>
  <c r="DW48" i="3"/>
  <c r="EA7" i="3"/>
  <c r="AO8" i="3"/>
  <c r="H12" i="3"/>
  <c r="CY48" i="3"/>
  <c r="CX48" i="3"/>
  <c r="CZ48" i="3" s="1"/>
  <c r="CZ5" i="3"/>
  <c r="CO48" i="3"/>
  <c r="CQ5" i="3"/>
  <c r="DQ48" i="3"/>
  <c r="R48" i="3"/>
  <c r="T48" i="3" s="1"/>
  <c r="T5" i="3"/>
  <c r="BK48" i="3"/>
  <c r="BM5" i="3"/>
  <c r="DS48" i="3"/>
  <c r="DU48" i="3" s="1"/>
  <c r="DU5" i="3"/>
  <c r="BL48" i="3"/>
  <c r="DN48" i="3"/>
  <c r="BT48" i="3"/>
  <c r="BV5" i="3"/>
  <c r="BV19" i="3"/>
  <c r="S48" i="3"/>
  <c r="DC19" i="3"/>
  <c r="AI19" i="3"/>
  <c r="DU19" i="3"/>
  <c r="AU19" i="3"/>
  <c r="EB6" i="3"/>
  <c r="ED6" i="3" s="1"/>
  <c r="EE44" i="3"/>
  <c r="K44" i="3"/>
  <c r="CT47" i="3"/>
  <c r="H45" i="3"/>
  <c r="EB45" i="3"/>
  <c r="ED45" i="3" s="1"/>
  <c r="EC34" i="3"/>
  <c r="N34" i="3"/>
  <c r="Q46" i="3"/>
  <c r="EF45" i="3"/>
  <c r="EC36" i="3"/>
  <c r="H36" i="3"/>
  <c r="K33" i="3"/>
  <c r="EE33" i="3"/>
  <c r="EG33" i="3" s="1"/>
  <c r="EC26" i="3"/>
  <c r="AR41" i="3"/>
  <c r="EE25" i="3"/>
  <c r="EG25" i="3" s="1"/>
  <c r="Q25" i="3"/>
  <c r="EC32" i="3"/>
  <c r="EB11" i="3"/>
  <c r="ED11" i="3" s="1"/>
  <c r="H11" i="3"/>
  <c r="EB9" i="3"/>
  <c r="ED9" i="3" s="1"/>
  <c r="H9" i="3"/>
  <c r="K24" i="3"/>
  <c r="EE24" i="3"/>
  <c r="G48" i="3"/>
  <c r="EC5" i="3"/>
  <c r="EF20" i="3"/>
  <c r="K10" i="3"/>
  <c r="U48" i="3"/>
  <c r="W5" i="3"/>
  <c r="EB7" i="3"/>
  <c r="ED7" i="3" s="1"/>
  <c r="DB48" i="3"/>
  <c r="CR48" i="3"/>
  <c r="CT48" i="3" s="1"/>
  <c r="CT5" i="3"/>
  <c r="AF47" i="3"/>
  <c r="DF47" i="3"/>
  <c r="EB43" i="3"/>
  <c r="ED43" i="3" s="1"/>
  <c r="H43" i="3"/>
  <c r="AO42" i="3"/>
  <c r="AI42" i="3"/>
  <c r="DX34" i="3"/>
  <c r="AL46" i="3"/>
  <c r="DC46" i="3"/>
  <c r="AU36" i="3"/>
  <c r="DR33" i="3"/>
  <c r="AF26" i="3"/>
  <c r="EB26" i="3"/>
  <c r="DR40" i="3"/>
  <c r="H40" i="3"/>
  <c r="EB40" i="3"/>
  <c r="ED40" i="3" s="1"/>
  <c r="BD41" i="3"/>
  <c r="CH35" i="3"/>
  <c r="Q39" i="3"/>
  <c r="AI39" i="3"/>
  <c r="CB39" i="3"/>
  <c r="BY32" i="3"/>
  <c r="EC30" i="3"/>
  <c r="EF23" i="3"/>
  <c r="K36" i="3"/>
  <c r="BS37" i="3"/>
  <c r="AU31" i="3"/>
  <c r="EC31" i="3"/>
  <c r="EC27" i="3"/>
  <c r="AI12" i="3"/>
  <c r="CE22" i="3"/>
  <c r="DF12" i="3"/>
  <c r="H22" i="3"/>
  <c r="DO17" i="3"/>
  <c r="EE30" i="3"/>
  <c r="EG30" i="3" s="1"/>
  <c r="EE9" i="3"/>
  <c r="O48" i="3"/>
  <c r="Q5" i="3"/>
  <c r="DE48" i="3"/>
  <c r="DZ48" i="3"/>
  <c r="AZ48" i="3"/>
  <c r="BF48" i="3"/>
  <c r="BB48" i="3"/>
  <c r="BD5" i="3"/>
  <c r="AB48" i="3"/>
  <c r="EE19" i="3"/>
  <c r="EG19" i="3" s="1"/>
  <c r="K19" i="3"/>
  <c r="BP19" i="3"/>
  <c r="EF47" i="3"/>
  <c r="BG47" i="3"/>
  <c r="DO47" i="3"/>
  <c r="EC47" i="3"/>
  <c r="AL47" i="3"/>
  <c r="DU47" i="3"/>
  <c r="AO45" i="3"/>
  <c r="DI45" i="3"/>
  <c r="AF45" i="3"/>
  <c r="EE43" i="3"/>
  <c r="EG43" i="3" s="1"/>
  <c r="EB47" i="3"/>
  <c r="ED47" i="3" s="1"/>
  <c r="W42" i="3"/>
  <c r="BD42" i="3"/>
  <c r="EF42" i="3"/>
  <c r="AU42" i="3"/>
  <c r="DL42" i="3"/>
  <c r="CE42" i="3"/>
  <c r="DO42" i="3"/>
  <c r="T46" i="3"/>
  <c r="BV46" i="3"/>
  <c r="H46" i="3"/>
  <c r="EB46" i="3"/>
  <c r="DR46" i="3"/>
  <c r="AI46" i="3"/>
  <c r="AR36" i="3"/>
  <c r="AX36" i="3"/>
  <c r="EE26" i="3"/>
  <c r="K26" i="3"/>
  <c r="EF40" i="3"/>
  <c r="T40" i="3"/>
  <c r="BY40" i="3"/>
  <c r="K40" i="3"/>
  <c r="EE40" i="3"/>
  <c r="EG40" i="3" s="1"/>
  <c r="CN40" i="3"/>
  <c r="AO40" i="3"/>
  <c r="BJ41" i="3"/>
  <c r="EF41" i="3"/>
  <c r="BY41" i="3"/>
  <c r="EA41" i="3"/>
  <c r="CN41" i="3"/>
  <c r="EF35" i="3"/>
  <c r="BP35" i="3"/>
  <c r="EB35" i="3"/>
  <c r="ED35" i="3" s="1"/>
  <c r="H35" i="3"/>
  <c r="EC39" i="3"/>
  <c r="DU39" i="3"/>
  <c r="N39" i="3"/>
  <c r="DL39" i="3"/>
  <c r="CH32" i="3"/>
  <c r="K14" i="3"/>
  <c r="EE14" i="3"/>
  <c r="AU37" i="3"/>
  <c r="EA37" i="3"/>
  <c r="CZ37" i="3"/>
  <c r="AF31" i="3"/>
  <c r="EE31" i="3"/>
  <c r="EG31" i="3" s="1"/>
  <c r="K31" i="3"/>
  <c r="BS31" i="3"/>
  <c r="BD31" i="3"/>
  <c r="AU33" i="3"/>
  <c r="AR38" i="3"/>
  <c r="W18" i="3"/>
  <c r="Q18" i="3"/>
  <c r="DO10" i="3"/>
  <c r="H27" i="3"/>
  <c r="EB27" i="3"/>
  <c r="AC27" i="3"/>
  <c r="Z27" i="3"/>
  <c r="CQ27" i="3"/>
  <c r="AL27" i="3"/>
  <c r="EE23" i="3"/>
  <c r="EG23" i="3" s="1"/>
  <c r="AL16" i="3"/>
  <c r="AC12" i="3"/>
  <c r="EF12" i="3"/>
  <c r="K12" i="3"/>
  <c r="CE12" i="3"/>
  <c r="DO12" i="3"/>
  <c r="AC13" i="3"/>
  <c r="BG13" i="3"/>
  <c r="CE13" i="3"/>
  <c r="AL13" i="3"/>
  <c r="BV22" i="3"/>
  <c r="AF22" i="3"/>
  <c r="DL22" i="3"/>
  <c r="EC21" i="3"/>
  <c r="DL17" i="3"/>
  <c r="BD15" i="3"/>
  <c r="DL15" i="3"/>
  <c r="BD12" i="3"/>
  <c r="AC9" i="3"/>
  <c r="AX9" i="3"/>
  <c r="CZ9" i="3"/>
  <c r="EE6" i="3"/>
  <c r="K6" i="3"/>
  <c r="EE32" i="3"/>
  <c r="EG32" i="3" s="1"/>
  <c r="BV24" i="3"/>
  <c r="DR24" i="3"/>
  <c r="CW24" i="3"/>
  <c r="EF24" i="3"/>
  <c r="W24" i="3"/>
  <c r="AC16" i="3"/>
  <c r="CE16" i="3"/>
  <c r="EF28" i="3"/>
  <c r="DX21" i="3"/>
  <c r="W21" i="3"/>
  <c r="CB21" i="3"/>
  <c r="EF17" i="3"/>
  <c r="DF13" i="3"/>
  <c r="EE13" i="3"/>
  <c r="EG13" i="3" s="1"/>
  <c r="K13" i="3"/>
  <c r="BD7" i="3"/>
  <c r="DP48" i="3"/>
  <c r="DR48" i="3" s="1"/>
  <c r="DR5" i="3"/>
  <c r="AH48" i="3"/>
  <c r="DG48" i="3"/>
  <c r="DI48" i="3" s="1"/>
  <c r="DI5" i="3"/>
  <c r="DU8" i="3"/>
  <c r="BM7" i="3"/>
  <c r="DR7" i="3"/>
  <c r="N19" i="3"/>
  <c r="ED8" i="3"/>
  <c r="BZ48" i="3"/>
  <c r="CB48" i="3" s="1"/>
  <c r="CB5" i="3"/>
  <c r="CI48" i="3"/>
  <c r="CK48" i="3" s="1"/>
  <c r="CK5" i="3"/>
  <c r="BX48" i="3"/>
  <c r="DJ48" i="3"/>
  <c r="DL5" i="3"/>
  <c r="J48" i="3"/>
  <c r="EF5" i="3"/>
  <c r="BQ48" i="3"/>
  <c r="BS5" i="3"/>
  <c r="V48" i="3"/>
  <c r="BW48" i="3"/>
  <c r="BY48" i="3" s="1"/>
  <c r="BY5" i="3"/>
  <c r="DY48" i="3"/>
  <c r="EA48" i="3" s="1"/>
  <c r="EA5" i="3"/>
  <c r="CL48" i="3"/>
  <c r="CN5" i="3"/>
  <c r="DK48" i="3"/>
  <c r="L48" i="3"/>
  <c r="N5" i="3"/>
  <c r="BY19" i="3"/>
  <c r="EC19" i="3"/>
  <c r="EA19" i="3"/>
  <c r="DL19" i="3"/>
  <c r="CZ19" i="3"/>
  <c r="BM47" i="3"/>
  <c r="CN47" i="3"/>
  <c r="BM45" i="3"/>
  <c r="AC42" i="3"/>
  <c r="CB46" i="3"/>
  <c r="CT46" i="3"/>
  <c r="DX46" i="3"/>
  <c r="EC38" i="3"/>
  <c r="ED38" i="3" s="1"/>
  <c r="BP33" i="3"/>
  <c r="AF29" i="3"/>
  <c r="EF26" i="3"/>
  <c r="EC40" i="3"/>
  <c r="DC41" i="3"/>
  <c r="H41" i="3"/>
  <c r="EB41" i="3"/>
  <c r="ED41" i="3" s="1"/>
  <c r="N35" i="3"/>
  <c r="Z35" i="3"/>
  <c r="EB39" i="3"/>
  <c r="ED39" i="3" s="1"/>
  <c r="H39" i="3"/>
  <c r="AL39" i="3"/>
  <c r="EF39" i="3"/>
  <c r="Z39" i="3"/>
  <c r="EB32" i="3"/>
  <c r="ED32" i="3" s="1"/>
  <c r="H32" i="3"/>
  <c r="BM32" i="3"/>
  <c r="DF30" i="3"/>
  <c r="DO25" i="3"/>
  <c r="K8" i="3"/>
  <c r="EE8" i="3"/>
  <c r="EG8" i="3" s="1"/>
  <c r="N37" i="3"/>
  <c r="DI37" i="3"/>
  <c r="BA37" i="3"/>
  <c r="EB37" i="3"/>
  <c r="ED37" i="3" s="1"/>
  <c r="H37" i="3"/>
  <c r="BY37" i="3"/>
  <c r="DR37" i="3"/>
  <c r="CZ31" i="3"/>
  <c r="AR29" i="3"/>
  <c r="BV11" i="3"/>
  <c r="AR28" i="3"/>
  <c r="AR45" i="3"/>
  <c r="CB18" i="3"/>
  <c r="EC18" i="3"/>
  <c r="T18" i="3"/>
  <c r="EC10" i="3"/>
  <c r="BJ27" i="3"/>
  <c r="AU27" i="3"/>
  <c r="EF27" i="3"/>
  <c r="AX27" i="3"/>
  <c r="EE21" i="3"/>
  <c r="EG21" i="3" s="1"/>
  <c r="K21" i="3"/>
  <c r="EF29" i="3"/>
  <c r="EF16" i="3"/>
  <c r="EC13" i="3"/>
  <c r="AU22" i="3"/>
  <c r="EF22" i="3"/>
  <c r="BS22" i="3"/>
  <c r="BY21" i="3"/>
  <c r="Z15" i="3"/>
  <c r="CB9" i="3"/>
  <c r="EA6" i="3"/>
  <c r="BP24" i="3"/>
  <c r="EB24" i="3"/>
  <c r="ED24" i="3" s="1"/>
  <c r="H24" i="3"/>
  <c r="EB16" i="3"/>
  <c r="ED16" i="3" s="1"/>
  <c r="H16" i="3"/>
  <c r="EF14" i="3"/>
  <c r="AC21" i="3"/>
  <c r="CT21" i="3"/>
  <c r="AR17" i="3"/>
  <c r="CQ16" i="3"/>
  <c r="EE17" i="3"/>
  <c r="EG17" i="3" s="1"/>
  <c r="DA48" i="3"/>
  <c r="DC5" i="3"/>
  <c r="Y48" i="3"/>
  <c r="CP48" i="3"/>
  <c r="BC48" i="3"/>
  <c r="BR48" i="3"/>
  <c r="BH48" i="3"/>
  <c r="BJ5" i="3"/>
  <c r="CD48" i="3"/>
  <c r="P48" i="3"/>
  <c r="CA48" i="3"/>
  <c r="AG48" i="3"/>
  <c r="AI48" i="3" s="1"/>
  <c r="AI5" i="3"/>
  <c r="CG48" i="3"/>
  <c r="F48" i="3"/>
  <c r="H48" i="3" s="1"/>
  <c r="EB5" i="3"/>
  <c r="H5" i="3"/>
  <c r="DD48" i="3"/>
  <c r="DF5" i="3"/>
  <c r="CU48" i="3"/>
  <c r="CW5" i="3"/>
  <c r="BG19" i="3"/>
  <c r="AO19" i="3"/>
  <c r="CN19" i="3"/>
  <c r="BJ19" i="3"/>
  <c r="DR19" i="3"/>
  <c r="K38" i="3"/>
  <c r="EE38" i="3"/>
  <c r="EG38" i="3" s="1"/>
  <c r="BG45" i="3"/>
  <c r="EE45" i="3"/>
  <c r="K45" i="3"/>
  <c r="AI45" i="3"/>
  <c r="BJ45" i="3"/>
  <c r="EB42" i="3"/>
  <c r="ED42" i="3" s="1"/>
  <c r="BJ42" i="3"/>
  <c r="EF34" i="3"/>
  <c r="K28" i="3"/>
  <c r="EE28" i="3"/>
  <c r="AX46" i="3"/>
  <c r="EC46" i="3"/>
  <c r="CH46" i="3"/>
  <c r="EF46" i="3"/>
  <c r="DO46" i="3"/>
  <c r="EF38" i="3"/>
  <c r="BA40" i="3"/>
  <c r="CK40" i="3"/>
  <c r="EC42" i="3"/>
  <c r="K41" i="3"/>
  <c r="EE41" i="3"/>
  <c r="AO41" i="3"/>
  <c r="DX41" i="3"/>
  <c r="W35" i="3"/>
  <c r="AF35" i="3"/>
  <c r="AR35" i="3"/>
  <c r="EB34" i="3"/>
  <c r="ED34" i="3" s="1"/>
  <c r="CZ39" i="3"/>
  <c r="DC39" i="3"/>
  <c r="AI32" i="3"/>
  <c r="H30" i="3"/>
  <c r="EB30" i="3"/>
  <c r="ED30" i="3" s="1"/>
  <c r="T26" i="3"/>
  <c r="AF37" i="3"/>
  <c r="CK37" i="3"/>
  <c r="DX37" i="3"/>
  <c r="BG37" i="3"/>
  <c r="BY31" i="3"/>
  <c r="CH31" i="3"/>
  <c r="AI31" i="3"/>
  <c r="Q11" i="3"/>
  <c r="EE11" i="3"/>
  <c r="EG11" i="3" s="1"/>
  <c r="AL18" i="3"/>
  <c r="CW18" i="3"/>
  <c r="BM10" i="3"/>
  <c r="BA10" i="3"/>
  <c r="DI27" i="3"/>
  <c r="BD27" i="3"/>
  <c r="DF27" i="3"/>
  <c r="CT13" i="3"/>
  <c r="CZ22" i="3"/>
  <c r="AO22" i="3"/>
  <c r="EF15" i="3"/>
  <c r="CK9" i="3"/>
  <c r="EF9" i="3"/>
  <c r="DR6" i="3"/>
  <c r="EF6" i="3"/>
  <c r="AU6" i="3"/>
  <c r="AF24" i="3"/>
  <c r="DF24" i="3"/>
  <c r="BS24" i="3"/>
  <c r="DC24" i="3"/>
  <c r="EB18" i="3"/>
  <c r="ED18" i="3" s="1"/>
  <c r="Z16" i="3"/>
  <c r="N16" i="3"/>
  <c r="CZ16" i="3"/>
  <c r="CW21" i="3"/>
  <c r="EB21" i="3"/>
  <c r="ED21" i="3" s="1"/>
  <c r="H21" i="3"/>
  <c r="N21" i="3"/>
  <c r="AL17" i="3"/>
  <c r="BD17" i="3"/>
  <c r="EB15" i="3"/>
  <c r="ED15" i="3" s="1"/>
  <c r="EE12" i="3"/>
  <c r="CS48" i="3"/>
  <c r="I48" i="3"/>
  <c r="K5" i="3"/>
  <c r="EE5" i="3"/>
  <c r="AT48" i="3"/>
  <c r="AF7" i="3"/>
  <c r="EF7" i="3"/>
  <c r="AD48" i="3"/>
  <c r="AF48" i="3" s="1"/>
  <c r="AF5" i="3"/>
  <c r="CV48" i="3"/>
  <c r="AN48" i="3"/>
  <c r="EE10" i="3"/>
  <c r="EG10" i="3" s="1"/>
  <c r="BI48" i="3"/>
  <c r="AJ48" i="3"/>
  <c r="AL48" i="3" s="1"/>
  <c r="AL5" i="3"/>
  <c r="EE7" i="3"/>
  <c r="EG7" i="3" s="1"/>
  <c r="BU48" i="3"/>
  <c r="AA48" i="3"/>
  <c r="AC5" i="3"/>
  <c r="CF48" i="3"/>
  <c r="CH48" i="3" s="1"/>
  <c r="CH5" i="3"/>
  <c r="AM48" i="3"/>
  <c r="AO48" i="3" s="1"/>
  <c r="AO5" i="3"/>
  <c r="CM48" i="3"/>
  <c r="X48" i="3"/>
  <c r="Z5" i="3"/>
  <c r="DV48" i="3"/>
  <c r="DX48" i="3" s="1"/>
  <c r="DX5" i="3"/>
  <c r="BN48" i="3"/>
  <c r="BP48" i="3" s="1"/>
  <c r="BP5" i="3"/>
  <c r="H19" i="3"/>
  <c r="EB19" i="3"/>
  <c r="ED19" i="3" s="1"/>
  <c r="CB19" i="3"/>
  <c r="W19" i="3"/>
  <c r="CT19" i="3"/>
  <c r="AL19" i="3"/>
  <c r="J123" i="5"/>
  <c r="T123" i="5"/>
  <c r="U123" i="5" s="1"/>
  <c r="V123" i="5" s="1"/>
  <c r="I123" i="5"/>
  <c r="K123" i="5"/>
  <c r="P123" i="5"/>
  <c r="Q123" i="5" s="1"/>
  <c r="R123" i="5" s="1"/>
  <c r="Y50" i="1" l="1"/>
  <c r="W50" i="1"/>
  <c r="AZ50" i="1"/>
  <c r="BA50" i="1" s="1"/>
  <c r="BB50" i="1" s="1"/>
  <c r="V50" i="1"/>
  <c r="AN50" i="1"/>
  <c r="AO50" i="1" s="1"/>
  <c r="AP50" i="1" s="1"/>
  <c r="AO5" i="1"/>
  <c r="AP5" i="1" s="1"/>
  <c r="AA50" i="1"/>
  <c r="AB50" i="1"/>
  <c r="J50" i="1"/>
  <c r="EB48" i="3"/>
  <c r="ED5" i="3"/>
  <c r="DL48" i="3"/>
  <c r="EC48" i="3"/>
  <c r="EG15" i="3"/>
  <c r="EG20" i="3"/>
  <c r="K48" i="3"/>
  <c r="EG28" i="3"/>
  <c r="CW48" i="3"/>
  <c r="CN48" i="3"/>
  <c r="ED27" i="3"/>
  <c r="BD48" i="3"/>
  <c r="Q48" i="3"/>
  <c r="EG44" i="3"/>
  <c r="EG29" i="3"/>
  <c r="EG27" i="3"/>
  <c r="Z48" i="3"/>
  <c r="EG41" i="3"/>
  <c r="BJ48" i="3"/>
  <c r="DC48" i="3"/>
  <c r="BS48" i="3"/>
  <c r="EG9" i="3"/>
  <c r="ED26" i="3"/>
  <c r="EG24" i="3"/>
  <c r="ED13" i="3"/>
  <c r="EG36" i="3"/>
  <c r="EG47" i="3"/>
  <c r="EG34" i="3"/>
  <c r="ED31" i="3"/>
  <c r="EE48" i="3"/>
  <c r="EG5" i="3"/>
  <c r="AC48" i="3"/>
  <c r="EG12" i="3"/>
  <c r="EG45" i="3"/>
  <c r="DF48" i="3"/>
  <c r="EF48" i="3"/>
  <c r="W48" i="3"/>
  <c r="CQ48" i="3"/>
  <c r="EG16" i="3"/>
  <c r="DO48" i="3"/>
  <c r="CE48" i="3"/>
  <c r="EG37" i="3"/>
  <c r="BA48" i="3"/>
  <c r="BG48" i="3"/>
  <c r="N48" i="3"/>
  <c r="EG6" i="3"/>
  <c r="EG14" i="3"/>
  <c r="EG26" i="3"/>
  <c r="ED46" i="3"/>
  <c r="BV48" i="3"/>
  <c r="BM48" i="3"/>
  <c r="EG42" i="3"/>
  <c r="EG22" i="3"/>
  <c r="EG46" i="3"/>
  <c r="EG48" i="3" l="1"/>
  <c r="ED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<sst xmlns="http://schemas.openxmlformats.org/spreadsheetml/2006/main" count="1163" uniqueCount="397">
  <si>
    <t>DATA SALES ON SEPTEMBER</t>
  </si>
  <si>
    <t>TOTAL DATE</t>
  </si>
  <si>
    <t>TO DATE</t>
  </si>
  <si>
    <t>TIME GONE</t>
  </si>
  <si>
    <t>TARGET SEPTEMBER</t>
  </si>
  <si>
    <t>ACHIEVEMENT</t>
  </si>
  <si>
    <t>ESTIMASI ACHIEVEMENT</t>
  </si>
  <si>
    <t>DAILY TARGET</t>
  </si>
  <si>
    <t>IQOO</t>
  </si>
  <si>
    <t>GROWTH</t>
  </si>
  <si>
    <t>VAS</t>
  </si>
  <si>
    <t>ACC</t>
  </si>
  <si>
    <t>QOALA</t>
  </si>
  <si>
    <t>BCA INSURANCE</t>
  </si>
  <si>
    <t>INDOSAT</t>
  </si>
  <si>
    <t>TELKOMSEL</t>
  </si>
  <si>
    <t>NO</t>
  </si>
  <si>
    <t>AREA</t>
  </si>
  <si>
    <t>ID Store</t>
  </si>
  <si>
    <t>NAMA TOKO</t>
  </si>
  <si>
    <t>JML PC</t>
  </si>
  <si>
    <t>ALL TYPE</t>
  </si>
  <si>
    <t>ESTIMATE</t>
  </si>
  <si>
    <t>3MIO+</t>
  </si>
  <si>
    <t>VALUE</t>
  </si>
  <si>
    <t>ASP</t>
  </si>
  <si>
    <t>TARGET
ACC</t>
  </si>
  <si>
    <t>ACH</t>
  </si>
  <si>
    <t>%</t>
  </si>
  <si>
    <t>TARGET
QOALA</t>
  </si>
  <si>
    <t>TARGET
BCA INS</t>
  </si>
  <si>
    <t>TARGET
INDOSAT</t>
  </si>
  <si>
    <t>TARGET
TELKOM</t>
  </si>
  <si>
    <t>GAP</t>
  </si>
  <si>
    <t>Y31 &amp; Y500</t>
  </si>
  <si>
    <t>3MIO+
IN ALL TYPE</t>
  </si>
  <si>
    <t>AUGUST</t>
  </si>
  <si>
    <t>SEPTEMBER</t>
  </si>
  <si>
    <t>JU</t>
  </si>
  <si>
    <t>601 雅加达西北 JKT BU</t>
  </si>
  <si>
    <t>NANDI FEBRIANA</t>
  </si>
  <si>
    <t>ANGGARIA</t>
  </si>
  <si>
    <t>NUR IRAWATI</t>
  </si>
  <si>
    <t>M KHOIRUDIN</t>
  </si>
  <si>
    <t>HERRU ILYASA</t>
  </si>
  <si>
    <t>NOVIA HARYANTI</t>
  </si>
  <si>
    <t>604 雅加达东南 JKT TS</t>
  </si>
  <si>
    <t>Erlangga Praditya</t>
  </si>
  <si>
    <t>605 勿加泗 BEKASI</t>
  </si>
  <si>
    <t>M RIZKI</t>
  </si>
  <si>
    <t>618 茂物 BOGOR</t>
  </si>
  <si>
    <t>DANDI SURYA</t>
  </si>
  <si>
    <t>624-万丹BANTEN</t>
  </si>
  <si>
    <t>ARIES FITRIYANTO</t>
  </si>
  <si>
    <t>DHANI EKO NUGROHO</t>
  </si>
  <si>
    <t>DWI IRAWAN ( PIC )</t>
  </si>
  <si>
    <t>ADE RIVALDI L</t>
  </si>
  <si>
    <t>619-万隆市区BDG KOTA</t>
  </si>
  <si>
    <t>EKO PURWANTO</t>
  </si>
  <si>
    <t>NENG TOTOH</t>
  </si>
  <si>
    <t>615-中爪哇东SOLO</t>
  </si>
  <si>
    <t>BIRILYAN KUSWARA</t>
  </si>
  <si>
    <t>中爪哇西 - Purwokerto</t>
  </si>
  <si>
    <t>FRISKA FAJAR</t>
  </si>
  <si>
    <t>614 三宝垄 Semarang</t>
  </si>
  <si>
    <t>VICKY DINDA INEZ</t>
  </si>
  <si>
    <t>EDI SUSANTO</t>
  </si>
  <si>
    <t>TOTAL</t>
  </si>
  <si>
    <t>SALES QTY &amp; VALUE PER TYPE - PERBANDINGAN SEPTEMBER vs AGUSTUS (LINKED FROM PIVOT)</t>
  </si>
  <si>
    <t>Helper: Y11d(3mio&gt;) col idx</t>
  </si>
  <si>
    <t>Sheet Bulan Lalu (Pembanding):</t>
  </si>
  <si>
    <t>Sales per type agustus</t>
  </si>
  <si>
    <t>3mio&lt;</t>
  </si>
  <si>
    <t>3mio&gt;</t>
  </si>
  <si>
    <t>3mio&lt; (Agustus only)</t>
  </si>
  <si>
    <t>3mio&gt; (Agustus only)</t>
  </si>
  <si>
    <t>ID STORE</t>
  </si>
  <si>
    <t>HEADSTORE</t>
  </si>
  <si>
    <t>Y05</t>
  </si>
  <si>
    <t>Y11d</t>
  </si>
  <si>
    <t>Watch GT 2</t>
  </si>
  <si>
    <t>Y05e</t>
  </si>
  <si>
    <t>V70</t>
  </si>
  <si>
    <t>Y31d Pro</t>
  </si>
  <si>
    <t>Y11d (3mio&gt;)</t>
  </si>
  <si>
    <t>Y31d (v1)</t>
  </si>
  <si>
    <t>V70 FE</t>
  </si>
  <si>
    <t>Y31d (v2)</t>
  </si>
  <si>
    <t>Y500</t>
  </si>
  <si>
    <t>IQOO 15R</t>
  </si>
  <si>
    <t>V60 Lite</t>
  </si>
  <si>
    <t>X300 Ultra</t>
  </si>
  <si>
    <t>IQOO 15</t>
  </si>
  <si>
    <t>IQOO Z11x</t>
  </si>
  <si>
    <t>IQOO Z11</t>
  </si>
  <si>
    <t>WATCH 3</t>
  </si>
  <si>
    <t>X Fold5</t>
  </si>
  <si>
    <t>X300 PRO</t>
  </si>
  <si>
    <t>X300</t>
  </si>
  <si>
    <t>Qty September</t>
  </si>
  <si>
    <t>Qty Agustus</t>
  </si>
  <si>
    <t>Selisih Qty</t>
  </si>
  <si>
    <t>Value September</t>
  </si>
  <si>
    <t>Value Agustus</t>
  </si>
  <si>
    <t>Selisih Value</t>
  </si>
  <si>
    <t>MIX</t>
  </si>
  <si>
    <t>vs BULAN LALU · 3MIO+</t>
  </si>
  <si>
    <t>vs BULAN LALU · ALL TYPE</t>
  </si>
  <si>
    <t>HS</t>
  </si>
  <si>
    <t>STORE</t>
  </si>
  <si>
    <t>PROMOTOR</t>
  </si>
  <si>
    <t>EST</t>
  </si>
  <si>
    <t>% 3MIO+ / ALL</t>
  </si>
  <si>
    <t>QTY</t>
  </si>
  <si>
    <t>Aug</t>
  </si>
  <si>
    <t>Qty</t>
  </si>
  <si>
    <t>601-雅加达西 JAKBAR</t>
  </si>
  <si>
    <t>6010701-MVS ROXY SHOWROOM 21</t>
  </si>
  <si>
    <t>PUTRI SUPRIHATIN</t>
  </si>
  <si>
    <t xml:space="preserve"> RONI</t>
  </si>
  <si>
    <t>TIYAS WINARNI</t>
  </si>
  <si>
    <t>BINY PRAYOGO</t>
  </si>
  <si>
    <t>HAVIS SINUS FAUZAN</t>
  </si>
  <si>
    <t>ABDUL FALAH</t>
  </si>
  <si>
    <t>6010702-ME ROXY PAMERAN TIMUR</t>
  </si>
  <si>
    <t>BELLA MAYA SAFIRA</t>
  </si>
  <si>
    <t>HERMAN SUPRIYATIN</t>
  </si>
  <si>
    <t>RIKY</t>
  </si>
  <si>
    <t>VICKY ARIANSYAH</t>
  </si>
  <si>
    <t>HESTI AMELIA</t>
  </si>
  <si>
    <t>DIAWAN SAPUTRA</t>
  </si>
  <si>
    <t>6010703-VIVO STORE WINSHOP</t>
  </si>
  <si>
    <t>NUR IMAM ATTARMIDZI</t>
  </si>
  <si>
    <t>ZIONIS ILHAMI DAKHI</t>
  </si>
  <si>
    <t>CEPTIANA JUNIAR</t>
  </si>
  <si>
    <t>6010708-MVS SHOWROOM CENTRAL PARK</t>
  </si>
  <si>
    <t xml:space="preserve"> SITI ROHMAH</t>
  </si>
  <si>
    <t xml:space="preserve"> fitri adelia</t>
  </si>
  <si>
    <t xml:space="preserve"> Hervanny trisiana</t>
  </si>
  <si>
    <t>A100303-PAMERAN UTARA</t>
  </si>
  <si>
    <t>ANDES SAPUTRA</t>
  </si>
  <si>
    <t>M HUSNI HASIM</t>
  </si>
  <si>
    <t>FRISKI FERNANDO</t>
  </si>
  <si>
    <t>IVAN PAHLEVI SARAGIH</t>
  </si>
  <si>
    <t>MUHAMMAD RIZKI HIDAYAT</t>
  </si>
  <si>
    <t>SELLY DARWIS</t>
  </si>
  <si>
    <t>ROSITA</t>
  </si>
  <si>
    <t>A100304-PAMERAN SELATAN</t>
  </si>
  <si>
    <t>APUD MAHPUDIN</t>
  </si>
  <si>
    <t>Dean dika putra mona</t>
  </si>
  <si>
    <t>MAT AMIN</t>
  </si>
  <si>
    <t>6010711-LIPPO MALL PURI 1FK02</t>
  </si>
  <si>
    <t xml:space="preserve">SENDI ALFAZRI </t>
  </si>
  <si>
    <t>FIRDA NAZMA NURFADILAH</t>
  </si>
  <si>
    <t>ZAINUL MUSTOFA</t>
  </si>
  <si>
    <t>602-雅加达北 JAKUT</t>
  </si>
  <si>
    <t>Novia Haryanti</t>
  </si>
  <si>
    <t>6020704-MVS CEMPAKA SHOWROOM 14 (8TOKO)</t>
  </si>
  <si>
    <t>NURFITRIYANA</t>
  </si>
  <si>
    <t>ALIA NASYABILA</t>
  </si>
  <si>
    <t>6020706-MVS CEMPAKA SHOWROOM 2 (454)</t>
  </si>
  <si>
    <t>MOHAMAD YUSUF</t>
  </si>
  <si>
    <t>MUHYIDDIN</t>
  </si>
  <si>
    <t>RINI APRIANI</t>
  </si>
  <si>
    <t>M KHORUDIN</t>
  </si>
  <si>
    <t>6020711-vivostore emporium</t>
  </si>
  <si>
    <t>INA HIDAYAH</t>
  </si>
  <si>
    <t>ARIF IRAWAN</t>
  </si>
  <si>
    <t>SERNIKA LAIA</t>
  </si>
  <si>
    <t>604-雅加达南JKT SEL</t>
  </si>
  <si>
    <t>ERLANGGA PRADITYA</t>
  </si>
  <si>
    <t>A200402-ITC-VIVO STORE 1</t>
  </si>
  <si>
    <t>ASTRI ALFIANI</t>
  </si>
  <si>
    <t>MUHAMAD RIZKI SAPUTRA</t>
  </si>
  <si>
    <t>6080712-MVS ITC DEPOK VIVO STORE 2</t>
  </si>
  <si>
    <t>DEVI APRIANTI</t>
  </si>
  <si>
    <t>winda amalia</t>
  </si>
  <si>
    <t>606-雅加达南JKT SEL</t>
  </si>
  <si>
    <t>6040702-TRAN STUDIO MALL 2F059</t>
  </si>
  <si>
    <t>WIRA ADITYA SETIADI</t>
  </si>
  <si>
    <t>6040703-SAWANGAN 1F1-0320</t>
  </si>
  <si>
    <t>KARLES KADAPI</t>
  </si>
  <si>
    <t>KHOLIPAH</t>
  </si>
  <si>
    <t>605-勿加泗市区BKS KOTA</t>
  </si>
  <si>
    <t>6050701-MVS X6 DS0824</t>
  </si>
  <si>
    <t>AGUS WARDONO PUTRO</t>
  </si>
  <si>
    <t>PUTRI ANGGRIANI</t>
  </si>
  <si>
    <t>606-勿加泗市区BKS KOTA</t>
  </si>
  <si>
    <t>6050705-MBH 2F009</t>
  </si>
  <si>
    <t>MIFTAHUL HUDA</t>
  </si>
  <si>
    <t>SYAIRUL ACHMAT HIDAYAT</t>
  </si>
  <si>
    <t>6050706-AEON MALL DELTAMAS 1F081</t>
  </si>
  <si>
    <t>INTAN SEPIATUL HASANAH</t>
  </si>
  <si>
    <t>JULIANA JAYANA</t>
  </si>
  <si>
    <t>6220701-MVS MBH-VIP VIVO STORE-DD284</t>
  </si>
  <si>
    <t>SANTI ANGGRAENI</t>
  </si>
  <si>
    <t>NARIAH AMBARWATI</t>
  </si>
  <si>
    <t>610-YOGYAKARTA</t>
  </si>
  <si>
    <t>6100702-VS Jogja City Mall</t>
  </si>
  <si>
    <t>RIZAL SACHRANIE</t>
  </si>
  <si>
    <t>6130702-RITA SUPERMALL SF36-37</t>
  </si>
  <si>
    <t>AKHMAD ARIFUDIN</t>
  </si>
  <si>
    <t>LISSA AYU HANDHINI</t>
  </si>
  <si>
    <t>614-三宝垄SEMARANG</t>
  </si>
  <si>
    <t>6140705-QUEENCITY 2F027</t>
  </si>
  <si>
    <t>DIMAS RASYID ASHARI</t>
  </si>
  <si>
    <t>JESSICA MALVA NYSA</t>
  </si>
  <si>
    <t>CINTIA DAMAYANTI</t>
  </si>
  <si>
    <t>INTAN DIAH PRIMATARI</t>
  </si>
  <si>
    <t>VICKY INEZ</t>
  </si>
  <si>
    <t>6140706-23 SEMARANG MALL 1F065-66</t>
  </si>
  <si>
    <t>DHEA AMALIA</t>
  </si>
  <si>
    <t>DEZNA DANI PRADIPTA</t>
  </si>
  <si>
    <t>WAHYU TRI UTOMO</t>
  </si>
  <si>
    <t>618-BOGOR</t>
  </si>
  <si>
    <t>6180706-MVS MALL CCM</t>
  </si>
  <si>
    <t>LAILA SAMIA</t>
  </si>
  <si>
    <t>mohamad sofiyan</t>
  </si>
  <si>
    <t>KAYLA NURAULIA YAZMAN</t>
  </si>
  <si>
    <t>6180707-SC BTM</t>
  </si>
  <si>
    <t>Ardhila Riyana suci purwandari</t>
  </si>
  <si>
    <t>6190701-VIVO STORE UG</t>
  </si>
  <si>
    <t>RICKY KURNIAWAN</t>
  </si>
  <si>
    <t>SUSAN SUSANTI</t>
  </si>
  <si>
    <t>A300201-VIVO STORE 1 BEC</t>
  </si>
  <si>
    <t>SHONA LUGISTIN</t>
  </si>
  <si>
    <t>SUHERMAN ARISMAWAN</t>
  </si>
  <si>
    <t>DEA SINDRA</t>
  </si>
  <si>
    <t>A300105-VIVO STORE LG F20</t>
  </si>
  <si>
    <t>PUTERY FATIMAH AZZAHRA</t>
  </si>
  <si>
    <t>PUTRI NOVALINDA SUGANDA</t>
  </si>
  <si>
    <t>A300102-VIVO STORE 4 BEC</t>
  </si>
  <si>
    <t>DWI ANGGRAENI</t>
  </si>
  <si>
    <t>ERI NURAJAB</t>
  </si>
  <si>
    <t>WIRA WIRAHMAN</t>
  </si>
  <si>
    <t>DIAN HARYANTO</t>
  </si>
  <si>
    <t>A300202-VIVO STORE LU</t>
  </si>
  <si>
    <t>AGUSTIAN</t>
  </si>
  <si>
    <t>MELLY SHABILLA</t>
  </si>
  <si>
    <t>ASIPA RAHMAWATI</t>
  </si>
  <si>
    <t>TEGUH FIRMANSYAH</t>
  </si>
  <si>
    <t>6190708-BEC SC LGAA07</t>
  </si>
  <si>
    <t>ANTON RENDI SUKMANA</t>
  </si>
  <si>
    <t>623-唐格朗东TANG TIM</t>
  </si>
  <si>
    <t>A200802-CHARLES</t>
  </si>
  <si>
    <t>HERIANTO NDRURU</t>
  </si>
  <si>
    <t>NILAM SARI</t>
  </si>
  <si>
    <t>SITI MELIANI</t>
  </si>
  <si>
    <t>ARIES FETRIYANTO</t>
  </si>
  <si>
    <t>6170707-LG BLOK D NO. 01D SKY 7</t>
  </si>
  <si>
    <t>ANISA AGUSTIN</t>
  </si>
  <si>
    <t>DION FATULLAH</t>
  </si>
  <si>
    <t>VIOLA AGUSTIN</t>
  </si>
  <si>
    <t>A200803-LG BLOK A-B NO. 12 SKY 5</t>
  </si>
  <si>
    <t>MUHAMMAD MUDZAKIR</t>
  </si>
  <si>
    <t>RIFKI PRAYOGAA</t>
  </si>
  <si>
    <t>MILA TUJUHRO</t>
  </si>
  <si>
    <t>A200902-LG BLOK B NO. 01B SKY M3</t>
  </si>
  <si>
    <t>MUHAMAD HILMAN</t>
  </si>
  <si>
    <t>SRI AFRIYANTI</t>
  </si>
  <si>
    <t>YOGA ADITIA</t>
  </si>
  <si>
    <t>6240703-TANGCITY LG009 CENTER</t>
  </si>
  <si>
    <t>ELFINTA VIANTI</t>
  </si>
  <si>
    <t>NABILA SALSABILA</t>
  </si>
  <si>
    <t>MUHAMAD YUSUF</t>
  </si>
  <si>
    <t>6240704-TANGCITY LG017 WEST LOBBY</t>
  </si>
  <si>
    <t xml:space="preserve"> Fatimah</t>
  </si>
  <si>
    <t>NANI SUPRIYANTI</t>
  </si>
  <si>
    <t>DANFY INDRAWAN</t>
  </si>
  <si>
    <t>6240705-CIPUTRA 2FC15仓库</t>
  </si>
  <si>
    <t>RIZKY ALFIANSYAH</t>
  </si>
  <si>
    <t>6240706-SUPERMALL 1FC3A</t>
  </si>
  <si>
    <t>ZAKIYATUL MUNAWAROH</t>
  </si>
  <si>
    <t>TIO SAPUTRA</t>
  </si>
  <si>
    <t>6240707-SUPERMALL UGN3A仓库</t>
  </si>
  <si>
    <t>SASFA LUNA ANDUNG</t>
  </si>
  <si>
    <t>Mahmudin</t>
  </si>
  <si>
    <t>6240708-ITC BSD 1F09-14</t>
  </si>
  <si>
    <t>DEWI ASTRIAWANTI</t>
  </si>
  <si>
    <t>SITI NURDIANTY SHOLIHAH</t>
  </si>
  <si>
    <t>6240709-ITC BSD 1F49-50</t>
  </si>
  <si>
    <t>Gilang Ramadhan</t>
  </si>
  <si>
    <t>615-SOLO</t>
  </si>
  <si>
    <t>6150702-GRANMALL SC GF-11</t>
  </si>
  <si>
    <t>AMANDA AULIA SHOLIKHAH</t>
  </si>
  <si>
    <t>JIHAN PAHERA ALPIA</t>
  </si>
  <si>
    <t>627-西冷 SERANG</t>
  </si>
  <si>
    <t>6170703-4004 MVS-BNT-CCM STORE</t>
  </si>
  <si>
    <t>DWI IRAWAN ALDILA JULIANSYAH</t>
  </si>
  <si>
    <t>SILVIA AYU LESTARI</t>
  </si>
  <si>
    <t>Tgl</t>
  </si>
  <si>
    <t>Segment Price</t>
  </si>
  <si>
    <t>Values</t>
  </si>
  <si>
    <t>01/09/26 Sum of Qty</t>
  </si>
  <si>
    <t>01/09/26 Sum of SRP</t>
  </si>
  <si>
    <t>02/09/26 Sum of Qty</t>
  </si>
  <si>
    <t>02/09/26 Sum of SRP</t>
  </si>
  <si>
    <t>Total Sum of Qty</t>
  </si>
  <si>
    <t>Total Sum of SRP</t>
  </si>
  <si>
    <t>Store</t>
  </si>
  <si>
    <t>Sum of Qty</t>
  </si>
  <si>
    <t>Sum of SRP</t>
  </si>
  <si>
    <t>6170707-TANGCITY LG BLOK D NO. 01D</t>
  </si>
  <si>
    <t>6240702-TANGCITY LG BLOK B NO. 01B</t>
  </si>
  <si>
    <t>6240701-TANGCITY LG BLOK A-B NO. 12</t>
  </si>
  <si>
    <t>6240704-TANGCITY LG017</t>
  </si>
  <si>
    <t>6240703-TANGCITY LG009</t>
  </si>
  <si>
    <t>6240707-KARAWACI UGN3A</t>
  </si>
  <si>
    <t>6240706-KARAWACI 1FC3A</t>
  </si>
  <si>
    <t>6240705-CIPUTRA 2FC15</t>
  </si>
  <si>
    <t>6170706-TANGCITY CHARLES</t>
  </si>
  <si>
    <t>6220701-MBH-VIP VIVO STORE-DD284</t>
  </si>
  <si>
    <t>6050701-BCP VS X6 DS0824</t>
  </si>
  <si>
    <t>6190704-BEC VIVO STORE 1</t>
  </si>
  <si>
    <t>6190701-BEC VIVO STORE UG</t>
  </si>
  <si>
    <t>6190706-BEC VIVO STORE 4</t>
  </si>
  <si>
    <t>6190707-BEC VIVO STORE LU</t>
  </si>
  <si>
    <t>6190705-BEC VIVO STORE LG F20</t>
  </si>
  <si>
    <t>6180706-MALL CCM VIVO STORE</t>
  </si>
  <si>
    <t>6180707-BTM SC VIVO STORE</t>
  </si>
  <si>
    <t>6040701-ITC DEPOK VIVO STORE 1</t>
  </si>
  <si>
    <t>6080712-ITC DEPOK VIVO STORE 2</t>
  </si>
  <si>
    <t>6020711-EMPORIUM VIVO STORE</t>
  </si>
  <si>
    <t>6020706-CEMPAKA SHOWROOM 2 (454)</t>
  </si>
  <si>
    <t>6020704-CEMPAKA SHOWROOM 14(8TOKO)</t>
  </si>
  <si>
    <t>6010708-CENTRAL PARK SHOWROOM</t>
  </si>
  <si>
    <t>6010703-ROXY VS WINSHOP</t>
  </si>
  <si>
    <t>6010702-ROXY PAMERAN TIMUR</t>
  </si>
  <si>
    <t>6010701-ROXY SHOWROOM 21</t>
  </si>
  <si>
    <t>6010710-ROXY PAMERAN SELATAN</t>
  </si>
  <si>
    <t>6010709-ROXY PAMERAN UTARA</t>
  </si>
  <si>
    <t>Grand Total</t>
  </si>
  <si>
    <t>TARGET (Rp)</t>
  </si>
  <si>
    <t>ACH (Rp)</t>
  </si>
  <si>
    <t>WAHYU FIRMANSYAH</t>
  </si>
  <si>
    <t>APRIANSYAH</t>
  </si>
  <si>
    <t>NATASYA BUNGA LESTARI</t>
  </si>
  <si>
    <t>Sept</t>
  </si>
  <si>
    <t>03/09/26 Sum of Qty</t>
  </si>
  <si>
    <t>03/09/26 Sum of SRP</t>
  </si>
  <si>
    <t>6100702-Jogja City Mall VIVO STORE</t>
  </si>
  <si>
    <t>04/09/26 Sum of Qty</t>
  </si>
  <si>
    <t>04/09/26 Sum of SRP</t>
  </si>
  <si>
    <t>6170703-BNT-CCM VIVO STORE</t>
  </si>
  <si>
    <t>06/09/26 Sum of Qty</t>
  </si>
  <si>
    <t>06/09/26 Sum of SRP</t>
  </si>
  <si>
    <t>05/09/26 Sum of Qty</t>
  </si>
  <si>
    <t>05/09/26 Sum of SRP</t>
  </si>
  <si>
    <t>07/09/26 Sum of Qty</t>
  </si>
  <si>
    <t>07/09/26 Sum of SRP</t>
  </si>
  <si>
    <t>08/09/26 Sum of Qty</t>
  </si>
  <si>
    <t>08/09/26 Sum of SRP</t>
  </si>
  <si>
    <t>09/09/26 Sum of Qty</t>
  </si>
  <si>
    <t>09/09/26 Sum of SRP</t>
  </si>
  <si>
    <t>10/09/26 Sum of Qty</t>
  </si>
  <si>
    <t>10/09/26 Sum of SRP</t>
  </si>
  <si>
    <t>11/09/26 Sum of Qty</t>
  </si>
  <si>
    <t>11/09/26 Sum of SRP</t>
  </si>
  <si>
    <t>13/09/26 Sum of Qty</t>
  </si>
  <si>
    <t>13/09/26 Sum of SRP</t>
  </si>
  <si>
    <t>12/09/26 Sum of Qty</t>
  </si>
  <si>
    <t>12/09/26 Sum of SRP</t>
  </si>
  <si>
    <t>6140703-ML-VIVO STORE MEGA STORE</t>
  </si>
  <si>
    <t>EDI SUSANTO (PIC)</t>
  </si>
  <si>
    <t>623-Tegal</t>
  </si>
  <si>
    <t>6130703-SC TEGAL PWKT</t>
  </si>
  <si>
    <t>17/09/26 Sum of Qty</t>
  </si>
  <si>
    <t>17/09/26 Sum of SRP</t>
  </si>
  <si>
    <t>16/09/26 Sum of Qty</t>
  </si>
  <si>
    <t>16/09/26 Sum of SRP</t>
  </si>
  <si>
    <t>15/09/26 Sum of Qty</t>
  </si>
  <si>
    <t>15/09/26 Sum of SRP</t>
  </si>
  <si>
    <t>14/09/26 Sum of Qty</t>
  </si>
  <si>
    <t>14/09/26 Sum of SRP</t>
  </si>
  <si>
    <t>#N/A</t>
  </si>
  <si>
    <t>19/09/26 Sum of Qty</t>
  </si>
  <si>
    <t>19/09/26 Sum of SRP</t>
  </si>
  <si>
    <t>18/09/26 Sum of Qty</t>
  </si>
  <si>
    <t>18/09/26 Sum of SRP</t>
  </si>
  <si>
    <t>20/09/26 Sum of Qty</t>
  </si>
  <si>
    <t>20/09/26 Sum of SRP</t>
  </si>
  <si>
    <t>21/09/26 Sum of Qty</t>
  </si>
  <si>
    <t>21/09/26 Sum of SRP</t>
  </si>
  <si>
    <t>22/09/26 Sum of Qty</t>
  </si>
  <si>
    <t>22/09/26 Sum of SRP</t>
  </si>
  <si>
    <t>23/09/26 Sum of Qty</t>
  </si>
  <si>
    <t>23/09/26 Sum of SRP</t>
  </si>
  <si>
    <t>24/09/26 Sum of Qty</t>
  </si>
  <si>
    <t>24/09/26 Sum of SRP</t>
  </si>
  <si>
    <t>25/09/26 Sum of Qty</t>
  </si>
  <si>
    <t>25/09/26 Sum of SRP</t>
  </si>
  <si>
    <t>27/09/26 Sum of Qty</t>
  </si>
  <si>
    <t>27/09/26 Sum of SRP</t>
  </si>
  <si>
    <t>26/09/26 Sum of Qty</t>
  </si>
  <si>
    <t>26/09/26 Sum of SRP</t>
  </si>
  <si>
    <t>28/09/26 Sum of Qty</t>
  </si>
  <si>
    <t>28/09/26 Sum of 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</si>
</sst>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_-;\-[$Rp-421]* #,##0_-;_-[$Rp-421]* &quot;-&quot;_-;_-@_-"/>
    <numFmt numFmtId="165" formatCode="&quot;Rp &quot;#,##0,,&quot; jt&quot;"/>
    <numFmt numFmtId="166" formatCode="&quot;Rp &quot;#,##0.0,,&quot; jt&quot;"/>
    <numFmt numFmtId="167" formatCode="#,##0;\(#,##0\);\-"/>
    <numFmt numFmtId="168" formatCode="[$-13809]dd\ mmmm\ yyyy;@"/>
  </numFmts>
  <fonts count="35" x14ac:knownFonts="1">
    <font>
      <sz val="12"/>
      <color theme="1"/>
      <name val="Aptos Narrow"/>
      <charset val="134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color rgb="FF000000"/>
      <name val="Arial"/>
      <family val="2"/>
    </font>
    <font>
      <sz val="12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1F497D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color rgb="FF595959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7609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rgb="FF404040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/>
      <top style="medium">
        <color rgb="FF404040"/>
      </top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/>
      <right/>
      <top style="medium">
        <color rgb="FF404040"/>
      </top>
      <bottom style="thin">
        <color rgb="FFD9D9D9"/>
      </bottom>
      <diagonal/>
    </border>
    <border>
      <left/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 style="medium">
        <color rgb="FF404040"/>
      </top>
      <bottom style="thin">
        <color rgb="FFD9D9D9"/>
      </bottom>
      <diagonal/>
    </border>
    <border>
      <left style="medium">
        <color rgb="FF404040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/>
      <top style="thin">
        <color rgb="FFD9D9D9"/>
      </top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/>
      <top style="thin">
        <color rgb="FFD9D9D9"/>
      </top>
      <bottom/>
      <diagonal/>
    </border>
    <border>
      <left style="medium">
        <color rgb="FF808080"/>
      </left>
      <right style="thin">
        <color rgb="FFECECEC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 style="medium">
        <color rgb="FF404040"/>
      </right>
      <top style="thin">
        <color rgb="FFD9D9D9"/>
      </top>
      <bottom/>
      <diagonal/>
    </border>
    <border>
      <left style="medium">
        <color rgb="FF404040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/>
      <top style="thin">
        <color rgb="FFD9D9D9"/>
      </top>
      <bottom style="medium">
        <color rgb="FF404040"/>
      </bottom>
      <diagonal/>
    </border>
    <border>
      <left style="medium">
        <color rgb="FF808080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/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 style="medium">
        <color rgb="FF404040"/>
      </right>
      <top style="thin">
        <color rgb="FFD9D9D9"/>
      </top>
      <bottom style="medium">
        <color rgb="FF404040"/>
      </bottom>
      <diagonal/>
    </border>
    <border>
      <left style="medium">
        <color rgb="FF404040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/>
      <top/>
      <bottom style="thin">
        <color rgb="FFD9D9D9"/>
      </bottom>
      <diagonal/>
    </border>
    <border>
      <left style="medium">
        <color rgb="FF808080"/>
      </left>
      <right/>
      <top/>
      <bottom style="thin">
        <color rgb="FFD9D9D9"/>
      </bottom>
      <diagonal/>
    </border>
    <border>
      <left style="medium">
        <color rgb="FFBF8F00"/>
      </left>
      <right/>
      <top style="medium">
        <color rgb="FF404040"/>
      </top>
      <bottom style="thin">
        <color rgb="FFD9D9D9"/>
      </bottom>
      <diagonal/>
    </border>
    <border>
      <left style="medium">
        <color rgb="FFBF8F00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 style="medium">
        <color rgb="FFBF8F00"/>
      </right>
      <top style="medium">
        <color rgb="FF404040"/>
      </top>
      <bottom style="thin">
        <color rgb="FFD9D9D9"/>
      </bottom>
      <diagonal/>
    </border>
    <border>
      <left/>
      <right style="thin">
        <color rgb="FFECECEC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BF8F00"/>
      </left>
      <right style="medium">
        <color rgb="FFBF8F00"/>
      </right>
      <top style="medium">
        <color rgb="FF404040"/>
      </top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/>
      <bottom style="thin">
        <color rgb="FFD9D9D9"/>
      </bottom>
      <diagonal/>
    </border>
    <border>
      <left style="medium">
        <color rgb="FFBF8F00"/>
      </left>
      <right/>
      <top/>
      <bottom style="thin">
        <color rgb="FFD9D9D9"/>
      </bottom>
      <diagonal/>
    </border>
    <border>
      <left style="medium">
        <color rgb="FFBF8F00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 style="medium">
        <color rgb="FFBF8F00"/>
      </right>
      <top/>
      <bottom style="thin">
        <color rgb="FFD9D9D9"/>
      </bottom>
      <diagonal/>
    </border>
    <border>
      <left style="medium">
        <color rgb="FFBF8F00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medium">
        <color rgb="FFBF8F00"/>
      </right>
      <top style="thin">
        <color rgb="FFD9D9D9"/>
      </top>
      <bottom style="thin">
        <color rgb="FFD9D9D9"/>
      </bottom>
      <diagonal/>
    </border>
    <border>
      <left style="medium">
        <color rgb="FFBF8F00"/>
      </left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 style="medium">
        <color rgb="FFBF8F00"/>
      </right>
      <top style="thin">
        <color rgb="FFD9D9D9"/>
      </top>
      <bottom/>
      <diagonal/>
    </border>
    <border>
      <left style="medium">
        <color rgb="FF404040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/>
      <top style="medium">
        <color rgb="FF404040"/>
      </top>
      <bottom style="medium">
        <color rgb="FF404040"/>
      </bottom>
      <diagonal/>
    </border>
    <border>
      <left style="medium">
        <color rgb="FF808080"/>
      </left>
      <right/>
      <top style="medium">
        <color rgb="FF404040"/>
      </top>
      <bottom style="medium">
        <color rgb="FF404040"/>
      </bottom>
      <diagonal/>
    </border>
    <border>
      <left style="medium">
        <color rgb="FFBF8F00"/>
      </left>
      <right/>
      <top style="medium">
        <color rgb="FF404040"/>
      </top>
      <bottom style="medium">
        <color rgb="FF404040"/>
      </bottom>
      <diagonal/>
    </border>
    <border>
      <left style="medium">
        <color rgb="FFBF8F00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/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 style="medium">
        <color rgb="FFBF8F00"/>
      </right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medium">
        <color rgb="FFBF8F00"/>
      </left>
      <right style="medium">
        <color rgb="FFBF8F00"/>
      </right>
      <top style="medium">
        <color rgb="FF404040"/>
      </top>
      <bottom style="medium">
        <color rgb="FF404040"/>
      </bottom>
      <diagonal/>
    </border>
    <border>
      <left style="medium">
        <color rgb="FF808080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0" fillId="0" borderId="0"/>
    <xf numFmtId="0" fontId="10" fillId="0" borderId="0"/>
  </cellStyleXfs>
  <cellXfs count="330">
    <xf numFmtId="0" fontId="0" fillId="0" borderId="0" xfId="0"/>
    <xf numFmtId="0" fontId="1" fillId="0" borderId="4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164" fontId="2" fillId="0" borderId="5" xfId="0" applyNumberFormat="1" applyFont="1" applyBorder="1"/>
    <xf numFmtId="0" fontId="5" fillId="0" borderId="1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2" fontId="9" fillId="0" borderId="27" xfId="0" applyNumberFormat="1" applyFont="1" applyBorder="1"/>
    <xf numFmtId="0" fontId="6" fillId="0" borderId="19" xfId="0" applyFont="1" applyBorder="1" applyAlignment="1">
      <alignment horizontal="left" vertical="center"/>
    </xf>
    <xf numFmtId="0" fontId="9" fillId="0" borderId="29" xfId="0" applyFont="1" applyBorder="1"/>
    <xf numFmtId="0" fontId="2" fillId="0" borderId="31" xfId="0" applyFont="1" applyBorder="1"/>
    <xf numFmtId="0" fontId="9" fillId="0" borderId="31" xfId="0" applyFont="1" applyBorder="1"/>
    <xf numFmtId="0" fontId="6" fillId="0" borderId="19" xfId="0" applyFont="1" applyBorder="1"/>
    <xf numFmtId="1" fontId="6" fillId="0" borderId="19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/>
    </xf>
    <xf numFmtId="2" fontId="6" fillId="0" borderId="27" xfId="0" applyNumberFormat="1" applyFont="1" applyBorder="1"/>
    <xf numFmtId="2" fontId="9" fillId="0" borderId="35" xfId="0" applyNumberFormat="1" applyFont="1" applyBorder="1"/>
    <xf numFmtId="2" fontId="9" fillId="0" borderId="33" xfId="0" applyNumberFormat="1" applyFont="1" applyBorder="1"/>
    <xf numFmtId="0" fontId="6" fillId="0" borderId="1" xfId="0" applyFont="1" applyBorder="1" applyAlignment="1">
      <alignment vertical="center"/>
    </xf>
    <xf numFmtId="0" fontId="3" fillId="4" borderId="41" xfId="0" applyFont="1" applyFill="1" applyBorder="1" applyAlignment="1">
      <alignment vertical="center"/>
    </xf>
    <xf numFmtId="0" fontId="10" fillId="0" borderId="0" xfId="3"/>
    <xf numFmtId="0" fontId="12" fillId="0" borderId="0" xfId="3" applyFont="1"/>
    <xf numFmtId="0" fontId="13" fillId="0" borderId="0" xfId="3" applyFont="1"/>
    <xf numFmtId="0" fontId="12" fillId="11" borderId="0" xfId="0" applyFont="1" applyFill="1" applyAlignment="1">
      <alignment horizontal="center" wrapText="1"/>
    </xf>
    <xf numFmtId="0" fontId="12" fillId="11" borderId="19" xfId="0" applyFont="1" applyFill="1" applyBorder="1" applyAlignment="1">
      <alignment horizontal="center" wrapText="1"/>
    </xf>
    <xf numFmtId="0" fontId="15" fillId="0" borderId="19" xfId="3" applyFont="1" applyBorder="1" applyAlignment="1">
      <alignment horizontal="center"/>
    </xf>
    <xf numFmtId="0" fontId="15" fillId="0" borderId="19" xfId="3" applyFont="1" applyBorder="1"/>
    <xf numFmtId="167" fontId="0" fillId="0" borderId="19" xfId="0" applyNumberFormat="1" applyBorder="1"/>
    <xf numFmtId="0" fontId="12" fillId="12" borderId="19" xfId="3" applyFont="1" applyFill="1" applyBorder="1"/>
    <xf numFmtId="167" fontId="12" fillId="12" borderId="19" xfId="0" applyNumberFormat="1" applyFont="1" applyFill="1" applyBorder="1"/>
    <xf numFmtId="168" fontId="5" fillId="16" borderId="70" xfId="0" applyNumberFormat="1" applyFont="1" applyFill="1" applyBorder="1" applyAlignment="1">
      <alignment horizontal="left" vertical="center"/>
    </xf>
    <xf numFmtId="0" fontId="14" fillId="4" borderId="89" xfId="0" applyFont="1" applyFill="1" applyBorder="1" applyAlignment="1">
      <alignment horizontal="center"/>
    </xf>
    <xf numFmtId="0" fontId="14" fillId="4" borderId="90" xfId="0" applyFont="1" applyFill="1" applyBorder="1" applyAlignment="1">
      <alignment horizontal="center"/>
    </xf>
    <xf numFmtId="1" fontId="16" fillId="4" borderId="91" xfId="0" applyNumberFormat="1" applyFont="1" applyFill="1" applyBorder="1" applyAlignment="1">
      <alignment horizontal="center"/>
    </xf>
    <xf numFmtId="3" fontId="17" fillId="22" borderId="92" xfId="0" applyNumberFormat="1" applyFont="1" applyFill="1" applyBorder="1" applyAlignment="1">
      <alignment horizontal="center"/>
    </xf>
    <xf numFmtId="3" fontId="17" fillId="22" borderId="93" xfId="0" applyNumberFormat="1" applyFont="1" applyFill="1" applyBorder="1" applyAlignment="1">
      <alignment horizontal="center"/>
    </xf>
    <xf numFmtId="9" fontId="17" fillId="22" borderId="94" xfId="0" applyNumberFormat="1" applyFont="1" applyFill="1" applyBorder="1" applyAlignment="1">
      <alignment horizontal="center"/>
    </xf>
    <xf numFmtId="3" fontId="17" fillId="22" borderId="95" xfId="0" applyNumberFormat="1" applyFont="1" applyFill="1" applyBorder="1" applyAlignment="1">
      <alignment horizontal="center"/>
    </xf>
    <xf numFmtId="0" fontId="14" fillId="4" borderId="94" xfId="0" applyFont="1" applyFill="1" applyBorder="1" applyAlignment="1">
      <alignment horizontal="center"/>
    </xf>
    <xf numFmtId="9" fontId="14" fillId="4" borderId="89" xfId="0" applyNumberFormat="1" applyFont="1" applyFill="1" applyBorder="1" applyAlignment="1">
      <alignment horizontal="center"/>
    </xf>
    <xf numFmtId="1" fontId="14" fillId="4" borderId="89" xfId="0" applyNumberFormat="1" applyFont="1" applyFill="1" applyBorder="1" applyAlignment="1">
      <alignment horizontal="center"/>
    </xf>
    <xf numFmtId="9" fontId="14" fillId="4" borderId="90" xfId="0" applyNumberFormat="1" applyFont="1" applyFill="1" applyBorder="1" applyAlignment="1">
      <alignment horizontal="center"/>
    </xf>
    <xf numFmtId="1" fontId="14" fillId="4" borderId="94" xfId="0" applyNumberFormat="1" applyFont="1" applyFill="1" applyBorder="1" applyAlignment="1">
      <alignment horizontal="center"/>
    </xf>
    <xf numFmtId="1" fontId="14" fillId="4" borderId="90" xfId="0" applyNumberFormat="1" applyFont="1" applyFill="1" applyBorder="1" applyAlignment="1">
      <alignment horizontal="center"/>
    </xf>
    <xf numFmtId="3" fontId="17" fillId="22" borderId="97" xfId="0" applyNumberFormat="1" applyFont="1" applyFill="1" applyBorder="1" applyAlignment="1">
      <alignment horizontal="center"/>
    </xf>
    <xf numFmtId="0" fontId="16" fillId="4" borderId="98" xfId="0" applyFont="1" applyFill="1" applyBorder="1" applyAlignment="1">
      <alignment horizontal="center"/>
    </xf>
    <xf numFmtId="1" fontId="16" fillId="4" borderId="94" xfId="0" applyNumberFormat="1" applyFont="1" applyFill="1" applyBorder="1" applyAlignment="1">
      <alignment horizontal="center"/>
    </xf>
    <xf numFmtId="1" fontId="16" fillId="4" borderId="89" xfId="0" applyNumberFormat="1" applyFont="1" applyFill="1" applyBorder="1" applyAlignment="1">
      <alignment horizontal="center"/>
    </xf>
    <xf numFmtId="9" fontId="16" fillId="4" borderId="89" xfId="0" applyNumberFormat="1" applyFont="1" applyFill="1" applyBorder="1" applyAlignment="1">
      <alignment horizontal="center"/>
    </xf>
    <xf numFmtId="3" fontId="17" fillId="22" borderId="89" xfId="0" applyNumberFormat="1" applyFont="1" applyFill="1" applyBorder="1" applyAlignment="1">
      <alignment horizontal="center"/>
    </xf>
    <xf numFmtId="9" fontId="17" fillId="22" borderId="95" xfId="0" applyNumberFormat="1" applyFont="1" applyFill="1" applyBorder="1" applyAlignment="1">
      <alignment horizontal="center"/>
    </xf>
    <xf numFmtId="3" fontId="14" fillId="4" borderId="94" xfId="0" applyNumberFormat="1" applyFont="1" applyFill="1" applyBorder="1" applyAlignment="1">
      <alignment horizontal="center"/>
    </xf>
    <xf numFmtId="3" fontId="14" fillId="4" borderId="89" xfId="0" applyNumberFormat="1" applyFont="1" applyFill="1" applyBorder="1" applyAlignment="1">
      <alignment horizontal="center"/>
    </xf>
    <xf numFmtId="1" fontId="14" fillId="4" borderId="98" xfId="0" applyNumberFormat="1" applyFont="1" applyFill="1" applyBorder="1" applyAlignment="1">
      <alignment horizontal="center"/>
    </xf>
    <xf numFmtId="9" fontId="14" fillId="4" borderId="99" xfId="0" applyNumberFormat="1" applyFont="1" applyFill="1" applyBorder="1" applyAlignment="1">
      <alignment horizont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00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1" fontId="23" fillId="10" borderId="8" xfId="0" applyNumberFormat="1" applyFont="1" applyFill="1" applyBorder="1" applyAlignment="1">
      <alignment horizontal="center" vertical="center" wrapText="1"/>
    </xf>
    <xf numFmtId="1" fontId="23" fillId="10" borderId="9" xfId="0" applyNumberFormat="1" applyFont="1" applyFill="1" applyBorder="1" applyAlignment="1">
      <alignment horizontal="center" vertical="center" wrapText="1"/>
    </xf>
    <xf numFmtId="9" fontId="23" fillId="10" borderId="102" xfId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4" fillId="14" borderId="103" xfId="0" applyFont="1" applyFill="1" applyBorder="1" applyAlignment="1">
      <alignment horizontal="center" vertical="center"/>
    </xf>
    <xf numFmtId="0" fontId="4" fillId="15" borderId="103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65" fontId="7" fillId="10" borderId="101" xfId="0" applyNumberFormat="1" applyFont="1" applyFill="1" applyBorder="1" applyAlignment="1">
      <alignment horizontal="center" vertical="center"/>
    </xf>
    <xf numFmtId="165" fontId="8" fillId="10" borderId="101" xfId="0" applyNumberFormat="1" applyFont="1" applyFill="1" applyBorder="1" applyAlignment="1">
      <alignment horizontal="center" vertical="center"/>
    </xf>
    <xf numFmtId="9" fontId="7" fillId="10" borderId="101" xfId="0" applyNumberFormat="1" applyFont="1" applyFill="1" applyBorder="1" applyAlignment="1">
      <alignment horizontal="center" vertical="center"/>
    </xf>
    <xf numFmtId="166" fontId="7" fillId="10" borderId="101" xfId="0" applyNumberFormat="1" applyFont="1" applyFill="1" applyBorder="1" applyAlignment="1">
      <alignment horizontal="center" vertical="center"/>
    </xf>
    <xf numFmtId="1" fontId="8" fillId="10" borderId="101" xfId="0" applyNumberFormat="1" applyFont="1" applyFill="1" applyBorder="1" applyAlignment="1">
      <alignment horizontal="center" vertical="center"/>
    </xf>
    <xf numFmtId="1" fontId="7" fillId="10" borderId="101" xfId="0" applyNumberFormat="1" applyFont="1" applyFill="1" applyBorder="1" applyAlignment="1">
      <alignment horizontal="center" vertical="center"/>
    </xf>
    <xf numFmtId="1" fontId="26" fillId="10" borderId="101" xfId="0" applyNumberFormat="1" applyFont="1" applyFill="1" applyBorder="1" applyAlignment="1">
      <alignment horizontal="center" vertical="center"/>
    </xf>
    <xf numFmtId="9" fontId="26" fillId="10" borderId="101" xfId="0" applyNumberFormat="1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16" borderId="19" xfId="0" applyFont="1" applyFill="1" applyBorder="1" applyAlignment="1">
      <alignment horizontal="left" vertical="center"/>
    </xf>
    <xf numFmtId="0" fontId="27" fillId="0" borderId="26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vertical="center"/>
    </xf>
    <xf numFmtId="2" fontId="27" fillId="0" borderId="33" xfId="0" applyNumberFormat="1" applyFont="1" applyBorder="1"/>
    <xf numFmtId="0" fontId="22" fillId="0" borderId="23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1" fillId="4" borderId="40" xfId="0" applyFont="1" applyFill="1" applyBorder="1" applyAlignment="1">
      <alignment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2" borderId="43" xfId="0" applyFont="1" applyFill="1" applyBorder="1" applyAlignment="1">
      <alignment horizontal="right" vertical="center"/>
    </xf>
    <xf numFmtId="0" fontId="19" fillId="2" borderId="44" xfId="0" applyFont="1" applyFill="1" applyBorder="1" applyAlignment="1">
      <alignment vertical="center"/>
    </xf>
    <xf numFmtId="0" fontId="19" fillId="2" borderId="50" xfId="0" applyFont="1" applyFill="1" applyBorder="1" applyAlignment="1">
      <alignment horizontal="right" vertical="center" wrapText="1"/>
    </xf>
    <xf numFmtId="9" fontId="19" fillId="2" borderId="51" xfId="1" applyFont="1" applyFill="1" applyBorder="1" applyAlignment="1">
      <alignment vertical="center" wrapText="1"/>
    </xf>
    <xf numFmtId="0" fontId="31" fillId="19" borderId="66" xfId="0" applyFont="1" applyFill="1" applyBorder="1" applyAlignment="1">
      <alignment horizontal="center" vertical="center" wrapText="1"/>
    </xf>
    <xf numFmtId="0" fontId="32" fillId="18" borderId="60" xfId="0" applyFont="1" applyFill="1" applyBorder="1" applyAlignment="1">
      <alignment horizontal="center" vertical="center" wrapText="1"/>
    </xf>
    <xf numFmtId="0" fontId="32" fillId="18" borderId="59" xfId="0" applyFont="1" applyFill="1" applyBorder="1" applyAlignment="1">
      <alignment horizontal="center" vertical="center" wrapText="1"/>
    </xf>
    <xf numFmtId="0" fontId="32" fillId="18" borderId="61" xfId="0" applyFont="1" applyFill="1" applyBorder="1" applyAlignment="1">
      <alignment horizontal="center" vertical="center" wrapText="1"/>
    </xf>
    <xf numFmtId="0" fontId="32" fillId="18" borderId="57" xfId="0" applyFont="1" applyFill="1" applyBorder="1" applyAlignment="1">
      <alignment horizontal="center" vertical="center" wrapText="1"/>
    </xf>
    <xf numFmtId="0" fontId="32" fillId="20" borderId="64" xfId="0" applyFont="1" applyFill="1" applyBorder="1" applyAlignment="1">
      <alignment horizontal="center" vertical="center" wrapText="1"/>
    </xf>
    <xf numFmtId="0" fontId="31" fillId="20" borderId="57" xfId="0" applyFont="1" applyFill="1" applyBorder="1" applyAlignment="1">
      <alignment horizontal="center" vertical="center" wrapText="1"/>
    </xf>
    <xf numFmtId="0" fontId="31" fillId="20" borderId="58" xfId="0" applyFont="1" applyFill="1" applyBorder="1" applyAlignment="1">
      <alignment horizontal="center" vertical="center" wrapText="1"/>
    </xf>
    <xf numFmtId="9" fontId="32" fillId="18" borderId="57" xfId="1" applyFont="1" applyFill="1" applyBorder="1" applyAlignment="1">
      <alignment horizontal="center" vertical="center" wrapText="1"/>
    </xf>
    <xf numFmtId="9" fontId="32" fillId="21" borderId="64" xfId="1" applyFont="1" applyFill="1" applyBorder="1" applyAlignment="1">
      <alignment horizontal="center" vertical="center" wrapText="1"/>
    </xf>
    <xf numFmtId="9" fontId="31" fillId="21" borderId="57" xfId="1" applyFont="1" applyFill="1" applyBorder="1" applyAlignment="1">
      <alignment horizontal="center" vertical="center" wrapText="1"/>
    </xf>
    <xf numFmtId="9" fontId="31" fillId="21" borderId="58" xfId="1" applyFont="1" applyFill="1" applyBorder="1" applyAlignment="1">
      <alignment horizontal="center" vertical="center" wrapText="1"/>
    </xf>
    <xf numFmtId="9" fontId="31" fillId="22" borderId="66" xfId="1" applyFont="1" applyFill="1" applyBorder="1" applyAlignment="1">
      <alignment horizontal="center" vertical="center" wrapText="1"/>
    </xf>
    <xf numFmtId="9" fontId="32" fillId="18" borderId="60" xfId="1" applyFont="1" applyFill="1" applyBorder="1" applyAlignment="1">
      <alignment horizontal="center" vertical="center" wrapText="1"/>
    </xf>
    <xf numFmtId="9" fontId="32" fillId="23" borderId="66" xfId="1" applyFont="1" applyFill="1" applyBorder="1" applyAlignment="1">
      <alignment horizontal="center" vertical="center" wrapText="1"/>
    </xf>
    <xf numFmtId="9" fontId="32" fillId="23" borderId="67" xfId="1" applyFont="1" applyFill="1" applyBorder="1" applyAlignment="1">
      <alignment horizontal="center" vertical="center" wrapText="1"/>
    </xf>
    <xf numFmtId="9" fontId="32" fillId="23" borderId="64" xfId="1" applyFont="1" applyFill="1" applyBorder="1" applyAlignment="1">
      <alignment horizontal="center" vertical="center" wrapText="1"/>
    </xf>
    <xf numFmtId="9" fontId="32" fillId="23" borderId="65" xfId="1" applyFont="1" applyFill="1" applyBorder="1" applyAlignment="1">
      <alignment horizontal="center" vertical="center" wrapText="1"/>
    </xf>
    <xf numFmtId="0" fontId="31" fillId="24" borderId="66" xfId="0" applyFont="1" applyFill="1" applyBorder="1" applyAlignment="1">
      <alignment horizontal="center" vertical="center" wrapText="1"/>
    </xf>
    <xf numFmtId="0" fontId="31" fillId="24" borderId="67" xfId="0" applyFont="1" applyFill="1" applyBorder="1" applyAlignment="1">
      <alignment horizontal="center" vertical="center" wrapText="1"/>
    </xf>
    <xf numFmtId="0" fontId="31" fillId="24" borderId="64" xfId="0" applyFont="1" applyFill="1" applyBorder="1" applyAlignment="1">
      <alignment horizontal="center" vertical="center" wrapText="1"/>
    </xf>
    <xf numFmtId="0" fontId="32" fillId="24" borderId="64" xfId="0" applyFont="1" applyFill="1" applyBorder="1" applyAlignment="1">
      <alignment horizontal="center" vertical="center" wrapText="1"/>
    </xf>
    <xf numFmtId="0" fontId="32" fillId="24" borderId="65" xfId="0" applyFont="1" applyFill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3" fontId="34" fillId="22" borderId="73" xfId="1" applyNumberFormat="1" applyFont="1" applyFill="1" applyBorder="1" applyAlignment="1">
      <alignment horizontal="center" vertical="center"/>
    </xf>
    <xf numFmtId="3" fontId="34" fillId="22" borderId="74" xfId="0" applyNumberFormat="1" applyFont="1" applyFill="1" applyBorder="1" applyAlignment="1">
      <alignment horizontal="center" vertical="center"/>
    </xf>
    <xf numFmtId="9" fontId="34" fillId="22" borderId="47" xfId="1" applyFont="1" applyFill="1" applyBorder="1" applyAlignment="1">
      <alignment horizontal="center" vertical="center"/>
    </xf>
    <xf numFmtId="3" fontId="34" fillId="22" borderId="75" xfId="0" applyNumberFormat="1" applyFont="1" applyFill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9" fontId="27" fillId="0" borderId="70" xfId="1" applyFont="1" applyFill="1" applyBorder="1" applyAlignment="1">
      <alignment horizontal="center" vertical="center"/>
    </xf>
    <xf numFmtId="1" fontId="27" fillId="0" borderId="70" xfId="1" applyNumberFormat="1" applyFont="1" applyFill="1" applyBorder="1" applyAlignment="1">
      <alignment horizontal="center" vertical="center"/>
    </xf>
    <xf numFmtId="9" fontId="27" fillId="0" borderId="71" xfId="1" applyFont="1" applyFill="1" applyBorder="1" applyAlignment="1">
      <alignment horizontal="center" vertical="center"/>
    </xf>
    <xf numFmtId="3" fontId="34" fillId="22" borderId="47" xfId="0" applyNumberFormat="1" applyFont="1" applyFill="1" applyBorder="1" applyAlignment="1">
      <alignment horizontal="center" vertical="center"/>
    </xf>
    <xf numFmtId="3" fontId="34" fillId="22" borderId="75" xfId="1" applyNumberFormat="1" applyFont="1" applyFill="1" applyBorder="1" applyAlignment="1">
      <alignment horizontal="center" vertical="center"/>
    </xf>
    <xf numFmtId="1" fontId="22" fillId="0" borderId="76" xfId="1" applyNumberFormat="1" applyFont="1" applyFill="1" applyBorder="1" applyAlignment="1">
      <alignment horizontal="center" vertical="center"/>
    </xf>
    <xf numFmtId="1" fontId="22" fillId="0" borderId="71" xfId="1" applyNumberFormat="1" applyFont="1" applyFill="1" applyBorder="1" applyAlignment="1">
      <alignment horizontal="center" vertical="center"/>
    </xf>
    <xf numFmtId="3" fontId="34" fillId="22" borderId="78" xfId="0" applyNumberFormat="1" applyFont="1" applyFill="1" applyBorder="1" applyAlignment="1">
      <alignment horizontal="center" vertical="center"/>
    </xf>
    <xf numFmtId="1" fontId="27" fillId="0" borderId="76" xfId="0" applyNumberFormat="1" applyFont="1" applyBorder="1" applyAlignment="1">
      <alignment horizontal="center" vertical="center"/>
    </xf>
    <xf numFmtId="1" fontId="27" fillId="0" borderId="76" xfId="1" applyNumberFormat="1" applyFont="1" applyFill="1" applyBorder="1" applyAlignment="1">
      <alignment horizontal="center" vertical="center"/>
    </xf>
    <xf numFmtId="1" fontId="27" fillId="0" borderId="70" xfId="0" applyNumberFormat="1" applyFont="1" applyBorder="1" applyAlignment="1">
      <alignment horizontal="center" vertical="center"/>
    </xf>
    <xf numFmtId="0" fontId="33" fillId="0" borderId="79" xfId="0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1" fontId="33" fillId="0" borderId="70" xfId="0" applyNumberFormat="1" applyFont="1" applyBorder="1" applyAlignment="1">
      <alignment horizontal="center" vertical="center"/>
    </xf>
    <xf numFmtId="9" fontId="33" fillId="0" borderId="70" xfId="1" applyFont="1" applyFill="1" applyBorder="1" applyAlignment="1">
      <alignment horizontal="center" vertical="center"/>
    </xf>
    <xf numFmtId="3" fontId="34" fillId="22" borderId="43" xfId="0" applyNumberFormat="1" applyFont="1" applyFill="1" applyBorder="1" applyAlignment="1">
      <alignment horizontal="center" vertical="center"/>
    </xf>
    <xf numFmtId="9" fontId="34" fillId="22" borderId="75" xfId="1" applyFont="1" applyFill="1" applyBorder="1" applyAlignment="1">
      <alignment horizontal="center" vertical="center"/>
    </xf>
    <xf numFmtId="3" fontId="27" fillId="0" borderId="76" xfId="0" applyNumberFormat="1" applyFont="1" applyBorder="1" applyAlignment="1">
      <alignment horizontal="center" vertical="center"/>
    </xf>
    <xf numFmtId="3" fontId="27" fillId="0" borderId="70" xfId="1" applyNumberFormat="1" applyFont="1" applyFill="1" applyBorder="1" applyAlignment="1">
      <alignment horizontal="center" vertical="center"/>
    </xf>
    <xf numFmtId="1" fontId="27" fillId="0" borderId="79" xfId="0" applyNumberFormat="1" applyFont="1" applyBorder="1" applyAlignment="1">
      <alignment horizontal="center" vertical="center"/>
    </xf>
    <xf numFmtId="3" fontId="27" fillId="0" borderId="70" xfId="1" applyNumberFormat="1" applyFont="1" applyBorder="1" applyAlignment="1">
      <alignment horizontal="center" vertical="center"/>
    </xf>
    <xf numFmtId="9" fontId="27" fillId="0" borderId="80" xfId="1" applyFont="1" applyFill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7" fillId="0" borderId="50" xfId="0" applyFont="1" applyBorder="1"/>
    <xf numFmtId="0" fontId="22" fillId="16" borderId="50" xfId="0" applyFont="1" applyFill="1" applyBorder="1" applyAlignment="1">
      <alignment horizontal="left" vertical="center"/>
    </xf>
    <xf numFmtId="0" fontId="22" fillId="0" borderId="51" xfId="0" applyFont="1" applyBorder="1" applyAlignment="1">
      <alignment horizontal="center" vertical="center"/>
    </xf>
    <xf numFmtId="3" fontId="34" fillId="22" borderId="81" xfId="1" applyNumberFormat="1" applyFont="1" applyFill="1" applyBorder="1" applyAlignment="1">
      <alignment horizontal="center" vertical="center"/>
    </xf>
    <xf numFmtId="3" fontId="34" fillId="22" borderId="82" xfId="0" applyNumberFormat="1" applyFont="1" applyFill="1" applyBorder="1" applyAlignment="1">
      <alignment horizontal="center" vertical="center"/>
    </xf>
    <xf numFmtId="9" fontId="34" fillId="22" borderId="76" xfId="1" applyFont="1" applyFill="1" applyBorder="1" applyAlignment="1">
      <alignment horizontal="center" vertical="center"/>
    </xf>
    <xf numFmtId="3" fontId="34" fillId="22" borderId="83" xfId="0" applyNumberFormat="1" applyFont="1" applyFill="1" applyBorder="1" applyAlignment="1">
      <alignment horizontal="center" vertical="center"/>
    </xf>
    <xf numFmtId="3" fontId="34" fillId="22" borderId="76" xfId="0" applyNumberFormat="1" applyFont="1" applyFill="1" applyBorder="1" applyAlignment="1">
      <alignment horizontal="center" vertical="center"/>
    </xf>
    <xf numFmtId="3" fontId="34" fillId="22" borderId="83" xfId="1" applyNumberFormat="1" applyFont="1" applyFill="1" applyBorder="1" applyAlignment="1">
      <alignment horizontal="center" vertical="center"/>
    </xf>
    <xf numFmtId="1" fontId="22" fillId="0" borderId="54" xfId="1" applyNumberFormat="1" applyFont="1" applyFill="1" applyBorder="1" applyAlignment="1">
      <alignment horizontal="center" vertical="center"/>
    </xf>
    <xf numFmtId="1" fontId="22" fillId="0" borderId="51" xfId="1" applyNumberFormat="1" applyFont="1" applyFill="1" applyBorder="1" applyAlignment="1">
      <alignment horizontal="center" vertical="center"/>
    </xf>
    <xf numFmtId="1" fontId="27" fillId="0" borderId="54" xfId="0" applyNumberFormat="1" applyFont="1" applyBorder="1" applyAlignment="1">
      <alignment horizontal="center" vertical="center"/>
    </xf>
    <xf numFmtId="1" fontId="27" fillId="0" borderId="54" xfId="1" applyNumberFormat="1" applyFont="1" applyFill="1" applyBorder="1" applyAlignment="1">
      <alignment horizontal="center" vertical="center"/>
    </xf>
    <xf numFmtId="1" fontId="27" fillId="0" borderId="50" xfId="0" applyNumberFormat="1" applyFont="1" applyBorder="1" applyAlignment="1">
      <alignment horizontal="center" vertical="center"/>
    </xf>
    <xf numFmtId="9" fontId="27" fillId="0" borderId="51" xfId="1" applyFont="1" applyFill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/>
    </xf>
    <xf numFmtId="9" fontId="33" fillId="0" borderId="50" xfId="1" applyFont="1" applyFill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9" fontId="27" fillId="0" borderId="50" xfId="1" applyFont="1" applyFill="1" applyBorder="1" applyAlignment="1">
      <alignment horizontal="center" vertical="center"/>
    </xf>
    <xf numFmtId="1" fontId="27" fillId="0" borderId="50" xfId="1" applyNumberFormat="1" applyFont="1" applyFill="1" applyBorder="1" applyAlignment="1">
      <alignment horizontal="center" vertical="center"/>
    </xf>
    <xf numFmtId="3" fontId="34" fillId="22" borderId="84" xfId="0" applyNumberFormat="1" applyFont="1" applyFill="1" applyBorder="1" applyAlignment="1">
      <alignment horizontal="center" vertical="center"/>
    </xf>
    <xf numFmtId="3" fontId="34" fillId="22" borderId="50" xfId="0" applyNumberFormat="1" applyFont="1" applyFill="1" applyBorder="1" applyAlignment="1">
      <alignment horizontal="center" vertical="center"/>
    </xf>
    <xf numFmtId="9" fontId="34" fillId="22" borderId="85" xfId="1" applyFont="1" applyFill="1" applyBorder="1" applyAlignment="1">
      <alignment horizontal="center" vertical="center"/>
    </xf>
    <xf numFmtId="3" fontId="27" fillId="0" borderId="54" xfId="0" applyNumberFormat="1" applyFont="1" applyBorder="1" applyAlignment="1">
      <alignment horizontal="center" vertical="center"/>
    </xf>
    <xf numFmtId="3" fontId="27" fillId="0" borderId="50" xfId="1" applyNumberFormat="1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3" fontId="27" fillId="0" borderId="50" xfId="1" applyNumberFormat="1" applyFont="1" applyBorder="1" applyAlignment="1">
      <alignment horizontal="center" vertical="center"/>
    </xf>
    <xf numFmtId="9" fontId="27" fillId="0" borderId="55" xfId="1" applyFont="1" applyFill="1" applyBorder="1" applyAlignment="1">
      <alignment horizontal="center" vertical="center"/>
    </xf>
    <xf numFmtId="0" fontId="22" fillId="0" borderId="50" xfId="0" applyFont="1" applyBorder="1" applyAlignment="1">
      <alignment horizontal="left" vertical="center"/>
    </xf>
    <xf numFmtId="0" fontId="27" fillId="0" borderId="50" xfId="0" applyFont="1" applyBorder="1" applyAlignment="1">
      <alignment horizontal="left" vertical="center"/>
    </xf>
    <xf numFmtId="0" fontId="22" fillId="0" borderId="56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7" fillId="0" borderId="57" xfId="0" applyFont="1" applyBorder="1"/>
    <xf numFmtId="0" fontId="22" fillId="0" borderId="57" xfId="0" applyFont="1" applyBorder="1" applyAlignment="1">
      <alignment horizontal="left" vertical="center"/>
    </xf>
    <xf numFmtId="0" fontId="22" fillId="0" borderId="58" xfId="0" applyFont="1" applyBorder="1" applyAlignment="1">
      <alignment horizontal="center" vertical="center"/>
    </xf>
    <xf numFmtId="1" fontId="22" fillId="0" borderId="61" xfId="1" applyNumberFormat="1" applyFont="1" applyFill="1" applyBorder="1" applyAlignment="1">
      <alignment horizontal="center" vertical="center"/>
    </xf>
    <xf numFmtId="1" fontId="22" fillId="0" borderId="58" xfId="1" applyNumberFormat="1" applyFont="1" applyFill="1" applyBorder="1" applyAlignment="1">
      <alignment horizontal="center" vertical="center"/>
    </xf>
    <xf numFmtId="1" fontId="27" fillId="0" borderId="61" xfId="0" applyNumberFormat="1" applyFont="1" applyBorder="1" applyAlignment="1">
      <alignment horizontal="center" vertical="center"/>
    </xf>
    <xf numFmtId="1" fontId="27" fillId="0" borderId="61" xfId="1" applyNumberFormat="1" applyFont="1" applyFill="1" applyBorder="1" applyAlignment="1">
      <alignment horizontal="center" vertical="center"/>
    </xf>
    <xf numFmtId="1" fontId="27" fillId="0" borderId="57" xfId="0" applyNumberFormat="1" applyFont="1" applyBorder="1" applyAlignment="1">
      <alignment horizontal="center" vertical="center"/>
    </xf>
    <xf numFmtId="9" fontId="27" fillId="0" borderId="58" xfId="1" applyFont="1" applyFill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1" fontId="33" fillId="0" borderId="57" xfId="0" applyNumberFormat="1" applyFont="1" applyBorder="1" applyAlignment="1">
      <alignment horizontal="center" vertical="center"/>
    </xf>
    <xf numFmtId="9" fontId="33" fillId="0" borderId="57" xfId="1" applyFont="1" applyFill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9" fontId="27" fillId="0" borderId="57" xfId="1" applyFont="1" applyFill="1" applyBorder="1" applyAlignment="1">
      <alignment horizontal="center" vertical="center"/>
    </xf>
    <xf numFmtId="1" fontId="27" fillId="0" borderId="57" xfId="1" applyNumberFormat="1" applyFont="1" applyFill="1" applyBorder="1" applyAlignment="1">
      <alignment horizontal="center" vertical="center"/>
    </xf>
    <xf numFmtId="3" fontId="34" fillId="22" borderId="86" xfId="0" applyNumberFormat="1" applyFont="1" applyFill="1" applyBorder="1" applyAlignment="1">
      <alignment horizontal="center" vertical="center"/>
    </xf>
    <xf numFmtId="3" fontId="34" fillId="22" borderId="57" xfId="0" applyNumberFormat="1" applyFont="1" applyFill="1" applyBorder="1" applyAlignment="1">
      <alignment horizontal="center" vertical="center"/>
    </xf>
    <xf numFmtId="9" fontId="34" fillId="22" borderId="87" xfId="1" applyFont="1" applyFill="1" applyBorder="1" applyAlignment="1">
      <alignment horizontal="center" vertical="center"/>
    </xf>
    <xf numFmtId="3" fontId="27" fillId="0" borderId="61" xfId="0" applyNumberFormat="1" applyFont="1" applyBorder="1" applyAlignment="1">
      <alignment horizontal="center" vertical="center"/>
    </xf>
    <xf numFmtId="3" fontId="27" fillId="0" borderId="57" xfId="1" applyNumberFormat="1" applyFont="1" applyFill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3" fontId="27" fillId="0" borderId="57" xfId="1" applyNumberFormat="1" applyFont="1" applyBorder="1" applyAlignment="1">
      <alignment horizontal="center" vertical="center"/>
    </xf>
    <xf numFmtId="9" fontId="27" fillId="0" borderId="62" xfId="1" applyFont="1" applyFill="1" applyBorder="1" applyAlignment="1">
      <alignment horizontal="center" vertical="center"/>
    </xf>
    <xf numFmtId="0" fontId="15" fillId="25" borderId="19" xfId="3" applyFont="1" applyFill="1" applyBorder="1" applyAlignment="1">
      <alignment horizontal="center"/>
    </xf>
    <xf numFmtId="0" fontId="15" fillId="25" borderId="19" xfId="3" applyFont="1" applyFill="1" applyBorder="1"/>
    <xf numFmtId="0" fontId="1" fillId="27" borderId="1" xfId="0" applyFont="1" applyFill="1" applyBorder="1"/>
    <xf numFmtId="0" fontId="1" fillId="27" borderId="2" xfId="0" applyFont="1" applyFill="1" applyBorder="1"/>
    <xf numFmtId="0" fontId="1" fillId="27" borderId="3" xfId="0" applyFont="1" applyFill="1" applyBorder="1"/>
    <xf numFmtId="0" fontId="1" fillId="27" borderId="4" xfId="0" applyFont="1" applyFill="1" applyBorder="1"/>
    <xf numFmtId="0" fontId="1" fillId="27" borderId="0" xfId="0" applyFont="1" applyFill="1"/>
    <xf numFmtId="14" fontId="1" fillId="27" borderId="0" xfId="0" applyNumberFormat="1" applyFont="1" applyFill="1"/>
    <xf numFmtId="0" fontId="1" fillId="28" borderId="0" xfId="0" applyFont="1" applyFill="1"/>
    <xf numFmtId="0" fontId="1" fillId="27" borderId="0" xfId="0" applyFont="1" applyFill="1" applyAlignment="1">
      <alignment horizontal="center"/>
    </xf>
    <xf numFmtId="0" fontId="1" fillId="27" borderId="5" xfId="0" applyFont="1" applyFill="1" applyBorder="1" applyAlignment="1">
      <alignment horizontal="center"/>
    </xf>
    <xf numFmtId="0" fontId="1" fillId="27" borderId="105" xfId="0" applyFont="1" applyFill="1" applyBorder="1" applyAlignment="1">
      <alignment horizontal="center"/>
    </xf>
    <xf numFmtId="0" fontId="1" fillId="27" borderId="106" xfId="0" applyFont="1" applyFill="1" applyBorder="1" applyAlignment="1">
      <alignment horizontal="center"/>
    </xf>
    <xf numFmtId="0" fontId="1" fillId="27" borderId="106" xfId="0" applyFont="1" applyFill="1" applyBorder="1"/>
    <xf numFmtId="0" fontId="1" fillId="28" borderId="106" xfId="0" applyFont="1" applyFill="1" applyBorder="1"/>
    <xf numFmtId="0" fontId="1" fillId="27" borderId="107" xfId="0" applyFont="1" applyFill="1" applyBorder="1" applyAlignment="1">
      <alignment horizontal="center"/>
    </xf>
    <xf numFmtId="0" fontId="2" fillId="28" borderId="0" xfId="0" applyFont="1" applyFill="1"/>
    <xf numFmtId="164" fontId="2" fillId="28" borderId="0" xfId="0" applyNumberFormat="1" applyFont="1" applyFill="1"/>
    <xf numFmtId="0" fontId="1" fillId="0" borderId="105" xfId="0" applyFont="1" applyBorder="1"/>
    <xf numFmtId="0" fontId="1" fillId="27" borderId="108" xfId="0" applyFont="1" applyFill="1" applyBorder="1"/>
    <xf numFmtId="0" fontId="1" fillId="27" borderId="109" xfId="0" applyFont="1" applyFill="1" applyBorder="1"/>
    <xf numFmtId="0" fontId="1" fillId="27" borderId="109" xfId="0" applyFont="1" applyFill="1" applyBorder="1" applyAlignment="1">
      <alignment horizontal="center" vertical="center"/>
    </xf>
    <xf numFmtId="164" fontId="1" fillId="27" borderId="109" xfId="0" applyNumberFormat="1" applyFont="1" applyFill="1" applyBorder="1"/>
    <xf numFmtId="164" fontId="1" fillId="27" borderId="110" xfId="0" applyNumberFormat="1" applyFont="1" applyFill="1" applyBorder="1"/>
    <xf numFmtId="38" fontId="33" fillId="0" borderId="77" xfId="1" applyNumberFormat="1" applyFont="1" applyFill="1" applyBorder="1" applyAlignment="1">
      <alignment horizontal="center" vertical="center"/>
    </xf>
    <xf numFmtId="38" fontId="16" fillId="4" borderId="96" xfId="0" applyNumberFormat="1" applyFont="1" applyFill="1" applyBorder="1" applyAlignment="1">
      <alignment horizontal="center"/>
    </xf>
    <xf numFmtId="0" fontId="28" fillId="4" borderId="45" xfId="0" applyFont="1" applyFill="1" applyBorder="1" applyAlignment="1">
      <alignment horizontal="center"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43" xfId="0" applyFont="1" applyFill="1" applyBorder="1" applyAlignment="1">
      <alignment horizontal="center" vertical="center" wrapText="1"/>
    </xf>
    <xf numFmtId="0" fontId="28" fillId="4" borderId="48" xfId="0" applyFont="1" applyFill="1" applyBorder="1" applyAlignment="1">
      <alignment horizontal="center" vertical="center" wrapText="1"/>
    </xf>
    <xf numFmtId="0" fontId="28" fillId="4" borderId="52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>
      <alignment horizontal="center" vertical="center" wrapText="1"/>
    </xf>
    <xf numFmtId="0" fontId="28" fillId="4" borderId="50" xfId="0" applyFont="1" applyFill="1" applyBorder="1" applyAlignment="1">
      <alignment horizontal="center" vertical="center" wrapText="1"/>
    </xf>
    <xf numFmtId="0" fontId="28" fillId="4" borderId="55" xfId="0" applyFont="1" applyFill="1" applyBorder="1" applyAlignment="1">
      <alignment horizontal="center" vertical="center" wrapText="1"/>
    </xf>
    <xf numFmtId="0" fontId="20" fillId="17" borderId="56" xfId="0" applyFont="1" applyFill="1" applyBorder="1" applyAlignment="1">
      <alignment horizontal="center" vertical="center"/>
    </xf>
    <xf numFmtId="0" fontId="20" fillId="17" borderId="63" xfId="0" applyFont="1" applyFill="1" applyBorder="1" applyAlignment="1">
      <alignment horizontal="center" vertical="center"/>
    </xf>
    <xf numFmtId="0" fontId="20" fillId="17" borderId="57" xfId="0" applyFont="1" applyFill="1" applyBorder="1" applyAlignment="1">
      <alignment horizontal="center" vertical="center"/>
    </xf>
    <xf numFmtId="0" fontId="20" fillId="17" borderId="64" xfId="0" applyFont="1" applyFill="1" applyBorder="1" applyAlignment="1">
      <alignment horizontal="center" vertical="center"/>
    </xf>
    <xf numFmtId="0" fontId="20" fillId="17" borderId="64" xfId="0" applyFont="1" applyFill="1" applyBorder="1" applyAlignment="1">
      <alignment vertical="center"/>
    </xf>
    <xf numFmtId="0" fontId="28" fillId="17" borderId="57" xfId="0" applyFont="1" applyFill="1" applyBorder="1" applyAlignment="1">
      <alignment horizontal="center" vertical="center" wrapText="1"/>
    </xf>
    <xf numFmtId="0" fontId="32" fillId="13" borderId="64" xfId="0" applyFont="1" applyFill="1" applyBorder="1" applyAlignment="1">
      <alignment horizontal="center" vertical="center" wrapText="1"/>
    </xf>
    <xf numFmtId="0" fontId="20" fillId="17" borderId="58" xfId="0" applyFont="1" applyFill="1" applyBorder="1" applyAlignment="1">
      <alignment horizontal="center" vertical="center"/>
    </xf>
    <xf numFmtId="0" fontId="20" fillId="17" borderId="65" xfId="0" applyFont="1" applyFill="1" applyBorder="1" applyAlignment="1">
      <alignment horizontal="center" vertical="center"/>
    </xf>
    <xf numFmtId="0" fontId="28" fillId="17" borderId="59" xfId="0" applyFont="1" applyFill="1" applyBorder="1" applyAlignment="1">
      <alignment horizontal="center" vertical="center" wrapText="1"/>
    </xf>
    <xf numFmtId="0" fontId="32" fillId="13" borderId="66" xfId="0" applyFont="1" applyFill="1" applyBorder="1" applyAlignment="1">
      <alignment horizontal="center" vertical="center" wrapText="1"/>
    </xf>
    <xf numFmtId="0" fontId="28" fillId="17" borderId="61" xfId="0" applyFont="1" applyFill="1" applyBorder="1" applyAlignment="1">
      <alignment horizontal="center" vertical="center" wrapText="1"/>
    </xf>
    <xf numFmtId="0" fontId="32" fillId="13" borderId="67" xfId="0" applyFont="1" applyFill="1" applyBorder="1" applyAlignment="1">
      <alignment horizontal="center" vertical="center" wrapText="1"/>
    </xf>
    <xf numFmtId="0" fontId="29" fillId="17" borderId="59" xfId="0" applyFont="1" applyFill="1" applyBorder="1" applyAlignment="1">
      <alignment horizontal="center" vertical="center" wrapText="1"/>
    </xf>
    <xf numFmtId="0" fontId="29" fillId="17" borderId="61" xfId="0" applyFont="1" applyFill="1" applyBorder="1" applyAlignment="1">
      <alignment horizontal="center" vertical="center" wrapText="1"/>
    </xf>
    <xf numFmtId="0" fontId="29" fillId="17" borderId="57" xfId="0" applyFont="1" applyFill="1" applyBorder="1" applyAlignment="1">
      <alignment horizontal="center" vertical="center" wrapText="1"/>
    </xf>
    <xf numFmtId="0" fontId="30" fillId="18" borderId="57" xfId="0" applyFont="1" applyFill="1" applyBorder="1" applyAlignment="1">
      <alignment horizontal="center" vertical="center" wrapText="1"/>
    </xf>
    <xf numFmtId="0" fontId="28" fillId="17" borderId="58" xfId="0" applyFont="1" applyFill="1" applyBorder="1" applyAlignment="1">
      <alignment horizontal="center" vertical="center" wrapText="1"/>
    </xf>
    <xf numFmtId="0" fontId="14" fillId="4" borderId="88" xfId="0" applyFont="1" applyFill="1" applyBorder="1" applyAlignment="1">
      <alignment horizontal="left" indent="1"/>
    </xf>
    <xf numFmtId="0" fontId="14" fillId="4" borderId="89" xfId="0" applyFont="1" applyFill="1" applyBorder="1" applyAlignment="1">
      <alignment horizontal="center"/>
    </xf>
    <xf numFmtId="0" fontId="28" fillId="17" borderId="62" xfId="0" applyFont="1" applyFill="1" applyBorder="1" applyAlignment="1">
      <alignment horizontal="center" vertical="center" wrapText="1"/>
    </xf>
    <xf numFmtId="0" fontId="32" fillId="13" borderId="68" xfId="0" applyFont="1" applyFill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/>
    </xf>
    <xf numFmtId="0" fontId="19" fillId="2" borderId="43" xfId="0" applyFont="1" applyFill="1" applyBorder="1" applyAlignment="1">
      <alignment horizontal="center" vertical="center"/>
    </xf>
    <xf numFmtId="0" fontId="19" fillId="2" borderId="49" xfId="0" applyFont="1" applyFill="1" applyBorder="1" applyAlignment="1">
      <alignment horizontal="center" vertical="center"/>
    </xf>
    <xf numFmtId="0" fontId="19" fillId="2" borderId="50" xfId="0" applyFont="1" applyFill="1" applyBorder="1" applyAlignment="1">
      <alignment horizontal="center" vertical="center"/>
    </xf>
    <xf numFmtId="0" fontId="28" fillId="17" borderId="45" xfId="0" applyFont="1" applyFill="1" applyBorder="1" applyAlignment="1">
      <alignment horizontal="center" vertical="center" wrapText="1"/>
    </xf>
    <xf numFmtId="0" fontId="28" fillId="17" borderId="46" xfId="0" applyFont="1" applyFill="1" applyBorder="1" applyAlignment="1">
      <alignment horizontal="center" vertical="center" wrapText="1"/>
    </xf>
    <xf numFmtId="0" fontId="28" fillId="17" borderId="52" xfId="0" applyFont="1" applyFill="1" applyBorder="1" applyAlignment="1">
      <alignment horizontal="center" vertical="center" wrapText="1"/>
    </xf>
    <xf numFmtId="0" fontId="28" fillId="17" borderId="53" xfId="0" applyFont="1" applyFill="1" applyBorder="1" applyAlignment="1">
      <alignment horizontal="center" vertical="center" wrapText="1"/>
    </xf>
    <xf numFmtId="0" fontId="28" fillId="17" borderId="60" xfId="0" applyFont="1" applyFill="1" applyBorder="1" applyAlignment="1">
      <alignment horizontal="center" vertical="center" wrapText="1"/>
    </xf>
    <xf numFmtId="0" fontId="28" fillId="17" borderId="47" xfId="0" applyFont="1" applyFill="1" applyBorder="1" applyAlignment="1">
      <alignment horizontal="center" vertical="center" wrapText="1"/>
    </xf>
    <xf numFmtId="0" fontId="28" fillId="17" borderId="43" xfId="0" applyFont="1" applyFill="1" applyBorder="1" applyAlignment="1">
      <alignment horizontal="center" vertical="center" wrapText="1"/>
    </xf>
    <xf numFmtId="0" fontId="28" fillId="17" borderId="44" xfId="0" applyFont="1" applyFill="1" applyBorder="1" applyAlignment="1">
      <alignment horizontal="center" vertical="center" wrapText="1"/>
    </xf>
    <xf numFmtId="0" fontId="28" fillId="17" borderId="54" xfId="0" applyFont="1" applyFill="1" applyBorder="1" applyAlignment="1">
      <alignment horizontal="center" vertical="center" wrapText="1"/>
    </xf>
    <xf numFmtId="0" fontId="28" fillId="17" borderId="50" xfId="0" applyFont="1" applyFill="1" applyBorder="1" applyAlignment="1">
      <alignment horizontal="center" vertical="center" wrapText="1"/>
    </xf>
    <xf numFmtId="0" fontId="28" fillId="17" borderId="51" xfId="0" applyFont="1" applyFill="1" applyBorder="1" applyAlignment="1">
      <alignment horizontal="center" vertical="center" wrapText="1"/>
    </xf>
    <xf numFmtId="0" fontId="28" fillId="4" borderId="44" xfId="0" applyFont="1" applyFill="1" applyBorder="1" applyAlignment="1">
      <alignment horizontal="center" vertical="center" wrapText="1"/>
    </xf>
    <xf numFmtId="0" fontId="28" fillId="4" borderId="51" xfId="0" applyFont="1" applyFill="1" applyBorder="1" applyAlignment="1">
      <alignment horizontal="center" vertical="center" wrapText="1"/>
    </xf>
    <xf numFmtId="0" fontId="11" fillId="3" borderId="0" xfId="3" applyFont="1" applyFill="1" applyAlignment="1">
      <alignment horizontal="center"/>
    </xf>
    <xf numFmtId="0" fontId="12" fillId="11" borderId="23" xfId="0" applyFont="1" applyFill="1" applyBorder="1" applyAlignment="1">
      <alignment horizontal="center" wrapText="1"/>
    </xf>
    <xf numFmtId="0" fontId="12" fillId="11" borderId="25" xfId="0" applyFont="1" applyFill="1" applyBorder="1" applyAlignment="1">
      <alignment horizontal="center" wrapText="1"/>
    </xf>
    <xf numFmtId="0" fontId="12" fillId="11" borderId="26" xfId="0" applyFont="1" applyFill="1" applyBorder="1" applyAlignment="1">
      <alignment horizontal="center" wrapText="1"/>
    </xf>
    <xf numFmtId="0" fontId="14" fillId="17" borderId="19" xfId="3" applyFont="1" applyFill="1" applyBorder="1" applyAlignment="1">
      <alignment horizontal="center"/>
    </xf>
    <xf numFmtId="0" fontId="4" fillId="11" borderId="101" xfId="0" applyFont="1" applyFill="1" applyBorder="1" applyAlignment="1">
      <alignment horizontal="center" vertical="center"/>
    </xf>
    <xf numFmtId="0" fontId="4" fillId="11" borderId="103" xfId="0" applyFont="1" applyFill="1" applyBorder="1" applyAlignment="1">
      <alignment horizontal="center" vertical="center"/>
    </xf>
    <xf numFmtId="0" fontId="4" fillId="12" borderId="101" xfId="0" applyFont="1" applyFill="1" applyBorder="1" applyAlignment="1">
      <alignment horizontal="center" vertical="center"/>
    </xf>
    <xf numFmtId="0" fontId="4" fillId="12" borderId="103" xfId="0" applyFont="1" applyFill="1" applyBorder="1" applyAlignment="1">
      <alignment horizontal="center" vertical="center"/>
    </xf>
    <xf numFmtId="0" fontId="4" fillId="13" borderId="101" xfId="0" applyFont="1" applyFill="1" applyBorder="1" applyAlignment="1">
      <alignment horizontal="center" vertical="center"/>
    </xf>
    <xf numFmtId="0" fontId="4" fillId="13" borderId="103" xfId="0" applyFont="1" applyFill="1" applyBorder="1" applyAlignment="1">
      <alignment horizontal="center" vertical="center"/>
    </xf>
    <xf numFmtId="0" fontId="25" fillId="26" borderId="10" xfId="0" applyFont="1" applyFill="1" applyBorder="1" applyAlignment="1">
      <alignment horizontal="center" vertical="center"/>
    </xf>
    <xf numFmtId="0" fontId="25" fillId="26" borderId="15" xfId="0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vertical="center"/>
    </xf>
    <xf numFmtId="0" fontId="25" fillId="26" borderId="12" xfId="0" applyFont="1" applyFill="1" applyBorder="1" applyAlignment="1">
      <alignment horizontal="center" vertical="center"/>
    </xf>
    <xf numFmtId="0" fontId="25" fillId="26" borderId="17" xfId="0" applyFont="1" applyFill="1" applyBorder="1" applyAlignment="1">
      <alignment horizontal="center" vertical="center"/>
    </xf>
    <xf numFmtId="0" fontId="25" fillId="26" borderId="13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4" fillId="14" borderId="101" xfId="0" applyFont="1" applyFill="1" applyBorder="1" applyAlignment="1">
      <alignment horizontal="center" vertical="center"/>
    </xf>
    <xf numFmtId="0" fontId="4" fillId="15" borderId="101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5" fillId="26" borderId="14" xfId="0" applyFont="1" applyFill="1" applyBorder="1" applyAlignment="1">
      <alignment horizontal="center" vertical="center"/>
    </xf>
    <xf numFmtId="0" fontId="25" fillId="26" borderId="17" xfId="0" applyFont="1" applyFill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3" fillId="4" borderId="101" xfId="0" applyFont="1" applyFill="1" applyBorder="1" applyAlignment="1">
      <alignment horizontal="center" vertical="center"/>
    </xf>
    <xf numFmtId="0" fontId="3" fillId="5" borderId="101" xfId="0" applyFont="1" applyFill="1" applyBorder="1" applyAlignment="1">
      <alignment horizontal="center" vertical="center"/>
    </xf>
    <xf numFmtId="0" fontId="3" fillId="6" borderId="101" xfId="0" applyFont="1" applyFill="1" applyBorder="1" applyAlignment="1">
      <alignment horizontal="center" vertical="center"/>
    </xf>
    <xf numFmtId="0" fontId="3" fillId="8" borderId="101" xfId="0" applyFont="1" applyFill="1" applyBorder="1" applyAlignment="1">
      <alignment horizontal="center" vertical="center"/>
    </xf>
    <xf numFmtId="0" fontId="3" fillId="9" borderId="101" xfId="0" applyFont="1" applyFill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7" borderId="101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31000000}"/>
    <cellStyle name="Normal 2 3" xfId="3" xr:uid="{00000000-0005-0000-0000-000032000000}"/>
    <cellStyle name="Percent" xfId="1" builtinId="5"/>
  </cellStyles>
  <dxfs count="11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  <fill>
        <patternFill patternType="solid">
          <bgColor rgb="FFFFFFFF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bgColor rgb="FFF2F2F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bgColor rgb="FFF2F2F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  <fill>
        <patternFill patternType="solid">
          <bgColor rgb="FFFFFFFF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chael/Desktop/05%20Store%20Operations/2026-09-27%20Store%20perfomance.xlsx" TargetMode="External"/><Relationship Id="rId1" Type="http://schemas.openxmlformats.org/officeDocument/2006/relationships/externalLinkPath" Target="2026-09-27%20Store%20perfo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 store"/>
      <sheetName val="KPI Promotor"/>
      <sheetName val="Sales per type Agustus"/>
      <sheetName val="SALES VALUE PER TYPE"/>
      <sheetName val="PROMOTOR DASHBOARD"/>
      <sheetName val="SALES BY PROMOTORR"/>
      <sheetName val="Promotor Ranking"/>
      <sheetName val="&gt;40 Promotor"/>
      <sheetName val="&lt;40 Promotor"/>
      <sheetName val="Sheet1"/>
      <sheetName val="ALL TYPE COMPARE"/>
      <sheetName val="ACHIEVEMENT STORE"/>
      <sheetName val="Breakdown Qoala 50jt"/>
      <sheetName val="RAW DATA"/>
      <sheetName val="Focus Store"/>
      <sheetName val="&gt;120 Store"/>
      <sheetName val="&lt;120 Store"/>
      <sheetName val="Daily Promotor"/>
      <sheetName val="Daily Sales Promotor"/>
      <sheetName val="SALES BY PROMOTOR"/>
      <sheetName val="Sales By Promotor Last Month"/>
      <sheetName val="Insurance by Store"/>
      <sheetName val="Daily Sales Qty + Value"/>
      <sheetName val="Daily Sales"/>
      <sheetName val="DEVICE &amp; VALUE"/>
      <sheetName val="ACC"/>
      <sheetName val="Operator by Store"/>
      <sheetName val="3MIO+"/>
      <sheetName val="Store 3mio+ last month"/>
      <sheetName val="IQOO"/>
      <sheetName val="IQOO (2)"/>
      <sheetName val="SALES PERTYPE"/>
      <sheetName val="GROWTH"/>
      <sheetName val="PF"/>
      <sheetName val="DATA SALES TO DATE"/>
      <sheetName val="Data Stock"/>
      <sheetName val="TARGET THIS MONTH"/>
      <sheetName val="Area TOKO"/>
      <sheetName val="STORE AREA"/>
      <sheetName val="Master Item"/>
      <sheetName val="DATA LAST MONTH DEVICE"/>
      <sheetName val="DATA LAST MONTH IQOO"/>
      <sheetName val="DATA SALES LAST MONTH"/>
    </sheetNames>
    <sheetDataSet>
      <sheetData sheetId="0">
        <row r="2">
          <cell r="F2" t="str">
            <v>TARGET DEVICE QTY DAN VALUE  SEPTEMBER 2026</v>
          </cell>
          <cell r="J2" t="str">
            <v>TARGET VAS</v>
          </cell>
        </row>
        <row r="3">
          <cell r="J3">
            <v>0.1</v>
          </cell>
          <cell r="K3">
            <v>4.4999999999999997E-3</v>
          </cell>
          <cell r="L3">
            <v>1E-3</v>
          </cell>
          <cell r="M3">
            <v>2E-3</v>
          </cell>
          <cell r="N3">
            <v>3.0000000000000001E-3</v>
          </cell>
        </row>
        <row r="4">
          <cell r="F4" t="str">
            <v>QTY</v>
          </cell>
          <cell r="G4" t="str">
            <v>VALUE</v>
          </cell>
          <cell r="J4" t="str">
            <v>ACCECORIES</v>
          </cell>
          <cell r="K4" t="str">
            <v>QOALA</v>
          </cell>
          <cell r="L4" t="str">
            <v>VCARE</v>
          </cell>
          <cell r="M4" t="str">
            <v xml:space="preserve">INDOSAT </v>
          </cell>
          <cell r="N4" t="str">
            <v>TELKOMSEL</v>
          </cell>
        </row>
        <row r="5">
          <cell r="C5" t="str">
            <v>6010708-CENTRAL PARK SHOWROOM</v>
          </cell>
          <cell r="F5">
            <v>110</v>
          </cell>
          <cell r="G5">
            <v>600000000</v>
          </cell>
          <cell r="J5">
            <v>11</v>
          </cell>
          <cell r="K5">
            <v>2700000</v>
          </cell>
          <cell r="L5">
            <v>600000</v>
          </cell>
          <cell r="M5">
            <v>1200000</v>
          </cell>
          <cell r="N5">
            <v>1800000</v>
          </cell>
        </row>
        <row r="6">
          <cell r="C6" t="str">
            <v>6010701-ROXY SHOWROOM 21</v>
          </cell>
          <cell r="F6">
            <v>240</v>
          </cell>
          <cell r="G6">
            <v>1050000000</v>
          </cell>
          <cell r="J6">
            <v>24</v>
          </cell>
          <cell r="K6">
            <v>4725000</v>
          </cell>
          <cell r="L6">
            <v>1050000</v>
          </cell>
          <cell r="M6">
            <v>2100000</v>
          </cell>
          <cell r="N6">
            <v>3150000</v>
          </cell>
        </row>
        <row r="7">
          <cell r="C7" t="str">
            <v>6010702-ROXY PAMERAN TIMUR</v>
          </cell>
          <cell r="F7">
            <v>240</v>
          </cell>
          <cell r="G7">
            <v>950000000</v>
          </cell>
          <cell r="J7">
            <v>24</v>
          </cell>
          <cell r="K7">
            <v>4275000</v>
          </cell>
          <cell r="L7">
            <v>950000</v>
          </cell>
          <cell r="M7">
            <v>1900000</v>
          </cell>
          <cell r="N7">
            <v>2850000</v>
          </cell>
        </row>
        <row r="8">
          <cell r="C8" t="str">
            <v>6010703-ROXY VS WINSHOP</v>
          </cell>
          <cell r="F8">
            <v>120</v>
          </cell>
          <cell r="G8">
            <v>450000000</v>
          </cell>
          <cell r="J8">
            <v>12</v>
          </cell>
          <cell r="K8">
            <v>2025000</v>
          </cell>
          <cell r="L8">
            <v>450000</v>
          </cell>
          <cell r="M8">
            <v>900000</v>
          </cell>
          <cell r="N8">
            <v>1350000</v>
          </cell>
        </row>
        <row r="9">
          <cell r="C9" t="str">
            <v>6010709-ROXY PAMERAN UTARA</v>
          </cell>
          <cell r="F9">
            <v>320</v>
          </cell>
          <cell r="G9">
            <v>1100000000</v>
          </cell>
          <cell r="J9">
            <v>32</v>
          </cell>
          <cell r="K9">
            <v>4950000</v>
          </cell>
          <cell r="L9">
            <v>1100000</v>
          </cell>
          <cell r="M9">
            <v>2200000</v>
          </cell>
          <cell r="N9">
            <v>3300000</v>
          </cell>
        </row>
        <row r="10">
          <cell r="C10" t="str">
            <v>6010710-ROXY PAMERAN SELATAN</v>
          </cell>
          <cell r="F10">
            <v>110</v>
          </cell>
          <cell r="G10">
            <v>400000000</v>
          </cell>
          <cell r="J10">
            <v>11</v>
          </cell>
          <cell r="K10">
            <v>1800000</v>
          </cell>
          <cell r="L10">
            <v>400000</v>
          </cell>
          <cell r="M10">
            <v>800000</v>
          </cell>
          <cell r="N10">
            <v>1200000</v>
          </cell>
        </row>
        <row r="11">
          <cell r="C11" t="str">
            <v>6020711-EMPORIUM VIVO STORE</v>
          </cell>
          <cell r="F11">
            <v>110</v>
          </cell>
          <cell r="G11">
            <v>620000000</v>
          </cell>
          <cell r="J11">
            <v>11</v>
          </cell>
          <cell r="K11">
            <v>2790000</v>
          </cell>
          <cell r="L11">
            <v>620000</v>
          </cell>
          <cell r="M11">
            <v>1240000</v>
          </cell>
          <cell r="N11">
            <v>1860000</v>
          </cell>
        </row>
        <row r="12">
          <cell r="C12" t="str">
            <v>6010711-LIPPO MALL PURI 1FK02</v>
          </cell>
          <cell r="F12">
            <v>50</v>
          </cell>
          <cell r="G12">
            <v>350000000</v>
          </cell>
          <cell r="J12">
            <v>5</v>
          </cell>
          <cell r="K12">
            <v>1575000</v>
          </cell>
          <cell r="L12">
            <v>350000</v>
          </cell>
          <cell r="M12">
            <v>700000</v>
          </cell>
          <cell r="N12">
            <v>1050000</v>
          </cell>
        </row>
        <row r="13">
          <cell r="C13" t="str">
            <v>6020704-CEMPAKA SHOWROOM 14(8TOKO)</v>
          </cell>
          <cell r="F13">
            <v>50</v>
          </cell>
          <cell r="G13">
            <v>200000000</v>
          </cell>
          <cell r="J13">
            <v>5</v>
          </cell>
          <cell r="K13">
            <v>900000</v>
          </cell>
          <cell r="L13">
            <v>200000</v>
          </cell>
          <cell r="M13">
            <v>400000</v>
          </cell>
          <cell r="N13">
            <v>600000</v>
          </cell>
        </row>
        <row r="14">
          <cell r="C14" t="str">
            <v>6020706-CEMPAKA SHOWROOM 2 (454)</v>
          </cell>
          <cell r="F14">
            <v>100</v>
          </cell>
          <cell r="G14">
            <v>400000000</v>
          </cell>
          <cell r="J14">
            <v>10</v>
          </cell>
          <cell r="K14">
            <v>1800000</v>
          </cell>
          <cell r="L14">
            <v>400000</v>
          </cell>
          <cell r="M14">
            <v>800000</v>
          </cell>
          <cell r="N14">
            <v>1200000</v>
          </cell>
        </row>
        <row r="15">
          <cell r="C15" t="str">
            <v>6040701-ITC DEPOK VIVO STORE 1</v>
          </cell>
          <cell r="F15">
            <v>60</v>
          </cell>
          <cell r="G15">
            <v>250000000</v>
          </cell>
          <cell r="J15">
            <v>6</v>
          </cell>
          <cell r="K15">
            <v>1125000</v>
          </cell>
          <cell r="L15">
            <v>250000</v>
          </cell>
          <cell r="M15">
            <v>500000</v>
          </cell>
          <cell r="N15">
            <v>750000</v>
          </cell>
        </row>
        <row r="16">
          <cell r="C16" t="str">
            <v>6080712-ITC DEPOK VIVO STORE 2</v>
          </cell>
          <cell r="F16">
            <v>70</v>
          </cell>
          <cell r="G16">
            <v>300000000</v>
          </cell>
          <cell r="J16">
            <v>7</v>
          </cell>
          <cell r="K16">
            <v>1350000</v>
          </cell>
          <cell r="L16">
            <v>300000</v>
          </cell>
          <cell r="M16">
            <v>600000</v>
          </cell>
          <cell r="N16">
            <v>900000</v>
          </cell>
        </row>
        <row r="17">
          <cell r="C17" t="str">
            <v>6040702-TRAN STUDIO MALL 2F059</v>
          </cell>
          <cell r="F17">
            <v>50</v>
          </cell>
          <cell r="G17">
            <v>200000000</v>
          </cell>
          <cell r="J17">
            <v>5</v>
          </cell>
          <cell r="K17">
            <v>900000</v>
          </cell>
          <cell r="L17">
            <v>200000</v>
          </cell>
          <cell r="M17">
            <v>400000</v>
          </cell>
          <cell r="N17">
            <v>600000</v>
          </cell>
        </row>
        <row r="18">
          <cell r="C18" t="str">
            <v>6040703-SAWANGAN 1F1-0320</v>
          </cell>
          <cell r="F18">
            <v>50</v>
          </cell>
          <cell r="G18">
            <v>200000000</v>
          </cell>
          <cell r="J18">
            <v>5</v>
          </cell>
          <cell r="K18">
            <v>900000</v>
          </cell>
          <cell r="L18">
            <v>200000</v>
          </cell>
          <cell r="M18">
            <v>400000</v>
          </cell>
          <cell r="N18">
            <v>600000</v>
          </cell>
        </row>
        <row r="19">
          <cell r="C19" t="str">
            <v>6050701-BCP VS X6 DS0824</v>
          </cell>
          <cell r="F19">
            <v>60</v>
          </cell>
          <cell r="G19">
            <v>280000000</v>
          </cell>
          <cell r="J19">
            <v>6</v>
          </cell>
          <cell r="K19">
            <v>1260000</v>
          </cell>
          <cell r="L19">
            <v>280000</v>
          </cell>
          <cell r="M19">
            <v>560000</v>
          </cell>
          <cell r="N19">
            <v>840000</v>
          </cell>
        </row>
        <row r="20">
          <cell r="C20" t="str">
            <v>6220701-MBH-VIP VIVO STORE-DD284</v>
          </cell>
          <cell r="F20">
            <v>70</v>
          </cell>
          <cell r="G20">
            <v>300000000</v>
          </cell>
          <cell r="J20">
            <v>7</v>
          </cell>
          <cell r="K20">
            <v>1350000</v>
          </cell>
          <cell r="L20">
            <v>300000</v>
          </cell>
          <cell r="M20">
            <v>600000</v>
          </cell>
          <cell r="N20">
            <v>900000</v>
          </cell>
        </row>
        <row r="21">
          <cell r="C21" t="str">
            <v>6050705-MBH 2F009</v>
          </cell>
          <cell r="F21">
            <v>30</v>
          </cell>
          <cell r="G21">
            <v>120000000</v>
          </cell>
          <cell r="J21">
            <v>3</v>
          </cell>
          <cell r="K21">
            <v>540000</v>
          </cell>
          <cell r="L21">
            <v>120000</v>
          </cell>
          <cell r="M21">
            <v>240000</v>
          </cell>
          <cell r="N21">
            <v>360000</v>
          </cell>
        </row>
        <row r="22">
          <cell r="C22" t="str">
            <v>6050706-AEON MALL DELTAMAS 1F081</v>
          </cell>
          <cell r="F22">
            <v>30</v>
          </cell>
          <cell r="G22">
            <v>170000000</v>
          </cell>
          <cell r="J22">
            <v>3</v>
          </cell>
          <cell r="K22">
            <v>765000</v>
          </cell>
          <cell r="L22">
            <v>170000</v>
          </cell>
          <cell r="M22">
            <v>340000</v>
          </cell>
          <cell r="N22">
            <v>510000</v>
          </cell>
        </row>
        <row r="23">
          <cell r="C23" t="str">
            <v>6180706-MALL CCM VIVO STORE</v>
          </cell>
          <cell r="F23">
            <v>120</v>
          </cell>
          <cell r="G23">
            <v>550000000</v>
          </cell>
          <cell r="J23">
            <v>12</v>
          </cell>
          <cell r="K23">
            <v>2475000</v>
          </cell>
          <cell r="L23">
            <v>550000</v>
          </cell>
          <cell r="M23">
            <v>1100000</v>
          </cell>
          <cell r="N23">
            <v>1650000</v>
          </cell>
        </row>
        <row r="24">
          <cell r="C24" t="str">
            <v>6180707-BTM SC VIVO STORE</v>
          </cell>
          <cell r="F24">
            <v>30</v>
          </cell>
          <cell r="G24">
            <v>120000000</v>
          </cell>
          <cell r="J24">
            <v>3</v>
          </cell>
          <cell r="K24">
            <v>100000</v>
          </cell>
          <cell r="L24">
            <v>100000</v>
          </cell>
          <cell r="M24">
            <v>240000</v>
          </cell>
          <cell r="N24">
            <v>360000</v>
          </cell>
        </row>
        <row r="25">
          <cell r="C25" t="str">
            <v>6170707-TANGCITY LG BLOK D NO. 01D</v>
          </cell>
          <cell r="F25">
            <v>90</v>
          </cell>
          <cell r="G25">
            <v>300000000</v>
          </cell>
          <cell r="J25">
            <v>9</v>
          </cell>
          <cell r="K25">
            <v>1350000</v>
          </cell>
          <cell r="L25">
            <v>300000</v>
          </cell>
          <cell r="M25">
            <v>600000</v>
          </cell>
          <cell r="N25">
            <v>900000</v>
          </cell>
        </row>
        <row r="26">
          <cell r="C26" t="str">
            <v>6240702-TANGCITY LG BLOK B NO. 01B</v>
          </cell>
          <cell r="F26">
            <v>90</v>
          </cell>
          <cell r="G26">
            <v>400000000</v>
          </cell>
          <cell r="J26">
            <v>9</v>
          </cell>
          <cell r="K26">
            <v>1800000</v>
          </cell>
          <cell r="L26">
            <v>400000</v>
          </cell>
          <cell r="M26">
            <v>800000</v>
          </cell>
          <cell r="N26">
            <v>1200000</v>
          </cell>
        </row>
        <row r="27">
          <cell r="C27" t="str">
            <v>6240704-TANGCITY LG017</v>
          </cell>
          <cell r="F27">
            <v>30</v>
          </cell>
          <cell r="G27">
            <v>100000000</v>
          </cell>
          <cell r="J27">
            <v>3</v>
          </cell>
          <cell r="K27">
            <v>350000</v>
          </cell>
          <cell r="L27">
            <v>150000</v>
          </cell>
          <cell r="M27">
            <v>200000</v>
          </cell>
          <cell r="N27">
            <v>300000</v>
          </cell>
        </row>
        <row r="28">
          <cell r="C28" t="str">
            <v>6240709-ITC BSD 1F49-50</v>
          </cell>
          <cell r="F28">
            <v>30</v>
          </cell>
          <cell r="G28">
            <v>100000000</v>
          </cell>
          <cell r="J28">
            <v>3</v>
          </cell>
          <cell r="K28">
            <v>450000</v>
          </cell>
          <cell r="L28">
            <v>100000</v>
          </cell>
          <cell r="M28">
            <v>200000</v>
          </cell>
          <cell r="N28">
            <v>300000</v>
          </cell>
        </row>
        <row r="29">
          <cell r="C29" t="str">
            <v>6240708-ITC BSD 1F09-14</v>
          </cell>
          <cell r="F29">
            <v>30</v>
          </cell>
          <cell r="G29">
            <v>120000000</v>
          </cell>
          <cell r="J29">
            <v>3</v>
          </cell>
          <cell r="K29">
            <v>540000</v>
          </cell>
          <cell r="L29">
            <v>120000</v>
          </cell>
          <cell r="M29">
            <v>240000</v>
          </cell>
          <cell r="N29">
            <v>360000</v>
          </cell>
        </row>
        <row r="30">
          <cell r="C30" t="str">
            <v>6240701-TANGCITY LG BLOK A-B NO. 12</v>
          </cell>
          <cell r="F30">
            <v>90</v>
          </cell>
          <cell r="G30">
            <v>350000000</v>
          </cell>
          <cell r="J30">
            <v>9</v>
          </cell>
          <cell r="K30">
            <v>1575000</v>
          </cell>
          <cell r="L30">
            <v>350000</v>
          </cell>
          <cell r="M30">
            <v>700000</v>
          </cell>
          <cell r="N30">
            <v>1050000</v>
          </cell>
        </row>
        <row r="31">
          <cell r="C31" t="str">
            <v>6170706-TANGCITY CHARLES</v>
          </cell>
          <cell r="F31">
            <v>90</v>
          </cell>
          <cell r="G31">
            <v>310000000</v>
          </cell>
          <cell r="J31">
            <v>9</v>
          </cell>
          <cell r="K31">
            <v>1395000</v>
          </cell>
          <cell r="L31">
            <v>310000</v>
          </cell>
          <cell r="M31">
            <v>620000</v>
          </cell>
          <cell r="N31">
            <v>930000</v>
          </cell>
        </row>
        <row r="32">
          <cell r="C32" t="str">
            <v>6240703-TANGCITY LG009</v>
          </cell>
          <cell r="F32">
            <v>90</v>
          </cell>
          <cell r="G32">
            <v>400000000</v>
          </cell>
          <cell r="J32">
            <v>9</v>
          </cell>
          <cell r="K32">
            <v>1800000</v>
          </cell>
          <cell r="L32">
            <v>400000</v>
          </cell>
          <cell r="M32">
            <v>800000</v>
          </cell>
          <cell r="N32">
            <v>1200000</v>
          </cell>
        </row>
        <row r="33">
          <cell r="C33" t="str">
            <v>6240705-CIPUTRA 2FC15</v>
          </cell>
          <cell r="F33">
            <v>40</v>
          </cell>
          <cell r="G33">
            <v>210000000</v>
          </cell>
          <cell r="J33">
            <v>4</v>
          </cell>
          <cell r="K33">
            <v>100000</v>
          </cell>
          <cell r="L33">
            <v>50000</v>
          </cell>
          <cell r="M33">
            <v>420000</v>
          </cell>
          <cell r="N33">
            <v>630000</v>
          </cell>
        </row>
        <row r="34">
          <cell r="C34" t="str">
            <v>6170703-BNT-CCM VIVO STORE</v>
          </cell>
          <cell r="F34">
            <v>30</v>
          </cell>
          <cell r="G34">
            <v>120000000</v>
          </cell>
          <cell r="J34">
            <v>3</v>
          </cell>
          <cell r="K34">
            <v>200000</v>
          </cell>
          <cell r="L34">
            <v>100000</v>
          </cell>
          <cell r="M34">
            <v>240000</v>
          </cell>
          <cell r="N34">
            <v>360000</v>
          </cell>
        </row>
        <row r="35">
          <cell r="C35" t="str">
            <v>6240707-KARAWACI UGN3A</v>
          </cell>
          <cell r="F35">
            <v>30</v>
          </cell>
          <cell r="G35">
            <v>160000000</v>
          </cell>
          <cell r="J35">
            <v>3</v>
          </cell>
          <cell r="K35">
            <v>720000</v>
          </cell>
          <cell r="L35">
            <v>160000</v>
          </cell>
          <cell r="M35">
            <v>320000</v>
          </cell>
          <cell r="N35">
            <v>480000</v>
          </cell>
        </row>
        <row r="36">
          <cell r="C36" t="str">
            <v>6240706-KARAWACI 1FC3A</v>
          </cell>
          <cell r="F36">
            <v>30</v>
          </cell>
          <cell r="G36">
            <v>120000000</v>
          </cell>
          <cell r="J36">
            <v>3</v>
          </cell>
          <cell r="K36">
            <v>540000</v>
          </cell>
          <cell r="L36">
            <v>120000</v>
          </cell>
          <cell r="M36">
            <v>240000</v>
          </cell>
          <cell r="N36">
            <v>360000</v>
          </cell>
        </row>
        <row r="37">
          <cell r="C37" t="str">
            <v>6190701-BEC VIVO STORE UG</v>
          </cell>
          <cell r="F37">
            <v>50</v>
          </cell>
          <cell r="G37">
            <v>170000000</v>
          </cell>
          <cell r="J37">
            <v>5</v>
          </cell>
          <cell r="K37">
            <v>765000</v>
          </cell>
          <cell r="L37">
            <v>170000</v>
          </cell>
          <cell r="M37">
            <v>340000</v>
          </cell>
          <cell r="N37">
            <v>510000</v>
          </cell>
        </row>
        <row r="38">
          <cell r="C38" t="str">
            <v>6190706-BEC VIVO STORE 4</v>
          </cell>
          <cell r="F38">
            <v>120</v>
          </cell>
          <cell r="G38">
            <v>620000000</v>
          </cell>
          <cell r="J38">
            <v>12</v>
          </cell>
          <cell r="K38">
            <v>2790000</v>
          </cell>
          <cell r="L38">
            <v>620000</v>
          </cell>
          <cell r="M38">
            <v>1240000</v>
          </cell>
          <cell r="N38">
            <v>1860000</v>
          </cell>
        </row>
        <row r="39">
          <cell r="C39" t="str">
            <v>6190705-BEC VIVO STORE LG F20</v>
          </cell>
          <cell r="F39">
            <v>50</v>
          </cell>
          <cell r="G39">
            <v>150000000</v>
          </cell>
          <cell r="J39">
            <v>5</v>
          </cell>
          <cell r="K39">
            <v>675000</v>
          </cell>
          <cell r="L39">
            <v>150000</v>
          </cell>
          <cell r="M39">
            <v>300000</v>
          </cell>
          <cell r="N39">
            <v>450000</v>
          </cell>
        </row>
        <row r="40">
          <cell r="C40" t="str">
            <v>6190704-BEC VIVO STORE 1</v>
          </cell>
          <cell r="F40">
            <v>110</v>
          </cell>
          <cell r="G40">
            <v>500000000</v>
          </cell>
          <cell r="J40">
            <v>11</v>
          </cell>
          <cell r="K40">
            <v>2250000</v>
          </cell>
          <cell r="L40">
            <v>500000</v>
          </cell>
          <cell r="M40">
            <v>1000000</v>
          </cell>
          <cell r="N40">
            <v>1500000</v>
          </cell>
        </row>
        <row r="41">
          <cell r="C41" t="str">
            <v>6190707-BEC VIVO STORE LU</v>
          </cell>
          <cell r="F41">
            <v>120</v>
          </cell>
          <cell r="G41">
            <v>500000000</v>
          </cell>
          <cell r="J41">
            <v>12</v>
          </cell>
          <cell r="K41">
            <v>2250000</v>
          </cell>
          <cell r="L41">
            <v>500000</v>
          </cell>
          <cell r="M41">
            <v>1000000</v>
          </cell>
          <cell r="N41">
            <v>1500000</v>
          </cell>
        </row>
        <row r="42">
          <cell r="C42" t="str">
            <v>6190708-BEC SC LGAA07</v>
          </cell>
          <cell r="F42">
            <v>20</v>
          </cell>
          <cell r="G42">
            <v>80000000</v>
          </cell>
          <cell r="J42">
            <v>2</v>
          </cell>
          <cell r="K42">
            <v>360000</v>
          </cell>
          <cell r="L42">
            <v>80000</v>
          </cell>
          <cell r="M42">
            <v>160000</v>
          </cell>
          <cell r="N42">
            <v>240000</v>
          </cell>
        </row>
        <row r="43">
          <cell r="C43" t="str">
            <v>6130702-RITA SUPERMALL SF36-37</v>
          </cell>
          <cell r="F43">
            <v>60</v>
          </cell>
          <cell r="G43">
            <v>300000000</v>
          </cell>
          <cell r="J43">
            <v>6</v>
          </cell>
          <cell r="K43">
            <v>1350000</v>
          </cell>
          <cell r="L43">
            <v>300000</v>
          </cell>
          <cell r="M43">
            <v>600000</v>
          </cell>
          <cell r="N43">
            <v>900000</v>
          </cell>
        </row>
        <row r="44">
          <cell r="C44" t="str">
            <v>6140706-23 SEMARANG MALL 1F065-66</v>
          </cell>
          <cell r="F44">
            <v>50</v>
          </cell>
          <cell r="G44">
            <v>200000000</v>
          </cell>
          <cell r="J44">
            <v>5</v>
          </cell>
          <cell r="K44">
            <v>900000</v>
          </cell>
          <cell r="L44">
            <v>200000</v>
          </cell>
          <cell r="M44">
            <v>400000</v>
          </cell>
          <cell r="N44">
            <v>600000</v>
          </cell>
        </row>
        <row r="45">
          <cell r="C45" t="str">
            <v>6140705-QUEENCITY 2F027</v>
          </cell>
          <cell r="F45">
            <v>60</v>
          </cell>
          <cell r="G45">
            <v>350000000</v>
          </cell>
          <cell r="J45">
            <v>6</v>
          </cell>
          <cell r="K45">
            <v>1575000</v>
          </cell>
          <cell r="L45">
            <v>350000</v>
          </cell>
          <cell r="M45">
            <v>700000</v>
          </cell>
          <cell r="N45">
            <v>1050000</v>
          </cell>
        </row>
        <row r="46">
          <cell r="C46" t="str">
            <v>6100702-Jogja City Mall VIVO STORE</v>
          </cell>
          <cell r="F46">
            <v>50</v>
          </cell>
          <cell r="G46">
            <v>300000000</v>
          </cell>
          <cell r="J46">
            <v>5</v>
          </cell>
          <cell r="K46">
            <v>1350000</v>
          </cell>
          <cell r="L46">
            <v>300000</v>
          </cell>
          <cell r="M46">
            <v>600000</v>
          </cell>
          <cell r="N46">
            <v>900000</v>
          </cell>
        </row>
        <row r="47">
          <cell r="C47" t="str">
            <v>6150702-GRANMALL SC GF-11</v>
          </cell>
          <cell r="F47">
            <v>20</v>
          </cell>
          <cell r="G47">
            <v>50000000</v>
          </cell>
          <cell r="J47">
            <v>2</v>
          </cell>
          <cell r="K47">
            <v>225000</v>
          </cell>
          <cell r="L47">
            <v>50000</v>
          </cell>
          <cell r="M47">
            <v>100000</v>
          </cell>
          <cell r="N47">
            <v>150000</v>
          </cell>
        </row>
        <row r="48">
          <cell r="F48">
            <v>3400</v>
          </cell>
          <cell r="G48">
            <v>14520000000</v>
          </cell>
          <cell r="J48">
            <v>340</v>
          </cell>
          <cell r="K48">
            <v>63615000</v>
          </cell>
          <cell r="L48">
            <v>14370000</v>
          </cell>
          <cell r="M48">
            <v>29040000</v>
          </cell>
          <cell r="N48">
            <v>43560000</v>
          </cell>
        </row>
      </sheetData>
      <sheetData sheetId="1">
        <row r="1">
          <cell r="G1" t="str">
            <v>ID Store</v>
          </cell>
          <cell r="H1" t="str">
            <v>Store</v>
          </cell>
          <cell r="I1" t="str">
            <v>Category</v>
          </cell>
          <cell r="J1" t="str">
            <v>Grade</v>
          </cell>
          <cell r="K1" t="str">
            <v>Target / Promotor / Bulan</v>
          </cell>
        </row>
        <row r="2">
          <cell r="G2">
            <v>6010701</v>
          </cell>
          <cell r="H2" t="str">
            <v>ROXY SHOWROOM 21</v>
          </cell>
          <cell r="I2" t="str">
            <v>Handphone center</v>
          </cell>
          <cell r="J2" t="str">
            <v>A+</v>
          </cell>
          <cell r="K2">
            <v>170000000</v>
          </cell>
        </row>
        <row r="3">
          <cell r="G3">
            <v>6010702</v>
          </cell>
          <cell r="H3" t="str">
            <v>ROXY PAMERAN TIMUR</v>
          </cell>
          <cell r="I3" t="str">
            <v>Handphone center</v>
          </cell>
          <cell r="J3" t="str">
            <v>A+</v>
          </cell>
          <cell r="K3">
            <v>170000000</v>
          </cell>
        </row>
        <row r="4">
          <cell r="G4">
            <v>6010703</v>
          </cell>
          <cell r="H4" t="str">
            <v>ROXY VS WINSHOP</v>
          </cell>
          <cell r="I4" t="str">
            <v>Handphone center</v>
          </cell>
          <cell r="J4" t="str">
            <v>A+</v>
          </cell>
          <cell r="K4">
            <v>170000000</v>
          </cell>
        </row>
        <row r="5">
          <cell r="G5">
            <v>6010709</v>
          </cell>
          <cell r="H5" t="str">
            <v>ROXY PAMERAN UTARA</v>
          </cell>
          <cell r="I5" t="str">
            <v>Handphone center</v>
          </cell>
          <cell r="J5" t="str">
            <v>A+</v>
          </cell>
          <cell r="K5">
            <v>170000000</v>
          </cell>
        </row>
        <row r="6">
          <cell r="G6">
            <v>6010710</v>
          </cell>
          <cell r="H6" t="str">
            <v>ROXY PAMERAN SELATAN</v>
          </cell>
          <cell r="I6" t="str">
            <v>Handphone center</v>
          </cell>
          <cell r="J6" t="str">
            <v>A+</v>
          </cell>
          <cell r="K6">
            <v>170000000</v>
          </cell>
        </row>
        <row r="7">
          <cell r="G7">
            <v>6010708</v>
          </cell>
          <cell r="H7" t="str">
            <v>CENTRAL PARK SHOWROOM</v>
          </cell>
          <cell r="I7" t="str">
            <v>Shopping mall</v>
          </cell>
          <cell r="J7" t="str">
            <v>A</v>
          </cell>
          <cell r="K7">
            <v>170000000</v>
          </cell>
        </row>
        <row r="8">
          <cell r="G8">
            <v>6020711</v>
          </cell>
          <cell r="H8" t="str">
            <v>EMPORIUM VIVO STORE</v>
          </cell>
          <cell r="I8" t="str">
            <v>Shopping mall</v>
          </cell>
          <cell r="J8" t="str">
            <v>A</v>
          </cell>
          <cell r="K8">
            <v>170000000</v>
          </cell>
        </row>
        <row r="9">
          <cell r="G9">
            <v>6010711</v>
          </cell>
          <cell r="H9" t="str">
            <v>LIPPO MALL PURI 1FK02</v>
          </cell>
          <cell r="I9" t="str">
            <v>Shopping mall</v>
          </cell>
          <cell r="J9" t="str">
            <v>A</v>
          </cell>
          <cell r="K9">
            <v>170000000</v>
          </cell>
        </row>
        <row r="10">
          <cell r="G10">
            <v>6180706</v>
          </cell>
          <cell r="H10" t="str">
            <v>MALL CCM VIVO STORE</v>
          </cell>
          <cell r="I10" t="str">
            <v>Shopping mall</v>
          </cell>
          <cell r="J10" t="str">
            <v>A</v>
          </cell>
          <cell r="K10">
            <v>170000000</v>
          </cell>
        </row>
        <row r="11">
          <cell r="G11">
            <v>6130702</v>
          </cell>
          <cell r="H11" t="str">
            <v>RITA SUPERMALL SF36-37</v>
          </cell>
          <cell r="I11" t="str">
            <v>Shopping mall</v>
          </cell>
          <cell r="J11" t="str">
            <v>A</v>
          </cell>
          <cell r="K11">
            <v>170000000</v>
          </cell>
        </row>
        <row r="12">
          <cell r="G12">
            <v>6220701</v>
          </cell>
          <cell r="H12" t="str">
            <v>MBH-VIP VIVO STORE-DD284</v>
          </cell>
          <cell r="I12" t="str">
            <v>Handphone center</v>
          </cell>
          <cell r="J12" t="str">
            <v>A-</v>
          </cell>
          <cell r="K12">
            <v>140000000</v>
          </cell>
        </row>
        <row r="13">
          <cell r="G13">
            <v>6050701</v>
          </cell>
          <cell r="H13" t="str">
            <v>BCP VS X6 DS0824</v>
          </cell>
          <cell r="I13" t="str">
            <v>Handphone center</v>
          </cell>
          <cell r="J13" t="str">
            <v>A-</v>
          </cell>
          <cell r="K13">
            <v>140000000</v>
          </cell>
        </row>
        <row r="14">
          <cell r="G14">
            <v>6040702</v>
          </cell>
          <cell r="H14" t="str">
            <v>TRAN STUDIO MALL 2F059</v>
          </cell>
          <cell r="I14" t="str">
            <v>Shopping mall</v>
          </cell>
          <cell r="J14" t="str">
            <v>B</v>
          </cell>
          <cell r="K14">
            <v>120000000</v>
          </cell>
        </row>
        <row r="15">
          <cell r="G15">
            <v>6040703</v>
          </cell>
          <cell r="H15" t="str">
            <v>SAWANGAN 1F1-0320</v>
          </cell>
          <cell r="I15" t="str">
            <v>Shopping mall</v>
          </cell>
          <cell r="J15" t="str">
            <v>B</v>
          </cell>
          <cell r="K15">
            <v>120000000</v>
          </cell>
        </row>
        <row r="16">
          <cell r="G16">
            <v>6240705</v>
          </cell>
          <cell r="H16" t="str">
            <v>CIPUTRA 2FC15</v>
          </cell>
          <cell r="I16" t="str">
            <v>Shopping mall</v>
          </cell>
          <cell r="J16" t="str">
            <v>B</v>
          </cell>
          <cell r="K16">
            <v>120000000</v>
          </cell>
        </row>
        <row r="17">
          <cell r="G17">
            <v>6140705</v>
          </cell>
          <cell r="H17" t="str">
            <v>QUEENCITY 2F027</v>
          </cell>
          <cell r="I17" t="str">
            <v>Shopping mall</v>
          </cell>
          <cell r="J17" t="str">
            <v>B</v>
          </cell>
          <cell r="K17">
            <v>120000000</v>
          </cell>
        </row>
        <row r="18">
          <cell r="G18">
            <v>6170707</v>
          </cell>
          <cell r="H18" t="str">
            <v>TANGCITY LG BLOK D NO. 01D</v>
          </cell>
          <cell r="I18" t="str">
            <v>Handphone center</v>
          </cell>
          <cell r="J18" t="str">
            <v>B-</v>
          </cell>
          <cell r="K18">
            <v>120000000</v>
          </cell>
        </row>
        <row r="19">
          <cell r="G19">
            <v>6240702</v>
          </cell>
          <cell r="H19" t="str">
            <v>TANGCITY LG BLOK B NO. 01B</v>
          </cell>
          <cell r="I19" t="str">
            <v>Handphone center</v>
          </cell>
          <cell r="J19" t="str">
            <v>B-</v>
          </cell>
          <cell r="K19">
            <v>120000000</v>
          </cell>
        </row>
        <row r="20">
          <cell r="G20">
            <v>6240701</v>
          </cell>
          <cell r="H20" t="str">
            <v>TANGCITY LG BLOK A-B NO. 12</v>
          </cell>
          <cell r="I20" t="str">
            <v>Handphone center</v>
          </cell>
          <cell r="J20" t="str">
            <v>B-</v>
          </cell>
          <cell r="K20">
            <v>120000000</v>
          </cell>
        </row>
        <row r="21">
          <cell r="G21">
            <v>6170706</v>
          </cell>
          <cell r="H21" t="str">
            <v>TANGCITY CHARLES</v>
          </cell>
          <cell r="I21" t="str">
            <v>Handphone center</v>
          </cell>
          <cell r="J21" t="str">
            <v>B-</v>
          </cell>
          <cell r="K21">
            <v>120000000</v>
          </cell>
        </row>
        <row r="22">
          <cell r="G22">
            <v>6240703</v>
          </cell>
          <cell r="H22" t="str">
            <v>TANGCITY LG009</v>
          </cell>
          <cell r="I22" t="str">
            <v>Handphone center</v>
          </cell>
          <cell r="J22" t="str">
            <v>B-</v>
          </cell>
          <cell r="K22">
            <v>120000000</v>
          </cell>
        </row>
        <row r="23">
          <cell r="G23">
            <v>6190701</v>
          </cell>
          <cell r="H23" t="str">
            <v>BEC VIVO STORE UG</v>
          </cell>
          <cell r="I23" t="str">
            <v>Handphone center</v>
          </cell>
          <cell r="J23" t="str">
            <v>B-</v>
          </cell>
          <cell r="K23">
            <v>120000000</v>
          </cell>
        </row>
        <row r="24">
          <cell r="G24">
            <v>6190706</v>
          </cell>
          <cell r="H24" t="str">
            <v>BEC VIVO STORE 4</v>
          </cell>
          <cell r="I24" t="str">
            <v>Handphone center</v>
          </cell>
          <cell r="J24" t="str">
            <v>B-</v>
          </cell>
          <cell r="K24">
            <v>120000000</v>
          </cell>
        </row>
        <row r="25">
          <cell r="G25">
            <v>6190705</v>
          </cell>
          <cell r="H25" t="str">
            <v>BEC VIVO STORE LG F20</v>
          </cell>
          <cell r="I25" t="str">
            <v>Handphone center</v>
          </cell>
          <cell r="J25" t="str">
            <v>B-</v>
          </cell>
          <cell r="K25">
            <v>120000000</v>
          </cell>
        </row>
        <row r="26">
          <cell r="G26">
            <v>6190704</v>
          </cell>
          <cell r="H26" t="str">
            <v>BEC VIVO STORE 1</v>
          </cell>
          <cell r="I26" t="str">
            <v>Handphone center</v>
          </cell>
          <cell r="J26" t="str">
            <v>B-</v>
          </cell>
          <cell r="K26">
            <v>120000000</v>
          </cell>
        </row>
        <row r="27">
          <cell r="G27">
            <v>6190707</v>
          </cell>
          <cell r="H27" t="str">
            <v>BEC VIVO STORE LU</v>
          </cell>
          <cell r="I27" t="str">
            <v>Handphone center</v>
          </cell>
          <cell r="J27" t="str">
            <v>B-</v>
          </cell>
          <cell r="K27">
            <v>120000000</v>
          </cell>
        </row>
        <row r="28">
          <cell r="G28">
            <v>6020704</v>
          </cell>
          <cell r="H28" t="str">
            <v>CEMPAKA SHOWROOM 14(8TOKO)</v>
          </cell>
          <cell r="I28" t="str">
            <v>Handphone center</v>
          </cell>
          <cell r="J28" t="str">
            <v>B-</v>
          </cell>
          <cell r="K28">
            <v>120000000</v>
          </cell>
        </row>
        <row r="29">
          <cell r="G29">
            <v>6020706</v>
          </cell>
          <cell r="H29" t="str">
            <v>CEMPAKA SHOWROOM 2 (454)</v>
          </cell>
          <cell r="I29" t="str">
            <v>Handphone center</v>
          </cell>
          <cell r="J29" t="str">
            <v>B-</v>
          </cell>
          <cell r="K29">
            <v>120000000</v>
          </cell>
        </row>
        <row r="30">
          <cell r="G30">
            <v>6040701</v>
          </cell>
          <cell r="H30" t="str">
            <v>ITC DEPOK VIVO STORE 1</v>
          </cell>
          <cell r="I30" t="str">
            <v>Handphone center</v>
          </cell>
          <cell r="J30" t="str">
            <v>B-</v>
          </cell>
          <cell r="K30">
            <v>120000000</v>
          </cell>
        </row>
        <row r="31">
          <cell r="G31">
            <v>6080712</v>
          </cell>
          <cell r="H31" t="str">
            <v>ITC DEPOK VIVO STORE 2</v>
          </cell>
          <cell r="I31" t="str">
            <v>Handphone center</v>
          </cell>
          <cell r="J31" t="str">
            <v>B-</v>
          </cell>
          <cell r="K31">
            <v>120000000</v>
          </cell>
        </row>
        <row r="32">
          <cell r="G32">
            <v>6170703</v>
          </cell>
          <cell r="H32" t="str">
            <v>BNT-CCM VIVO STORE</v>
          </cell>
          <cell r="I32" t="str">
            <v>Shopping mall</v>
          </cell>
          <cell r="J32" t="str">
            <v>C</v>
          </cell>
          <cell r="K32">
            <v>90000000</v>
          </cell>
        </row>
        <row r="33">
          <cell r="G33">
            <v>6100702</v>
          </cell>
          <cell r="H33" t="str">
            <v>Jogja City Mall VIVO STORE</v>
          </cell>
          <cell r="I33" t="str">
            <v>Shopping mall</v>
          </cell>
          <cell r="J33" t="str">
            <v>C</v>
          </cell>
          <cell r="K33">
            <v>90000000</v>
          </cell>
        </row>
        <row r="34">
          <cell r="G34">
            <v>6240704</v>
          </cell>
          <cell r="H34" t="str">
            <v>TANGCITY WEST LOBBY</v>
          </cell>
          <cell r="I34" t="str">
            <v>Handphone center</v>
          </cell>
          <cell r="J34" t="str">
            <v>C-</v>
          </cell>
          <cell r="K34">
            <v>90000000</v>
          </cell>
        </row>
        <row r="35">
          <cell r="G35">
            <v>6240709</v>
          </cell>
          <cell r="H35" t="str">
            <v>ITC BSD 1F49-50</v>
          </cell>
          <cell r="I35" t="str">
            <v>Handphone center</v>
          </cell>
          <cell r="J35" t="str">
            <v>C-</v>
          </cell>
          <cell r="K35">
            <v>90000000</v>
          </cell>
        </row>
        <row r="36">
          <cell r="G36">
            <v>6240708</v>
          </cell>
          <cell r="H36" t="str">
            <v>ITC BSD 1F09-14</v>
          </cell>
          <cell r="I36" t="str">
            <v>Handphone center</v>
          </cell>
          <cell r="J36" t="str">
            <v>C-</v>
          </cell>
          <cell r="K36">
            <v>90000000</v>
          </cell>
        </row>
        <row r="37">
          <cell r="G37">
            <v>6240707</v>
          </cell>
          <cell r="H37" t="str">
            <v>KARAWACI UGN3A</v>
          </cell>
          <cell r="I37" t="str">
            <v>Handphone center</v>
          </cell>
          <cell r="J37" t="str">
            <v>C-</v>
          </cell>
          <cell r="K37">
            <v>90000000</v>
          </cell>
        </row>
        <row r="38">
          <cell r="G38">
            <v>6240706</v>
          </cell>
          <cell r="H38" t="str">
            <v>KARAWACI 1FC3A</v>
          </cell>
          <cell r="I38" t="str">
            <v>Handphone center</v>
          </cell>
          <cell r="J38" t="str">
            <v>C-</v>
          </cell>
          <cell r="K38">
            <v>90000000</v>
          </cell>
        </row>
        <row r="39">
          <cell r="G39">
            <v>6180707</v>
          </cell>
          <cell r="H39" t="str">
            <v>BTM SC VIVO STORE</v>
          </cell>
          <cell r="I39" t="str">
            <v>Handphone center</v>
          </cell>
          <cell r="J39" t="str">
            <v>C-</v>
          </cell>
          <cell r="K39">
            <v>90000000</v>
          </cell>
        </row>
        <row r="40">
          <cell r="G40">
            <v>6050705</v>
          </cell>
          <cell r="H40" t="str">
            <v>MBH 2F009</v>
          </cell>
          <cell r="I40" t="str">
            <v>Handphone center</v>
          </cell>
          <cell r="J40" t="str">
            <v>C-</v>
          </cell>
          <cell r="K40">
            <v>90000000</v>
          </cell>
        </row>
        <row r="41">
          <cell r="G41">
            <v>6050706</v>
          </cell>
          <cell r="H41" t="str">
            <v>AEON MALL DELTAMAS 1F081</v>
          </cell>
          <cell r="I41" t="str">
            <v>Shopping mall</v>
          </cell>
          <cell r="J41" t="str">
            <v>NO TARGET</v>
          </cell>
          <cell r="K41">
            <v>0</v>
          </cell>
        </row>
        <row r="42">
          <cell r="G42">
            <v>6140706</v>
          </cell>
          <cell r="H42" t="str">
            <v>23 SEMARANG MALL 1F065-66</v>
          </cell>
          <cell r="I42" t="str">
            <v>Shopping mall</v>
          </cell>
          <cell r="J42" t="str">
            <v>NO TARGET</v>
          </cell>
          <cell r="K42">
            <v>0</v>
          </cell>
        </row>
        <row r="43">
          <cell r="G43">
            <v>6150702</v>
          </cell>
          <cell r="H43" t="str">
            <v>GRANMALL SC GF-11</v>
          </cell>
          <cell r="I43" t="str">
            <v>Shopping mall</v>
          </cell>
          <cell r="J43" t="str">
            <v>NO TARGET</v>
          </cell>
          <cell r="K43">
            <v>0</v>
          </cell>
        </row>
        <row r="44">
          <cell r="G44">
            <v>6190708</v>
          </cell>
          <cell r="H44" t="str">
            <v>BEC SC LGAA07</v>
          </cell>
          <cell r="I44" t="str">
            <v>Handphone center</v>
          </cell>
          <cell r="J44" t="str">
            <v>NO TARGET</v>
          </cell>
          <cell r="K44">
            <v>0</v>
          </cell>
        </row>
      </sheetData>
      <sheetData sheetId="2">
        <row r="7">
          <cell r="D7" t="str">
            <v>3mio&lt;</v>
          </cell>
          <cell r="L7" t="str">
            <v>3mio&gt;</v>
          </cell>
          <cell r="AN7" t="str">
            <v>Total Sum of Qty</v>
          </cell>
          <cell r="AO7" t="str">
            <v>Total Sum of SRP</v>
          </cell>
        </row>
        <row r="8">
          <cell r="D8" t="str">
            <v>Y05</v>
          </cell>
          <cell r="F8" t="str">
            <v>Y11d</v>
          </cell>
          <cell r="H8" t="str">
            <v>Watch GT 2</v>
          </cell>
          <cell r="J8" t="str">
            <v>Y05e</v>
          </cell>
          <cell r="L8" t="str">
            <v>V70</v>
          </cell>
          <cell r="N8" t="str">
            <v>Y31d Pro</v>
          </cell>
          <cell r="P8" t="str">
            <v>Y11d</v>
          </cell>
          <cell r="R8" t="str">
            <v xml:space="preserve">Y31d </v>
          </cell>
          <cell r="T8" t="str">
            <v>V70 FE</v>
          </cell>
          <cell r="V8" t="str">
            <v>Y31d</v>
          </cell>
          <cell r="X8" t="str">
            <v>Y500</v>
          </cell>
          <cell r="Z8" t="str">
            <v>IQOO 15R</v>
          </cell>
          <cell r="AB8" t="str">
            <v>V60 Lite</v>
          </cell>
          <cell r="AD8" t="str">
            <v>X300 Ultra</v>
          </cell>
          <cell r="AF8" t="str">
            <v>IQOO 15</v>
          </cell>
          <cell r="AH8" t="str">
            <v>IQOO Z11x</v>
          </cell>
          <cell r="AJ8" t="str">
            <v>IQOO Z11</v>
          </cell>
          <cell r="AL8" t="str">
            <v xml:space="preserve">X300 </v>
          </cell>
        </row>
        <row r="10">
          <cell r="B10">
            <v>6170706</v>
          </cell>
          <cell r="D10">
            <v>18</v>
          </cell>
          <cell r="E10">
            <v>43782000</v>
          </cell>
          <cell r="F10">
            <v>33</v>
          </cell>
          <cell r="G10">
            <v>88367000</v>
          </cell>
          <cell r="J10">
            <v>11</v>
          </cell>
          <cell r="K10">
            <v>23089000</v>
          </cell>
          <cell r="N10">
            <v>5</v>
          </cell>
          <cell r="O10">
            <v>20295000</v>
          </cell>
          <cell r="T10">
            <v>2</v>
          </cell>
          <cell r="U10">
            <v>15198000</v>
          </cell>
          <cell r="V10">
            <v>2</v>
          </cell>
          <cell r="W10">
            <v>7198000</v>
          </cell>
          <cell r="X10">
            <v>1</v>
          </cell>
          <cell r="Y10">
            <v>6299000</v>
          </cell>
          <cell r="AB10">
            <v>2</v>
          </cell>
          <cell r="AC10">
            <v>11798000</v>
          </cell>
          <cell r="AJ10">
            <v>1</v>
          </cell>
          <cell r="AK10">
            <v>8399000</v>
          </cell>
          <cell r="AN10">
            <v>75</v>
          </cell>
          <cell r="AO10">
            <v>224425000</v>
          </cell>
        </row>
        <row r="11">
          <cell r="B11">
            <v>6170707</v>
          </cell>
          <cell r="D11">
            <v>21</v>
          </cell>
          <cell r="E11">
            <v>51579000</v>
          </cell>
          <cell r="F11">
            <v>20</v>
          </cell>
          <cell r="G11">
            <v>53580000</v>
          </cell>
          <cell r="J11">
            <v>10</v>
          </cell>
          <cell r="K11">
            <v>20990000</v>
          </cell>
          <cell r="N11">
            <v>7</v>
          </cell>
          <cell r="O11">
            <v>32693000</v>
          </cell>
          <cell r="R11">
            <v>1</v>
          </cell>
          <cell r="S11">
            <v>3599000</v>
          </cell>
          <cell r="T11">
            <v>2</v>
          </cell>
          <cell r="U11">
            <v>14998000</v>
          </cell>
          <cell r="X11">
            <v>2</v>
          </cell>
          <cell r="Y11">
            <v>10998000</v>
          </cell>
          <cell r="AB11">
            <v>5</v>
          </cell>
          <cell r="AC11">
            <v>28895000</v>
          </cell>
          <cell r="AJ11">
            <v>2</v>
          </cell>
          <cell r="AK11">
            <v>13798000</v>
          </cell>
          <cell r="AN11">
            <v>70</v>
          </cell>
          <cell r="AO11">
            <v>231130000</v>
          </cell>
        </row>
        <row r="12">
          <cell r="B12">
            <v>6240702</v>
          </cell>
          <cell r="D12">
            <v>12</v>
          </cell>
          <cell r="E12">
            <v>29688000</v>
          </cell>
          <cell r="F12">
            <v>24</v>
          </cell>
          <cell r="G12">
            <v>63176000</v>
          </cell>
          <cell r="J12">
            <v>15</v>
          </cell>
          <cell r="K12">
            <v>31485000</v>
          </cell>
          <cell r="L12">
            <v>3</v>
          </cell>
          <cell r="M12">
            <v>28997000</v>
          </cell>
          <cell r="N12">
            <v>11</v>
          </cell>
          <cell r="O12">
            <v>49089000</v>
          </cell>
          <cell r="P12">
            <v>1</v>
          </cell>
          <cell r="Q12">
            <v>3599000</v>
          </cell>
          <cell r="R12">
            <v>2</v>
          </cell>
          <cell r="S12">
            <v>7198000</v>
          </cell>
          <cell r="T12">
            <v>8</v>
          </cell>
          <cell r="U12">
            <v>63992000</v>
          </cell>
          <cell r="V12">
            <v>3</v>
          </cell>
          <cell r="W12">
            <v>10797000</v>
          </cell>
          <cell r="X12">
            <v>2</v>
          </cell>
          <cell r="Y12">
            <v>10998000</v>
          </cell>
          <cell r="Z12">
            <v>1</v>
          </cell>
          <cell r="AA12">
            <v>11999000</v>
          </cell>
          <cell r="AB12">
            <v>5</v>
          </cell>
          <cell r="AC12">
            <v>28295000</v>
          </cell>
          <cell r="AN12">
            <v>87</v>
          </cell>
          <cell r="AO12">
            <v>339313000</v>
          </cell>
        </row>
        <row r="13">
          <cell r="B13">
            <v>6240701</v>
          </cell>
          <cell r="D13">
            <v>16</v>
          </cell>
          <cell r="E13">
            <v>39484000</v>
          </cell>
          <cell r="F13">
            <v>25</v>
          </cell>
          <cell r="G13">
            <v>66375000</v>
          </cell>
          <cell r="J13">
            <v>11</v>
          </cell>
          <cell r="K13">
            <v>23089000</v>
          </cell>
          <cell r="L13">
            <v>1</v>
          </cell>
          <cell r="M13">
            <v>9999000</v>
          </cell>
          <cell r="N13">
            <v>21</v>
          </cell>
          <cell r="O13">
            <v>94079000</v>
          </cell>
          <cell r="R13">
            <v>5</v>
          </cell>
          <cell r="S13">
            <v>17995000</v>
          </cell>
          <cell r="T13">
            <v>1</v>
          </cell>
          <cell r="U13">
            <v>6499000</v>
          </cell>
          <cell r="V13">
            <v>2</v>
          </cell>
          <cell r="W13">
            <v>7198000</v>
          </cell>
          <cell r="X13">
            <v>3</v>
          </cell>
          <cell r="Y13">
            <v>17297000</v>
          </cell>
          <cell r="AB13">
            <v>2</v>
          </cell>
          <cell r="AC13">
            <v>11798000</v>
          </cell>
          <cell r="AH13">
            <v>1</v>
          </cell>
          <cell r="AI13">
            <v>5699000</v>
          </cell>
          <cell r="AN13">
            <v>88</v>
          </cell>
          <cell r="AO13">
            <v>299512000</v>
          </cell>
        </row>
        <row r="14">
          <cell r="B14">
            <v>6170703</v>
          </cell>
          <cell r="D14">
            <v>3</v>
          </cell>
          <cell r="E14">
            <v>7197000</v>
          </cell>
          <cell r="F14">
            <v>4</v>
          </cell>
          <cell r="G14">
            <v>10396000</v>
          </cell>
          <cell r="J14">
            <v>1</v>
          </cell>
          <cell r="K14">
            <v>2099000</v>
          </cell>
          <cell r="L14">
            <v>1</v>
          </cell>
          <cell r="M14">
            <v>9999000</v>
          </cell>
          <cell r="N14">
            <v>1</v>
          </cell>
          <cell r="O14">
            <v>4299000</v>
          </cell>
          <cell r="P14">
            <v>1</v>
          </cell>
          <cell r="Q14">
            <v>3599000</v>
          </cell>
          <cell r="R14">
            <v>1</v>
          </cell>
          <cell r="S14">
            <v>3599000</v>
          </cell>
          <cell r="T14">
            <v>1</v>
          </cell>
          <cell r="U14">
            <v>6999000</v>
          </cell>
          <cell r="X14">
            <v>1</v>
          </cell>
          <cell r="Y14">
            <v>5499000</v>
          </cell>
          <cell r="Z14">
            <v>1</v>
          </cell>
          <cell r="AA14">
            <v>11999000</v>
          </cell>
          <cell r="AJ14">
            <v>1</v>
          </cell>
          <cell r="AK14">
            <v>6899000</v>
          </cell>
          <cell r="AN14">
            <v>16</v>
          </cell>
          <cell r="AO14">
            <v>72584000</v>
          </cell>
        </row>
        <row r="15">
          <cell r="B15">
            <v>6240704</v>
          </cell>
          <cell r="D15">
            <v>3</v>
          </cell>
          <cell r="E15">
            <v>7497000</v>
          </cell>
          <cell r="F15">
            <v>6</v>
          </cell>
          <cell r="G15">
            <v>16794000</v>
          </cell>
          <cell r="J15">
            <v>6</v>
          </cell>
          <cell r="K15">
            <v>12594000</v>
          </cell>
          <cell r="N15">
            <v>3</v>
          </cell>
          <cell r="O15">
            <v>12897000</v>
          </cell>
          <cell r="X15">
            <v>1</v>
          </cell>
          <cell r="Y15">
            <v>5499000</v>
          </cell>
          <cell r="AN15">
            <v>19</v>
          </cell>
          <cell r="AO15">
            <v>55281000</v>
          </cell>
        </row>
        <row r="16">
          <cell r="B16">
            <v>6240703</v>
          </cell>
          <cell r="D16">
            <v>13</v>
          </cell>
          <cell r="E16">
            <v>31687000</v>
          </cell>
          <cell r="F16">
            <v>17</v>
          </cell>
          <cell r="G16">
            <v>46783000</v>
          </cell>
          <cell r="J16">
            <v>9</v>
          </cell>
          <cell r="K16">
            <v>18891000</v>
          </cell>
          <cell r="L16">
            <v>1</v>
          </cell>
          <cell r="M16">
            <v>9999000</v>
          </cell>
          <cell r="N16">
            <v>13</v>
          </cell>
          <cell r="O16">
            <v>56287000</v>
          </cell>
          <cell r="P16">
            <v>1</v>
          </cell>
          <cell r="Q16">
            <v>3599000</v>
          </cell>
          <cell r="R16">
            <v>3</v>
          </cell>
          <cell r="S16">
            <v>10797000</v>
          </cell>
          <cell r="T16">
            <v>4</v>
          </cell>
          <cell r="U16">
            <v>31996000</v>
          </cell>
          <cell r="V16">
            <v>4</v>
          </cell>
          <cell r="W16">
            <v>14396000</v>
          </cell>
          <cell r="Z16">
            <v>1</v>
          </cell>
          <cell r="AA16">
            <v>11999000</v>
          </cell>
          <cell r="AB16">
            <v>4</v>
          </cell>
          <cell r="AC16">
            <v>23596000</v>
          </cell>
          <cell r="AD16">
            <v>1</v>
          </cell>
          <cell r="AE16">
            <v>25999000</v>
          </cell>
          <cell r="AJ16">
            <v>2</v>
          </cell>
          <cell r="AK16">
            <v>14898000</v>
          </cell>
          <cell r="AN16">
            <v>73</v>
          </cell>
          <cell r="AO16">
            <v>300927000</v>
          </cell>
        </row>
        <row r="17">
          <cell r="B17">
            <v>6240705</v>
          </cell>
          <cell r="D17">
            <v>3</v>
          </cell>
          <cell r="E17">
            <v>7797000</v>
          </cell>
          <cell r="F17">
            <v>6</v>
          </cell>
          <cell r="G17">
            <v>16394000</v>
          </cell>
          <cell r="J17">
            <v>2</v>
          </cell>
          <cell r="K17">
            <v>4198000</v>
          </cell>
          <cell r="L17">
            <v>2</v>
          </cell>
          <cell r="M17">
            <v>19998000</v>
          </cell>
          <cell r="N17">
            <v>5</v>
          </cell>
          <cell r="O17">
            <v>20695000</v>
          </cell>
          <cell r="R17">
            <v>1</v>
          </cell>
          <cell r="S17">
            <v>3599000</v>
          </cell>
          <cell r="T17">
            <v>5</v>
          </cell>
          <cell r="U17">
            <v>38495000</v>
          </cell>
          <cell r="X17">
            <v>4</v>
          </cell>
          <cell r="Y17">
            <v>22796000</v>
          </cell>
          <cell r="Z17">
            <v>1</v>
          </cell>
          <cell r="AA17">
            <v>11999000</v>
          </cell>
          <cell r="AB17">
            <v>2</v>
          </cell>
          <cell r="AC17">
            <v>11798000</v>
          </cell>
          <cell r="AJ17">
            <v>3</v>
          </cell>
          <cell r="AK17">
            <v>22197000</v>
          </cell>
          <cell r="AN17">
            <v>34</v>
          </cell>
          <cell r="AO17">
            <v>179966000</v>
          </cell>
        </row>
        <row r="18">
          <cell r="B18">
            <v>6240707</v>
          </cell>
          <cell r="D18">
            <v>2</v>
          </cell>
          <cell r="E18">
            <v>5198000</v>
          </cell>
          <cell r="F18">
            <v>6</v>
          </cell>
          <cell r="G18">
            <v>16794000</v>
          </cell>
          <cell r="J18">
            <v>4</v>
          </cell>
          <cell r="K18">
            <v>8396000</v>
          </cell>
          <cell r="L18">
            <v>1</v>
          </cell>
          <cell r="M18">
            <v>9999000</v>
          </cell>
          <cell r="N18">
            <v>7</v>
          </cell>
          <cell r="O18">
            <v>35493000</v>
          </cell>
          <cell r="R18">
            <v>1</v>
          </cell>
          <cell r="S18">
            <v>3599000</v>
          </cell>
          <cell r="T18">
            <v>1</v>
          </cell>
          <cell r="U18">
            <v>7999000</v>
          </cell>
          <cell r="V18">
            <v>1</v>
          </cell>
          <cell r="W18">
            <v>3599000</v>
          </cell>
          <cell r="X18">
            <v>2</v>
          </cell>
          <cell r="Y18">
            <v>11798000</v>
          </cell>
          <cell r="AB18">
            <v>2</v>
          </cell>
          <cell r="AC18">
            <v>12998000</v>
          </cell>
          <cell r="AJ18">
            <v>1</v>
          </cell>
          <cell r="AK18">
            <v>8399000</v>
          </cell>
          <cell r="AN18">
            <v>28</v>
          </cell>
          <cell r="AO18">
            <v>124272000</v>
          </cell>
        </row>
        <row r="19">
          <cell r="B19">
            <v>6240706</v>
          </cell>
          <cell r="D19">
            <v>3</v>
          </cell>
          <cell r="E19">
            <v>6897000</v>
          </cell>
          <cell r="F19">
            <v>6</v>
          </cell>
          <cell r="G19">
            <v>16394000</v>
          </cell>
          <cell r="J19">
            <v>2</v>
          </cell>
          <cell r="K19">
            <v>4198000</v>
          </cell>
          <cell r="L19">
            <v>1</v>
          </cell>
          <cell r="M19">
            <v>9999000</v>
          </cell>
          <cell r="N19">
            <v>4</v>
          </cell>
          <cell r="O19">
            <v>17596000</v>
          </cell>
          <cell r="T19">
            <v>2</v>
          </cell>
          <cell r="U19">
            <v>14998000</v>
          </cell>
          <cell r="AB19">
            <v>1</v>
          </cell>
          <cell r="AC19">
            <v>5299000</v>
          </cell>
          <cell r="AJ19">
            <v>1</v>
          </cell>
          <cell r="AK19">
            <v>6899000</v>
          </cell>
          <cell r="AN19">
            <v>20</v>
          </cell>
          <cell r="AO19">
            <v>82280000</v>
          </cell>
        </row>
        <row r="20">
          <cell r="B20">
            <v>6240709</v>
          </cell>
          <cell r="D20">
            <v>1</v>
          </cell>
          <cell r="E20">
            <v>2299000</v>
          </cell>
          <cell r="F20">
            <v>1</v>
          </cell>
          <cell r="G20">
            <v>2399000</v>
          </cell>
          <cell r="L20">
            <v>1</v>
          </cell>
          <cell r="M20">
            <v>9999000</v>
          </cell>
          <cell r="N20">
            <v>5</v>
          </cell>
          <cell r="O20">
            <v>21695000</v>
          </cell>
          <cell r="T20">
            <v>1</v>
          </cell>
          <cell r="U20">
            <v>6499000</v>
          </cell>
          <cell r="V20">
            <v>1</v>
          </cell>
          <cell r="W20">
            <v>3599000</v>
          </cell>
          <cell r="X20">
            <v>1</v>
          </cell>
          <cell r="Y20">
            <v>5499000</v>
          </cell>
          <cell r="AB20">
            <v>2</v>
          </cell>
          <cell r="AC20">
            <v>11798000</v>
          </cell>
          <cell r="AH20">
            <v>1</v>
          </cell>
          <cell r="AI20">
            <v>5699000</v>
          </cell>
          <cell r="AN20">
            <v>14</v>
          </cell>
          <cell r="AO20">
            <v>69486000</v>
          </cell>
        </row>
        <row r="21">
          <cell r="B21">
            <v>6240708</v>
          </cell>
          <cell r="D21">
            <v>1</v>
          </cell>
          <cell r="E21">
            <v>2599000</v>
          </cell>
          <cell r="F21">
            <v>6</v>
          </cell>
          <cell r="G21">
            <v>16394000</v>
          </cell>
          <cell r="J21">
            <v>1</v>
          </cell>
          <cell r="K21">
            <v>2099000</v>
          </cell>
          <cell r="N21">
            <v>7</v>
          </cell>
          <cell r="O21">
            <v>29693000</v>
          </cell>
          <cell r="P21">
            <v>1</v>
          </cell>
          <cell r="Q21">
            <v>3599000</v>
          </cell>
          <cell r="T21">
            <v>4</v>
          </cell>
          <cell r="U21">
            <v>31996000</v>
          </cell>
          <cell r="X21">
            <v>1</v>
          </cell>
          <cell r="Y21">
            <v>5499000</v>
          </cell>
          <cell r="AN21">
            <v>21</v>
          </cell>
          <cell r="AO21">
            <v>91879000</v>
          </cell>
        </row>
        <row r="22">
          <cell r="B22">
            <v>6220701</v>
          </cell>
          <cell r="D22">
            <v>18</v>
          </cell>
          <cell r="E22">
            <v>43182000</v>
          </cell>
          <cell r="F22">
            <v>14</v>
          </cell>
          <cell r="G22">
            <v>38386000</v>
          </cell>
          <cell r="J22">
            <v>4</v>
          </cell>
          <cell r="K22">
            <v>8396000</v>
          </cell>
          <cell r="L22">
            <v>2</v>
          </cell>
          <cell r="M22">
            <v>19998000</v>
          </cell>
          <cell r="N22">
            <v>8</v>
          </cell>
          <cell r="O22">
            <v>34592000</v>
          </cell>
          <cell r="P22">
            <v>1</v>
          </cell>
          <cell r="Q22">
            <v>3599000</v>
          </cell>
          <cell r="R22">
            <v>3</v>
          </cell>
          <cell r="S22">
            <v>10797000</v>
          </cell>
          <cell r="V22">
            <v>1</v>
          </cell>
          <cell r="W22">
            <v>3599000</v>
          </cell>
          <cell r="X22">
            <v>1</v>
          </cell>
          <cell r="Y22">
            <v>6299000</v>
          </cell>
          <cell r="AB22">
            <v>2</v>
          </cell>
          <cell r="AC22">
            <v>11898000</v>
          </cell>
          <cell r="AH22">
            <v>2</v>
          </cell>
          <cell r="AI22">
            <v>11398000</v>
          </cell>
          <cell r="AJ22">
            <v>1</v>
          </cell>
          <cell r="AK22">
            <v>8399000</v>
          </cell>
          <cell r="AN22">
            <v>57</v>
          </cell>
          <cell r="AO22">
            <v>200543000</v>
          </cell>
        </row>
        <row r="23">
          <cell r="B23">
            <v>6050701</v>
          </cell>
          <cell r="D23">
            <v>2</v>
          </cell>
          <cell r="E23">
            <v>4898000</v>
          </cell>
          <cell r="F23">
            <v>7</v>
          </cell>
          <cell r="G23">
            <v>19593000</v>
          </cell>
          <cell r="J23">
            <v>5</v>
          </cell>
          <cell r="K23">
            <v>10495000</v>
          </cell>
          <cell r="L23">
            <v>4</v>
          </cell>
          <cell r="M23">
            <v>39996000</v>
          </cell>
          <cell r="N23">
            <v>6</v>
          </cell>
          <cell r="O23">
            <v>27194000</v>
          </cell>
          <cell r="T23">
            <v>3</v>
          </cell>
          <cell r="U23">
            <v>21497000</v>
          </cell>
          <cell r="V23">
            <v>1</v>
          </cell>
          <cell r="W23">
            <v>3599000</v>
          </cell>
          <cell r="X23">
            <v>1</v>
          </cell>
          <cell r="Y23">
            <v>6299000</v>
          </cell>
          <cell r="Z23">
            <v>2</v>
          </cell>
          <cell r="AA23">
            <v>23998000</v>
          </cell>
          <cell r="AB23">
            <v>1</v>
          </cell>
          <cell r="AC23">
            <v>5299000</v>
          </cell>
          <cell r="AH23">
            <v>2</v>
          </cell>
          <cell r="AI23">
            <v>11398000</v>
          </cell>
          <cell r="AJ23">
            <v>4</v>
          </cell>
          <cell r="AK23">
            <v>27596000</v>
          </cell>
          <cell r="AN23">
            <v>38</v>
          </cell>
          <cell r="AO23">
            <v>201862000</v>
          </cell>
        </row>
        <row r="24">
          <cell r="B24">
            <v>6050705</v>
          </cell>
          <cell r="F24">
            <v>4</v>
          </cell>
          <cell r="G24">
            <v>10396000</v>
          </cell>
          <cell r="J24">
            <v>2</v>
          </cell>
          <cell r="K24">
            <v>4198000</v>
          </cell>
          <cell r="L24">
            <v>1</v>
          </cell>
          <cell r="M24">
            <v>9999000</v>
          </cell>
          <cell r="N24">
            <v>7</v>
          </cell>
          <cell r="O24">
            <v>31293000</v>
          </cell>
          <cell r="P24">
            <v>1</v>
          </cell>
          <cell r="Q24">
            <v>3599000</v>
          </cell>
          <cell r="R24">
            <v>1</v>
          </cell>
          <cell r="S24">
            <v>3599000</v>
          </cell>
          <cell r="X24">
            <v>1</v>
          </cell>
          <cell r="Y24">
            <v>6299000</v>
          </cell>
          <cell r="Z24">
            <v>2</v>
          </cell>
          <cell r="AA24">
            <v>23998000</v>
          </cell>
          <cell r="AJ24">
            <v>1</v>
          </cell>
          <cell r="AK24">
            <v>7999000</v>
          </cell>
          <cell r="AN24">
            <v>20</v>
          </cell>
          <cell r="AO24">
            <v>101380000</v>
          </cell>
        </row>
        <row r="25">
          <cell r="B25">
            <v>6050706</v>
          </cell>
          <cell r="D25">
            <v>7</v>
          </cell>
          <cell r="E25">
            <v>17893000</v>
          </cell>
          <cell r="F25">
            <v>12</v>
          </cell>
          <cell r="G25">
            <v>32388000</v>
          </cell>
          <cell r="J25">
            <v>3</v>
          </cell>
          <cell r="K25">
            <v>6297000</v>
          </cell>
          <cell r="N25">
            <v>5</v>
          </cell>
          <cell r="O25">
            <v>21695000</v>
          </cell>
          <cell r="R25">
            <v>1</v>
          </cell>
          <cell r="S25">
            <v>3599000</v>
          </cell>
          <cell r="T25">
            <v>3</v>
          </cell>
          <cell r="U25">
            <v>21997000</v>
          </cell>
          <cell r="X25">
            <v>3</v>
          </cell>
          <cell r="Y25">
            <v>17297000</v>
          </cell>
          <cell r="AJ25">
            <v>2</v>
          </cell>
          <cell r="AK25">
            <v>13798000</v>
          </cell>
          <cell r="AN25">
            <v>36</v>
          </cell>
          <cell r="AO25">
            <v>134964000</v>
          </cell>
        </row>
        <row r="26">
          <cell r="B26">
            <v>6190704</v>
          </cell>
          <cell r="D26">
            <v>10</v>
          </cell>
          <cell r="E26">
            <v>24490000</v>
          </cell>
          <cell r="F26">
            <v>19</v>
          </cell>
          <cell r="G26">
            <v>47581000</v>
          </cell>
          <cell r="J26">
            <v>25</v>
          </cell>
          <cell r="K26">
            <v>52475000</v>
          </cell>
          <cell r="L26">
            <v>3</v>
          </cell>
          <cell r="M26">
            <v>28997000</v>
          </cell>
          <cell r="N26">
            <v>20</v>
          </cell>
          <cell r="O26">
            <v>95580000</v>
          </cell>
          <cell r="P26">
            <v>1</v>
          </cell>
          <cell r="Q26">
            <v>3599000</v>
          </cell>
          <cell r="R26">
            <v>1</v>
          </cell>
          <cell r="S26">
            <v>3599000</v>
          </cell>
          <cell r="T26">
            <v>5</v>
          </cell>
          <cell r="U26">
            <v>36895000</v>
          </cell>
          <cell r="V26">
            <v>2</v>
          </cell>
          <cell r="W26">
            <v>7198000</v>
          </cell>
          <cell r="X26">
            <v>2</v>
          </cell>
          <cell r="Y26">
            <v>11798000</v>
          </cell>
          <cell r="Z26">
            <v>2</v>
          </cell>
          <cell r="AA26">
            <v>23998000</v>
          </cell>
          <cell r="AB26">
            <v>3</v>
          </cell>
          <cell r="AC26">
            <v>17697000</v>
          </cell>
          <cell r="AD26">
            <v>1</v>
          </cell>
          <cell r="AE26">
            <v>25999000</v>
          </cell>
          <cell r="AH26">
            <v>1</v>
          </cell>
          <cell r="AI26">
            <v>5699000</v>
          </cell>
          <cell r="AN26">
            <v>95</v>
          </cell>
          <cell r="AO26">
            <v>385605000</v>
          </cell>
        </row>
        <row r="27">
          <cell r="B27">
            <v>6190701</v>
          </cell>
          <cell r="D27">
            <v>5</v>
          </cell>
          <cell r="E27">
            <v>11795000</v>
          </cell>
          <cell r="F27">
            <v>13</v>
          </cell>
          <cell r="G27">
            <v>33987000</v>
          </cell>
          <cell r="J27">
            <v>9</v>
          </cell>
          <cell r="K27">
            <v>18891000</v>
          </cell>
          <cell r="N27">
            <v>7</v>
          </cell>
          <cell r="O27">
            <v>27693000</v>
          </cell>
          <cell r="P27">
            <v>1</v>
          </cell>
          <cell r="Q27">
            <v>3599000</v>
          </cell>
          <cell r="AB27">
            <v>1</v>
          </cell>
          <cell r="AC27">
            <v>5299000</v>
          </cell>
          <cell r="AH27">
            <v>1</v>
          </cell>
          <cell r="AI27">
            <v>5699000</v>
          </cell>
          <cell r="AJ27">
            <v>2</v>
          </cell>
          <cell r="AK27">
            <v>15298000</v>
          </cell>
          <cell r="AN27">
            <v>39</v>
          </cell>
          <cell r="AO27">
            <v>122261000</v>
          </cell>
        </row>
        <row r="28">
          <cell r="B28">
            <v>6190707</v>
          </cell>
          <cell r="D28">
            <v>27</v>
          </cell>
          <cell r="E28">
            <v>66573000</v>
          </cell>
          <cell r="F28">
            <v>27</v>
          </cell>
          <cell r="G28">
            <v>72773000</v>
          </cell>
          <cell r="J28">
            <v>11</v>
          </cell>
          <cell r="K28">
            <v>23089000</v>
          </cell>
          <cell r="L28">
            <v>2</v>
          </cell>
          <cell r="M28">
            <v>19998000</v>
          </cell>
          <cell r="N28">
            <v>17</v>
          </cell>
          <cell r="O28">
            <v>79283000</v>
          </cell>
          <cell r="T28">
            <v>3</v>
          </cell>
          <cell r="U28">
            <v>23997000</v>
          </cell>
          <cell r="V28">
            <v>1</v>
          </cell>
          <cell r="W28">
            <v>3599000</v>
          </cell>
          <cell r="X28">
            <v>1</v>
          </cell>
          <cell r="Y28">
            <v>5499000</v>
          </cell>
          <cell r="Z28">
            <v>2</v>
          </cell>
          <cell r="AA28">
            <v>23998000</v>
          </cell>
          <cell r="AB28">
            <v>5</v>
          </cell>
          <cell r="AC28">
            <v>28895000</v>
          </cell>
          <cell r="AH28">
            <v>1</v>
          </cell>
          <cell r="AI28">
            <v>5699000</v>
          </cell>
          <cell r="AJ28">
            <v>4</v>
          </cell>
          <cell r="AK28">
            <v>27596000</v>
          </cell>
          <cell r="AN28">
            <v>101</v>
          </cell>
          <cell r="AO28">
            <v>380999000</v>
          </cell>
        </row>
        <row r="29">
          <cell r="B29">
            <v>6190706</v>
          </cell>
          <cell r="D29">
            <v>20</v>
          </cell>
          <cell r="E29">
            <v>49280000</v>
          </cell>
          <cell r="F29">
            <v>34</v>
          </cell>
          <cell r="G29">
            <v>89166000</v>
          </cell>
          <cell r="J29">
            <v>14</v>
          </cell>
          <cell r="K29">
            <v>29386000</v>
          </cell>
          <cell r="L29">
            <v>2</v>
          </cell>
          <cell r="M29">
            <v>19998000</v>
          </cell>
          <cell r="N29">
            <v>26</v>
          </cell>
          <cell r="O29">
            <v>121374000</v>
          </cell>
          <cell r="P29">
            <v>1</v>
          </cell>
          <cell r="Q29">
            <v>3599000</v>
          </cell>
          <cell r="T29">
            <v>5</v>
          </cell>
          <cell r="U29">
            <v>38395000</v>
          </cell>
          <cell r="X29">
            <v>5</v>
          </cell>
          <cell r="Y29">
            <v>28295000</v>
          </cell>
          <cell r="Z29">
            <v>2</v>
          </cell>
          <cell r="AA29">
            <v>23998000</v>
          </cell>
          <cell r="AB29">
            <v>3</v>
          </cell>
          <cell r="AC29">
            <v>17097000</v>
          </cell>
          <cell r="AD29">
            <v>3</v>
          </cell>
          <cell r="AE29">
            <v>77997000</v>
          </cell>
          <cell r="AH29">
            <v>2</v>
          </cell>
          <cell r="AI29">
            <v>11398000</v>
          </cell>
          <cell r="AJ29">
            <v>3</v>
          </cell>
          <cell r="AK29">
            <v>20697000</v>
          </cell>
          <cell r="AN29">
            <v>120</v>
          </cell>
          <cell r="AO29">
            <v>530680000</v>
          </cell>
        </row>
        <row r="30">
          <cell r="B30">
            <v>6190705</v>
          </cell>
          <cell r="D30">
            <v>4</v>
          </cell>
          <cell r="E30">
            <v>9796000</v>
          </cell>
          <cell r="F30">
            <v>8</v>
          </cell>
          <cell r="G30">
            <v>19992000</v>
          </cell>
          <cell r="J30">
            <v>2</v>
          </cell>
          <cell r="K30">
            <v>4198000</v>
          </cell>
          <cell r="N30">
            <v>8</v>
          </cell>
          <cell r="O30">
            <v>33792000</v>
          </cell>
          <cell r="P30">
            <v>1</v>
          </cell>
          <cell r="Q30">
            <v>3599000</v>
          </cell>
          <cell r="Z30">
            <v>1</v>
          </cell>
          <cell r="AA30">
            <v>11999000</v>
          </cell>
          <cell r="AN30">
            <v>24</v>
          </cell>
          <cell r="AO30">
            <v>83376000</v>
          </cell>
        </row>
        <row r="31">
          <cell r="B31">
            <v>6190708</v>
          </cell>
          <cell r="D31">
            <v>3</v>
          </cell>
          <cell r="E31">
            <v>6897000</v>
          </cell>
          <cell r="F31">
            <v>8</v>
          </cell>
          <cell r="G31">
            <v>21192000</v>
          </cell>
          <cell r="J31">
            <v>1</v>
          </cell>
          <cell r="K31">
            <v>2099000</v>
          </cell>
          <cell r="L31">
            <v>1</v>
          </cell>
          <cell r="M31">
            <v>9999000</v>
          </cell>
          <cell r="N31">
            <v>2</v>
          </cell>
          <cell r="O31">
            <v>8198000</v>
          </cell>
          <cell r="AN31">
            <v>15</v>
          </cell>
          <cell r="AO31">
            <v>48385000</v>
          </cell>
        </row>
        <row r="32">
          <cell r="B32">
            <v>6180706</v>
          </cell>
          <cell r="D32">
            <v>13</v>
          </cell>
          <cell r="E32">
            <v>31987000</v>
          </cell>
          <cell r="F32">
            <v>21</v>
          </cell>
          <cell r="G32">
            <v>55579000</v>
          </cell>
          <cell r="J32">
            <v>20</v>
          </cell>
          <cell r="K32">
            <v>41980000</v>
          </cell>
          <cell r="L32">
            <v>2</v>
          </cell>
          <cell r="M32">
            <v>19998000</v>
          </cell>
          <cell r="N32">
            <v>14</v>
          </cell>
          <cell r="O32">
            <v>63186000</v>
          </cell>
          <cell r="R32">
            <v>2</v>
          </cell>
          <cell r="S32">
            <v>7198000</v>
          </cell>
          <cell r="T32">
            <v>7</v>
          </cell>
          <cell r="U32">
            <v>55993000</v>
          </cell>
          <cell r="V32">
            <v>4</v>
          </cell>
          <cell r="W32">
            <v>14396000</v>
          </cell>
          <cell r="X32">
            <v>2</v>
          </cell>
          <cell r="Y32">
            <v>11798000</v>
          </cell>
          <cell r="Z32">
            <v>1</v>
          </cell>
          <cell r="AA32">
            <v>11999000</v>
          </cell>
          <cell r="AB32">
            <v>9</v>
          </cell>
          <cell r="AC32">
            <v>51891000</v>
          </cell>
          <cell r="AH32">
            <v>3</v>
          </cell>
          <cell r="AI32">
            <v>17097000</v>
          </cell>
          <cell r="AJ32">
            <v>2</v>
          </cell>
          <cell r="AK32">
            <v>13798000</v>
          </cell>
          <cell r="AN32">
            <v>100</v>
          </cell>
          <cell r="AO32">
            <v>396900000</v>
          </cell>
        </row>
        <row r="33">
          <cell r="B33">
            <v>6180707</v>
          </cell>
          <cell r="D33">
            <v>4</v>
          </cell>
          <cell r="E33">
            <v>9796000</v>
          </cell>
          <cell r="F33">
            <v>6</v>
          </cell>
          <cell r="G33">
            <v>15594000</v>
          </cell>
          <cell r="J33">
            <v>1</v>
          </cell>
          <cell r="K33">
            <v>2099000</v>
          </cell>
          <cell r="N33">
            <v>2</v>
          </cell>
          <cell r="O33">
            <v>9798000</v>
          </cell>
          <cell r="R33">
            <v>1</v>
          </cell>
          <cell r="S33">
            <v>3599000</v>
          </cell>
          <cell r="T33">
            <v>3</v>
          </cell>
          <cell r="U33">
            <v>21997000</v>
          </cell>
          <cell r="V33">
            <v>2</v>
          </cell>
          <cell r="W33">
            <v>7198000</v>
          </cell>
          <cell r="X33">
            <v>3</v>
          </cell>
          <cell r="Y33">
            <v>17297000</v>
          </cell>
          <cell r="AB33">
            <v>1</v>
          </cell>
          <cell r="AC33">
            <v>5899000</v>
          </cell>
          <cell r="AN33">
            <v>23</v>
          </cell>
          <cell r="AO33">
            <v>93277000</v>
          </cell>
        </row>
        <row r="34">
          <cell r="B34">
            <v>6130702</v>
          </cell>
          <cell r="D34">
            <v>4</v>
          </cell>
          <cell r="E34">
            <v>9796000</v>
          </cell>
          <cell r="F34">
            <v>19</v>
          </cell>
          <cell r="G34">
            <v>49581000</v>
          </cell>
          <cell r="J34">
            <v>6</v>
          </cell>
          <cell r="K34">
            <v>12594000</v>
          </cell>
          <cell r="L34">
            <v>4</v>
          </cell>
          <cell r="M34">
            <v>38996000</v>
          </cell>
          <cell r="N34">
            <v>10</v>
          </cell>
          <cell r="O34">
            <v>43390000</v>
          </cell>
          <cell r="T34">
            <v>2</v>
          </cell>
          <cell r="U34">
            <v>13998000</v>
          </cell>
          <cell r="V34">
            <v>2</v>
          </cell>
          <cell r="W34">
            <v>7198000</v>
          </cell>
          <cell r="X34">
            <v>1</v>
          </cell>
          <cell r="Y34">
            <v>6299000</v>
          </cell>
          <cell r="Z34">
            <v>2</v>
          </cell>
          <cell r="AA34">
            <v>23998000</v>
          </cell>
          <cell r="AB34">
            <v>3</v>
          </cell>
          <cell r="AC34">
            <v>17697000</v>
          </cell>
          <cell r="AH34">
            <v>1</v>
          </cell>
          <cell r="AI34">
            <v>5699000</v>
          </cell>
          <cell r="AJ34">
            <v>3</v>
          </cell>
          <cell r="AK34">
            <v>21997000</v>
          </cell>
          <cell r="AN34">
            <v>57</v>
          </cell>
          <cell r="AO34">
            <v>251243000</v>
          </cell>
        </row>
        <row r="35">
          <cell r="B35">
            <v>6140705</v>
          </cell>
          <cell r="D35">
            <v>3</v>
          </cell>
          <cell r="E35">
            <v>7497000</v>
          </cell>
          <cell r="F35">
            <v>4</v>
          </cell>
          <cell r="G35">
            <v>10396000</v>
          </cell>
          <cell r="J35">
            <v>5</v>
          </cell>
          <cell r="K35">
            <v>10495000</v>
          </cell>
          <cell r="L35">
            <v>2</v>
          </cell>
          <cell r="M35">
            <v>19998000</v>
          </cell>
          <cell r="N35">
            <v>9</v>
          </cell>
          <cell r="O35">
            <v>38891000</v>
          </cell>
          <cell r="T35">
            <v>3</v>
          </cell>
          <cell r="U35">
            <v>20997000</v>
          </cell>
          <cell r="Z35">
            <v>1</v>
          </cell>
          <cell r="AA35">
            <v>11999000</v>
          </cell>
          <cell r="AB35">
            <v>4</v>
          </cell>
          <cell r="AC35">
            <v>23596000</v>
          </cell>
          <cell r="AD35">
            <v>1</v>
          </cell>
          <cell r="AE35">
            <v>25999000</v>
          </cell>
          <cell r="AH35">
            <v>2</v>
          </cell>
          <cell r="AI35">
            <v>11398000</v>
          </cell>
          <cell r="AJ35">
            <v>8</v>
          </cell>
          <cell r="AK35">
            <v>58192000</v>
          </cell>
          <cell r="AN35">
            <v>42</v>
          </cell>
          <cell r="AO35">
            <v>239458000</v>
          </cell>
        </row>
        <row r="36">
          <cell r="B36">
            <v>6140706</v>
          </cell>
          <cell r="D36">
            <v>3</v>
          </cell>
          <cell r="E36">
            <v>7197000</v>
          </cell>
          <cell r="F36">
            <v>5</v>
          </cell>
          <cell r="G36">
            <v>13195000</v>
          </cell>
          <cell r="J36">
            <v>3</v>
          </cell>
          <cell r="K36">
            <v>6297000</v>
          </cell>
          <cell r="L36">
            <v>2</v>
          </cell>
          <cell r="M36">
            <v>19998000</v>
          </cell>
          <cell r="N36">
            <v>1</v>
          </cell>
          <cell r="O36">
            <v>3899000</v>
          </cell>
          <cell r="T36">
            <v>1</v>
          </cell>
          <cell r="U36">
            <v>6999000</v>
          </cell>
          <cell r="X36">
            <v>2</v>
          </cell>
          <cell r="Y36">
            <v>12598000</v>
          </cell>
          <cell r="Z36">
            <v>1</v>
          </cell>
          <cell r="AA36">
            <v>11999000</v>
          </cell>
          <cell r="AD36">
            <v>1</v>
          </cell>
          <cell r="AE36">
            <v>25999000</v>
          </cell>
          <cell r="AH36">
            <v>1</v>
          </cell>
          <cell r="AI36">
            <v>5699000</v>
          </cell>
          <cell r="AJ36">
            <v>4</v>
          </cell>
          <cell r="AK36">
            <v>29096000</v>
          </cell>
          <cell r="AL36">
            <v>1</v>
          </cell>
          <cell r="AM36">
            <v>16999000</v>
          </cell>
          <cell r="AN36">
            <v>25</v>
          </cell>
          <cell r="AO36">
            <v>159975000</v>
          </cell>
        </row>
        <row r="37">
          <cell r="B37">
            <v>6080712</v>
          </cell>
          <cell r="D37">
            <v>3</v>
          </cell>
          <cell r="E37">
            <v>7197000</v>
          </cell>
          <cell r="F37">
            <v>12</v>
          </cell>
          <cell r="G37">
            <v>33188000</v>
          </cell>
          <cell r="J37">
            <v>4</v>
          </cell>
          <cell r="K37">
            <v>8396000</v>
          </cell>
          <cell r="L37">
            <v>2</v>
          </cell>
          <cell r="M37">
            <v>20998000</v>
          </cell>
          <cell r="N37">
            <v>9</v>
          </cell>
          <cell r="O37">
            <v>43891000</v>
          </cell>
          <cell r="T37">
            <v>1</v>
          </cell>
          <cell r="U37">
            <v>7999000</v>
          </cell>
          <cell r="X37">
            <v>4</v>
          </cell>
          <cell r="Y37">
            <v>24396000</v>
          </cell>
          <cell r="AB37">
            <v>2</v>
          </cell>
          <cell r="AC37">
            <v>11998000</v>
          </cell>
          <cell r="AH37">
            <v>2</v>
          </cell>
          <cell r="AI37">
            <v>11398000</v>
          </cell>
          <cell r="AJ37">
            <v>1</v>
          </cell>
          <cell r="AK37">
            <v>8399000</v>
          </cell>
          <cell r="AN37">
            <v>40</v>
          </cell>
          <cell r="AO37">
            <v>177860000</v>
          </cell>
        </row>
        <row r="38">
          <cell r="B38">
            <v>6040701</v>
          </cell>
          <cell r="D38">
            <v>9</v>
          </cell>
          <cell r="E38">
            <v>22491000</v>
          </cell>
          <cell r="F38">
            <v>11</v>
          </cell>
          <cell r="G38">
            <v>28389000</v>
          </cell>
          <cell r="J38">
            <v>6</v>
          </cell>
          <cell r="K38">
            <v>12594000</v>
          </cell>
          <cell r="L38">
            <v>1</v>
          </cell>
          <cell r="M38">
            <v>9999000</v>
          </cell>
          <cell r="N38">
            <v>11</v>
          </cell>
          <cell r="O38">
            <v>49289000</v>
          </cell>
          <cell r="T38">
            <v>5</v>
          </cell>
          <cell r="U38">
            <v>37195000</v>
          </cell>
          <cell r="V38">
            <v>2</v>
          </cell>
          <cell r="W38">
            <v>7198000</v>
          </cell>
          <cell r="X38">
            <v>3</v>
          </cell>
          <cell r="Y38">
            <v>17297000</v>
          </cell>
          <cell r="AJ38">
            <v>2</v>
          </cell>
          <cell r="AK38">
            <v>15298000</v>
          </cell>
          <cell r="AN38">
            <v>50</v>
          </cell>
          <cell r="AO38">
            <v>199750000</v>
          </cell>
        </row>
        <row r="39">
          <cell r="B39">
            <v>6040702</v>
          </cell>
          <cell r="D39">
            <v>6</v>
          </cell>
          <cell r="E39">
            <v>14994000</v>
          </cell>
          <cell r="F39">
            <v>7</v>
          </cell>
          <cell r="G39">
            <v>17993000</v>
          </cell>
          <cell r="J39">
            <v>7</v>
          </cell>
          <cell r="K39">
            <v>14693000</v>
          </cell>
          <cell r="L39">
            <v>1</v>
          </cell>
          <cell r="M39">
            <v>10999000</v>
          </cell>
          <cell r="N39">
            <v>1</v>
          </cell>
          <cell r="O39">
            <v>4299000</v>
          </cell>
          <cell r="P39">
            <v>1</v>
          </cell>
          <cell r="Q39">
            <v>3599000</v>
          </cell>
          <cell r="T39">
            <v>1</v>
          </cell>
          <cell r="U39">
            <v>6499000</v>
          </cell>
          <cell r="V39">
            <v>2</v>
          </cell>
          <cell r="W39">
            <v>7198000</v>
          </cell>
          <cell r="X39">
            <v>2</v>
          </cell>
          <cell r="Y39">
            <v>11798000</v>
          </cell>
          <cell r="AD39">
            <v>1</v>
          </cell>
          <cell r="AE39">
            <v>29999000</v>
          </cell>
          <cell r="AJ39">
            <v>4</v>
          </cell>
          <cell r="AK39">
            <v>29096000</v>
          </cell>
          <cell r="AN39">
            <v>33</v>
          </cell>
          <cell r="AO39">
            <v>151167000</v>
          </cell>
        </row>
        <row r="40">
          <cell r="B40">
            <v>6040703</v>
          </cell>
          <cell r="D40">
            <v>5</v>
          </cell>
          <cell r="E40">
            <v>12695000</v>
          </cell>
          <cell r="F40">
            <v>7</v>
          </cell>
          <cell r="G40">
            <v>18393000</v>
          </cell>
          <cell r="H40">
            <v>1</v>
          </cell>
          <cell r="I40">
            <v>1799000</v>
          </cell>
          <cell r="J40">
            <v>3</v>
          </cell>
          <cell r="K40">
            <v>6297000</v>
          </cell>
          <cell r="L40">
            <v>3</v>
          </cell>
          <cell r="M40">
            <v>29997000</v>
          </cell>
          <cell r="N40">
            <v>3</v>
          </cell>
          <cell r="O40">
            <v>12497000</v>
          </cell>
          <cell r="T40">
            <v>2</v>
          </cell>
          <cell r="U40">
            <v>14998000</v>
          </cell>
          <cell r="X40">
            <v>1</v>
          </cell>
          <cell r="Y40">
            <v>6299000</v>
          </cell>
          <cell r="AB40">
            <v>1</v>
          </cell>
          <cell r="AC40">
            <v>6499000</v>
          </cell>
          <cell r="AD40">
            <v>1</v>
          </cell>
          <cell r="AE40">
            <v>25999000</v>
          </cell>
          <cell r="AH40">
            <v>2</v>
          </cell>
          <cell r="AI40">
            <v>11298000</v>
          </cell>
          <cell r="AN40">
            <v>29</v>
          </cell>
          <cell r="AO40">
            <v>146771000</v>
          </cell>
        </row>
        <row r="41">
          <cell r="B41">
            <v>6020711</v>
          </cell>
          <cell r="D41">
            <v>10</v>
          </cell>
          <cell r="E41">
            <v>23290000</v>
          </cell>
          <cell r="F41">
            <v>13</v>
          </cell>
          <cell r="G41">
            <v>33187000</v>
          </cell>
          <cell r="H41">
            <v>1</v>
          </cell>
          <cell r="I41">
            <v>1799000</v>
          </cell>
          <cell r="J41">
            <v>5</v>
          </cell>
          <cell r="K41">
            <v>10495000</v>
          </cell>
          <cell r="L41">
            <v>4</v>
          </cell>
          <cell r="M41">
            <v>39996000</v>
          </cell>
          <cell r="N41">
            <v>10</v>
          </cell>
          <cell r="O41">
            <v>45990000</v>
          </cell>
          <cell r="R41">
            <v>2</v>
          </cell>
          <cell r="S41">
            <v>7198000</v>
          </cell>
          <cell r="T41">
            <v>10</v>
          </cell>
          <cell r="U41">
            <v>77490000</v>
          </cell>
          <cell r="X41">
            <v>2</v>
          </cell>
          <cell r="Y41">
            <v>10998000</v>
          </cell>
          <cell r="Z41">
            <v>3</v>
          </cell>
          <cell r="AA41">
            <v>35997000</v>
          </cell>
          <cell r="AB41">
            <v>4</v>
          </cell>
          <cell r="AC41">
            <v>23596000</v>
          </cell>
          <cell r="AD41">
            <v>5</v>
          </cell>
          <cell r="AE41">
            <v>133995000</v>
          </cell>
          <cell r="AJ41">
            <v>3</v>
          </cell>
          <cell r="AK41">
            <v>20697000</v>
          </cell>
          <cell r="AN41">
            <v>72</v>
          </cell>
          <cell r="AO41">
            <v>464728000</v>
          </cell>
        </row>
        <row r="42">
          <cell r="B42">
            <v>6020706</v>
          </cell>
          <cell r="D42">
            <v>25</v>
          </cell>
          <cell r="E42">
            <v>60175000</v>
          </cell>
          <cell r="F42">
            <v>13</v>
          </cell>
          <cell r="G42">
            <v>35587000</v>
          </cell>
          <cell r="J42">
            <v>20</v>
          </cell>
          <cell r="K42">
            <v>41980000</v>
          </cell>
          <cell r="N42">
            <v>11</v>
          </cell>
          <cell r="O42">
            <v>51889000</v>
          </cell>
          <cell r="R42">
            <v>4</v>
          </cell>
          <cell r="S42">
            <v>14396000</v>
          </cell>
          <cell r="V42">
            <v>3</v>
          </cell>
          <cell r="W42">
            <v>10797000</v>
          </cell>
          <cell r="X42">
            <v>2</v>
          </cell>
          <cell r="Y42">
            <v>12598000</v>
          </cell>
          <cell r="AB42">
            <v>6</v>
          </cell>
          <cell r="AC42">
            <v>34894000</v>
          </cell>
          <cell r="AH42">
            <v>1</v>
          </cell>
          <cell r="AI42">
            <v>5699000</v>
          </cell>
          <cell r="AJ42">
            <v>2</v>
          </cell>
          <cell r="AK42">
            <v>15298000</v>
          </cell>
          <cell r="AN42">
            <v>87</v>
          </cell>
          <cell r="AO42">
            <v>283313000</v>
          </cell>
        </row>
        <row r="43">
          <cell r="B43">
            <v>6020704</v>
          </cell>
          <cell r="D43">
            <v>9</v>
          </cell>
          <cell r="E43">
            <v>21891000</v>
          </cell>
          <cell r="F43">
            <v>11</v>
          </cell>
          <cell r="G43">
            <v>29589000</v>
          </cell>
          <cell r="J43">
            <v>6</v>
          </cell>
          <cell r="K43">
            <v>12594000</v>
          </cell>
          <cell r="N43">
            <v>9</v>
          </cell>
          <cell r="O43">
            <v>39091000</v>
          </cell>
          <cell r="R43">
            <v>1</v>
          </cell>
          <cell r="S43">
            <v>3599000</v>
          </cell>
          <cell r="T43">
            <v>2</v>
          </cell>
          <cell r="U43">
            <v>14998000</v>
          </cell>
          <cell r="V43">
            <v>1</v>
          </cell>
          <cell r="W43">
            <v>3599000</v>
          </cell>
          <cell r="X43">
            <v>2</v>
          </cell>
          <cell r="Y43">
            <v>10998000</v>
          </cell>
          <cell r="AB43">
            <v>5</v>
          </cell>
          <cell r="AC43">
            <v>28895000</v>
          </cell>
          <cell r="AJ43">
            <v>1</v>
          </cell>
          <cell r="AK43">
            <v>6899000</v>
          </cell>
          <cell r="AN43">
            <v>47</v>
          </cell>
          <cell r="AO43">
            <v>172153000</v>
          </cell>
        </row>
        <row r="44">
          <cell r="B44">
            <v>6010708</v>
          </cell>
          <cell r="D44">
            <v>11</v>
          </cell>
          <cell r="E44">
            <v>28289000</v>
          </cell>
          <cell r="F44">
            <v>8</v>
          </cell>
          <cell r="G44">
            <v>21192000</v>
          </cell>
          <cell r="J44">
            <v>12</v>
          </cell>
          <cell r="K44">
            <v>25188000</v>
          </cell>
          <cell r="L44">
            <v>2</v>
          </cell>
          <cell r="M44">
            <v>19998000</v>
          </cell>
          <cell r="N44">
            <v>9</v>
          </cell>
          <cell r="O44">
            <v>41291000</v>
          </cell>
          <cell r="T44">
            <v>6</v>
          </cell>
          <cell r="U44">
            <v>47994000</v>
          </cell>
          <cell r="V44">
            <v>1</v>
          </cell>
          <cell r="W44">
            <v>3599000</v>
          </cell>
          <cell r="X44">
            <v>1</v>
          </cell>
          <cell r="Y44">
            <v>5499000</v>
          </cell>
          <cell r="AB44">
            <v>7</v>
          </cell>
          <cell r="AC44">
            <v>41293000</v>
          </cell>
          <cell r="AD44">
            <v>2</v>
          </cell>
          <cell r="AE44">
            <v>51998000</v>
          </cell>
          <cell r="AH44">
            <v>1</v>
          </cell>
          <cell r="AI44">
            <v>5699000</v>
          </cell>
          <cell r="AJ44">
            <v>1</v>
          </cell>
          <cell r="AK44">
            <v>8399000</v>
          </cell>
          <cell r="AN44">
            <v>61</v>
          </cell>
          <cell r="AO44">
            <v>300439000</v>
          </cell>
        </row>
        <row r="45">
          <cell r="B45">
            <v>6010703</v>
          </cell>
          <cell r="D45">
            <v>7</v>
          </cell>
          <cell r="E45">
            <v>16393000</v>
          </cell>
          <cell r="F45">
            <v>20</v>
          </cell>
          <cell r="G45">
            <v>52380000</v>
          </cell>
          <cell r="J45">
            <v>76</v>
          </cell>
          <cell r="K45">
            <v>159524000</v>
          </cell>
          <cell r="N45">
            <v>10</v>
          </cell>
          <cell r="O45">
            <v>42790000</v>
          </cell>
          <cell r="P45">
            <v>1</v>
          </cell>
          <cell r="Q45">
            <v>3599000</v>
          </cell>
          <cell r="R45">
            <v>2</v>
          </cell>
          <cell r="S45">
            <v>7198000</v>
          </cell>
          <cell r="T45">
            <v>1</v>
          </cell>
          <cell r="U45">
            <v>7999000</v>
          </cell>
          <cell r="V45">
            <v>1</v>
          </cell>
          <cell r="W45">
            <v>3599000</v>
          </cell>
          <cell r="X45">
            <v>2</v>
          </cell>
          <cell r="Y45">
            <v>11798000</v>
          </cell>
          <cell r="AH45">
            <v>1</v>
          </cell>
          <cell r="AI45">
            <v>5699000</v>
          </cell>
          <cell r="AJ45">
            <v>1</v>
          </cell>
          <cell r="AK45">
            <v>6899000</v>
          </cell>
          <cell r="AN45">
            <v>122</v>
          </cell>
          <cell r="AO45">
            <v>317878000</v>
          </cell>
        </row>
        <row r="46">
          <cell r="B46">
            <v>6010702</v>
          </cell>
          <cell r="D46">
            <v>47</v>
          </cell>
          <cell r="E46">
            <v>114053000</v>
          </cell>
          <cell r="F46">
            <v>49</v>
          </cell>
          <cell r="G46">
            <v>130751000</v>
          </cell>
          <cell r="J46">
            <v>95</v>
          </cell>
          <cell r="K46">
            <v>199405000</v>
          </cell>
          <cell r="L46">
            <v>3</v>
          </cell>
          <cell r="M46">
            <v>29997000</v>
          </cell>
          <cell r="N46">
            <v>45</v>
          </cell>
          <cell r="O46">
            <v>201255000</v>
          </cell>
          <cell r="P46">
            <v>3</v>
          </cell>
          <cell r="Q46">
            <v>10797000</v>
          </cell>
          <cell r="R46">
            <v>1</v>
          </cell>
          <cell r="S46">
            <v>3599000</v>
          </cell>
          <cell r="T46">
            <v>3</v>
          </cell>
          <cell r="U46">
            <v>23997000</v>
          </cell>
          <cell r="V46">
            <v>2</v>
          </cell>
          <cell r="W46">
            <v>7198000</v>
          </cell>
          <cell r="X46">
            <v>5</v>
          </cell>
          <cell r="Y46">
            <v>28295000</v>
          </cell>
          <cell r="AB46">
            <v>1</v>
          </cell>
          <cell r="AC46">
            <v>5299000</v>
          </cell>
          <cell r="AH46">
            <v>1</v>
          </cell>
          <cell r="AI46">
            <v>5599000</v>
          </cell>
          <cell r="AJ46">
            <v>3</v>
          </cell>
          <cell r="AK46">
            <v>21997000</v>
          </cell>
          <cell r="AN46">
            <v>258</v>
          </cell>
          <cell r="AO46">
            <v>782242000</v>
          </cell>
        </row>
        <row r="47">
          <cell r="B47">
            <v>6010701</v>
          </cell>
          <cell r="D47">
            <v>44</v>
          </cell>
          <cell r="E47">
            <v>106556000</v>
          </cell>
          <cell r="F47">
            <v>53</v>
          </cell>
          <cell r="G47">
            <v>139947000</v>
          </cell>
          <cell r="J47">
            <v>40</v>
          </cell>
          <cell r="K47">
            <v>83960000</v>
          </cell>
          <cell r="L47">
            <v>2</v>
          </cell>
          <cell r="M47">
            <v>19998000</v>
          </cell>
          <cell r="N47">
            <v>47</v>
          </cell>
          <cell r="O47">
            <v>219053000</v>
          </cell>
          <cell r="P47">
            <v>5</v>
          </cell>
          <cell r="Q47">
            <v>17995000</v>
          </cell>
          <cell r="R47">
            <v>12</v>
          </cell>
          <cell r="S47">
            <v>43188000</v>
          </cell>
          <cell r="T47">
            <v>9</v>
          </cell>
          <cell r="U47">
            <v>71991000</v>
          </cell>
          <cell r="V47">
            <v>6</v>
          </cell>
          <cell r="W47">
            <v>21594000</v>
          </cell>
          <cell r="X47">
            <v>10</v>
          </cell>
          <cell r="Y47">
            <v>58990000</v>
          </cell>
          <cell r="AB47">
            <v>2</v>
          </cell>
          <cell r="AC47">
            <v>11798000</v>
          </cell>
          <cell r="AD47">
            <v>1</v>
          </cell>
          <cell r="AE47">
            <v>25999000</v>
          </cell>
          <cell r="AH47">
            <v>1</v>
          </cell>
          <cell r="AI47">
            <v>5699000</v>
          </cell>
          <cell r="AJ47">
            <v>5</v>
          </cell>
          <cell r="AK47">
            <v>35995000</v>
          </cell>
          <cell r="AN47">
            <v>237</v>
          </cell>
          <cell r="AO47">
            <v>862763000</v>
          </cell>
        </row>
        <row r="48">
          <cell r="B48">
            <v>6010710</v>
          </cell>
          <cell r="D48">
            <v>15</v>
          </cell>
          <cell r="E48">
            <v>37485000</v>
          </cell>
          <cell r="F48">
            <v>18</v>
          </cell>
          <cell r="G48">
            <v>46782000</v>
          </cell>
          <cell r="J48">
            <v>49</v>
          </cell>
          <cell r="K48">
            <v>102851000</v>
          </cell>
          <cell r="N48">
            <v>10</v>
          </cell>
          <cell r="O48">
            <v>43590000</v>
          </cell>
          <cell r="R48">
            <v>2</v>
          </cell>
          <cell r="S48">
            <v>7198000</v>
          </cell>
          <cell r="T48">
            <v>2</v>
          </cell>
          <cell r="U48">
            <v>15998000</v>
          </cell>
          <cell r="V48">
            <v>2</v>
          </cell>
          <cell r="W48">
            <v>7198000</v>
          </cell>
          <cell r="X48">
            <v>3</v>
          </cell>
          <cell r="Y48">
            <v>18097000</v>
          </cell>
          <cell r="AH48">
            <v>1</v>
          </cell>
          <cell r="AI48">
            <v>5699000</v>
          </cell>
          <cell r="AJ48">
            <v>2</v>
          </cell>
          <cell r="AK48">
            <v>15298000</v>
          </cell>
          <cell r="AN48">
            <v>104</v>
          </cell>
          <cell r="AO48">
            <v>300196000</v>
          </cell>
        </row>
        <row r="49">
          <cell r="B49">
            <v>6010709</v>
          </cell>
          <cell r="D49">
            <v>60</v>
          </cell>
          <cell r="E49">
            <v>142740000</v>
          </cell>
          <cell r="F49">
            <v>59</v>
          </cell>
          <cell r="G49">
            <v>153941000</v>
          </cell>
          <cell r="H49">
            <v>1</v>
          </cell>
          <cell r="I49">
            <v>1799000</v>
          </cell>
          <cell r="J49">
            <v>122</v>
          </cell>
          <cell r="K49">
            <v>256078000</v>
          </cell>
          <cell r="L49">
            <v>2</v>
          </cell>
          <cell r="M49">
            <v>18998000</v>
          </cell>
          <cell r="N49">
            <v>25</v>
          </cell>
          <cell r="O49">
            <v>109275000</v>
          </cell>
          <cell r="P49">
            <v>3</v>
          </cell>
          <cell r="Q49">
            <v>10797000</v>
          </cell>
          <cell r="R49">
            <v>11</v>
          </cell>
          <cell r="S49">
            <v>39589000</v>
          </cell>
          <cell r="T49">
            <v>4</v>
          </cell>
          <cell r="U49">
            <v>30496000</v>
          </cell>
          <cell r="V49">
            <v>13</v>
          </cell>
          <cell r="W49">
            <v>46787000</v>
          </cell>
          <cell r="X49">
            <v>3</v>
          </cell>
          <cell r="Y49">
            <v>16497000</v>
          </cell>
          <cell r="AB49">
            <v>9</v>
          </cell>
          <cell r="AC49">
            <v>52491000</v>
          </cell>
          <cell r="AH49">
            <v>1</v>
          </cell>
          <cell r="AI49">
            <v>5699000</v>
          </cell>
          <cell r="AJ49">
            <v>2</v>
          </cell>
          <cell r="AK49">
            <v>13798000</v>
          </cell>
          <cell r="AN49">
            <v>315</v>
          </cell>
          <cell r="AO49">
            <v>898985000</v>
          </cell>
        </row>
        <row r="50">
          <cell r="B50">
            <v>6010711</v>
          </cell>
          <cell r="D50">
            <v>6</v>
          </cell>
          <cell r="E50">
            <v>14394000</v>
          </cell>
          <cell r="F50">
            <v>9</v>
          </cell>
          <cell r="G50">
            <v>23591000</v>
          </cell>
          <cell r="J50">
            <v>3</v>
          </cell>
          <cell r="K50">
            <v>6297000</v>
          </cell>
          <cell r="L50">
            <v>1</v>
          </cell>
          <cell r="M50">
            <v>9999000</v>
          </cell>
          <cell r="N50">
            <v>10</v>
          </cell>
          <cell r="O50">
            <v>43790000</v>
          </cell>
          <cell r="R50">
            <v>2</v>
          </cell>
          <cell r="S50">
            <v>7198000</v>
          </cell>
          <cell r="V50">
            <v>2</v>
          </cell>
          <cell r="W50">
            <v>7198000</v>
          </cell>
          <cell r="X50">
            <v>3</v>
          </cell>
          <cell r="Y50">
            <v>18097000</v>
          </cell>
          <cell r="Z50">
            <v>1</v>
          </cell>
          <cell r="AA50">
            <v>11999000</v>
          </cell>
          <cell r="AB50">
            <v>1</v>
          </cell>
          <cell r="AC50">
            <v>6499000</v>
          </cell>
          <cell r="AD50">
            <v>4</v>
          </cell>
          <cell r="AE50">
            <v>107996000</v>
          </cell>
          <cell r="AF50">
            <v>1</v>
          </cell>
          <cell r="AG50">
            <v>15999000</v>
          </cell>
          <cell r="AJ50">
            <v>3</v>
          </cell>
          <cell r="AK50">
            <v>23297000</v>
          </cell>
          <cell r="AN50">
            <v>46</v>
          </cell>
          <cell r="AO50">
            <v>296354000</v>
          </cell>
        </row>
        <row r="51">
          <cell r="B51">
            <v>6100702</v>
          </cell>
          <cell r="D51">
            <v>1</v>
          </cell>
          <cell r="E51">
            <v>2299000</v>
          </cell>
          <cell r="F51">
            <v>4</v>
          </cell>
          <cell r="G51">
            <v>9996000</v>
          </cell>
          <cell r="H51">
            <v>1</v>
          </cell>
          <cell r="I51">
            <v>1799000</v>
          </cell>
          <cell r="J51">
            <v>3</v>
          </cell>
          <cell r="K51">
            <v>6297000</v>
          </cell>
          <cell r="L51">
            <v>1</v>
          </cell>
          <cell r="M51">
            <v>9999000</v>
          </cell>
          <cell r="N51">
            <v>5</v>
          </cell>
          <cell r="O51">
            <v>21895000</v>
          </cell>
          <cell r="R51">
            <v>1</v>
          </cell>
          <cell r="S51">
            <v>3599000</v>
          </cell>
          <cell r="V51">
            <v>3</v>
          </cell>
          <cell r="W51">
            <v>10797000</v>
          </cell>
          <cell r="Z51">
            <v>1</v>
          </cell>
          <cell r="AA51">
            <v>11999000</v>
          </cell>
          <cell r="AB51">
            <v>2</v>
          </cell>
          <cell r="AC51">
            <v>11798000</v>
          </cell>
          <cell r="AD51">
            <v>1</v>
          </cell>
          <cell r="AE51">
            <v>29999000</v>
          </cell>
          <cell r="AJ51">
            <v>1</v>
          </cell>
          <cell r="AK51">
            <v>6899000</v>
          </cell>
          <cell r="AN51">
            <v>24</v>
          </cell>
          <cell r="AO51">
            <v>127376000</v>
          </cell>
        </row>
        <row r="52">
          <cell r="B52">
            <v>6150702</v>
          </cell>
          <cell r="D52">
            <v>1</v>
          </cell>
          <cell r="E52">
            <v>2599000</v>
          </cell>
          <cell r="N52">
            <v>1</v>
          </cell>
          <cell r="O52">
            <v>4299000</v>
          </cell>
          <cell r="V52">
            <v>1</v>
          </cell>
          <cell r="W52">
            <v>3599000</v>
          </cell>
          <cell r="X52">
            <v>4</v>
          </cell>
          <cell r="Y52">
            <v>22796000</v>
          </cell>
          <cell r="AN52">
            <v>7</v>
          </cell>
          <cell r="AO52">
            <v>33293000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>
            <v>1</v>
          </cell>
          <cell r="B5" t="str">
            <v>601 雅加达西北 JKT BU</v>
          </cell>
          <cell r="C5">
            <v>6010708</v>
          </cell>
          <cell r="D5" t="str">
            <v>6010708-CENTRAL PARK SHOWROOM</v>
          </cell>
          <cell r="E5" t="str">
            <v>NANDI FEBRIANA</v>
          </cell>
        </row>
        <row r="6">
          <cell r="A6">
            <v>2</v>
          </cell>
          <cell r="B6" t="str">
            <v>601 雅加达西北 JKT BU</v>
          </cell>
          <cell r="C6">
            <v>6010701</v>
          </cell>
          <cell r="D6" t="str">
            <v>6010701-ROXY SHOWROOM 21</v>
          </cell>
          <cell r="E6" t="str">
            <v>ANGGARIA</v>
          </cell>
        </row>
        <row r="7">
          <cell r="A7">
            <v>3</v>
          </cell>
          <cell r="B7" t="str">
            <v>601 雅加达西北 JKT BU</v>
          </cell>
          <cell r="C7">
            <v>6010702</v>
          </cell>
          <cell r="D7" t="str">
            <v>6010702-ROXY PAMERAN TIMUR</v>
          </cell>
          <cell r="E7" t="str">
            <v>ANGGARIA</v>
          </cell>
        </row>
        <row r="8">
          <cell r="A8">
            <v>4</v>
          </cell>
          <cell r="B8" t="str">
            <v>601 雅加达西北 JKT BU</v>
          </cell>
          <cell r="C8">
            <v>6010703</v>
          </cell>
          <cell r="D8" t="str">
            <v>6010703-ROXY VS WINSHOP</v>
          </cell>
          <cell r="E8" t="str">
            <v>NUR IRAWATI</v>
          </cell>
        </row>
        <row r="9">
          <cell r="A9">
            <v>5</v>
          </cell>
          <cell r="B9" t="str">
            <v>601 雅加达西北 JKT BU</v>
          </cell>
          <cell r="C9">
            <v>6010709</v>
          </cell>
          <cell r="D9" t="str">
            <v>6010709-ROXY PAMERAN UTARA</v>
          </cell>
          <cell r="E9" t="str">
            <v>NUR IRAWATI</v>
          </cell>
        </row>
        <row r="10">
          <cell r="A10">
            <v>6</v>
          </cell>
          <cell r="B10" t="str">
            <v>601 雅加达西北 JKT BU</v>
          </cell>
          <cell r="C10">
            <v>6010710</v>
          </cell>
          <cell r="D10" t="str">
            <v>6010710-ROXY PAMERAN SELATAN</v>
          </cell>
          <cell r="E10" t="str">
            <v>NUR IRAWATI</v>
          </cell>
        </row>
        <row r="11">
          <cell r="A11">
            <v>7</v>
          </cell>
          <cell r="B11" t="str">
            <v>601 雅加达西北 JKT BU</v>
          </cell>
          <cell r="C11">
            <v>6020711</v>
          </cell>
          <cell r="D11" t="str">
            <v>6020711-EMPORIUM VIVO STORE</v>
          </cell>
          <cell r="E11" t="str">
            <v>M KHOIRUDIN</v>
          </cell>
        </row>
        <row r="12">
          <cell r="A12">
            <v>8</v>
          </cell>
          <cell r="B12" t="str">
            <v>601 雅加达西北 JKT BU</v>
          </cell>
          <cell r="C12">
            <v>6010711</v>
          </cell>
          <cell r="D12" t="str">
            <v>6010711-LIPPO MALL PURI 1FK02</v>
          </cell>
          <cell r="E12" t="str">
            <v>HERRU ILYASA</v>
          </cell>
        </row>
        <row r="13">
          <cell r="A13">
            <v>9</v>
          </cell>
          <cell r="B13" t="str">
            <v>601 雅加达西北 JKT BU</v>
          </cell>
          <cell r="C13">
            <v>6020706</v>
          </cell>
          <cell r="D13" t="str">
            <v>6020706-CEMPAKA SHOWROOM 2 (454)</v>
          </cell>
          <cell r="E13" t="str">
            <v>NOVIA HARYANTI</v>
          </cell>
        </row>
        <row r="14">
          <cell r="A14">
            <v>10</v>
          </cell>
          <cell r="B14" t="str">
            <v>601 雅加达西北 JKT BU</v>
          </cell>
          <cell r="C14">
            <v>6020704</v>
          </cell>
          <cell r="D14" t="str">
            <v>6020704-CEMPAKA SHOWROOM 14(8TOKO)</v>
          </cell>
          <cell r="E14" t="str">
            <v>NOVIA HARYANTI</v>
          </cell>
        </row>
        <row r="15">
          <cell r="A15">
            <v>11</v>
          </cell>
          <cell r="B15" t="str">
            <v>604 雅加达东南 JKT TS</v>
          </cell>
          <cell r="C15">
            <v>6040701</v>
          </cell>
          <cell r="D15" t="str">
            <v>6040701-ITC DEPOK VIVO STORE 1</v>
          </cell>
          <cell r="E15" t="str">
            <v>Erlangga Praditya</v>
          </cell>
        </row>
        <row r="16">
          <cell r="A16">
            <v>12</v>
          </cell>
          <cell r="B16" t="str">
            <v>604 雅加达东南 JKT TS</v>
          </cell>
          <cell r="C16">
            <v>6080712</v>
          </cell>
          <cell r="D16" t="str">
            <v>6080712-ITC DEPOK VIVO STORE 2</v>
          </cell>
          <cell r="E16" t="str">
            <v>Erlangga Praditya</v>
          </cell>
        </row>
        <row r="17">
          <cell r="A17">
            <v>13</v>
          </cell>
          <cell r="B17" t="str">
            <v>604 雅加达东南 JKT TS</v>
          </cell>
          <cell r="C17">
            <v>6040702</v>
          </cell>
          <cell r="D17" t="str">
            <v>6040702-TRAN STUDIO MALL 2F059</v>
          </cell>
          <cell r="E17" t="str">
            <v>Erlangga Praditya</v>
          </cell>
        </row>
        <row r="18">
          <cell r="A18">
            <v>14</v>
          </cell>
          <cell r="B18" t="str">
            <v>604 雅加达东南 JKT TS</v>
          </cell>
          <cell r="C18">
            <v>6040703</v>
          </cell>
          <cell r="D18" t="str">
            <v>6040703-SAWANGAN 1F1-0320</v>
          </cell>
          <cell r="E18" t="str">
            <v>Erlangga Praditya</v>
          </cell>
        </row>
        <row r="19">
          <cell r="A19">
            <v>15</v>
          </cell>
          <cell r="B19" t="str">
            <v>605 勿加泗 BEKASI</v>
          </cell>
          <cell r="C19">
            <v>6050701</v>
          </cell>
          <cell r="D19" t="str">
            <v>6050701-BCP VS X6 DS0824</v>
          </cell>
          <cell r="E19" t="str">
            <v>M RIZKI</v>
          </cell>
        </row>
        <row r="20">
          <cell r="A20">
            <v>16</v>
          </cell>
          <cell r="B20" t="str">
            <v>605 勿加泗 BEKASI</v>
          </cell>
          <cell r="C20">
            <v>6220701</v>
          </cell>
          <cell r="D20" t="str">
            <v>6220701-MBH-VIP VIVO STORE-DD284</v>
          </cell>
          <cell r="E20" t="str">
            <v>M RIZKI</v>
          </cell>
        </row>
        <row r="21">
          <cell r="A21">
            <v>17</v>
          </cell>
          <cell r="B21" t="str">
            <v>605 勿加泗 BEKASI</v>
          </cell>
          <cell r="C21">
            <v>6050705</v>
          </cell>
          <cell r="D21" t="str">
            <v>6050705-MBH 2F009</v>
          </cell>
          <cell r="E21" t="str">
            <v>M RIZKI</v>
          </cell>
        </row>
        <row r="22">
          <cell r="A22">
            <v>18</v>
          </cell>
          <cell r="B22" t="str">
            <v>605 勿加泗 BEKASI</v>
          </cell>
          <cell r="C22">
            <v>6050706</v>
          </cell>
          <cell r="D22" t="str">
            <v>6050706-AEON MALL DELTAMAS 1F081</v>
          </cell>
          <cell r="E22" t="str">
            <v>M RIZKI</v>
          </cell>
        </row>
        <row r="23">
          <cell r="A23">
            <v>19</v>
          </cell>
          <cell r="B23" t="str">
            <v>618 茂物 BOGOR</v>
          </cell>
          <cell r="C23">
            <v>6180706</v>
          </cell>
          <cell r="D23" t="str">
            <v>6180706-MALL CCM VIVO STORE</v>
          </cell>
          <cell r="E23" t="str">
            <v>DANDI SURYA</v>
          </cell>
        </row>
        <row r="24">
          <cell r="A24">
            <v>20</v>
          </cell>
          <cell r="B24" t="str">
            <v>618 茂物 BOGOR</v>
          </cell>
          <cell r="C24">
            <v>6180707</v>
          </cell>
          <cell r="D24" t="str">
            <v>6180707-BTM SC VIVO STORE</v>
          </cell>
          <cell r="E24" t="str">
            <v>DANDI SURYA</v>
          </cell>
        </row>
        <row r="25">
          <cell r="A25">
            <v>21</v>
          </cell>
          <cell r="B25" t="str">
            <v>624-万丹BANTEN</v>
          </cell>
          <cell r="C25">
            <v>6170707</v>
          </cell>
          <cell r="D25" t="str">
            <v>6170707-TANGCITY LG BLOK D NO. 01D</v>
          </cell>
          <cell r="E25" t="str">
            <v>ARIES FITRIYANTO</v>
          </cell>
        </row>
        <row r="26">
          <cell r="A26">
            <v>22</v>
          </cell>
          <cell r="B26" t="str">
            <v>624-万丹BANTEN</v>
          </cell>
          <cell r="C26">
            <v>6240702</v>
          </cell>
          <cell r="D26" t="str">
            <v>6240702-TANGCITY LG BLOK B NO. 01B</v>
          </cell>
          <cell r="E26" t="str">
            <v>ARIES FITRIYANTO</v>
          </cell>
        </row>
        <row r="27">
          <cell r="A27">
            <v>23</v>
          </cell>
          <cell r="B27" t="str">
            <v>624-万丹BANTEN</v>
          </cell>
          <cell r="C27">
            <v>6240704</v>
          </cell>
          <cell r="D27" t="str">
            <v>6240704-TANGCITY LG017</v>
          </cell>
          <cell r="E27" t="str">
            <v>ARIES FITRIYANTO</v>
          </cell>
        </row>
        <row r="28">
          <cell r="A28">
            <v>24</v>
          </cell>
          <cell r="B28" t="str">
            <v>624-万丹BANTEN</v>
          </cell>
          <cell r="C28">
            <v>6240701</v>
          </cell>
          <cell r="D28" t="str">
            <v>6240701-TANGCITY LG BLOK A-B NO. 12</v>
          </cell>
          <cell r="E28" t="str">
            <v>DHANI EKO NUGROHO</v>
          </cell>
        </row>
        <row r="29">
          <cell r="A29">
            <v>25</v>
          </cell>
          <cell r="B29" t="str">
            <v>624-万丹BANTEN</v>
          </cell>
          <cell r="C29">
            <v>6170706</v>
          </cell>
          <cell r="D29" t="str">
            <v>6170706-TANGCITY CHARLES</v>
          </cell>
          <cell r="E29" t="str">
            <v>DHANI EKO NUGROHO</v>
          </cell>
        </row>
        <row r="30">
          <cell r="A30">
            <v>26</v>
          </cell>
          <cell r="B30" t="str">
            <v>624-万丹BANTEN</v>
          </cell>
          <cell r="C30">
            <v>6240703</v>
          </cell>
          <cell r="D30" t="str">
            <v>6240703-TANGCITY LG009</v>
          </cell>
          <cell r="E30" t="str">
            <v>DHANI EKO NUGROHO</v>
          </cell>
        </row>
        <row r="31">
          <cell r="A31">
            <v>27</v>
          </cell>
          <cell r="B31" t="str">
            <v>624-万丹BANTEN</v>
          </cell>
          <cell r="C31">
            <v>6170703</v>
          </cell>
          <cell r="D31" t="str">
            <v>6170703-BNT-CCM VIVO STORE</v>
          </cell>
          <cell r="E31" t="str">
            <v>DWI IRAWAN ( PIC )</v>
          </cell>
        </row>
        <row r="32">
          <cell r="A32">
            <v>28</v>
          </cell>
          <cell r="B32" t="str">
            <v>624-万丹BANTEN</v>
          </cell>
          <cell r="C32">
            <v>6240705</v>
          </cell>
          <cell r="D32" t="str">
            <v>6240705-CIPUTRA 2FC15</v>
          </cell>
          <cell r="E32" t="str">
            <v>DHANI EKO NUGROHO</v>
          </cell>
        </row>
        <row r="33">
          <cell r="A33">
            <v>29</v>
          </cell>
          <cell r="B33" t="str">
            <v>624-万丹BANTEN</v>
          </cell>
          <cell r="C33">
            <v>6240709</v>
          </cell>
          <cell r="D33" t="str">
            <v>6240709-ITC BSD 1F49-50</v>
          </cell>
          <cell r="E33" t="str">
            <v>ARIES FITRIYANTO</v>
          </cell>
        </row>
        <row r="34">
          <cell r="A34">
            <v>30</v>
          </cell>
          <cell r="B34" t="str">
            <v>624-万丹BANTEN</v>
          </cell>
          <cell r="C34">
            <v>6240708</v>
          </cell>
          <cell r="D34" t="str">
            <v>6240708-ITC BSD 1F09-14</v>
          </cell>
          <cell r="E34" t="str">
            <v>ARIES FITRIYANTO</v>
          </cell>
        </row>
        <row r="35">
          <cell r="A35">
            <v>31</v>
          </cell>
          <cell r="B35" t="str">
            <v>624-万丹BANTEN</v>
          </cell>
          <cell r="C35">
            <v>6240707</v>
          </cell>
          <cell r="D35" t="str">
            <v>6240707-KARAWACI UGN3A</v>
          </cell>
          <cell r="E35" t="str">
            <v>ADE RIVALDI L</v>
          </cell>
        </row>
        <row r="36">
          <cell r="A36">
            <v>32</v>
          </cell>
          <cell r="B36" t="str">
            <v>624-万丹BANTEN</v>
          </cell>
          <cell r="C36">
            <v>6240706</v>
          </cell>
          <cell r="D36" t="str">
            <v>6240706-KARAWACI 1FC3A</v>
          </cell>
          <cell r="E36" t="str">
            <v>ADE RIVALDI L</v>
          </cell>
        </row>
        <row r="37">
          <cell r="A37">
            <v>33</v>
          </cell>
          <cell r="B37" t="str">
            <v>619-万隆市区BDG KOTA</v>
          </cell>
          <cell r="C37">
            <v>6190701</v>
          </cell>
          <cell r="D37" t="str">
            <v>6190701-BEC VIVO STORE UG</v>
          </cell>
          <cell r="E37" t="str">
            <v>EKO PURWANTO</v>
          </cell>
        </row>
        <row r="38">
          <cell r="A38">
            <v>34</v>
          </cell>
          <cell r="B38" t="str">
            <v>619-万隆市区BDG KOTA</v>
          </cell>
          <cell r="C38">
            <v>6190706</v>
          </cell>
          <cell r="D38" t="str">
            <v>6190706-BEC VIVO STORE 4</v>
          </cell>
          <cell r="E38" t="str">
            <v>EKO PURWANTO</v>
          </cell>
        </row>
        <row r="39">
          <cell r="A39">
            <v>35</v>
          </cell>
          <cell r="B39" t="str">
            <v>619-万隆市区BDG KOTA</v>
          </cell>
          <cell r="C39">
            <v>6190705</v>
          </cell>
          <cell r="D39" t="str">
            <v>6190705-BEC VIVO STORE LG F20</v>
          </cell>
          <cell r="E39" t="str">
            <v>NENG TOTOH</v>
          </cell>
        </row>
        <row r="40">
          <cell r="A40">
            <v>36</v>
          </cell>
          <cell r="B40" t="str">
            <v>619-万隆市区BDG KOTA</v>
          </cell>
          <cell r="C40">
            <v>6190704</v>
          </cell>
          <cell r="D40" t="str">
            <v>6190704-BEC VIVO STORE 1</v>
          </cell>
          <cell r="E40" t="str">
            <v>NENG TOTOH</v>
          </cell>
        </row>
        <row r="41">
          <cell r="A41">
            <v>37</v>
          </cell>
          <cell r="B41" t="str">
            <v>619-万隆市区BDG KOTA</v>
          </cell>
          <cell r="C41">
            <v>6190707</v>
          </cell>
          <cell r="D41" t="str">
            <v>6190707-BEC VIVO STORE LU</v>
          </cell>
          <cell r="E41" t="str">
            <v>NENG TOTOH</v>
          </cell>
        </row>
        <row r="42">
          <cell r="A42">
            <v>38</v>
          </cell>
          <cell r="B42" t="str">
            <v>619-万隆市区BDG KOTA</v>
          </cell>
          <cell r="C42">
            <v>6190708</v>
          </cell>
          <cell r="D42" t="str">
            <v>6190708-BEC SC LGAA07</v>
          </cell>
          <cell r="E42" t="str">
            <v>NENG TOTOH</v>
          </cell>
        </row>
        <row r="43">
          <cell r="A43">
            <v>39</v>
          </cell>
          <cell r="B43" t="str">
            <v>615-中爪哇东SOLO</v>
          </cell>
          <cell r="C43">
            <v>6150702</v>
          </cell>
          <cell r="D43" t="str">
            <v>6150702-GRANMALL SC GF-11</v>
          </cell>
          <cell r="E43" t="str">
            <v>BIRILYAN KUSWARA</v>
          </cell>
        </row>
        <row r="44">
          <cell r="A44">
            <v>40</v>
          </cell>
          <cell r="B44" t="str">
            <v>中爪哇西 - Purwokerto</v>
          </cell>
          <cell r="C44">
            <v>6130702</v>
          </cell>
          <cell r="D44" t="str">
            <v>6130702-RITA SUPERMALL SF36-37</v>
          </cell>
          <cell r="E44" t="str">
            <v>FRISKA FAJAR</v>
          </cell>
        </row>
        <row r="45">
          <cell r="A45">
            <v>41</v>
          </cell>
          <cell r="B45" t="str">
            <v>614 三宝垄 Semarang</v>
          </cell>
          <cell r="C45">
            <v>6100702</v>
          </cell>
          <cell r="D45" t="str">
            <v>6100702-Jogja City Mall VIVO STORE</v>
          </cell>
          <cell r="E45" t="str">
            <v>BIRILYAN KUSWARA</v>
          </cell>
        </row>
        <row r="46">
          <cell r="A46">
            <v>42</v>
          </cell>
          <cell r="B46" t="str">
            <v>614 三宝垄 Semarang</v>
          </cell>
          <cell r="C46">
            <v>6140706</v>
          </cell>
          <cell r="D46" t="str">
            <v>6140706-23 SEMARANG MALL 1F065-66</v>
          </cell>
          <cell r="E46" t="str">
            <v>VICKY DINDA INEZ</v>
          </cell>
        </row>
        <row r="47">
          <cell r="A47">
            <v>43</v>
          </cell>
          <cell r="B47" t="str">
            <v>614 三宝垄 Semarang</v>
          </cell>
          <cell r="C47">
            <v>6140705</v>
          </cell>
          <cell r="D47" t="str">
            <v>6140705-QUEENCITY 2F027</v>
          </cell>
          <cell r="E47" t="str">
            <v>VICKY DINDA INEZ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G6" t="str">
            <v>3mio&gt;</v>
          </cell>
          <cell r="I6" t="str">
            <v>Total Sum of Qty</v>
          </cell>
          <cell r="J6" t="str">
            <v>Total Sum of SRP</v>
          </cell>
        </row>
        <row r="7">
          <cell r="D7" t="str">
            <v>Promotor</v>
          </cell>
          <cell r="G7" t="str">
            <v>Sum of Qty</v>
          </cell>
        </row>
        <row r="8">
          <cell r="D8" t="str">
            <v>NANI SUPRIYANTI</v>
          </cell>
          <cell r="G8">
            <v>9</v>
          </cell>
          <cell r="I8">
            <v>14</v>
          </cell>
          <cell r="J8">
            <v>61986000</v>
          </cell>
        </row>
        <row r="9">
          <cell r="D9" t="str">
            <v xml:space="preserve"> Fatimah</v>
          </cell>
          <cell r="G9">
            <v>5</v>
          </cell>
          <cell r="I9">
            <v>6</v>
          </cell>
          <cell r="J9">
            <v>30194000</v>
          </cell>
        </row>
        <row r="10">
          <cell r="D10" t="str">
            <v>NABILA SALSABILA</v>
          </cell>
          <cell r="G10">
            <v>11</v>
          </cell>
          <cell r="I10">
            <v>20</v>
          </cell>
          <cell r="J10">
            <v>88080000</v>
          </cell>
        </row>
        <row r="11">
          <cell r="D11" t="str">
            <v>ELFINTA VIANTI</v>
          </cell>
          <cell r="G11">
            <v>6</v>
          </cell>
          <cell r="I11">
            <v>20</v>
          </cell>
          <cell r="J11">
            <v>62280000</v>
          </cell>
        </row>
        <row r="12">
          <cell r="D12" t="str">
            <v>MUHAMAD YUSUF</v>
          </cell>
          <cell r="G12">
            <v>8</v>
          </cell>
          <cell r="I12">
            <v>27</v>
          </cell>
          <cell r="J12">
            <v>83673000</v>
          </cell>
        </row>
        <row r="13">
          <cell r="D13" t="str">
            <v>YOGA ADITIA</v>
          </cell>
          <cell r="G13">
            <v>10</v>
          </cell>
          <cell r="I13">
            <v>29</v>
          </cell>
          <cell r="J13">
            <v>106171000</v>
          </cell>
        </row>
        <row r="14">
          <cell r="D14" t="str">
            <v>MUHAMAD HILMAN</v>
          </cell>
          <cell r="G14">
            <v>13</v>
          </cell>
          <cell r="I14">
            <v>27</v>
          </cell>
          <cell r="J14">
            <v>117373000</v>
          </cell>
        </row>
        <row r="15">
          <cell r="D15" t="str">
            <v>SRI AFRIYANTI</v>
          </cell>
          <cell r="G15">
            <v>13</v>
          </cell>
          <cell r="I15">
            <v>26</v>
          </cell>
          <cell r="J15">
            <v>142474000</v>
          </cell>
        </row>
        <row r="16">
          <cell r="D16" t="str">
            <v>RIFKI PRAYOGAA</v>
          </cell>
          <cell r="G16">
            <v>6</v>
          </cell>
          <cell r="I16">
            <v>14</v>
          </cell>
          <cell r="J16">
            <v>49386000</v>
          </cell>
        </row>
        <row r="17">
          <cell r="D17" t="str">
            <v>MUHAMMAD MUDZAKIR</v>
          </cell>
          <cell r="G17">
            <v>8</v>
          </cell>
          <cell r="I17">
            <v>17</v>
          </cell>
          <cell r="J17">
            <v>57783000</v>
          </cell>
        </row>
        <row r="18">
          <cell r="D18" t="str">
            <v>MILA TUJUHRO</v>
          </cell>
          <cell r="G18">
            <v>14</v>
          </cell>
          <cell r="I18">
            <v>32</v>
          </cell>
          <cell r="J18">
            <v>129868000</v>
          </cell>
        </row>
        <row r="19">
          <cell r="D19" t="str">
            <v>ANISA AGUSTIN</v>
          </cell>
          <cell r="G19">
            <v>9</v>
          </cell>
          <cell r="I19">
            <v>36</v>
          </cell>
          <cell r="J19">
            <v>108364000</v>
          </cell>
        </row>
        <row r="20">
          <cell r="D20" t="str">
            <v>VIOLA AGUSTIN</v>
          </cell>
          <cell r="G20">
            <v>14</v>
          </cell>
          <cell r="I20">
            <v>28</v>
          </cell>
          <cell r="J20">
            <v>111972000</v>
          </cell>
        </row>
        <row r="21">
          <cell r="D21" t="str">
            <v>DION FATULLAH</v>
          </cell>
          <cell r="G21">
            <v>13</v>
          </cell>
          <cell r="I21">
            <v>32</v>
          </cell>
          <cell r="J21">
            <v>108268000</v>
          </cell>
        </row>
        <row r="22">
          <cell r="D22" t="str">
            <v>SASFA LUNA ANDUNG</v>
          </cell>
          <cell r="G22">
            <v>1</v>
          </cell>
          <cell r="I22">
            <v>5</v>
          </cell>
          <cell r="J22">
            <v>16695000</v>
          </cell>
        </row>
        <row r="23">
          <cell r="D23" t="str">
            <v>Mahmudin</v>
          </cell>
          <cell r="G23">
            <v>3</v>
          </cell>
          <cell r="I23">
            <v>6</v>
          </cell>
          <cell r="J23">
            <v>22394000</v>
          </cell>
        </row>
        <row r="24">
          <cell r="D24" t="str">
            <v>TIO SAPUTRA</v>
          </cell>
          <cell r="G24">
            <v>6</v>
          </cell>
          <cell r="I24">
            <v>8</v>
          </cell>
          <cell r="J24">
            <v>44392000</v>
          </cell>
        </row>
        <row r="25">
          <cell r="D25" t="str">
            <v>ZAKIYATUL MUNAWAROH</v>
          </cell>
          <cell r="G25">
            <v>14</v>
          </cell>
          <cell r="I25">
            <v>19</v>
          </cell>
          <cell r="J25">
            <v>97181000</v>
          </cell>
        </row>
        <row r="26">
          <cell r="D26" t="str">
            <v>Gilang Ramadhan</v>
          </cell>
          <cell r="G26">
            <v>7</v>
          </cell>
          <cell r="I26">
            <v>10</v>
          </cell>
          <cell r="J26">
            <v>55290000</v>
          </cell>
        </row>
        <row r="27">
          <cell r="D27" t="str">
            <v>SITI NURDIANTY SHOLIHAH</v>
          </cell>
          <cell r="G27">
            <v>3</v>
          </cell>
          <cell r="I27">
            <v>6</v>
          </cell>
          <cell r="J27">
            <v>21694000</v>
          </cell>
        </row>
        <row r="28">
          <cell r="D28" t="str">
            <v>NATASYA BUNGA LESTARI</v>
          </cell>
          <cell r="G28">
            <v>1</v>
          </cell>
          <cell r="I28">
            <v>8</v>
          </cell>
          <cell r="J28">
            <v>20292000</v>
          </cell>
        </row>
        <row r="29">
          <cell r="D29" t="str">
            <v>DEWI ASTRIAWANTI</v>
          </cell>
          <cell r="G29">
            <v>6</v>
          </cell>
          <cell r="I29">
            <v>9</v>
          </cell>
          <cell r="J29">
            <v>47891000</v>
          </cell>
        </row>
        <row r="30">
          <cell r="D30" t="str">
            <v>APRIANSYAH</v>
          </cell>
          <cell r="G30">
            <v>5</v>
          </cell>
          <cell r="I30">
            <v>9</v>
          </cell>
          <cell r="J30">
            <v>35391000</v>
          </cell>
        </row>
        <row r="31">
          <cell r="D31" t="str">
            <v>RIZKY ALFIANSYAH</v>
          </cell>
          <cell r="G31">
            <v>12</v>
          </cell>
          <cell r="I31">
            <v>15</v>
          </cell>
          <cell r="J31">
            <v>72085000</v>
          </cell>
        </row>
        <row r="32">
          <cell r="D32" t="str">
            <v>HERIANTO NDRURU</v>
          </cell>
          <cell r="G32">
            <v>14</v>
          </cell>
          <cell r="I32">
            <v>43</v>
          </cell>
          <cell r="J32">
            <v>136257000</v>
          </cell>
        </row>
        <row r="33">
          <cell r="D33" t="str">
            <v>SITI MELIANI</v>
          </cell>
          <cell r="G33">
            <v>6</v>
          </cell>
          <cell r="I33">
            <v>14</v>
          </cell>
          <cell r="J33">
            <v>54586000</v>
          </cell>
        </row>
        <row r="34">
          <cell r="D34" t="str">
            <v>DWI IRAWAN ALDILA JULIANSYAH</v>
          </cell>
          <cell r="G34">
            <v>2</v>
          </cell>
          <cell r="I34">
            <v>5</v>
          </cell>
          <cell r="J34">
            <v>38995000</v>
          </cell>
        </row>
        <row r="35">
          <cell r="D35" t="str">
            <v>SILVIA AYU LESTARI</v>
          </cell>
          <cell r="G35">
            <v>1</v>
          </cell>
          <cell r="I35">
            <v>2</v>
          </cell>
          <cell r="J35">
            <v>5998000</v>
          </cell>
        </row>
        <row r="36">
          <cell r="D36" t="str">
            <v>SANTI ANGGRAENI</v>
          </cell>
          <cell r="G36">
            <v>21</v>
          </cell>
          <cell r="I36">
            <v>33</v>
          </cell>
          <cell r="J36">
            <v>158867000</v>
          </cell>
        </row>
        <row r="37">
          <cell r="D37" t="str">
            <v>NARIAH AMBARWATI</v>
          </cell>
          <cell r="G37">
            <v>20</v>
          </cell>
          <cell r="I37">
            <v>32</v>
          </cell>
          <cell r="J37">
            <v>135968000</v>
          </cell>
        </row>
        <row r="38">
          <cell r="D38" t="str">
            <v>MIFTAHUL HUDA</v>
          </cell>
          <cell r="G38">
            <v>14</v>
          </cell>
          <cell r="I38">
            <v>18</v>
          </cell>
          <cell r="J38">
            <v>86882000</v>
          </cell>
        </row>
        <row r="39">
          <cell r="D39" t="str">
            <v>SYAIRUL ACHMAT HIDAYAT</v>
          </cell>
          <cell r="G39">
            <v>4</v>
          </cell>
          <cell r="I39">
            <v>8</v>
          </cell>
          <cell r="J39">
            <v>33492000</v>
          </cell>
        </row>
        <row r="40">
          <cell r="D40" t="str">
            <v>PUTRI ANGGRIANI</v>
          </cell>
          <cell r="G40">
            <v>18</v>
          </cell>
          <cell r="I40">
            <v>26</v>
          </cell>
          <cell r="J40">
            <v>111774000</v>
          </cell>
        </row>
        <row r="41">
          <cell r="D41" t="str">
            <v>AGUS WARDONO PUTRO</v>
          </cell>
          <cell r="G41">
            <v>19</v>
          </cell>
          <cell r="I41">
            <v>29</v>
          </cell>
          <cell r="J41">
            <v>149471000</v>
          </cell>
        </row>
        <row r="42">
          <cell r="D42" t="str">
            <v>INTAN SEPIATUL HASANAH</v>
          </cell>
          <cell r="G42">
            <v>8</v>
          </cell>
          <cell r="I42">
            <v>12</v>
          </cell>
          <cell r="J42">
            <v>55288000</v>
          </cell>
        </row>
        <row r="43">
          <cell r="D43" t="str">
            <v>JULIANA JAYANA</v>
          </cell>
          <cell r="G43">
            <v>9</v>
          </cell>
          <cell r="I43">
            <v>13</v>
          </cell>
          <cell r="J43">
            <v>63587000</v>
          </cell>
        </row>
        <row r="44">
          <cell r="D44" t="str">
            <v>NOVI YULIANTI</v>
          </cell>
          <cell r="G44">
            <v>2</v>
          </cell>
          <cell r="I44">
            <v>4</v>
          </cell>
          <cell r="J44">
            <v>18296000</v>
          </cell>
        </row>
        <row r="45">
          <cell r="D45" t="str">
            <v>RICKY KURNIAWAN</v>
          </cell>
          <cell r="G45">
            <v>15</v>
          </cell>
          <cell r="I45">
            <v>22</v>
          </cell>
          <cell r="J45">
            <v>95678000</v>
          </cell>
        </row>
        <row r="46">
          <cell r="D46" t="str">
            <v>TEGUH FIRMANSYAH</v>
          </cell>
          <cell r="G46">
            <v>16</v>
          </cell>
          <cell r="I46">
            <v>36</v>
          </cell>
          <cell r="J46">
            <v>121364000</v>
          </cell>
        </row>
        <row r="47">
          <cell r="D47" t="str">
            <v>AGUSTIAN</v>
          </cell>
          <cell r="G47">
            <v>14</v>
          </cell>
          <cell r="I47">
            <v>25</v>
          </cell>
          <cell r="J47">
            <v>105675000</v>
          </cell>
        </row>
        <row r="48">
          <cell r="D48" t="str">
            <v>MELLY SHABILLA</v>
          </cell>
          <cell r="G48">
            <v>13</v>
          </cell>
          <cell r="I48">
            <v>26</v>
          </cell>
          <cell r="J48">
            <v>103274000</v>
          </cell>
        </row>
        <row r="49">
          <cell r="D49" t="str">
            <v>PUTRI NOVALINDA SUGANDA</v>
          </cell>
          <cell r="G49">
            <v>4</v>
          </cell>
          <cell r="I49">
            <v>6</v>
          </cell>
          <cell r="J49">
            <v>19894000</v>
          </cell>
        </row>
        <row r="50">
          <cell r="D50" t="str">
            <v>ASIPA RAHMAWATI</v>
          </cell>
          <cell r="G50">
            <v>12</v>
          </cell>
          <cell r="I50">
            <v>37</v>
          </cell>
          <cell r="J50">
            <v>121063000</v>
          </cell>
        </row>
        <row r="51">
          <cell r="D51" t="str">
            <v>ERI NURAJAB</v>
          </cell>
          <cell r="G51">
            <v>17</v>
          </cell>
          <cell r="I51">
            <v>32</v>
          </cell>
          <cell r="J51">
            <v>140468000</v>
          </cell>
        </row>
        <row r="52">
          <cell r="D52" t="str">
            <v>DWI ANGGRAENI</v>
          </cell>
          <cell r="G52">
            <v>18</v>
          </cell>
          <cell r="I52">
            <v>28</v>
          </cell>
          <cell r="J52">
            <v>129972000</v>
          </cell>
        </row>
        <row r="53">
          <cell r="D53" t="str">
            <v>WIRA WIRAHMAN</v>
          </cell>
          <cell r="G53">
            <v>19</v>
          </cell>
          <cell r="I53">
            <v>36</v>
          </cell>
          <cell r="J53">
            <v>138064000</v>
          </cell>
        </row>
        <row r="54">
          <cell r="D54" t="str">
            <v>DIAN HARYANTO</v>
          </cell>
          <cell r="G54">
            <v>18</v>
          </cell>
          <cell r="I54">
            <v>30</v>
          </cell>
          <cell r="J54">
            <v>130670000</v>
          </cell>
        </row>
        <row r="55">
          <cell r="D55" t="str">
            <v>SHONA LUGISTIN</v>
          </cell>
          <cell r="G55">
            <v>19</v>
          </cell>
          <cell r="I55">
            <v>29</v>
          </cell>
          <cell r="J55">
            <v>132071000</v>
          </cell>
        </row>
        <row r="56">
          <cell r="D56" t="str">
            <v>SUHERMAN ARISMAWAN</v>
          </cell>
          <cell r="G56">
            <v>17</v>
          </cell>
          <cell r="I56">
            <v>28</v>
          </cell>
          <cell r="J56">
            <v>122972000</v>
          </cell>
        </row>
        <row r="57">
          <cell r="D57" t="str">
            <v>DEA SINDRA</v>
          </cell>
          <cell r="G57">
            <v>16</v>
          </cell>
          <cell r="I57">
            <v>33</v>
          </cell>
          <cell r="J57">
            <v>137467000</v>
          </cell>
        </row>
        <row r="58">
          <cell r="D58" t="str">
            <v>ANTON RENDI SUKMANA</v>
          </cell>
          <cell r="G58">
            <v>1</v>
          </cell>
          <cell r="I58">
            <v>9</v>
          </cell>
          <cell r="J58">
            <v>29491000</v>
          </cell>
        </row>
        <row r="59">
          <cell r="D59" t="str">
            <v>SUSAN SUSANTI</v>
          </cell>
          <cell r="G59">
            <v>13</v>
          </cell>
          <cell r="I59">
            <v>29</v>
          </cell>
          <cell r="J59">
            <v>114471000</v>
          </cell>
        </row>
        <row r="60">
          <cell r="D60" t="str">
            <v>AGUSTIAN</v>
          </cell>
          <cell r="G60">
            <v>7</v>
          </cell>
          <cell r="I60">
            <v>12</v>
          </cell>
          <cell r="J60">
            <v>44788000</v>
          </cell>
        </row>
        <row r="61">
          <cell r="D61" t="str">
            <v>PUTERY FATIMAH AZZAHRA</v>
          </cell>
          <cell r="G61">
            <v>12</v>
          </cell>
          <cell r="I61">
            <v>20</v>
          </cell>
          <cell r="J61">
            <v>93280000</v>
          </cell>
        </row>
        <row r="62">
          <cell r="D62" t="str">
            <v>PUTRI NOVALINDA SUGANDA</v>
          </cell>
          <cell r="G62">
            <v>2</v>
          </cell>
          <cell r="I62">
            <v>8</v>
          </cell>
          <cell r="J62">
            <v>28392000</v>
          </cell>
        </row>
        <row r="63">
          <cell r="D63" t="str">
            <v>Ardhila Riyana suci purwandari</v>
          </cell>
          <cell r="G63">
            <v>13</v>
          </cell>
          <cell r="I63">
            <v>24</v>
          </cell>
          <cell r="J63">
            <v>98376000</v>
          </cell>
        </row>
        <row r="64">
          <cell r="D64" t="str">
            <v>KAYLA NURAULIA YAZMAN</v>
          </cell>
          <cell r="G64">
            <v>8</v>
          </cell>
          <cell r="I64">
            <v>20</v>
          </cell>
          <cell r="J64">
            <v>69580000</v>
          </cell>
        </row>
        <row r="65">
          <cell r="D65" t="str">
            <v>mohamad sofiyan</v>
          </cell>
          <cell r="G65">
            <v>30</v>
          </cell>
          <cell r="I65">
            <v>43</v>
          </cell>
          <cell r="J65">
            <v>191357000</v>
          </cell>
        </row>
        <row r="66">
          <cell r="D66" t="str">
            <v>LAILA SAMIA</v>
          </cell>
          <cell r="G66">
            <v>10</v>
          </cell>
          <cell r="I66">
            <v>21</v>
          </cell>
          <cell r="J66">
            <v>101579000</v>
          </cell>
        </row>
        <row r="67">
          <cell r="D67" t="str">
            <v>AKHMAD ARIFUDIN</v>
          </cell>
          <cell r="G67">
            <v>4</v>
          </cell>
          <cell r="I67">
            <v>12</v>
          </cell>
          <cell r="J67">
            <v>36988000</v>
          </cell>
        </row>
        <row r="68">
          <cell r="D68" t="str">
            <v>LISSA AYU HANDHINI</v>
          </cell>
          <cell r="G68">
            <v>18</v>
          </cell>
          <cell r="I68">
            <v>30</v>
          </cell>
          <cell r="J68">
            <v>144670000</v>
          </cell>
        </row>
        <row r="69">
          <cell r="D69" t="str">
            <v>EDI SUSANTO</v>
          </cell>
          <cell r="G69">
            <v>4</v>
          </cell>
          <cell r="I69">
            <v>6</v>
          </cell>
          <cell r="J69">
            <v>68494000</v>
          </cell>
        </row>
        <row r="70">
          <cell r="D70" t="str">
            <v>DHEA AMALIA</v>
          </cell>
          <cell r="G70">
            <v>20</v>
          </cell>
          <cell r="I70">
            <v>20</v>
          </cell>
          <cell r="J70">
            <v>144180000</v>
          </cell>
        </row>
        <row r="71">
          <cell r="D71" t="str">
            <v>CINTIA DAMAYANTI</v>
          </cell>
          <cell r="G71">
            <v>3</v>
          </cell>
          <cell r="I71">
            <v>4</v>
          </cell>
          <cell r="J71">
            <v>26896000</v>
          </cell>
        </row>
        <row r="72">
          <cell r="D72" t="str">
            <v>INTAN DIAH PRIMATARI</v>
          </cell>
          <cell r="G72">
            <v>22</v>
          </cell>
          <cell r="I72">
            <v>23</v>
          </cell>
          <cell r="J72">
            <v>161477000</v>
          </cell>
        </row>
        <row r="73">
          <cell r="D73" t="str">
            <v>WAHYU TRI UTOMO</v>
          </cell>
          <cell r="G73">
            <v>3</v>
          </cell>
          <cell r="I73">
            <v>4</v>
          </cell>
          <cell r="J73">
            <v>26196000</v>
          </cell>
        </row>
        <row r="74">
          <cell r="D74" t="str">
            <v>DIMAS RASYID ASHARI</v>
          </cell>
          <cell r="G74">
            <v>3</v>
          </cell>
          <cell r="I74">
            <v>6</v>
          </cell>
          <cell r="J74">
            <v>25394000</v>
          </cell>
        </row>
        <row r="75">
          <cell r="D75" t="str">
            <v>DEZNA DANI PRADIPTA</v>
          </cell>
          <cell r="G75">
            <v>5</v>
          </cell>
          <cell r="I75">
            <v>6</v>
          </cell>
          <cell r="J75">
            <v>33194000</v>
          </cell>
        </row>
        <row r="76">
          <cell r="D76" t="str">
            <v>EDI SUSANTO</v>
          </cell>
          <cell r="G76">
            <v>6</v>
          </cell>
          <cell r="I76">
            <v>13</v>
          </cell>
          <cell r="J76">
            <v>47387000</v>
          </cell>
        </row>
        <row r="77">
          <cell r="D77" t="str">
            <v>KHOLIPAH</v>
          </cell>
          <cell r="G77">
            <v>12</v>
          </cell>
          <cell r="I77">
            <v>17</v>
          </cell>
          <cell r="J77">
            <v>99883000</v>
          </cell>
        </row>
        <row r="78">
          <cell r="D78" t="str">
            <v>KARLES KADAPI</v>
          </cell>
          <cell r="G78">
            <v>4</v>
          </cell>
          <cell r="I78">
            <v>5</v>
          </cell>
          <cell r="J78">
            <v>20795000</v>
          </cell>
        </row>
        <row r="79">
          <cell r="D79" t="str">
            <v>MUHAMAD RIZKI SAPUTRA</v>
          </cell>
          <cell r="G79">
            <v>13</v>
          </cell>
          <cell r="I79">
            <v>27</v>
          </cell>
          <cell r="J79">
            <v>125073000</v>
          </cell>
        </row>
        <row r="80">
          <cell r="D80" t="str">
            <v>ASTRI ALFIANI</v>
          </cell>
          <cell r="G80">
            <v>19</v>
          </cell>
          <cell r="I80">
            <v>29</v>
          </cell>
          <cell r="J80">
            <v>143271000</v>
          </cell>
        </row>
        <row r="81">
          <cell r="D81" t="str">
            <v>WAHYU FIRMANSYAH</v>
          </cell>
          <cell r="G81">
            <v>6</v>
          </cell>
          <cell r="I81">
            <v>12</v>
          </cell>
          <cell r="J81">
            <v>41588000</v>
          </cell>
        </row>
        <row r="82">
          <cell r="D82" t="str">
            <v>winda amalia</v>
          </cell>
          <cell r="G82">
            <v>5</v>
          </cell>
          <cell r="I82">
            <v>7</v>
          </cell>
          <cell r="J82">
            <v>36593000</v>
          </cell>
        </row>
        <row r="83">
          <cell r="D83" t="str">
            <v>DEVI APRIANTI</v>
          </cell>
          <cell r="G83">
            <v>16</v>
          </cell>
          <cell r="I83">
            <v>24</v>
          </cell>
          <cell r="J83">
            <v>115176000</v>
          </cell>
        </row>
        <row r="84">
          <cell r="D84" t="str">
            <v>WIRA ADITYA SETIADI</v>
          </cell>
          <cell r="G84">
            <v>3</v>
          </cell>
          <cell r="I84">
            <v>6</v>
          </cell>
          <cell r="J84">
            <v>24194000</v>
          </cell>
        </row>
        <row r="85">
          <cell r="D85" t="str">
            <v>KARINA MAYA ROSILAWATI</v>
          </cell>
          <cell r="G85">
            <v>7</v>
          </cell>
          <cell r="I85">
            <v>13</v>
          </cell>
          <cell r="J85">
            <v>65687000</v>
          </cell>
        </row>
        <row r="86">
          <cell r="D86" t="str">
            <v>ARIF IRAWAN</v>
          </cell>
          <cell r="G86">
            <v>15</v>
          </cell>
          <cell r="I86">
            <v>32</v>
          </cell>
          <cell r="J86">
            <v>130968000</v>
          </cell>
        </row>
        <row r="87">
          <cell r="D87" t="str">
            <v>SERNIKA LAIA</v>
          </cell>
          <cell r="G87">
            <v>17</v>
          </cell>
          <cell r="I87">
            <v>24</v>
          </cell>
          <cell r="J87">
            <v>169976000</v>
          </cell>
        </row>
        <row r="88">
          <cell r="D88" t="str">
            <v>INA HIDAYAH</v>
          </cell>
          <cell r="G88">
            <v>21</v>
          </cell>
          <cell r="I88">
            <v>29</v>
          </cell>
          <cell r="J88">
            <v>142871000</v>
          </cell>
        </row>
        <row r="89">
          <cell r="D89" t="str">
            <v>RINI APRIANI</v>
          </cell>
          <cell r="G89">
            <v>12</v>
          </cell>
          <cell r="I89">
            <v>35</v>
          </cell>
          <cell r="J89">
            <v>121565000</v>
          </cell>
        </row>
        <row r="90">
          <cell r="D90" t="str">
            <v>MOHAMAD YUSUF</v>
          </cell>
          <cell r="G90">
            <v>7</v>
          </cell>
          <cell r="I90">
            <v>20</v>
          </cell>
          <cell r="J90">
            <v>68980000</v>
          </cell>
        </row>
        <row r="91">
          <cell r="D91" t="str">
            <v>MUHYIDDIN</v>
          </cell>
          <cell r="G91">
            <v>16</v>
          </cell>
          <cell r="I91">
            <v>30</v>
          </cell>
          <cell r="J91">
            <v>123470000</v>
          </cell>
        </row>
        <row r="92">
          <cell r="D92" t="str">
            <v>ALIA NASYABILA</v>
          </cell>
          <cell r="G92">
            <v>17</v>
          </cell>
          <cell r="I92">
            <v>29</v>
          </cell>
          <cell r="J92">
            <v>126171000</v>
          </cell>
        </row>
        <row r="93">
          <cell r="D93" t="str">
            <v>NURFITRIYANA</v>
          </cell>
          <cell r="G93">
            <v>3</v>
          </cell>
          <cell r="I93">
            <v>16</v>
          </cell>
          <cell r="J93">
            <v>54384000</v>
          </cell>
        </row>
        <row r="94">
          <cell r="D94" t="str">
            <v>APUD MAHPUDIN</v>
          </cell>
          <cell r="G94">
            <v>14</v>
          </cell>
          <cell r="I94">
            <v>41</v>
          </cell>
          <cell r="J94">
            <v>128459000</v>
          </cell>
        </row>
        <row r="95">
          <cell r="D95" t="str">
            <v>Dean dika putra mona</v>
          </cell>
          <cell r="G95">
            <v>5</v>
          </cell>
          <cell r="I95">
            <v>23</v>
          </cell>
          <cell r="J95">
            <v>67077000</v>
          </cell>
        </row>
        <row r="96">
          <cell r="D96" t="str">
            <v>MAT AMIN</v>
          </cell>
          <cell r="G96">
            <v>12</v>
          </cell>
          <cell r="I96">
            <v>28</v>
          </cell>
          <cell r="J96">
            <v>108072000</v>
          </cell>
        </row>
        <row r="97">
          <cell r="D97" t="str">
            <v>ANDES SAPUTRA</v>
          </cell>
          <cell r="G97">
            <v>24</v>
          </cell>
          <cell r="I97">
            <v>58</v>
          </cell>
          <cell r="J97">
            <v>191842000</v>
          </cell>
        </row>
        <row r="98">
          <cell r="D98" t="str">
            <v>FRISKI FERNANDO</v>
          </cell>
          <cell r="G98">
            <v>15</v>
          </cell>
          <cell r="I98">
            <v>54</v>
          </cell>
          <cell r="J98">
            <v>182546000</v>
          </cell>
        </row>
        <row r="99">
          <cell r="D99" t="str">
            <v>SELLY DARWIS</v>
          </cell>
          <cell r="G99">
            <v>8</v>
          </cell>
          <cell r="I99">
            <v>25</v>
          </cell>
          <cell r="J99">
            <v>77075000</v>
          </cell>
        </row>
        <row r="100">
          <cell r="D100" t="str">
            <v>M HUSNI HASIM</v>
          </cell>
          <cell r="G100">
            <v>6</v>
          </cell>
          <cell r="I100">
            <v>25</v>
          </cell>
          <cell r="J100">
            <v>75675000</v>
          </cell>
        </row>
        <row r="101">
          <cell r="D101" t="str">
            <v>ROSITA</v>
          </cell>
          <cell r="G101">
            <v>19</v>
          </cell>
          <cell r="I101">
            <v>60</v>
          </cell>
          <cell r="J101">
            <v>179440000</v>
          </cell>
        </row>
        <row r="102">
          <cell r="D102" t="str">
            <v>MUHAMMAD RIZKI HIDAYAT</v>
          </cell>
          <cell r="G102">
            <v>20</v>
          </cell>
          <cell r="I102">
            <v>42</v>
          </cell>
          <cell r="J102">
            <v>152958000</v>
          </cell>
        </row>
        <row r="103">
          <cell r="D103" t="str">
            <v>IVAN PAHLEVI SARAGIH</v>
          </cell>
          <cell r="G103">
            <v>19</v>
          </cell>
          <cell r="I103">
            <v>54</v>
          </cell>
          <cell r="J103">
            <v>191946000</v>
          </cell>
        </row>
        <row r="104">
          <cell r="D104" t="str">
            <v>ZIONIS ILHAMI DAKHI</v>
          </cell>
          <cell r="G104">
            <v>3</v>
          </cell>
          <cell r="I104">
            <v>23</v>
          </cell>
          <cell r="J104">
            <v>65677000</v>
          </cell>
        </row>
        <row r="105">
          <cell r="D105" t="str">
            <v>NUR IMAM ATTARMIDZI</v>
          </cell>
          <cell r="G105">
            <v>17</v>
          </cell>
          <cell r="I105">
            <v>56</v>
          </cell>
          <cell r="J105">
            <v>175244000</v>
          </cell>
        </row>
        <row r="106">
          <cell r="D106" t="str">
            <v>CEPTIANA JUNIAR</v>
          </cell>
          <cell r="G106">
            <v>6</v>
          </cell>
          <cell r="I106">
            <v>24</v>
          </cell>
          <cell r="J106">
            <v>73176000</v>
          </cell>
        </row>
        <row r="107">
          <cell r="D107" t="str">
            <v>BELLA MAYA SAFIRA</v>
          </cell>
          <cell r="G107">
            <v>17</v>
          </cell>
          <cell r="I107">
            <v>38</v>
          </cell>
          <cell r="J107">
            <v>166162000</v>
          </cell>
        </row>
        <row r="108">
          <cell r="D108" t="str">
            <v>VICKY ARIANSYAH</v>
          </cell>
          <cell r="G108">
            <v>9</v>
          </cell>
          <cell r="I108">
            <v>23</v>
          </cell>
          <cell r="J108">
            <v>79077000</v>
          </cell>
        </row>
        <row r="109">
          <cell r="D109" t="str">
            <v>HERMAN SUPRIYATIN</v>
          </cell>
          <cell r="G109">
            <v>18</v>
          </cell>
          <cell r="I109">
            <v>48</v>
          </cell>
          <cell r="J109">
            <v>191452000</v>
          </cell>
        </row>
        <row r="110">
          <cell r="D110" t="str">
            <v>HESTI AMELIA</v>
          </cell>
          <cell r="G110">
            <v>9</v>
          </cell>
          <cell r="I110">
            <v>40</v>
          </cell>
          <cell r="J110">
            <v>118760000</v>
          </cell>
        </row>
        <row r="111">
          <cell r="D111" t="str">
            <v>DIAWAN SAPUTRA</v>
          </cell>
          <cell r="G111">
            <v>14</v>
          </cell>
          <cell r="I111">
            <v>31</v>
          </cell>
          <cell r="J111">
            <v>119969000</v>
          </cell>
        </row>
        <row r="112">
          <cell r="D112" t="str">
            <v>RIKY</v>
          </cell>
          <cell r="G112">
            <v>10</v>
          </cell>
          <cell r="I112">
            <v>41</v>
          </cell>
          <cell r="J112">
            <v>124759000</v>
          </cell>
        </row>
        <row r="113">
          <cell r="D113" t="str">
            <v>ABDUL FALAH</v>
          </cell>
          <cell r="G113">
            <v>26</v>
          </cell>
          <cell r="I113">
            <v>35</v>
          </cell>
          <cell r="J113">
            <v>179165000</v>
          </cell>
        </row>
        <row r="114">
          <cell r="D114" t="str">
            <v xml:space="preserve"> RONI</v>
          </cell>
          <cell r="G114">
            <v>16</v>
          </cell>
          <cell r="I114">
            <v>46</v>
          </cell>
          <cell r="J114">
            <v>149454000</v>
          </cell>
        </row>
        <row r="115">
          <cell r="D115" t="str">
            <v>HAVIS SINUS FAUZAN</v>
          </cell>
          <cell r="G115">
            <v>15</v>
          </cell>
          <cell r="I115">
            <v>44</v>
          </cell>
          <cell r="J115">
            <v>169556000</v>
          </cell>
        </row>
        <row r="116">
          <cell r="D116" t="str">
            <v>TIYAS WINARNI</v>
          </cell>
          <cell r="G116">
            <v>11</v>
          </cell>
          <cell r="I116">
            <v>30</v>
          </cell>
          <cell r="J116">
            <v>107070000</v>
          </cell>
        </row>
        <row r="117">
          <cell r="D117" t="str">
            <v>BINY PRAYOGO</v>
          </cell>
          <cell r="G117">
            <v>9</v>
          </cell>
          <cell r="I117">
            <v>30</v>
          </cell>
          <cell r="J117">
            <v>87770000</v>
          </cell>
        </row>
        <row r="118">
          <cell r="D118" t="str">
            <v>PUTRI SUPRIHATIN</v>
          </cell>
          <cell r="G118">
            <v>15</v>
          </cell>
          <cell r="I118">
            <v>31</v>
          </cell>
          <cell r="J118">
            <v>118069000</v>
          </cell>
        </row>
        <row r="119">
          <cell r="D119" t="str">
            <v xml:space="preserve"> Hervanny trisiana</v>
          </cell>
          <cell r="G119">
            <v>17</v>
          </cell>
          <cell r="I119">
            <v>37</v>
          </cell>
          <cell r="J119">
            <v>180763000</v>
          </cell>
        </row>
        <row r="120">
          <cell r="D120" t="str">
            <v xml:space="preserve"> SITI ROHMAH</v>
          </cell>
          <cell r="G120">
            <v>12</v>
          </cell>
          <cell r="I120">
            <v>19</v>
          </cell>
          <cell r="J120">
            <v>135181000</v>
          </cell>
        </row>
        <row r="121">
          <cell r="D121" t="str">
            <v xml:space="preserve"> fitri adelia</v>
          </cell>
          <cell r="G121">
            <v>14</v>
          </cell>
          <cell r="I121">
            <v>22</v>
          </cell>
          <cell r="J121">
            <v>152378000</v>
          </cell>
        </row>
        <row r="122">
          <cell r="D122" t="str">
            <v xml:space="preserve">SENDI ALFAZRI </v>
          </cell>
          <cell r="G122">
            <v>2</v>
          </cell>
          <cell r="I122">
            <v>5</v>
          </cell>
          <cell r="J122">
            <v>23995000</v>
          </cell>
        </row>
        <row r="123">
          <cell r="D123" t="str">
            <v>FIRDA NAZMA NURFADILAH</v>
          </cell>
          <cell r="G123">
            <v>1</v>
          </cell>
          <cell r="I123">
            <v>1</v>
          </cell>
          <cell r="J123">
            <v>3899000</v>
          </cell>
        </row>
        <row r="124">
          <cell r="D124" t="str">
            <v>ZAINUL MUSTOFA</v>
          </cell>
          <cell r="G124">
            <v>12</v>
          </cell>
          <cell r="I124">
            <v>21</v>
          </cell>
          <cell r="J124">
            <v>139079000</v>
          </cell>
        </row>
        <row r="125">
          <cell r="D125" t="str">
            <v>AMANDA AULIA SHOLIKHAH</v>
          </cell>
          <cell r="G125">
            <v>4</v>
          </cell>
          <cell r="I125">
            <v>5</v>
          </cell>
          <cell r="J125">
            <v>35995000</v>
          </cell>
        </row>
        <row r="126">
          <cell r="D126" t="str">
            <v>JIHAN PAHERA ALPIA</v>
          </cell>
          <cell r="G126">
            <v>6</v>
          </cell>
          <cell r="I126">
            <v>6</v>
          </cell>
          <cell r="J126">
            <v>28894000</v>
          </cell>
        </row>
        <row r="127">
          <cell r="D127" t="str">
            <v>ANNAS WICAKSONO</v>
          </cell>
          <cell r="G127">
            <v>14</v>
          </cell>
          <cell r="I127">
            <v>23</v>
          </cell>
          <cell r="J127">
            <v>115277000</v>
          </cell>
        </row>
        <row r="128">
          <cell r="D128" t="str">
            <v>SHINTA RAHMAWATI</v>
          </cell>
          <cell r="I128">
            <v>2</v>
          </cell>
          <cell r="J128">
            <v>4598000</v>
          </cell>
        </row>
        <row r="129">
          <cell r="D129" t="str">
            <v>ISNAENI NOVIYANTI</v>
          </cell>
          <cell r="G129">
            <v>3</v>
          </cell>
          <cell r="I129">
            <v>7</v>
          </cell>
          <cell r="J129">
            <v>24893000</v>
          </cell>
        </row>
        <row r="130">
          <cell r="G130">
            <v>1332</v>
          </cell>
          <cell r="I130">
            <v>2793</v>
          </cell>
          <cell r="J130">
            <v>11461507000</v>
          </cell>
        </row>
      </sheetData>
      <sheetData sheetId="20">
        <row r="5">
          <cell r="E5" t="str">
            <v>Segment Price</v>
          </cell>
          <cell r="F5" t="str">
            <v>Values</v>
          </cell>
        </row>
        <row r="6">
          <cell r="E6" t="str">
            <v>3mio&lt;</v>
          </cell>
          <cell r="G6" t="str">
            <v>3mio&gt;</v>
          </cell>
          <cell r="I6" t="str">
            <v>Total Sum of Qty</v>
          </cell>
        </row>
        <row r="7">
          <cell r="D7" t="str">
            <v>Promotor</v>
          </cell>
          <cell r="E7" t="str">
            <v>Sum of Qty</v>
          </cell>
          <cell r="F7" t="str">
            <v>Sum of SRP</v>
          </cell>
          <cell r="G7" t="str">
            <v>Sum of Qty</v>
          </cell>
          <cell r="H7" t="str">
            <v>Sum of SRP</v>
          </cell>
        </row>
        <row r="8">
          <cell r="D8" t="str">
            <v>DEWI ASTRIAWANTI</v>
          </cell>
          <cell r="E8">
            <v>7</v>
          </cell>
          <cell r="F8">
            <v>18493000</v>
          </cell>
          <cell r="G8">
            <v>6</v>
          </cell>
          <cell r="H8">
            <v>35694000</v>
          </cell>
          <cell r="I8">
            <v>13</v>
          </cell>
        </row>
        <row r="9">
          <cell r="D9" t="str">
            <v>SITI NURDIANTY SHOLIHAH</v>
          </cell>
          <cell r="E9">
            <v>3</v>
          </cell>
          <cell r="F9">
            <v>7497000</v>
          </cell>
          <cell r="G9">
            <v>7</v>
          </cell>
          <cell r="H9">
            <v>35093000</v>
          </cell>
          <cell r="I9">
            <v>10</v>
          </cell>
        </row>
        <row r="10">
          <cell r="D10" t="str">
            <v>NANI SUPRIYANTI</v>
          </cell>
          <cell r="E10">
            <v>10</v>
          </cell>
          <cell r="F10">
            <v>24090000</v>
          </cell>
          <cell r="G10">
            <v>3</v>
          </cell>
          <cell r="H10">
            <v>14097000</v>
          </cell>
          <cell r="I10">
            <v>13</v>
          </cell>
        </row>
        <row r="11">
          <cell r="D11" t="str">
            <v xml:space="preserve"> Fatimah</v>
          </cell>
          <cell r="E11">
            <v>6</v>
          </cell>
          <cell r="F11">
            <v>15394000</v>
          </cell>
          <cell r="G11">
            <v>1</v>
          </cell>
          <cell r="H11">
            <v>4299000</v>
          </cell>
          <cell r="I11">
            <v>7</v>
          </cell>
        </row>
        <row r="12">
          <cell r="D12" t="str">
            <v>NABILA SALSABILA</v>
          </cell>
          <cell r="E12">
            <v>25</v>
          </cell>
          <cell r="F12">
            <v>61775000</v>
          </cell>
          <cell r="G12">
            <v>10</v>
          </cell>
          <cell r="H12">
            <v>61490000</v>
          </cell>
          <cell r="I12">
            <v>35</v>
          </cell>
        </row>
        <row r="13">
          <cell r="D13" t="str">
            <v>ELFINTA VIANTI</v>
          </cell>
          <cell r="E13">
            <v>17</v>
          </cell>
          <cell r="F13">
            <v>43383000</v>
          </cell>
          <cell r="G13">
            <v>18</v>
          </cell>
          <cell r="H13">
            <v>122182000</v>
          </cell>
          <cell r="I13">
            <v>35</v>
          </cell>
        </row>
        <row r="14">
          <cell r="D14" t="str">
            <v>MUHAMAD YUSUF</v>
          </cell>
          <cell r="E14">
            <v>6</v>
          </cell>
          <cell r="F14">
            <v>14594000</v>
          </cell>
          <cell r="G14">
            <v>9</v>
          </cell>
          <cell r="H14">
            <v>37691000</v>
          </cell>
          <cell r="I14">
            <v>15</v>
          </cell>
        </row>
        <row r="15">
          <cell r="D15" t="str">
            <v>YOGA ADITIA</v>
          </cell>
          <cell r="E15">
            <v>20</v>
          </cell>
          <cell r="F15">
            <v>51080000</v>
          </cell>
          <cell r="G15">
            <v>15</v>
          </cell>
          <cell r="H15">
            <v>82585000</v>
          </cell>
          <cell r="I15">
            <v>35</v>
          </cell>
        </row>
        <row r="16">
          <cell r="D16" t="str">
            <v>MUHAMAD HILMAN</v>
          </cell>
          <cell r="E16">
            <v>22</v>
          </cell>
          <cell r="F16">
            <v>53978000</v>
          </cell>
          <cell r="G16">
            <v>13</v>
          </cell>
          <cell r="H16">
            <v>83287000</v>
          </cell>
          <cell r="I16">
            <v>35</v>
          </cell>
        </row>
        <row r="17">
          <cell r="D17" t="str">
            <v>SRI AFRIYANTI</v>
          </cell>
          <cell r="E17">
            <v>21</v>
          </cell>
          <cell r="F17">
            <v>49879000</v>
          </cell>
          <cell r="G17">
            <v>14</v>
          </cell>
          <cell r="H17">
            <v>79986000</v>
          </cell>
          <cell r="I17">
            <v>35</v>
          </cell>
        </row>
        <row r="18">
          <cell r="D18" t="str">
            <v>RIFKI PRAYOGAA</v>
          </cell>
          <cell r="E18">
            <v>19</v>
          </cell>
          <cell r="F18">
            <v>46681000</v>
          </cell>
          <cell r="G18">
            <v>16</v>
          </cell>
          <cell r="H18">
            <v>75384000</v>
          </cell>
          <cell r="I18">
            <v>35</v>
          </cell>
        </row>
        <row r="19">
          <cell r="D19" t="str">
            <v>MUHAMMAD MUDZAKIR</v>
          </cell>
          <cell r="E19">
            <v>21</v>
          </cell>
          <cell r="F19">
            <v>52779000</v>
          </cell>
          <cell r="G19">
            <v>14</v>
          </cell>
          <cell r="H19">
            <v>60986000</v>
          </cell>
          <cell r="I19">
            <v>35</v>
          </cell>
        </row>
        <row r="20">
          <cell r="D20" t="str">
            <v>MILA TUJUHRO</v>
          </cell>
          <cell r="E20">
            <v>25</v>
          </cell>
          <cell r="F20">
            <v>59475000</v>
          </cell>
          <cell r="G20">
            <v>10</v>
          </cell>
          <cell r="H20">
            <v>52490000</v>
          </cell>
          <cell r="I20">
            <v>35</v>
          </cell>
        </row>
        <row r="21">
          <cell r="D21" t="str">
            <v>SITI MELIANI</v>
          </cell>
          <cell r="E21">
            <v>29</v>
          </cell>
          <cell r="F21">
            <v>72071000</v>
          </cell>
          <cell r="G21">
            <v>6</v>
          </cell>
          <cell r="H21">
            <v>32094000</v>
          </cell>
          <cell r="I21">
            <v>35</v>
          </cell>
        </row>
        <row r="22">
          <cell r="D22" t="str">
            <v>NILAM SARI</v>
          </cell>
          <cell r="E22">
            <v>12</v>
          </cell>
          <cell r="F22">
            <v>28888000</v>
          </cell>
          <cell r="G22">
            <v>1</v>
          </cell>
          <cell r="H22">
            <v>5899000</v>
          </cell>
          <cell r="I22">
            <v>13</v>
          </cell>
        </row>
        <row r="23">
          <cell r="D23" t="str">
            <v>HERIANTO NDRURU</v>
          </cell>
          <cell r="E23">
            <v>30</v>
          </cell>
          <cell r="F23">
            <v>76070000</v>
          </cell>
          <cell r="G23">
            <v>7</v>
          </cell>
          <cell r="H23">
            <v>37093000</v>
          </cell>
          <cell r="I23">
            <v>37</v>
          </cell>
        </row>
        <row r="24">
          <cell r="D24" t="str">
            <v>SILVIA AYU LESTARI</v>
          </cell>
          <cell r="E24">
            <v>4</v>
          </cell>
          <cell r="F24">
            <v>9796000</v>
          </cell>
          <cell r="G24">
            <v>4</v>
          </cell>
          <cell r="H24">
            <v>28496000</v>
          </cell>
          <cell r="I24">
            <v>8</v>
          </cell>
        </row>
        <row r="25">
          <cell r="D25" t="str">
            <v>DWI IRAWAN ALDILA JULIANSYAH</v>
          </cell>
          <cell r="E25">
            <v>4</v>
          </cell>
          <cell r="F25">
            <v>9896000</v>
          </cell>
          <cell r="G25">
            <v>5</v>
          </cell>
          <cell r="H25">
            <v>32395000</v>
          </cell>
          <cell r="I25">
            <v>9</v>
          </cell>
        </row>
        <row r="26">
          <cell r="D26" t="str">
            <v>DION FATULLAH</v>
          </cell>
          <cell r="E26">
            <v>28</v>
          </cell>
          <cell r="F26">
            <v>69172000</v>
          </cell>
          <cell r="G26">
            <v>7</v>
          </cell>
          <cell r="H26">
            <v>40293000</v>
          </cell>
          <cell r="I26">
            <v>35</v>
          </cell>
        </row>
        <row r="27">
          <cell r="D27" t="str">
            <v>ANISA AGUSTIN</v>
          </cell>
          <cell r="E27">
            <v>25</v>
          </cell>
          <cell r="F27">
            <v>61575000</v>
          </cell>
          <cell r="G27">
            <v>10</v>
          </cell>
          <cell r="H27">
            <v>53690000</v>
          </cell>
          <cell r="I27">
            <v>35</v>
          </cell>
        </row>
        <row r="28">
          <cell r="D28" t="str">
            <v>VIOLA AGUSTIN</v>
          </cell>
          <cell r="E28">
            <v>8</v>
          </cell>
          <cell r="F28">
            <v>19992000</v>
          </cell>
          <cell r="G28">
            <v>3</v>
          </cell>
          <cell r="H28">
            <v>14897000</v>
          </cell>
          <cell r="I28">
            <v>11</v>
          </cell>
        </row>
        <row r="29">
          <cell r="D29" t="str">
            <v>RIZKY ALFIANSYAH</v>
          </cell>
          <cell r="E29">
            <v>11</v>
          </cell>
          <cell r="F29">
            <v>28289000</v>
          </cell>
          <cell r="G29">
            <v>14</v>
          </cell>
          <cell r="H29">
            <v>95186000</v>
          </cell>
          <cell r="I29">
            <v>25</v>
          </cell>
        </row>
        <row r="30">
          <cell r="D30" t="str">
            <v>APRIANSYAH</v>
          </cell>
          <cell r="E30">
            <v>4</v>
          </cell>
          <cell r="F30">
            <v>9696000</v>
          </cell>
          <cell r="G30">
            <v>9</v>
          </cell>
          <cell r="H30">
            <v>56391000</v>
          </cell>
          <cell r="I30">
            <v>13</v>
          </cell>
        </row>
        <row r="31">
          <cell r="D31" t="str">
            <v>Gilang Ramadhan</v>
          </cell>
          <cell r="E31">
            <v>4</v>
          </cell>
          <cell r="F31">
            <v>9396000</v>
          </cell>
          <cell r="G31">
            <v>12</v>
          </cell>
          <cell r="H31">
            <v>64788000</v>
          </cell>
          <cell r="I31">
            <v>16</v>
          </cell>
        </row>
        <row r="32">
          <cell r="D32" t="str">
            <v>NATASYA BUNGA LESTARI</v>
          </cell>
          <cell r="E32">
            <v>3</v>
          </cell>
          <cell r="F32">
            <v>6997000</v>
          </cell>
          <cell r="G32">
            <v>4</v>
          </cell>
          <cell r="H32">
            <v>17596000</v>
          </cell>
          <cell r="I32">
            <v>7</v>
          </cell>
        </row>
        <row r="33">
          <cell r="D33" t="str">
            <v>Mahmudin</v>
          </cell>
          <cell r="E33">
            <v>15</v>
          </cell>
          <cell r="F33">
            <v>38085000</v>
          </cell>
          <cell r="G33">
            <v>10</v>
          </cell>
          <cell r="H33">
            <v>69490000</v>
          </cell>
          <cell r="I33">
            <v>25</v>
          </cell>
        </row>
        <row r="34">
          <cell r="D34" t="str">
            <v>SASFA LUNA ANDUNG</v>
          </cell>
          <cell r="G34">
            <v>7</v>
          </cell>
          <cell r="H34">
            <v>36393000</v>
          </cell>
          <cell r="I34">
            <v>7</v>
          </cell>
        </row>
        <row r="35">
          <cell r="D35" t="str">
            <v>ZAKIYATUL MUNAWAROH</v>
          </cell>
          <cell r="E35">
            <v>9</v>
          </cell>
          <cell r="F35">
            <v>21991000</v>
          </cell>
          <cell r="G35">
            <v>9</v>
          </cell>
          <cell r="H35">
            <v>51391000</v>
          </cell>
          <cell r="I35">
            <v>18</v>
          </cell>
        </row>
        <row r="36">
          <cell r="D36" t="str">
            <v>TIO SAPUTRA</v>
          </cell>
          <cell r="E36">
            <v>3</v>
          </cell>
          <cell r="F36">
            <v>7897000</v>
          </cell>
          <cell r="G36">
            <v>1</v>
          </cell>
          <cell r="H36">
            <v>6999000</v>
          </cell>
          <cell r="I36">
            <v>4</v>
          </cell>
        </row>
        <row r="37">
          <cell r="D37" t="str">
            <v>SANTI ANGGRAENI</v>
          </cell>
          <cell r="E37">
            <v>19</v>
          </cell>
          <cell r="F37">
            <v>47781000</v>
          </cell>
          <cell r="G37">
            <v>16</v>
          </cell>
          <cell r="H37">
            <v>92984000</v>
          </cell>
          <cell r="I37">
            <v>35</v>
          </cell>
        </row>
        <row r="38">
          <cell r="D38" t="str">
            <v>NARIAH AMBARWATI</v>
          </cell>
          <cell r="E38">
            <v>20</v>
          </cell>
          <cell r="F38">
            <v>49480000</v>
          </cell>
          <cell r="G38">
            <v>11</v>
          </cell>
          <cell r="H38">
            <v>53289000</v>
          </cell>
          <cell r="I38">
            <v>31</v>
          </cell>
        </row>
        <row r="39">
          <cell r="D39" t="str">
            <v>MIFTAHUL HUDA</v>
          </cell>
          <cell r="E39">
            <v>5</v>
          </cell>
          <cell r="F39">
            <v>11795000</v>
          </cell>
          <cell r="G39">
            <v>12</v>
          </cell>
          <cell r="H39">
            <v>78288000</v>
          </cell>
          <cell r="I39">
            <v>17</v>
          </cell>
        </row>
        <row r="40">
          <cell r="D40" t="str">
            <v>SYAIRUL ACHMAT HIDAYAT</v>
          </cell>
          <cell r="E40">
            <v>3</v>
          </cell>
          <cell r="F40">
            <v>6997000</v>
          </cell>
          <cell r="G40">
            <v>3</v>
          </cell>
          <cell r="H40">
            <v>12797000</v>
          </cell>
          <cell r="I40">
            <v>6</v>
          </cell>
        </row>
        <row r="41">
          <cell r="D41" t="str">
            <v>AGUS WARDONO PUTRO</v>
          </cell>
          <cell r="E41">
            <v>11</v>
          </cell>
          <cell r="F41">
            <v>27289000</v>
          </cell>
          <cell r="G41">
            <v>21</v>
          </cell>
          <cell r="H41">
            <v>148179000</v>
          </cell>
          <cell r="I41">
            <v>32</v>
          </cell>
        </row>
        <row r="42">
          <cell r="D42" t="str">
            <v>PUTRI ANGGRIANI</v>
          </cell>
          <cell r="E42">
            <v>6</v>
          </cell>
          <cell r="F42">
            <v>16094000</v>
          </cell>
          <cell r="G42">
            <v>5</v>
          </cell>
          <cell r="H42">
            <v>28695000</v>
          </cell>
          <cell r="I42">
            <v>11</v>
          </cell>
        </row>
        <row r="43">
          <cell r="D43" t="str">
            <v>INTAN SEPIATUL HASANAH</v>
          </cell>
          <cell r="E43">
            <v>16</v>
          </cell>
          <cell r="F43">
            <v>41184000</v>
          </cell>
          <cell r="G43">
            <v>7</v>
          </cell>
          <cell r="H43">
            <v>38393000</v>
          </cell>
          <cell r="I43">
            <v>23</v>
          </cell>
        </row>
        <row r="44">
          <cell r="D44" t="str">
            <v>SYAIRUL ACHMAT HIDAYAT</v>
          </cell>
          <cell r="E44">
            <v>3</v>
          </cell>
          <cell r="F44">
            <v>7597000</v>
          </cell>
          <cell r="G44">
            <v>2</v>
          </cell>
          <cell r="H44">
            <v>13198000</v>
          </cell>
          <cell r="I44">
            <v>5</v>
          </cell>
        </row>
        <row r="45">
          <cell r="D45" t="str">
            <v>JULIANA JAYANA</v>
          </cell>
          <cell r="E45">
            <v>6</v>
          </cell>
          <cell r="F45">
            <v>15194000</v>
          </cell>
          <cell r="G45">
            <v>5</v>
          </cell>
          <cell r="H45">
            <v>35195000</v>
          </cell>
          <cell r="I45">
            <v>11</v>
          </cell>
        </row>
        <row r="46">
          <cell r="D46" t="str">
            <v>NOVI YULIANTI</v>
          </cell>
          <cell r="E46">
            <v>3</v>
          </cell>
          <cell r="F46">
            <v>7397000</v>
          </cell>
          <cell r="G46">
            <v>2</v>
          </cell>
          <cell r="H46">
            <v>11598000</v>
          </cell>
          <cell r="I46">
            <v>5</v>
          </cell>
        </row>
        <row r="47">
          <cell r="D47" t="str">
            <v>ANTON RENDI SUKMANA</v>
          </cell>
          <cell r="E47">
            <v>12</v>
          </cell>
          <cell r="F47">
            <v>30188000</v>
          </cell>
          <cell r="G47">
            <v>3</v>
          </cell>
          <cell r="H47">
            <v>18197000</v>
          </cell>
          <cell r="I47">
            <v>15</v>
          </cell>
        </row>
        <row r="48">
          <cell r="D48" t="str">
            <v>MELLY SHABILLA</v>
          </cell>
          <cell r="E48">
            <v>12</v>
          </cell>
          <cell r="F48">
            <v>28988000</v>
          </cell>
          <cell r="G48">
            <v>9</v>
          </cell>
          <cell r="H48">
            <v>49091000</v>
          </cell>
          <cell r="I48">
            <v>21</v>
          </cell>
        </row>
        <row r="49">
          <cell r="D49" t="str">
            <v>TEGUH FIRMANSYAH</v>
          </cell>
          <cell r="E49">
            <v>10</v>
          </cell>
          <cell r="F49">
            <v>24490000</v>
          </cell>
          <cell r="G49">
            <v>7</v>
          </cell>
          <cell r="H49">
            <v>37093000</v>
          </cell>
          <cell r="I49">
            <v>17</v>
          </cell>
        </row>
        <row r="50">
          <cell r="D50" t="str">
            <v>ASIPA RAHMAWATI</v>
          </cell>
          <cell r="E50">
            <v>27</v>
          </cell>
          <cell r="F50">
            <v>68273000</v>
          </cell>
          <cell r="G50">
            <v>9</v>
          </cell>
          <cell r="H50">
            <v>50691000</v>
          </cell>
          <cell r="I50">
            <v>36</v>
          </cell>
        </row>
        <row r="51">
          <cell r="D51" t="str">
            <v>AGUSTIAN</v>
          </cell>
          <cell r="E51">
            <v>22</v>
          </cell>
          <cell r="F51">
            <v>54978000</v>
          </cell>
          <cell r="G51">
            <v>14</v>
          </cell>
          <cell r="H51">
            <v>96186000</v>
          </cell>
          <cell r="I51">
            <v>36</v>
          </cell>
        </row>
        <row r="52">
          <cell r="D52" t="str">
            <v>ERI NURAJAB</v>
          </cell>
          <cell r="E52">
            <v>15</v>
          </cell>
          <cell r="F52">
            <v>38885000</v>
          </cell>
          <cell r="G52">
            <v>20</v>
          </cell>
          <cell r="H52">
            <v>126480000</v>
          </cell>
          <cell r="I52">
            <v>35</v>
          </cell>
        </row>
        <row r="53">
          <cell r="D53" t="str">
            <v>DWI ANGGRAENI</v>
          </cell>
          <cell r="E53">
            <v>25</v>
          </cell>
          <cell r="F53">
            <v>60975000</v>
          </cell>
          <cell r="G53">
            <v>11</v>
          </cell>
          <cell r="H53">
            <v>77889000</v>
          </cell>
          <cell r="I53">
            <v>36</v>
          </cell>
        </row>
        <row r="54">
          <cell r="D54" t="str">
            <v>WIRA WIRAHMAN</v>
          </cell>
          <cell r="E54">
            <v>24</v>
          </cell>
          <cell r="F54">
            <v>58176000</v>
          </cell>
          <cell r="G54">
            <v>12</v>
          </cell>
          <cell r="H54">
            <v>87988000</v>
          </cell>
          <cell r="I54">
            <v>36</v>
          </cell>
        </row>
        <row r="55">
          <cell r="D55" t="str">
            <v>DIAN HARYANTO</v>
          </cell>
          <cell r="E55">
            <v>14</v>
          </cell>
          <cell r="F55">
            <v>35386000</v>
          </cell>
          <cell r="G55">
            <v>15</v>
          </cell>
          <cell r="H55">
            <v>106885000</v>
          </cell>
          <cell r="I55">
            <v>29</v>
          </cell>
        </row>
        <row r="56">
          <cell r="D56" t="str">
            <v>PUTRI NOVALINDA SUGANDA</v>
          </cell>
          <cell r="E56">
            <v>7</v>
          </cell>
          <cell r="F56">
            <v>17393000</v>
          </cell>
          <cell r="G56">
            <v>5</v>
          </cell>
          <cell r="H56">
            <v>21095000</v>
          </cell>
          <cell r="I56">
            <v>12</v>
          </cell>
        </row>
        <row r="57">
          <cell r="D57" t="str">
            <v>PUTERY FATIMAH AZZAHRA</v>
          </cell>
          <cell r="E57">
            <v>7</v>
          </cell>
          <cell r="F57">
            <v>16593000</v>
          </cell>
          <cell r="G57">
            <v>5</v>
          </cell>
          <cell r="H57">
            <v>28295000</v>
          </cell>
          <cell r="I57">
            <v>12</v>
          </cell>
        </row>
        <row r="58">
          <cell r="D58" t="str">
            <v>DEA SINDRA</v>
          </cell>
          <cell r="E58">
            <v>24</v>
          </cell>
          <cell r="F58">
            <v>54976000</v>
          </cell>
          <cell r="G58">
            <v>13</v>
          </cell>
          <cell r="H58">
            <v>105187000</v>
          </cell>
          <cell r="I58">
            <v>37</v>
          </cell>
        </row>
        <row r="59">
          <cell r="D59" t="str">
            <v>SHONA LUGISTIN</v>
          </cell>
          <cell r="E59">
            <v>19</v>
          </cell>
          <cell r="F59">
            <v>45381000</v>
          </cell>
          <cell r="G59">
            <v>16</v>
          </cell>
          <cell r="H59">
            <v>88584000</v>
          </cell>
          <cell r="I59">
            <v>35</v>
          </cell>
        </row>
        <row r="60">
          <cell r="D60" t="str">
            <v>SUHERMAN ARISMAWAN</v>
          </cell>
          <cell r="E60">
            <v>17</v>
          </cell>
          <cell r="F60">
            <v>38783000</v>
          </cell>
          <cell r="G60">
            <v>18</v>
          </cell>
          <cell r="H60">
            <v>97982000</v>
          </cell>
          <cell r="I60">
            <v>35</v>
          </cell>
        </row>
        <row r="61">
          <cell r="D61" t="str">
            <v>SUSAN SUSANTI</v>
          </cell>
          <cell r="E61">
            <v>24</v>
          </cell>
          <cell r="F61">
            <v>56676000</v>
          </cell>
          <cell r="G61">
            <v>11</v>
          </cell>
          <cell r="H61">
            <v>52689000</v>
          </cell>
          <cell r="I61">
            <v>35</v>
          </cell>
        </row>
        <row r="62">
          <cell r="D62" t="str">
            <v>RICKY KURNIAWAN</v>
          </cell>
          <cell r="E62">
            <v>11</v>
          </cell>
          <cell r="F62">
            <v>26289000</v>
          </cell>
          <cell r="G62">
            <v>2</v>
          </cell>
          <cell r="H62">
            <v>10798000</v>
          </cell>
          <cell r="I62">
            <v>13</v>
          </cell>
        </row>
        <row r="63">
          <cell r="D63" t="str">
            <v>Ardhila Riyana suci purwandari</v>
          </cell>
          <cell r="E63">
            <v>12</v>
          </cell>
          <cell r="F63">
            <v>29588000</v>
          </cell>
          <cell r="G63">
            <v>15</v>
          </cell>
          <cell r="H63">
            <v>82385000</v>
          </cell>
          <cell r="I63">
            <v>27</v>
          </cell>
        </row>
        <row r="64">
          <cell r="D64" t="str">
            <v>mohamad sofiyan</v>
          </cell>
          <cell r="E64">
            <v>22</v>
          </cell>
          <cell r="F64">
            <v>53378000</v>
          </cell>
          <cell r="G64">
            <v>25</v>
          </cell>
          <cell r="H64">
            <v>136275000</v>
          </cell>
          <cell r="I64">
            <v>47</v>
          </cell>
        </row>
        <row r="65">
          <cell r="D65" t="str">
            <v>LAILA SAMIA</v>
          </cell>
          <cell r="E65">
            <v>20</v>
          </cell>
          <cell r="F65">
            <v>46480000</v>
          </cell>
          <cell r="G65">
            <v>15</v>
          </cell>
          <cell r="H65">
            <v>98385000</v>
          </cell>
          <cell r="I65">
            <v>35</v>
          </cell>
        </row>
        <row r="66">
          <cell r="D66" t="str">
            <v>KAYLA NURAULIA YAZMAN</v>
          </cell>
          <cell r="E66">
            <v>15</v>
          </cell>
          <cell r="F66">
            <v>37385000</v>
          </cell>
          <cell r="G66">
            <v>12</v>
          </cell>
          <cell r="H66">
            <v>66488000</v>
          </cell>
          <cell r="I66">
            <v>27</v>
          </cell>
        </row>
        <row r="67">
          <cell r="D67" t="str">
            <v>LISSA AYU HANDHINI</v>
          </cell>
          <cell r="E67">
            <v>15</v>
          </cell>
          <cell r="F67">
            <v>36885000</v>
          </cell>
          <cell r="G67">
            <v>15</v>
          </cell>
          <cell r="H67">
            <v>100185000</v>
          </cell>
          <cell r="I67">
            <v>30</v>
          </cell>
        </row>
        <row r="68">
          <cell r="D68" t="str">
            <v>AKHMAD ARIFUDIN</v>
          </cell>
          <cell r="E68">
            <v>15</v>
          </cell>
          <cell r="F68">
            <v>37185000</v>
          </cell>
          <cell r="G68">
            <v>15</v>
          </cell>
          <cell r="H68">
            <v>95085000</v>
          </cell>
          <cell r="I68">
            <v>30</v>
          </cell>
        </row>
        <row r="69">
          <cell r="D69" t="str">
            <v>DEZNA DANI PRADIPTA</v>
          </cell>
          <cell r="E69">
            <v>3</v>
          </cell>
          <cell r="F69">
            <v>7397000</v>
          </cell>
          <cell r="G69">
            <v>10</v>
          </cell>
          <cell r="H69">
            <v>83490000</v>
          </cell>
          <cell r="I69">
            <v>13</v>
          </cell>
        </row>
        <row r="70">
          <cell r="D70" t="str">
            <v>DIMAS RASYID ASHARI</v>
          </cell>
          <cell r="G70">
            <v>1</v>
          </cell>
          <cell r="H70">
            <v>9999000</v>
          </cell>
          <cell r="I70">
            <v>1</v>
          </cell>
        </row>
        <row r="71">
          <cell r="D71" t="str">
            <v>DHEA AMALIA</v>
          </cell>
          <cell r="E71">
            <v>1</v>
          </cell>
          <cell r="F71">
            <v>2799000</v>
          </cell>
          <cell r="G71">
            <v>1</v>
          </cell>
          <cell r="H71">
            <v>25999000</v>
          </cell>
          <cell r="I71">
            <v>2</v>
          </cell>
        </row>
        <row r="72">
          <cell r="D72" t="str">
            <v>WAHYU TRI UTOMO</v>
          </cell>
          <cell r="E72">
            <v>8</v>
          </cell>
          <cell r="F72">
            <v>19292000</v>
          </cell>
          <cell r="G72">
            <v>6</v>
          </cell>
          <cell r="H72">
            <v>57794000</v>
          </cell>
          <cell r="I72">
            <v>14</v>
          </cell>
        </row>
        <row r="73">
          <cell r="D73" t="str">
            <v>JESSICA MALVA NYSA</v>
          </cell>
          <cell r="G73">
            <v>1</v>
          </cell>
          <cell r="H73">
            <v>6899000</v>
          </cell>
          <cell r="I73">
            <v>1</v>
          </cell>
        </row>
        <row r="74">
          <cell r="D74" t="str">
            <v>DIMAS RASYID ASHARI</v>
          </cell>
          <cell r="E74">
            <v>2</v>
          </cell>
          <cell r="F74">
            <v>4498000</v>
          </cell>
          <cell r="G74">
            <v>11</v>
          </cell>
          <cell r="H74">
            <v>87589000</v>
          </cell>
          <cell r="I74">
            <v>13</v>
          </cell>
        </row>
        <row r="75">
          <cell r="D75" t="str">
            <v>CINTIA DAMAYANTI</v>
          </cell>
          <cell r="E75">
            <v>10</v>
          </cell>
          <cell r="F75">
            <v>23890000</v>
          </cell>
          <cell r="G75">
            <v>19</v>
          </cell>
          <cell r="H75">
            <v>120281000</v>
          </cell>
          <cell r="I75">
            <v>29</v>
          </cell>
        </row>
        <row r="76">
          <cell r="D76" t="str">
            <v>INTAN DIAH PRIMATARI</v>
          </cell>
          <cell r="E76">
            <v>1</v>
          </cell>
          <cell r="F76">
            <v>2099000</v>
          </cell>
          <cell r="G76">
            <v>1</v>
          </cell>
          <cell r="H76">
            <v>4899000</v>
          </cell>
          <cell r="I76">
            <v>2</v>
          </cell>
        </row>
        <row r="77">
          <cell r="D77" t="str">
            <v>winda amalia</v>
          </cell>
          <cell r="E77">
            <v>7</v>
          </cell>
          <cell r="F77">
            <v>18893000</v>
          </cell>
          <cell r="G77">
            <v>11</v>
          </cell>
          <cell r="H77">
            <v>66789000</v>
          </cell>
          <cell r="I77">
            <v>18</v>
          </cell>
        </row>
        <row r="78">
          <cell r="D78" t="str">
            <v>DEVI APRIANTI</v>
          </cell>
          <cell r="E78">
            <v>15</v>
          </cell>
          <cell r="F78">
            <v>36185000</v>
          </cell>
          <cell r="G78">
            <v>10</v>
          </cell>
          <cell r="H78">
            <v>60390000</v>
          </cell>
          <cell r="I78">
            <v>25</v>
          </cell>
        </row>
        <row r="79">
          <cell r="D79" t="str">
            <v>MILA AMALIA</v>
          </cell>
          <cell r="G79">
            <v>1</v>
          </cell>
          <cell r="H79">
            <v>8399000</v>
          </cell>
          <cell r="I79">
            <v>1</v>
          </cell>
        </row>
        <row r="80">
          <cell r="D80" t="str">
            <v>KARLES KADAPI</v>
          </cell>
          <cell r="E80">
            <v>15</v>
          </cell>
          <cell r="F80">
            <v>36185000</v>
          </cell>
          <cell r="G80">
            <v>10</v>
          </cell>
          <cell r="H80">
            <v>81490000</v>
          </cell>
          <cell r="I80">
            <v>25</v>
          </cell>
        </row>
        <row r="81">
          <cell r="D81" t="str">
            <v>KHOLIPAH</v>
          </cell>
          <cell r="E81">
            <v>4</v>
          </cell>
          <cell r="F81">
            <v>10096000</v>
          </cell>
          <cell r="G81">
            <v>6</v>
          </cell>
          <cell r="H81">
            <v>46494000</v>
          </cell>
          <cell r="I81">
            <v>10</v>
          </cell>
        </row>
        <row r="82">
          <cell r="D82" t="str">
            <v>WIRA ADITYA SETIADI</v>
          </cell>
          <cell r="E82">
            <v>16</v>
          </cell>
          <cell r="F82">
            <v>37984000</v>
          </cell>
          <cell r="G82">
            <v>15</v>
          </cell>
          <cell r="H82">
            <v>121485000</v>
          </cell>
          <cell r="I82">
            <v>31</v>
          </cell>
        </row>
        <row r="83">
          <cell r="D83" t="str">
            <v>KARINA MAYA ROSILAWATI</v>
          </cell>
          <cell r="E83">
            <v>5</v>
          </cell>
          <cell r="F83">
            <v>12495000</v>
          </cell>
          <cell r="I83">
            <v>5</v>
          </cell>
        </row>
        <row r="84">
          <cell r="D84" t="str">
            <v>MUHAMAD RIZKI SAPUTRA</v>
          </cell>
          <cell r="E84">
            <v>21</v>
          </cell>
          <cell r="F84">
            <v>50279000</v>
          </cell>
          <cell r="G84">
            <v>9</v>
          </cell>
          <cell r="H84">
            <v>55391000</v>
          </cell>
          <cell r="I84">
            <v>30</v>
          </cell>
        </row>
        <row r="85">
          <cell r="D85" t="str">
            <v>ASTRI ALFIANI</v>
          </cell>
          <cell r="E85">
            <v>15</v>
          </cell>
          <cell r="F85">
            <v>37685000</v>
          </cell>
          <cell r="G85">
            <v>15</v>
          </cell>
          <cell r="H85">
            <v>80885000</v>
          </cell>
          <cell r="I85">
            <v>30</v>
          </cell>
        </row>
        <row r="86">
          <cell r="D86" t="str">
            <v>INA HIDAYAH</v>
          </cell>
          <cell r="E86">
            <v>12</v>
          </cell>
          <cell r="F86">
            <v>28888000</v>
          </cell>
          <cell r="G86">
            <v>23</v>
          </cell>
          <cell r="H86">
            <v>171377000</v>
          </cell>
          <cell r="I86">
            <v>35</v>
          </cell>
        </row>
        <row r="87">
          <cell r="D87" t="str">
            <v>ARIF IRAWAN</v>
          </cell>
          <cell r="E87">
            <v>19</v>
          </cell>
          <cell r="F87">
            <v>44881000</v>
          </cell>
          <cell r="G87">
            <v>16</v>
          </cell>
          <cell r="H87">
            <v>155484000</v>
          </cell>
          <cell r="I87">
            <v>35</v>
          </cell>
        </row>
        <row r="88">
          <cell r="D88" t="str">
            <v>SERNIKA LAIA</v>
          </cell>
          <cell r="E88">
            <v>6</v>
          </cell>
          <cell r="F88">
            <v>13694000</v>
          </cell>
          <cell r="G88">
            <v>10</v>
          </cell>
          <cell r="H88">
            <v>112790000</v>
          </cell>
          <cell r="I88">
            <v>16</v>
          </cell>
        </row>
        <row r="89">
          <cell r="D89" t="str">
            <v>RINI APRIANI</v>
          </cell>
          <cell r="E89">
            <v>27</v>
          </cell>
          <cell r="F89">
            <v>64273000</v>
          </cell>
          <cell r="G89">
            <v>8</v>
          </cell>
          <cell r="H89">
            <v>37992000</v>
          </cell>
          <cell r="I89">
            <v>35</v>
          </cell>
        </row>
        <row r="90">
          <cell r="D90" t="str">
            <v>MUHYIDDIN</v>
          </cell>
          <cell r="E90">
            <v>21</v>
          </cell>
          <cell r="F90">
            <v>49679000</v>
          </cell>
          <cell r="G90">
            <v>14</v>
          </cell>
          <cell r="H90">
            <v>68186000</v>
          </cell>
          <cell r="I90">
            <v>35</v>
          </cell>
        </row>
        <row r="91">
          <cell r="D91" t="str">
            <v>MOHAMAD YUSUF</v>
          </cell>
          <cell r="E91">
            <v>10</v>
          </cell>
          <cell r="F91">
            <v>23790000</v>
          </cell>
          <cell r="G91">
            <v>8</v>
          </cell>
          <cell r="H91">
            <v>42992000</v>
          </cell>
          <cell r="I91">
            <v>18</v>
          </cell>
        </row>
        <row r="92">
          <cell r="D92" t="str">
            <v>NURFITRIYANA</v>
          </cell>
          <cell r="E92">
            <v>18</v>
          </cell>
          <cell r="F92">
            <v>43682000</v>
          </cell>
          <cell r="G92">
            <v>20</v>
          </cell>
          <cell r="H92">
            <v>113180000</v>
          </cell>
          <cell r="I92">
            <v>38</v>
          </cell>
        </row>
        <row r="93">
          <cell r="D93" t="str">
            <v>ALIA NASYABILA</v>
          </cell>
          <cell r="E93">
            <v>17</v>
          </cell>
          <cell r="F93">
            <v>40883000</v>
          </cell>
          <cell r="G93">
            <v>8</v>
          </cell>
          <cell r="H93">
            <v>36692000</v>
          </cell>
          <cell r="I93">
            <v>25</v>
          </cell>
        </row>
        <row r="94">
          <cell r="D94" t="str">
            <v xml:space="preserve">SENDI ALFAZRI </v>
          </cell>
          <cell r="E94">
            <v>7</v>
          </cell>
          <cell r="F94">
            <v>17193000</v>
          </cell>
          <cell r="G94">
            <v>7</v>
          </cell>
          <cell r="H94">
            <v>85893000</v>
          </cell>
          <cell r="I94">
            <v>14</v>
          </cell>
        </row>
        <row r="95">
          <cell r="D95" t="str">
            <v>ZAINUL MUSTOFA</v>
          </cell>
          <cell r="E95">
            <v>6</v>
          </cell>
          <cell r="F95">
            <v>14794000</v>
          </cell>
          <cell r="G95">
            <v>14</v>
          </cell>
          <cell r="H95">
            <v>101186000</v>
          </cell>
          <cell r="I95">
            <v>20</v>
          </cell>
        </row>
        <row r="96">
          <cell r="D96" t="str">
            <v>FIRDA NAZMA NURFADILAH</v>
          </cell>
          <cell r="E96">
            <v>6</v>
          </cell>
          <cell r="F96">
            <v>15094000</v>
          </cell>
          <cell r="G96">
            <v>9</v>
          </cell>
          <cell r="H96">
            <v>72891000</v>
          </cell>
          <cell r="I96">
            <v>15</v>
          </cell>
        </row>
        <row r="97">
          <cell r="D97" t="str">
            <v>MAT AMIN</v>
          </cell>
          <cell r="E97">
            <v>30</v>
          </cell>
          <cell r="F97">
            <v>68470000</v>
          </cell>
          <cell r="G97">
            <v>11</v>
          </cell>
          <cell r="H97">
            <v>62289000</v>
          </cell>
          <cell r="I97">
            <v>41</v>
          </cell>
        </row>
        <row r="98">
          <cell r="D98" t="str">
            <v>APUD MAHPUDIN</v>
          </cell>
          <cell r="E98">
            <v>30</v>
          </cell>
          <cell r="F98">
            <v>71470000</v>
          </cell>
          <cell r="G98">
            <v>10</v>
          </cell>
          <cell r="H98">
            <v>47990000</v>
          </cell>
          <cell r="I98">
            <v>40</v>
          </cell>
        </row>
        <row r="99">
          <cell r="D99" t="str">
            <v>Dean dika putra mona</v>
          </cell>
          <cell r="E99">
            <v>37</v>
          </cell>
          <cell r="F99">
            <v>82963000</v>
          </cell>
          <cell r="G99">
            <v>5</v>
          </cell>
          <cell r="H99">
            <v>25995000</v>
          </cell>
          <cell r="I99">
            <v>42</v>
          </cell>
        </row>
        <row r="100">
          <cell r="D100" t="str">
            <v>MUHAMMAD RIZKI HIDAYAT</v>
          </cell>
          <cell r="E100">
            <v>33</v>
          </cell>
          <cell r="F100">
            <v>77867000</v>
          </cell>
          <cell r="G100">
            <v>12</v>
          </cell>
          <cell r="H100">
            <v>64288000</v>
          </cell>
          <cell r="I100">
            <v>45</v>
          </cell>
        </row>
        <row r="101">
          <cell r="D101" t="str">
            <v>ANDES SAPUTRA</v>
          </cell>
          <cell r="E101">
            <v>47</v>
          </cell>
          <cell r="F101">
            <v>108153000</v>
          </cell>
          <cell r="G101">
            <v>13</v>
          </cell>
          <cell r="H101">
            <v>56687000</v>
          </cell>
          <cell r="I101">
            <v>60</v>
          </cell>
        </row>
        <row r="102">
          <cell r="D102" t="str">
            <v>FRISKI FERNANDO</v>
          </cell>
          <cell r="E102">
            <v>36</v>
          </cell>
          <cell r="F102">
            <v>82964000</v>
          </cell>
          <cell r="G102">
            <v>14</v>
          </cell>
          <cell r="H102">
            <v>63686000</v>
          </cell>
          <cell r="I102">
            <v>50</v>
          </cell>
        </row>
        <row r="103">
          <cell r="D103" t="str">
            <v>IVAN PAHLEVI SARAGIH</v>
          </cell>
          <cell r="E103">
            <v>41</v>
          </cell>
          <cell r="F103">
            <v>96359000</v>
          </cell>
          <cell r="G103">
            <v>19</v>
          </cell>
          <cell r="H103">
            <v>96681000</v>
          </cell>
          <cell r="I103">
            <v>60</v>
          </cell>
        </row>
        <row r="104">
          <cell r="D104" t="str">
            <v>SELLY DARWIS</v>
          </cell>
          <cell r="E104">
            <v>36</v>
          </cell>
          <cell r="F104">
            <v>78864000</v>
          </cell>
          <cell r="G104">
            <v>6</v>
          </cell>
          <cell r="H104">
            <v>25494000</v>
          </cell>
          <cell r="I104">
            <v>42</v>
          </cell>
        </row>
        <row r="105">
          <cell r="D105" t="str">
            <v>M HUSNI HASIM</v>
          </cell>
          <cell r="E105">
            <v>36</v>
          </cell>
          <cell r="F105">
            <v>80464000</v>
          </cell>
          <cell r="G105">
            <v>8</v>
          </cell>
          <cell r="H105">
            <v>40292000</v>
          </cell>
          <cell r="I105">
            <v>44</v>
          </cell>
        </row>
        <row r="106">
          <cell r="D106" t="str">
            <v>ROSITA</v>
          </cell>
          <cell r="E106">
            <v>38</v>
          </cell>
          <cell r="F106">
            <v>88362000</v>
          </cell>
          <cell r="G106">
            <v>12</v>
          </cell>
          <cell r="H106">
            <v>51788000</v>
          </cell>
          <cell r="I106">
            <v>50</v>
          </cell>
        </row>
        <row r="107">
          <cell r="D107" t="str">
            <v>ZIONIS ILHAMI DAKHI</v>
          </cell>
          <cell r="E107">
            <v>38</v>
          </cell>
          <cell r="F107">
            <v>84162000</v>
          </cell>
          <cell r="G107">
            <v>3</v>
          </cell>
          <cell r="H107">
            <v>16097000</v>
          </cell>
          <cell r="I107">
            <v>41</v>
          </cell>
        </row>
        <row r="108">
          <cell r="D108" t="str">
            <v>NUR IMAM ATTARMIDZI</v>
          </cell>
          <cell r="E108">
            <v>38</v>
          </cell>
          <cell r="F108">
            <v>85662000</v>
          </cell>
          <cell r="G108">
            <v>12</v>
          </cell>
          <cell r="H108">
            <v>52288000</v>
          </cell>
          <cell r="I108">
            <v>50</v>
          </cell>
        </row>
        <row r="109">
          <cell r="D109" t="str">
            <v>CEPTIANA JUNIAR</v>
          </cell>
          <cell r="E109">
            <v>39</v>
          </cell>
          <cell r="F109">
            <v>85261000</v>
          </cell>
          <cell r="G109">
            <v>8</v>
          </cell>
          <cell r="H109">
            <v>43492000</v>
          </cell>
          <cell r="I109">
            <v>47</v>
          </cell>
        </row>
        <row r="110">
          <cell r="D110" t="str">
            <v>BELLA MAYA SAFIRA</v>
          </cell>
          <cell r="E110">
            <v>35</v>
          </cell>
          <cell r="F110">
            <v>84065000</v>
          </cell>
          <cell r="G110">
            <v>16</v>
          </cell>
          <cell r="H110">
            <v>79384000</v>
          </cell>
          <cell r="I110">
            <v>51</v>
          </cell>
        </row>
        <row r="111">
          <cell r="D111" t="str">
            <v>VICKY ARIANSYAH</v>
          </cell>
          <cell r="E111">
            <v>30</v>
          </cell>
          <cell r="F111">
            <v>68170000</v>
          </cell>
          <cell r="G111">
            <v>10</v>
          </cell>
          <cell r="H111">
            <v>50190000</v>
          </cell>
          <cell r="I111">
            <v>40</v>
          </cell>
        </row>
        <row r="112">
          <cell r="D112" t="str">
            <v>RIKY</v>
          </cell>
          <cell r="E112">
            <v>30</v>
          </cell>
          <cell r="F112">
            <v>71570000</v>
          </cell>
          <cell r="G112">
            <v>17</v>
          </cell>
          <cell r="H112">
            <v>88483000</v>
          </cell>
          <cell r="I112">
            <v>47</v>
          </cell>
        </row>
        <row r="113">
          <cell r="D113" t="str">
            <v>HERMAN SUPRIYATIN</v>
          </cell>
          <cell r="E113">
            <v>41</v>
          </cell>
          <cell r="F113">
            <v>93359000</v>
          </cell>
          <cell r="G113">
            <v>17</v>
          </cell>
          <cell r="H113">
            <v>80283000</v>
          </cell>
          <cell r="I113">
            <v>58</v>
          </cell>
        </row>
        <row r="114">
          <cell r="D114" t="str">
            <v>HESTI AMELIA</v>
          </cell>
          <cell r="E114">
            <v>38</v>
          </cell>
          <cell r="F114">
            <v>91362000</v>
          </cell>
          <cell r="G114">
            <v>11</v>
          </cell>
          <cell r="H114">
            <v>49989000</v>
          </cell>
          <cell r="I114">
            <v>49</v>
          </cell>
        </row>
        <row r="115">
          <cell r="D115" t="str">
            <v>DIAWAN SAPUTRA</v>
          </cell>
          <cell r="E115">
            <v>34</v>
          </cell>
          <cell r="F115">
            <v>76066000</v>
          </cell>
          <cell r="G115">
            <v>6</v>
          </cell>
          <cell r="H115">
            <v>33894000</v>
          </cell>
          <cell r="I115">
            <v>40</v>
          </cell>
        </row>
        <row r="116">
          <cell r="D116" t="str">
            <v>ABDUL FALAH</v>
          </cell>
          <cell r="E116">
            <v>21</v>
          </cell>
          <cell r="F116">
            <v>51579000</v>
          </cell>
          <cell r="G116">
            <v>33</v>
          </cell>
          <cell r="H116">
            <v>187267000</v>
          </cell>
          <cell r="I116">
            <v>54</v>
          </cell>
        </row>
        <row r="117">
          <cell r="D117" t="str">
            <v xml:space="preserve"> RONI</v>
          </cell>
          <cell r="E117">
            <v>25</v>
          </cell>
          <cell r="F117">
            <v>61375000</v>
          </cell>
          <cell r="G117">
            <v>17</v>
          </cell>
          <cell r="H117">
            <v>75783000</v>
          </cell>
          <cell r="I117">
            <v>42</v>
          </cell>
        </row>
        <row r="118">
          <cell r="D118" t="str">
            <v>HAVIS SINUS FAUZAN</v>
          </cell>
          <cell r="E118">
            <v>39</v>
          </cell>
          <cell r="F118">
            <v>93661000</v>
          </cell>
          <cell r="G118">
            <v>10</v>
          </cell>
          <cell r="H118">
            <v>53590000</v>
          </cell>
          <cell r="I118">
            <v>49</v>
          </cell>
        </row>
        <row r="119">
          <cell r="D119" t="str">
            <v>TIYAS WINARNI</v>
          </cell>
          <cell r="E119">
            <v>24</v>
          </cell>
          <cell r="F119">
            <v>56676000</v>
          </cell>
          <cell r="G119">
            <v>18</v>
          </cell>
          <cell r="H119">
            <v>91082000</v>
          </cell>
          <cell r="I119">
            <v>42</v>
          </cell>
        </row>
        <row r="120">
          <cell r="D120" t="str">
            <v>BINY PRAYOGO</v>
          </cell>
          <cell r="E120">
            <v>22</v>
          </cell>
          <cell r="F120">
            <v>52078000</v>
          </cell>
          <cell r="G120">
            <v>19</v>
          </cell>
          <cell r="H120">
            <v>115281000</v>
          </cell>
          <cell r="I120">
            <v>41</v>
          </cell>
        </row>
        <row r="121">
          <cell r="D121" t="str">
            <v>PUTRI SUPRIHATIN</v>
          </cell>
          <cell r="E121">
            <v>28</v>
          </cell>
          <cell r="F121">
            <v>67772000</v>
          </cell>
          <cell r="G121">
            <v>14</v>
          </cell>
          <cell r="H121">
            <v>64786000</v>
          </cell>
          <cell r="I121">
            <v>42</v>
          </cell>
        </row>
        <row r="122">
          <cell r="D122" t="str">
            <v xml:space="preserve"> Hervanny trisiana</v>
          </cell>
          <cell r="E122">
            <v>20</v>
          </cell>
          <cell r="F122">
            <v>48580000</v>
          </cell>
          <cell r="G122">
            <v>18</v>
          </cell>
          <cell r="H122">
            <v>174982000</v>
          </cell>
          <cell r="I122">
            <v>38</v>
          </cell>
        </row>
        <row r="123">
          <cell r="D123" t="str">
            <v xml:space="preserve"> fitri adelia</v>
          </cell>
          <cell r="E123">
            <v>9</v>
          </cell>
          <cell r="F123">
            <v>21291000</v>
          </cell>
          <cell r="G123">
            <v>7</v>
          </cell>
          <cell r="H123">
            <v>38193000</v>
          </cell>
          <cell r="I123">
            <v>16</v>
          </cell>
        </row>
        <row r="124">
          <cell r="D124" t="str">
            <v xml:space="preserve"> SITI ROHMAH</v>
          </cell>
          <cell r="E124">
            <v>6</v>
          </cell>
          <cell r="F124">
            <v>14194000</v>
          </cell>
          <cell r="G124">
            <v>11</v>
          </cell>
          <cell r="H124">
            <v>75189000</v>
          </cell>
          <cell r="I124">
            <v>17</v>
          </cell>
        </row>
        <row r="125">
          <cell r="D125" t="str">
            <v>RIZAL SACHRANIE</v>
          </cell>
          <cell r="E125">
            <v>9</v>
          </cell>
          <cell r="F125">
            <v>21391000</v>
          </cell>
          <cell r="G125">
            <v>18</v>
          </cell>
          <cell r="H125">
            <v>152982000</v>
          </cell>
          <cell r="I125">
            <v>27</v>
          </cell>
        </row>
        <row r="126">
          <cell r="D126" t="str">
            <v>SERA ASMARANI</v>
          </cell>
          <cell r="E126">
            <v>1</v>
          </cell>
          <cell r="F126">
            <v>1799000</v>
          </cell>
          <cell r="I126">
            <v>1</v>
          </cell>
        </row>
        <row r="127">
          <cell r="D127" t="str">
            <v>AMANDA AULIA SHOLIKHAH</v>
          </cell>
          <cell r="E127">
            <v>1</v>
          </cell>
          <cell r="F127">
            <v>2599000</v>
          </cell>
          <cell r="G127">
            <v>4</v>
          </cell>
          <cell r="H127">
            <v>20996000</v>
          </cell>
          <cell r="I127">
            <v>5</v>
          </cell>
        </row>
        <row r="128">
          <cell r="D128" t="str">
            <v>JIHAN PAHERA ALPIA</v>
          </cell>
          <cell r="G128">
            <v>5</v>
          </cell>
          <cell r="H128">
            <v>24395000</v>
          </cell>
          <cell r="I128">
            <v>5</v>
          </cell>
        </row>
        <row r="129">
          <cell r="E129">
            <v>2016</v>
          </cell>
          <cell r="F129">
            <v>4822284000</v>
          </cell>
          <cell r="G129">
            <v>1244</v>
          </cell>
          <cell r="H129">
            <v>7555656000</v>
          </cell>
          <cell r="I129">
            <v>3260</v>
          </cell>
        </row>
      </sheetData>
      <sheetData sheetId="21">
        <row r="5">
          <cell r="A5" t="str">
            <v>Sum of SRP</v>
          </cell>
        </row>
      </sheetData>
      <sheetData sheetId="22"/>
      <sheetData sheetId="23"/>
      <sheetData sheetId="24"/>
      <sheetData sheetId="25">
        <row r="5">
          <cell r="A5" t="str">
            <v>Sum of Qty</v>
          </cell>
        </row>
      </sheetData>
      <sheetData sheetId="26">
        <row r="5">
          <cell r="A5" t="str">
            <v>Sum of Qty</v>
          </cell>
        </row>
      </sheetData>
      <sheetData sheetId="27"/>
      <sheetData sheetId="28"/>
      <sheetData sheetId="29">
        <row r="6">
          <cell r="A6" t="str">
            <v>Sum of Qty</v>
          </cell>
        </row>
      </sheetData>
      <sheetData sheetId="30"/>
      <sheetData sheetId="31">
        <row r="7">
          <cell r="D7" t="str">
            <v>3mio&lt;</v>
          </cell>
          <cell r="N7" t="str">
            <v>3mio&gt;</v>
          </cell>
          <cell r="AR7" t="str">
            <v>Total Sum of Qty</v>
          </cell>
          <cell r="AS7" t="str">
            <v>Total Sum of SRP</v>
          </cell>
        </row>
        <row r="8">
          <cell r="D8" t="str">
            <v>Y05</v>
          </cell>
          <cell r="F8" t="str">
            <v>Y11d</v>
          </cell>
          <cell r="H8" t="str">
            <v>Y05e</v>
          </cell>
          <cell r="J8" t="str">
            <v>Watch GT 2</v>
          </cell>
          <cell r="L8" t="str">
            <v>WATCH 3</v>
          </cell>
          <cell r="N8" t="str">
            <v>Y31d Pro</v>
          </cell>
          <cell r="P8" t="str">
            <v>Y11d</v>
          </cell>
          <cell r="R8" t="str">
            <v xml:space="preserve">Y31d </v>
          </cell>
          <cell r="T8" t="str">
            <v>V70 FE</v>
          </cell>
          <cell r="V8" t="str">
            <v>Y31d</v>
          </cell>
          <cell r="X8" t="str">
            <v>Y500</v>
          </cell>
          <cell r="Z8" t="str">
            <v>IQOO 15R</v>
          </cell>
          <cell r="AB8" t="str">
            <v>V60 Lite</v>
          </cell>
          <cell r="AD8" t="str">
            <v>X300 Ultra</v>
          </cell>
          <cell r="AF8" t="str">
            <v>IQOO Z11</v>
          </cell>
          <cell r="AH8" t="str">
            <v>IQOO Z11x</v>
          </cell>
          <cell r="AJ8" t="str">
            <v>V70</v>
          </cell>
          <cell r="AL8" t="str">
            <v xml:space="preserve">X300 </v>
          </cell>
          <cell r="AN8" t="str">
            <v>IQOO NEO 10</v>
          </cell>
          <cell r="AP8" t="str">
            <v>V60 Lite Demo</v>
          </cell>
        </row>
        <row r="10">
          <cell r="B10">
            <v>6170707</v>
          </cell>
          <cell r="D10">
            <v>40</v>
          </cell>
          <cell r="E10">
            <v>97660000</v>
          </cell>
          <cell r="F10">
            <v>10</v>
          </cell>
          <cell r="G10">
            <v>26390000</v>
          </cell>
          <cell r="H10">
            <v>10</v>
          </cell>
          <cell r="I10">
            <v>22190000</v>
          </cell>
          <cell r="N10">
            <v>12</v>
          </cell>
          <cell r="O10">
            <v>47988000</v>
          </cell>
          <cell r="P10">
            <v>6</v>
          </cell>
          <cell r="Q10">
            <v>20094000</v>
          </cell>
          <cell r="T10">
            <v>1</v>
          </cell>
          <cell r="U10">
            <v>6999000</v>
          </cell>
          <cell r="AB10">
            <v>11</v>
          </cell>
          <cell r="AC10">
            <v>64889000</v>
          </cell>
          <cell r="AH10">
            <v>3</v>
          </cell>
          <cell r="AI10">
            <v>14397000</v>
          </cell>
          <cell r="AJ10">
            <v>3</v>
          </cell>
          <cell r="AK10">
            <v>27997000</v>
          </cell>
          <cell r="AR10">
            <v>96</v>
          </cell>
          <cell r="AS10">
            <v>328604000</v>
          </cell>
        </row>
        <row r="11">
          <cell r="B11">
            <v>6240702</v>
          </cell>
          <cell r="D11">
            <v>24</v>
          </cell>
          <cell r="E11">
            <v>58776000</v>
          </cell>
          <cell r="F11">
            <v>19</v>
          </cell>
          <cell r="G11">
            <v>50781000</v>
          </cell>
          <cell r="H11">
            <v>3</v>
          </cell>
          <cell r="I11">
            <v>6497000</v>
          </cell>
          <cell r="N11">
            <v>8</v>
          </cell>
          <cell r="O11">
            <v>37592000</v>
          </cell>
          <cell r="P11">
            <v>6</v>
          </cell>
          <cell r="Q11">
            <v>19794000</v>
          </cell>
          <cell r="R11">
            <v>1</v>
          </cell>
          <cell r="S11">
            <v>3599000</v>
          </cell>
          <cell r="T11">
            <v>2</v>
          </cell>
          <cell r="U11">
            <v>14998000</v>
          </cell>
          <cell r="Z11">
            <v>1</v>
          </cell>
          <cell r="AA11">
            <v>11999000</v>
          </cell>
          <cell r="AB11">
            <v>5</v>
          </cell>
          <cell r="AC11">
            <v>29495000</v>
          </cell>
          <cell r="AD11">
            <v>1</v>
          </cell>
          <cell r="AE11">
            <v>29999000</v>
          </cell>
          <cell r="AF11">
            <v>5</v>
          </cell>
          <cell r="AG11">
            <v>34495000</v>
          </cell>
          <cell r="AJ11">
            <v>7</v>
          </cell>
          <cell r="AK11">
            <v>67993000</v>
          </cell>
          <cell r="AR11">
            <v>82</v>
          </cell>
          <cell r="AS11">
            <v>366018000</v>
          </cell>
        </row>
        <row r="12">
          <cell r="B12">
            <v>6240701</v>
          </cell>
          <cell r="D12">
            <v>14</v>
          </cell>
          <cell r="E12">
            <v>34886000</v>
          </cell>
          <cell r="F12">
            <v>14</v>
          </cell>
          <cell r="G12">
            <v>36786000</v>
          </cell>
          <cell r="H12">
            <v>7</v>
          </cell>
          <cell r="I12">
            <v>14693000</v>
          </cell>
          <cell r="N12">
            <v>11</v>
          </cell>
          <cell r="O12">
            <v>45489000</v>
          </cell>
          <cell r="P12">
            <v>4</v>
          </cell>
          <cell r="Q12">
            <v>13196000</v>
          </cell>
          <cell r="R12">
            <v>2</v>
          </cell>
          <cell r="S12">
            <v>7198000</v>
          </cell>
          <cell r="T12">
            <v>2</v>
          </cell>
          <cell r="U12">
            <v>13998000</v>
          </cell>
          <cell r="AB12">
            <v>3</v>
          </cell>
          <cell r="AC12">
            <v>17697000</v>
          </cell>
          <cell r="AF12">
            <v>1</v>
          </cell>
          <cell r="AG12">
            <v>8399000</v>
          </cell>
          <cell r="AJ12">
            <v>4</v>
          </cell>
          <cell r="AK12">
            <v>36996000</v>
          </cell>
          <cell r="AN12">
            <v>1</v>
          </cell>
          <cell r="AO12">
            <v>7699000</v>
          </cell>
          <cell r="AR12">
            <v>63</v>
          </cell>
          <cell r="AS12">
            <v>237037000</v>
          </cell>
        </row>
        <row r="13">
          <cell r="B13">
            <v>6240704</v>
          </cell>
          <cell r="D13">
            <v>2</v>
          </cell>
          <cell r="E13">
            <v>4898000</v>
          </cell>
          <cell r="H13">
            <v>4</v>
          </cell>
          <cell r="I13">
            <v>9196000</v>
          </cell>
          <cell r="N13">
            <v>2</v>
          </cell>
          <cell r="O13">
            <v>8598000</v>
          </cell>
          <cell r="P13">
            <v>5</v>
          </cell>
          <cell r="Q13">
            <v>16795000</v>
          </cell>
          <cell r="T13">
            <v>2</v>
          </cell>
          <cell r="U13">
            <v>13998000</v>
          </cell>
          <cell r="AB13">
            <v>2</v>
          </cell>
          <cell r="AC13">
            <v>11798000</v>
          </cell>
          <cell r="AF13">
            <v>1</v>
          </cell>
          <cell r="AG13">
            <v>6899000</v>
          </cell>
          <cell r="AJ13">
            <v>2</v>
          </cell>
          <cell r="AK13">
            <v>19998000</v>
          </cell>
          <cell r="AR13">
            <v>20</v>
          </cell>
          <cell r="AS13">
            <v>92180000</v>
          </cell>
        </row>
        <row r="14">
          <cell r="B14">
            <v>6240703</v>
          </cell>
          <cell r="D14">
            <v>18</v>
          </cell>
          <cell r="E14">
            <v>44682000</v>
          </cell>
          <cell r="F14">
            <v>15</v>
          </cell>
          <cell r="G14">
            <v>41585000</v>
          </cell>
          <cell r="H14">
            <v>9</v>
          </cell>
          <cell r="I14">
            <v>19691000</v>
          </cell>
          <cell r="N14">
            <v>7</v>
          </cell>
          <cell r="O14">
            <v>29693000</v>
          </cell>
          <cell r="P14">
            <v>6</v>
          </cell>
          <cell r="Q14">
            <v>19794000</v>
          </cell>
          <cell r="R14">
            <v>2</v>
          </cell>
          <cell r="S14">
            <v>7198000</v>
          </cell>
          <cell r="V14">
            <v>2</v>
          </cell>
          <cell r="W14">
            <v>7198000</v>
          </cell>
          <cell r="AB14">
            <v>2</v>
          </cell>
          <cell r="AC14">
            <v>11798000</v>
          </cell>
          <cell r="AH14">
            <v>1</v>
          </cell>
          <cell r="AI14">
            <v>5699000</v>
          </cell>
          <cell r="AJ14">
            <v>4</v>
          </cell>
          <cell r="AK14">
            <v>38996000</v>
          </cell>
          <cell r="AN14">
            <v>1</v>
          </cell>
          <cell r="AO14">
            <v>7699000</v>
          </cell>
          <cell r="AR14">
            <v>67</v>
          </cell>
          <cell r="AS14">
            <v>234033000</v>
          </cell>
        </row>
        <row r="15">
          <cell r="B15">
            <v>6240707</v>
          </cell>
          <cell r="D15">
            <v>4</v>
          </cell>
          <cell r="E15">
            <v>9796000</v>
          </cell>
          <cell r="F15">
            <v>2</v>
          </cell>
          <cell r="G15">
            <v>5598000</v>
          </cell>
          <cell r="H15">
            <v>1</v>
          </cell>
          <cell r="I15">
            <v>2099000</v>
          </cell>
          <cell r="N15">
            <v>1</v>
          </cell>
          <cell r="O15">
            <v>3899000</v>
          </cell>
          <cell r="X15">
            <v>2</v>
          </cell>
          <cell r="Y15">
            <v>11798000</v>
          </cell>
          <cell r="AB15">
            <v>1</v>
          </cell>
          <cell r="AC15">
            <v>5899000</v>
          </cell>
          <cell r="AR15">
            <v>11</v>
          </cell>
          <cell r="AS15">
            <v>39089000</v>
          </cell>
        </row>
        <row r="16">
          <cell r="B16">
            <v>6240706</v>
          </cell>
          <cell r="D16">
            <v>5</v>
          </cell>
          <cell r="E16">
            <v>12095000</v>
          </cell>
          <cell r="H16">
            <v>2</v>
          </cell>
          <cell r="I16">
            <v>4198000</v>
          </cell>
          <cell r="N16">
            <v>1</v>
          </cell>
          <cell r="O16">
            <v>4299000</v>
          </cell>
          <cell r="P16">
            <v>2</v>
          </cell>
          <cell r="Q16">
            <v>6898000</v>
          </cell>
          <cell r="R16">
            <v>1</v>
          </cell>
          <cell r="S16">
            <v>3599000</v>
          </cell>
          <cell r="T16">
            <v>3</v>
          </cell>
          <cell r="U16">
            <v>21997000</v>
          </cell>
          <cell r="V16">
            <v>1</v>
          </cell>
          <cell r="W16">
            <v>3599000</v>
          </cell>
          <cell r="AB16">
            <v>3</v>
          </cell>
          <cell r="AC16">
            <v>18297000</v>
          </cell>
          <cell r="AF16">
            <v>4</v>
          </cell>
          <cell r="AG16">
            <v>27596000</v>
          </cell>
          <cell r="AH16">
            <v>1</v>
          </cell>
          <cell r="AI16">
            <v>4799000</v>
          </cell>
          <cell r="AJ16">
            <v>2</v>
          </cell>
          <cell r="AK16">
            <v>19998000</v>
          </cell>
          <cell r="AN16">
            <v>1</v>
          </cell>
          <cell r="AO16">
            <v>7699000</v>
          </cell>
          <cell r="AP16">
            <v>1</v>
          </cell>
          <cell r="AQ16">
            <v>6499000</v>
          </cell>
          <cell r="AR16">
            <v>27</v>
          </cell>
          <cell r="AS16">
            <v>141573000</v>
          </cell>
        </row>
        <row r="17">
          <cell r="B17">
            <v>6240709</v>
          </cell>
          <cell r="D17">
            <v>5</v>
          </cell>
          <cell r="E17">
            <v>12395000</v>
          </cell>
          <cell r="H17">
            <v>1</v>
          </cell>
          <cell r="I17">
            <v>2099000</v>
          </cell>
          <cell r="P17">
            <v>3</v>
          </cell>
          <cell r="Q17">
            <v>10497000</v>
          </cell>
          <cell r="R17">
            <v>1</v>
          </cell>
          <cell r="S17">
            <v>3599000</v>
          </cell>
          <cell r="T17">
            <v>1</v>
          </cell>
          <cell r="U17">
            <v>7999000</v>
          </cell>
          <cell r="X17">
            <v>1</v>
          </cell>
          <cell r="Y17">
            <v>5499000</v>
          </cell>
          <cell r="AB17">
            <v>1</v>
          </cell>
          <cell r="AC17">
            <v>5899000</v>
          </cell>
          <cell r="AJ17">
            <v>3</v>
          </cell>
          <cell r="AK17">
            <v>28997000</v>
          </cell>
          <cell r="AR17">
            <v>16</v>
          </cell>
          <cell r="AS17">
            <v>76984000</v>
          </cell>
        </row>
        <row r="18">
          <cell r="B18">
            <v>6240708</v>
          </cell>
          <cell r="D18">
            <v>5</v>
          </cell>
          <cell r="E18">
            <v>11795000</v>
          </cell>
          <cell r="F18">
            <v>2</v>
          </cell>
          <cell r="G18">
            <v>5198000</v>
          </cell>
          <cell r="H18">
            <v>3</v>
          </cell>
          <cell r="I18">
            <v>6897000</v>
          </cell>
          <cell r="N18">
            <v>1</v>
          </cell>
          <cell r="O18">
            <v>3899000</v>
          </cell>
          <cell r="P18">
            <v>1</v>
          </cell>
          <cell r="Q18">
            <v>3299000</v>
          </cell>
          <cell r="T18">
            <v>1</v>
          </cell>
          <cell r="U18">
            <v>6999000</v>
          </cell>
          <cell r="X18">
            <v>1</v>
          </cell>
          <cell r="Y18">
            <v>6299000</v>
          </cell>
          <cell r="AH18">
            <v>1</v>
          </cell>
          <cell r="AI18">
            <v>4799000</v>
          </cell>
          <cell r="AJ18">
            <v>2</v>
          </cell>
          <cell r="AK18">
            <v>18998000</v>
          </cell>
          <cell r="AR18">
            <v>17</v>
          </cell>
          <cell r="AS18">
            <v>68183000</v>
          </cell>
        </row>
        <row r="19">
          <cell r="B19">
            <v>6240705</v>
          </cell>
          <cell r="D19">
            <v>4</v>
          </cell>
          <cell r="E19">
            <v>10096000</v>
          </cell>
          <cell r="F19">
            <v>1</v>
          </cell>
          <cell r="G19">
            <v>2799000</v>
          </cell>
          <cell r="H19">
            <v>2</v>
          </cell>
          <cell r="I19">
            <v>4198000</v>
          </cell>
          <cell r="N19">
            <v>4</v>
          </cell>
          <cell r="O19">
            <v>16396000</v>
          </cell>
          <cell r="P19">
            <v>2</v>
          </cell>
          <cell r="Q19">
            <v>6598000</v>
          </cell>
          <cell r="R19">
            <v>1</v>
          </cell>
          <cell r="S19">
            <v>3599000</v>
          </cell>
          <cell r="T19">
            <v>2</v>
          </cell>
          <cell r="U19">
            <v>13998000</v>
          </cell>
          <cell r="V19">
            <v>1</v>
          </cell>
          <cell r="W19">
            <v>3599000</v>
          </cell>
          <cell r="X19">
            <v>2</v>
          </cell>
          <cell r="Y19">
            <v>11798000</v>
          </cell>
          <cell r="AB19">
            <v>2</v>
          </cell>
          <cell r="AC19">
            <v>11798000</v>
          </cell>
          <cell r="AF19">
            <v>1</v>
          </cell>
          <cell r="AG19">
            <v>6899000</v>
          </cell>
          <cell r="AH19">
            <v>1</v>
          </cell>
          <cell r="AI19">
            <v>5699000</v>
          </cell>
          <cell r="AJ19">
            <v>1</v>
          </cell>
          <cell r="AK19">
            <v>9999000</v>
          </cell>
          <cell r="AR19">
            <v>24</v>
          </cell>
          <cell r="AS19">
            <v>107476000</v>
          </cell>
        </row>
        <row r="20">
          <cell r="B20">
            <v>6170706</v>
          </cell>
          <cell r="D20">
            <v>20</v>
          </cell>
          <cell r="E20">
            <v>47480000</v>
          </cell>
          <cell r="F20">
            <v>12</v>
          </cell>
          <cell r="G20">
            <v>31988000</v>
          </cell>
          <cell r="H20">
            <v>5</v>
          </cell>
          <cell r="I20">
            <v>10695000</v>
          </cell>
          <cell r="N20">
            <v>10</v>
          </cell>
          <cell r="O20">
            <v>44790000</v>
          </cell>
          <cell r="P20">
            <v>3</v>
          </cell>
          <cell r="Q20">
            <v>9897000</v>
          </cell>
          <cell r="X20">
            <v>1</v>
          </cell>
          <cell r="Y20">
            <v>5499000</v>
          </cell>
          <cell r="AB20">
            <v>4</v>
          </cell>
          <cell r="AC20">
            <v>23596000</v>
          </cell>
          <cell r="AF20">
            <v>1</v>
          </cell>
          <cell r="AG20">
            <v>6899000</v>
          </cell>
          <cell r="AJ20">
            <v>1</v>
          </cell>
          <cell r="AK20">
            <v>9999000</v>
          </cell>
          <cell r="AR20">
            <v>57</v>
          </cell>
          <cell r="AS20">
            <v>190843000</v>
          </cell>
        </row>
        <row r="21">
          <cell r="B21">
            <v>6170703</v>
          </cell>
          <cell r="D21">
            <v>3</v>
          </cell>
          <cell r="E21">
            <v>7497000</v>
          </cell>
          <cell r="H21">
            <v>1</v>
          </cell>
          <cell r="I21">
            <v>2099000</v>
          </cell>
          <cell r="N21">
            <v>1</v>
          </cell>
          <cell r="O21">
            <v>3899000</v>
          </cell>
          <cell r="X21">
            <v>1</v>
          </cell>
          <cell r="Y21">
            <v>5499000</v>
          </cell>
          <cell r="AD21">
            <v>1</v>
          </cell>
          <cell r="AE21">
            <v>25999000</v>
          </cell>
          <cell r="AR21">
            <v>7</v>
          </cell>
          <cell r="AS21">
            <v>44993000</v>
          </cell>
        </row>
        <row r="22">
          <cell r="B22">
            <v>6220701</v>
          </cell>
          <cell r="D22">
            <v>15</v>
          </cell>
          <cell r="E22">
            <v>37185000</v>
          </cell>
          <cell r="F22">
            <v>6</v>
          </cell>
          <cell r="G22">
            <v>16394000</v>
          </cell>
          <cell r="H22">
            <v>3</v>
          </cell>
          <cell r="I22">
            <v>6497000</v>
          </cell>
          <cell r="N22">
            <v>11</v>
          </cell>
          <cell r="O22">
            <v>48289000</v>
          </cell>
          <cell r="P22">
            <v>1</v>
          </cell>
          <cell r="Q22">
            <v>3299000</v>
          </cell>
          <cell r="R22">
            <v>3</v>
          </cell>
          <cell r="S22">
            <v>10797000</v>
          </cell>
          <cell r="T22">
            <v>3</v>
          </cell>
          <cell r="U22">
            <v>21997000</v>
          </cell>
          <cell r="V22">
            <v>5</v>
          </cell>
          <cell r="W22">
            <v>17995000</v>
          </cell>
          <cell r="X22">
            <v>3</v>
          </cell>
          <cell r="Y22">
            <v>16497000</v>
          </cell>
          <cell r="AB22">
            <v>3</v>
          </cell>
          <cell r="AC22">
            <v>17697000</v>
          </cell>
          <cell r="AF22">
            <v>4</v>
          </cell>
          <cell r="AG22">
            <v>30596000</v>
          </cell>
          <cell r="AH22">
            <v>1</v>
          </cell>
          <cell r="AI22">
            <v>5699000</v>
          </cell>
          <cell r="AJ22">
            <v>4</v>
          </cell>
          <cell r="AK22">
            <v>39996000</v>
          </cell>
          <cell r="AN22">
            <v>2</v>
          </cell>
          <cell r="AO22">
            <v>15398000</v>
          </cell>
          <cell r="AP22">
            <v>1</v>
          </cell>
          <cell r="AQ22">
            <v>6499000</v>
          </cell>
          <cell r="AR22">
            <v>65</v>
          </cell>
          <cell r="AS22">
            <v>294835000</v>
          </cell>
        </row>
        <row r="23">
          <cell r="B23">
            <v>6050701</v>
          </cell>
          <cell r="D23">
            <v>10</v>
          </cell>
          <cell r="E23">
            <v>24190000</v>
          </cell>
          <cell r="F23">
            <v>5</v>
          </cell>
          <cell r="G23">
            <v>13195000</v>
          </cell>
          <cell r="H23">
            <v>3</v>
          </cell>
          <cell r="I23">
            <v>6697000</v>
          </cell>
          <cell r="N23">
            <v>11</v>
          </cell>
          <cell r="O23">
            <v>50689000</v>
          </cell>
          <cell r="P23">
            <v>5</v>
          </cell>
          <cell r="Q23">
            <v>16995000</v>
          </cell>
          <cell r="R23">
            <v>3</v>
          </cell>
          <cell r="S23">
            <v>10797000</v>
          </cell>
          <cell r="T23">
            <v>3</v>
          </cell>
          <cell r="U23">
            <v>23997000</v>
          </cell>
          <cell r="V23">
            <v>1</v>
          </cell>
          <cell r="W23">
            <v>3599000</v>
          </cell>
          <cell r="AB23">
            <v>2</v>
          </cell>
          <cell r="AC23">
            <v>11798000</v>
          </cell>
          <cell r="AF23">
            <v>4</v>
          </cell>
          <cell r="AG23">
            <v>29096000</v>
          </cell>
          <cell r="AH23">
            <v>1</v>
          </cell>
          <cell r="AI23">
            <v>4799000</v>
          </cell>
          <cell r="AJ23">
            <v>5</v>
          </cell>
          <cell r="AK23">
            <v>49995000</v>
          </cell>
          <cell r="AN23">
            <v>2</v>
          </cell>
          <cell r="AO23">
            <v>15398000</v>
          </cell>
          <cell r="AR23">
            <v>55</v>
          </cell>
          <cell r="AS23">
            <v>261245000</v>
          </cell>
        </row>
        <row r="24">
          <cell r="B24">
            <v>6050705</v>
          </cell>
          <cell r="D24">
            <v>2</v>
          </cell>
          <cell r="E24">
            <v>4898000</v>
          </cell>
          <cell r="F24">
            <v>4</v>
          </cell>
          <cell r="G24">
            <v>10396000</v>
          </cell>
          <cell r="H24">
            <v>2</v>
          </cell>
          <cell r="I24">
            <v>4598000</v>
          </cell>
          <cell r="N24">
            <v>8</v>
          </cell>
          <cell r="O24">
            <v>37592000</v>
          </cell>
          <cell r="P24">
            <v>4</v>
          </cell>
          <cell r="Q24">
            <v>13196000</v>
          </cell>
          <cell r="T24">
            <v>2</v>
          </cell>
          <cell r="U24">
            <v>15998000</v>
          </cell>
          <cell r="Z24">
            <v>1</v>
          </cell>
          <cell r="AA24">
            <v>11999000</v>
          </cell>
          <cell r="AF24">
            <v>1</v>
          </cell>
          <cell r="AG24">
            <v>6899000</v>
          </cell>
          <cell r="AH24">
            <v>1</v>
          </cell>
          <cell r="AI24">
            <v>4799000</v>
          </cell>
          <cell r="AJ24">
            <v>1</v>
          </cell>
          <cell r="AK24">
            <v>9999000</v>
          </cell>
          <cell r="AR24">
            <v>26</v>
          </cell>
          <cell r="AS24">
            <v>120374000</v>
          </cell>
        </row>
        <row r="25">
          <cell r="B25">
            <v>6050706</v>
          </cell>
          <cell r="D25">
            <v>2</v>
          </cell>
          <cell r="E25">
            <v>4898000</v>
          </cell>
          <cell r="F25">
            <v>5</v>
          </cell>
          <cell r="G25">
            <v>13595000</v>
          </cell>
          <cell r="H25">
            <v>3</v>
          </cell>
          <cell r="I25">
            <v>6497000</v>
          </cell>
          <cell r="N25">
            <v>3</v>
          </cell>
          <cell r="O25">
            <v>12097000</v>
          </cell>
          <cell r="P25">
            <v>1</v>
          </cell>
          <cell r="Q25">
            <v>3299000</v>
          </cell>
          <cell r="R25">
            <v>2</v>
          </cell>
          <cell r="S25">
            <v>7198000</v>
          </cell>
          <cell r="T25">
            <v>2</v>
          </cell>
          <cell r="U25">
            <v>15998000</v>
          </cell>
          <cell r="X25">
            <v>2</v>
          </cell>
          <cell r="Y25">
            <v>12598000</v>
          </cell>
          <cell r="AB25">
            <v>4</v>
          </cell>
          <cell r="AC25">
            <v>23596000</v>
          </cell>
          <cell r="AF25">
            <v>1</v>
          </cell>
          <cell r="AG25">
            <v>6899000</v>
          </cell>
          <cell r="AH25">
            <v>2</v>
          </cell>
          <cell r="AI25">
            <v>10498000</v>
          </cell>
          <cell r="AJ25">
            <v>2</v>
          </cell>
          <cell r="AK25">
            <v>19998000</v>
          </cell>
          <cell r="AR25">
            <v>29</v>
          </cell>
          <cell r="AS25">
            <v>137171000</v>
          </cell>
        </row>
        <row r="26">
          <cell r="B26">
            <v>6190704</v>
          </cell>
          <cell r="D26">
            <v>20</v>
          </cell>
          <cell r="E26">
            <v>48980000</v>
          </cell>
          <cell r="F26">
            <v>12</v>
          </cell>
          <cell r="G26">
            <v>31988000</v>
          </cell>
          <cell r="H26">
            <v>6</v>
          </cell>
          <cell r="I26">
            <v>12994000</v>
          </cell>
          <cell r="N26">
            <v>9</v>
          </cell>
          <cell r="O26">
            <v>39891000</v>
          </cell>
          <cell r="P26">
            <v>5</v>
          </cell>
          <cell r="Q26">
            <v>16495000</v>
          </cell>
          <cell r="R26">
            <v>2</v>
          </cell>
          <cell r="S26">
            <v>7198000</v>
          </cell>
          <cell r="T26">
            <v>4</v>
          </cell>
          <cell r="U26">
            <v>30996000</v>
          </cell>
          <cell r="V26">
            <v>6</v>
          </cell>
          <cell r="W26">
            <v>21594000</v>
          </cell>
          <cell r="X26">
            <v>2</v>
          </cell>
          <cell r="Y26">
            <v>11798000</v>
          </cell>
          <cell r="AB26">
            <v>8</v>
          </cell>
          <cell r="AC26">
            <v>47192000</v>
          </cell>
          <cell r="AF26">
            <v>3</v>
          </cell>
          <cell r="AG26">
            <v>23697000</v>
          </cell>
          <cell r="AH26">
            <v>6</v>
          </cell>
          <cell r="AI26">
            <v>29694000</v>
          </cell>
          <cell r="AJ26">
            <v>7</v>
          </cell>
          <cell r="AK26">
            <v>69993000</v>
          </cell>
          <cell r="AR26">
            <v>90</v>
          </cell>
          <cell r="AS26">
            <v>392510000</v>
          </cell>
        </row>
        <row r="27">
          <cell r="B27">
            <v>6190701</v>
          </cell>
          <cell r="D27">
            <v>16</v>
          </cell>
          <cell r="E27">
            <v>38884000</v>
          </cell>
          <cell r="F27">
            <v>4</v>
          </cell>
          <cell r="G27">
            <v>10796000</v>
          </cell>
          <cell r="H27">
            <v>4</v>
          </cell>
          <cell r="I27">
            <v>8996000</v>
          </cell>
          <cell r="N27">
            <v>3</v>
          </cell>
          <cell r="O27">
            <v>12497000</v>
          </cell>
          <cell r="P27">
            <v>3</v>
          </cell>
          <cell r="Q27">
            <v>9897000</v>
          </cell>
          <cell r="T27">
            <v>1</v>
          </cell>
          <cell r="U27">
            <v>7999000</v>
          </cell>
          <cell r="AB27">
            <v>1</v>
          </cell>
          <cell r="AC27">
            <v>5899000</v>
          </cell>
          <cell r="AH27">
            <v>1</v>
          </cell>
          <cell r="AI27">
            <v>4799000</v>
          </cell>
          <cell r="AJ27">
            <v>3</v>
          </cell>
          <cell r="AK27">
            <v>29997000</v>
          </cell>
          <cell r="AN27">
            <v>1</v>
          </cell>
          <cell r="AO27">
            <v>7699000</v>
          </cell>
          <cell r="AP27">
            <v>1</v>
          </cell>
          <cell r="AQ27">
            <v>6499000</v>
          </cell>
          <cell r="AR27">
            <v>38</v>
          </cell>
          <cell r="AS27">
            <v>143962000</v>
          </cell>
        </row>
        <row r="28">
          <cell r="B28">
            <v>6190707</v>
          </cell>
          <cell r="D28">
            <v>34</v>
          </cell>
          <cell r="E28">
            <v>83566000</v>
          </cell>
          <cell r="F28">
            <v>18</v>
          </cell>
          <cell r="G28">
            <v>48382000</v>
          </cell>
          <cell r="H28">
            <v>19</v>
          </cell>
          <cell r="I28">
            <v>40481000</v>
          </cell>
          <cell r="N28">
            <v>13</v>
          </cell>
          <cell r="O28">
            <v>56087000</v>
          </cell>
          <cell r="P28">
            <v>9</v>
          </cell>
          <cell r="Q28">
            <v>29991000</v>
          </cell>
          <cell r="R28">
            <v>3</v>
          </cell>
          <cell r="S28">
            <v>10797000</v>
          </cell>
          <cell r="T28">
            <v>4</v>
          </cell>
          <cell r="U28">
            <v>29996000</v>
          </cell>
          <cell r="V28">
            <v>4</v>
          </cell>
          <cell r="W28">
            <v>14396000</v>
          </cell>
          <cell r="X28">
            <v>2</v>
          </cell>
          <cell r="Y28">
            <v>11798000</v>
          </cell>
          <cell r="AB28">
            <v>16</v>
          </cell>
          <cell r="AC28">
            <v>94384000</v>
          </cell>
          <cell r="AF28">
            <v>3</v>
          </cell>
          <cell r="AG28">
            <v>22197000</v>
          </cell>
          <cell r="AH28">
            <v>4</v>
          </cell>
          <cell r="AI28">
            <v>19196000</v>
          </cell>
          <cell r="AJ28">
            <v>1</v>
          </cell>
          <cell r="AK28">
            <v>9999000</v>
          </cell>
          <cell r="AR28">
            <v>130</v>
          </cell>
          <cell r="AS28">
            <v>471270000</v>
          </cell>
        </row>
        <row r="29">
          <cell r="B29">
            <v>6190706</v>
          </cell>
          <cell r="D29">
            <v>25</v>
          </cell>
          <cell r="E29">
            <v>61675000</v>
          </cell>
          <cell r="F29">
            <v>18</v>
          </cell>
          <cell r="G29">
            <v>47582000</v>
          </cell>
          <cell r="H29">
            <v>11</v>
          </cell>
          <cell r="I29">
            <v>23489000</v>
          </cell>
          <cell r="N29">
            <v>21</v>
          </cell>
          <cell r="O29">
            <v>92879000</v>
          </cell>
          <cell r="P29">
            <v>7</v>
          </cell>
          <cell r="Q29">
            <v>23093000</v>
          </cell>
          <cell r="R29">
            <v>2</v>
          </cell>
          <cell r="S29">
            <v>7198000</v>
          </cell>
          <cell r="T29">
            <v>9</v>
          </cell>
          <cell r="U29">
            <v>67991000</v>
          </cell>
          <cell r="V29">
            <v>2</v>
          </cell>
          <cell r="W29">
            <v>7198000</v>
          </cell>
          <cell r="X29">
            <v>3</v>
          </cell>
          <cell r="Y29">
            <v>16497000</v>
          </cell>
          <cell r="AB29">
            <v>9</v>
          </cell>
          <cell r="AC29">
            <v>53091000</v>
          </cell>
          <cell r="AF29">
            <v>6</v>
          </cell>
          <cell r="AG29">
            <v>41394000</v>
          </cell>
          <cell r="AH29">
            <v>5</v>
          </cell>
          <cell r="AI29">
            <v>23995000</v>
          </cell>
          <cell r="AJ29">
            <v>5</v>
          </cell>
          <cell r="AK29">
            <v>49995000</v>
          </cell>
          <cell r="AN29">
            <v>3</v>
          </cell>
          <cell r="AO29">
            <v>23097000</v>
          </cell>
          <cell r="AR29">
            <v>126</v>
          </cell>
          <cell r="AS29">
            <v>539174000</v>
          </cell>
        </row>
        <row r="30">
          <cell r="B30">
            <v>6190708</v>
          </cell>
          <cell r="D30">
            <v>5</v>
          </cell>
          <cell r="E30">
            <v>12095000</v>
          </cell>
          <cell r="F30">
            <v>2</v>
          </cell>
          <cell r="G30">
            <v>5598000</v>
          </cell>
          <cell r="N30">
            <v>8</v>
          </cell>
          <cell r="O30">
            <v>34392000</v>
          </cell>
          <cell r="R30">
            <v>2</v>
          </cell>
          <cell r="S30">
            <v>7198000</v>
          </cell>
          <cell r="V30">
            <v>1</v>
          </cell>
          <cell r="W30">
            <v>3599000</v>
          </cell>
          <cell r="AB30">
            <v>1</v>
          </cell>
          <cell r="AC30">
            <v>5899000</v>
          </cell>
          <cell r="AF30">
            <v>1</v>
          </cell>
          <cell r="AG30">
            <v>6899000</v>
          </cell>
          <cell r="AJ30">
            <v>2</v>
          </cell>
          <cell r="AK30">
            <v>19998000</v>
          </cell>
          <cell r="AR30">
            <v>22</v>
          </cell>
          <cell r="AS30">
            <v>95678000</v>
          </cell>
        </row>
        <row r="31">
          <cell r="B31">
            <v>6190705</v>
          </cell>
          <cell r="D31">
            <v>12</v>
          </cell>
          <cell r="E31">
            <v>28488000</v>
          </cell>
          <cell r="F31">
            <v>4</v>
          </cell>
          <cell r="G31">
            <v>10396000</v>
          </cell>
          <cell r="H31">
            <v>3</v>
          </cell>
          <cell r="I31">
            <v>6497000</v>
          </cell>
          <cell r="N31">
            <v>4</v>
          </cell>
          <cell r="O31">
            <v>16996000</v>
          </cell>
          <cell r="P31">
            <v>2</v>
          </cell>
          <cell r="Q31">
            <v>6598000</v>
          </cell>
          <cell r="R31">
            <v>1</v>
          </cell>
          <cell r="S31">
            <v>3599000</v>
          </cell>
          <cell r="T31">
            <v>3</v>
          </cell>
          <cell r="U31">
            <v>21997000</v>
          </cell>
          <cell r="V31">
            <v>1</v>
          </cell>
          <cell r="W31">
            <v>3599000</v>
          </cell>
          <cell r="X31">
            <v>4</v>
          </cell>
          <cell r="Y31">
            <v>22796000</v>
          </cell>
          <cell r="AF31">
            <v>3</v>
          </cell>
          <cell r="AG31">
            <v>20697000</v>
          </cell>
          <cell r="AH31">
            <v>1</v>
          </cell>
          <cell r="AI31">
            <v>4799000</v>
          </cell>
          <cell r="AJ31">
            <v>2</v>
          </cell>
          <cell r="AK31">
            <v>19998000</v>
          </cell>
          <cell r="AR31">
            <v>40</v>
          </cell>
          <cell r="AS31">
            <v>166460000</v>
          </cell>
        </row>
        <row r="32">
          <cell r="B32">
            <v>6180706</v>
          </cell>
          <cell r="D32">
            <v>15</v>
          </cell>
          <cell r="E32">
            <v>36285000</v>
          </cell>
          <cell r="F32">
            <v>13</v>
          </cell>
          <cell r="G32">
            <v>35587000</v>
          </cell>
          <cell r="H32">
            <v>8</v>
          </cell>
          <cell r="I32">
            <v>17192000</v>
          </cell>
          <cell r="N32">
            <v>12</v>
          </cell>
          <cell r="O32">
            <v>54388000</v>
          </cell>
          <cell r="P32">
            <v>5</v>
          </cell>
          <cell r="Q32">
            <v>16795000</v>
          </cell>
          <cell r="R32">
            <v>1</v>
          </cell>
          <cell r="S32">
            <v>3599000</v>
          </cell>
          <cell r="T32">
            <v>1</v>
          </cell>
          <cell r="U32">
            <v>7999000</v>
          </cell>
          <cell r="V32">
            <v>2</v>
          </cell>
          <cell r="W32">
            <v>7198000</v>
          </cell>
          <cell r="X32">
            <v>1</v>
          </cell>
          <cell r="Y32">
            <v>5499000</v>
          </cell>
          <cell r="AB32">
            <v>6</v>
          </cell>
          <cell r="AC32">
            <v>35394000</v>
          </cell>
          <cell r="AF32">
            <v>6</v>
          </cell>
          <cell r="AG32">
            <v>45894000</v>
          </cell>
          <cell r="AH32">
            <v>7</v>
          </cell>
          <cell r="AI32">
            <v>33593000</v>
          </cell>
          <cell r="AJ32">
            <v>4</v>
          </cell>
          <cell r="AK32">
            <v>39996000</v>
          </cell>
          <cell r="AN32">
            <v>3</v>
          </cell>
          <cell r="AO32">
            <v>23097000</v>
          </cell>
          <cell r="AR32">
            <v>84</v>
          </cell>
          <cell r="AS32">
            <v>362516000</v>
          </cell>
        </row>
        <row r="33">
          <cell r="B33">
            <v>6180707</v>
          </cell>
          <cell r="D33">
            <v>6</v>
          </cell>
          <cell r="E33">
            <v>14694000</v>
          </cell>
          <cell r="F33">
            <v>3</v>
          </cell>
          <cell r="G33">
            <v>8397000</v>
          </cell>
          <cell r="H33">
            <v>2</v>
          </cell>
          <cell r="I33">
            <v>4398000</v>
          </cell>
          <cell r="N33">
            <v>3</v>
          </cell>
          <cell r="O33">
            <v>13497000</v>
          </cell>
          <cell r="P33">
            <v>2</v>
          </cell>
          <cell r="Q33">
            <v>6598000</v>
          </cell>
          <cell r="R33">
            <v>1</v>
          </cell>
          <cell r="S33">
            <v>3599000</v>
          </cell>
          <cell r="V33">
            <v>1</v>
          </cell>
          <cell r="W33">
            <v>3599000</v>
          </cell>
          <cell r="X33">
            <v>2</v>
          </cell>
          <cell r="Y33">
            <v>11798000</v>
          </cell>
          <cell r="AB33">
            <v>2</v>
          </cell>
          <cell r="AC33">
            <v>11798000</v>
          </cell>
          <cell r="AJ33">
            <v>2</v>
          </cell>
          <cell r="AK33">
            <v>19998000</v>
          </cell>
          <cell r="AR33">
            <v>24</v>
          </cell>
          <cell r="AS33">
            <v>98376000</v>
          </cell>
        </row>
        <row r="34">
          <cell r="B34">
            <v>6130702</v>
          </cell>
          <cell r="D34">
            <v>12</v>
          </cell>
          <cell r="E34">
            <v>28788000</v>
          </cell>
          <cell r="F34">
            <v>7</v>
          </cell>
          <cell r="G34">
            <v>18793000</v>
          </cell>
          <cell r="H34">
            <v>1</v>
          </cell>
          <cell r="I34">
            <v>2099000</v>
          </cell>
          <cell r="N34">
            <v>5</v>
          </cell>
          <cell r="O34">
            <v>21295000</v>
          </cell>
          <cell r="P34">
            <v>2</v>
          </cell>
          <cell r="Q34">
            <v>6598000</v>
          </cell>
          <cell r="T34">
            <v>3</v>
          </cell>
          <cell r="U34">
            <v>23997000</v>
          </cell>
          <cell r="V34">
            <v>1</v>
          </cell>
          <cell r="W34">
            <v>3599000</v>
          </cell>
          <cell r="AB34">
            <v>4</v>
          </cell>
          <cell r="AC34">
            <v>23596000</v>
          </cell>
          <cell r="AF34">
            <v>2</v>
          </cell>
          <cell r="AG34">
            <v>13798000</v>
          </cell>
          <cell r="AH34">
            <v>2</v>
          </cell>
          <cell r="AI34">
            <v>11398000</v>
          </cell>
          <cell r="AJ34">
            <v>2</v>
          </cell>
          <cell r="AK34">
            <v>19998000</v>
          </cell>
          <cell r="AN34">
            <v>1</v>
          </cell>
          <cell r="AO34">
            <v>7699000</v>
          </cell>
          <cell r="AR34">
            <v>42</v>
          </cell>
          <cell r="AS34">
            <v>181658000</v>
          </cell>
        </row>
        <row r="35">
          <cell r="B35">
            <v>6140705</v>
          </cell>
          <cell r="D35">
            <v>2</v>
          </cell>
          <cell r="E35">
            <v>5198000</v>
          </cell>
          <cell r="F35">
            <v>2</v>
          </cell>
          <cell r="G35">
            <v>5198000</v>
          </cell>
          <cell r="N35">
            <v>6</v>
          </cell>
          <cell r="O35">
            <v>30194000</v>
          </cell>
          <cell r="P35">
            <v>2</v>
          </cell>
          <cell r="Q35">
            <v>6598000</v>
          </cell>
          <cell r="T35">
            <v>23</v>
          </cell>
          <cell r="U35">
            <v>163977000</v>
          </cell>
          <cell r="X35">
            <v>2</v>
          </cell>
          <cell r="Y35">
            <v>12598000</v>
          </cell>
          <cell r="Z35">
            <v>2</v>
          </cell>
          <cell r="AA35">
            <v>23998000</v>
          </cell>
          <cell r="AB35">
            <v>1</v>
          </cell>
          <cell r="AC35">
            <v>5899000</v>
          </cell>
          <cell r="AD35">
            <v>2</v>
          </cell>
          <cell r="AE35">
            <v>51998000</v>
          </cell>
          <cell r="AF35">
            <v>4</v>
          </cell>
          <cell r="AG35">
            <v>30596000</v>
          </cell>
          <cell r="AH35">
            <v>1</v>
          </cell>
          <cell r="AI35">
            <v>4799000</v>
          </cell>
          <cell r="AJ35">
            <v>6</v>
          </cell>
          <cell r="AK35">
            <v>59994000</v>
          </cell>
          <cell r="AR35">
            <v>53</v>
          </cell>
          <cell r="AS35">
            <v>401047000</v>
          </cell>
        </row>
        <row r="36">
          <cell r="B36">
            <v>6140706</v>
          </cell>
          <cell r="D36">
            <v>1</v>
          </cell>
          <cell r="E36">
            <v>2599000</v>
          </cell>
          <cell r="F36">
            <v>3</v>
          </cell>
          <cell r="G36">
            <v>7597000</v>
          </cell>
          <cell r="H36">
            <v>1</v>
          </cell>
          <cell r="I36">
            <v>2299000</v>
          </cell>
          <cell r="N36">
            <v>2</v>
          </cell>
          <cell r="O36">
            <v>7798000</v>
          </cell>
          <cell r="P36">
            <v>2</v>
          </cell>
          <cell r="Q36">
            <v>7198000</v>
          </cell>
          <cell r="T36">
            <v>3</v>
          </cell>
          <cell r="U36">
            <v>20997000</v>
          </cell>
          <cell r="X36">
            <v>1</v>
          </cell>
          <cell r="Y36">
            <v>6299000</v>
          </cell>
          <cell r="AJ36">
            <v>3</v>
          </cell>
          <cell r="AK36">
            <v>29997000</v>
          </cell>
          <cell r="AR36">
            <v>16</v>
          </cell>
          <cell r="AS36">
            <v>84784000</v>
          </cell>
        </row>
        <row r="37">
          <cell r="B37">
            <v>6140703</v>
          </cell>
          <cell r="D37">
            <v>3</v>
          </cell>
          <cell r="E37">
            <v>7797000</v>
          </cell>
          <cell r="F37">
            <v>3</v>
          </cell>
          <cell r="G37">
            <v>8397000</v>
          </cell>
          <cell r="H37">
            <v>1</v>
          </cell>
          <cell r="I37">
            <v>2299000</v>
          </cell>
          <cell r="N37">
            <v>1</v>
          </cell>
          <cell r="O37">
            <v>4299000</v>
          </cell>
          <cell r="P37">
            <v>1</v>
          </cell>
          <cell r="Q37">
            <v>3299000</v>
          </cell>
          <cell r="V37">
            <v>1</v>
          </cell>
          <cell r="W37">
            <v>3599000</v>
          </cell>
          <cell r="AB37">
            <v>3</v>
          </cell>
          <cell r="AC37">
            <v>17697000</v>
          </cell>
          <cell r="AR37">
            <v>13</v>
          </cell>
          <cell r="AS37">
            <v>47387000</v>
          </cell>
        </row>
        <row r="38">
          <cell r="B38">
            <v>6040701</v>
          </cell>
          <cell r="D38">
            <v>9</v>
          </cell>
          <cell r="E38">
            <v>22491000</v>
          </cell>
          <cell r="F38">
            <v>6</v>
          </cell>
          <cell r="G38">
            <v>16394000</v>
          </cell>
          <cell r="H38">
            <v>8</v>
          </cell>
          <cell r="I38">
            <v>17792000</v>
          </cell>
          <cell r="J38">
            <v>1</v>
          </cell>
          <cell r="K38">
            <v>1799000</v>
          </cell>
          <cell r="N38">
            <v>9</v>
          </cell>
          <cell r="O38">
            <v>38291000</v>
          </cell>
          <cell r="P38">
            <v>4</v>
          </cell>
          <cell r="Q38">
            <v>13196000</v>
          </cell>
          <cell r="R38">
            <v>1</v>
          </cell>
          <cell r="S38">
            <v>3599000</v>
          </cell>
          <cell r="T38">
            <v>5</v>
          </cell>
          <cell r="U38">
            <v>36995000</v>
          </cell>
          <cell r="AB38">
            <v>4</v>
          </cell>
          <cell r="AC38">
            <v>23596000</v>
          </cell>
          <cell r="AD38">
            <v>1</v>
          </cell>
          <cell r="AE38">
            <v>25999000</v>
          </cell>
          <cell r="AH38">
            <v>2</v>
          </cell>
          <cell r="AI38">
            <v>10498000</v>
          </cell>
          <cell r="AJ38">
            <v>5</v>
          </cell>
          <cell r="AK38">
            <v>49995000</v>
          </cell>
          <cell r="AN38">
            <v>1</v>
          </cell>
          <cell r="AO38">
            <v>7699000</v>
          </cell>
          <cell r="AR38">
            <v>56</v>
          </cell>
          <cell r="AS38">
            <v>268344000</v>
          </cell>
        </row>
        <row r="39">
          <cell r="B39">
            <v>6040703</v>
          </cell>
          <cell r="D39">
            <v>3</v>
          </cell>
          <cell r="E39">
            <v>7197000</v>
          </cell>
          <cell r="F39">
            <v>2</v>
          </cell>
          <cell r="G39">
            <v>4798000</v>
          </cell>
          <cell r="H39">
            <v>1</v>
          </cell>
          <cell r="I39">
            <v>2299000</v>
          </cell>
          <cell r="N39">
            <v>6</v>
          </cell>
          <cell r="O39">
            <v>26794000</v>
          </cell>
          <cell r="R39">
            <v>1</v>
          </cell>
          <cell r="S39">
            <v>3599000</v>
          </cell>
          <cell r="T39">
            <v>1</v>
          </cell>
          <cell r="U39">
            <v>6999000</v>
          </cell>
          <cell r="V39">
            <v>1</v>
          </cell>
          <cell r="W39">
            <v>3599000</v>
          </cell>
          <cell r="AB39">
            <v>3</v>
          </cell>
          <cell r="AC39">
            <v>17697000</v>
          </cell>
          <cell r="AD39">
            <v>1</v>
          </cell>
          <cell r="AE39">
            <v>25999000</v>
          </cell>
          <cell r="AF39">
            <v>1</v>
          </cell>
          <cell r="AG39">
            <v>6899000</v>
          </cell>
          <cell r="AH39">
            <v>1</v>
          </cell>
          <cell r="AI39">
            <v>4799000</v>
          </cell>
          <cell r="AJ39">
            <v>1</v>
          </cell>
          <cell r="AK39">
            <v>9999000</v>
          </cell>
          <cell r="AR39">
            <v>22</v>
          </cell>
          <cell r="AS39">
            <v>120678000</v>
          </cell>
        </row>
        <row r="40">
          <cell r="B40">
            <v>6080712</v>
          </cell>
          <cell r="D40">
            <v>9</v>
          </cell>
          <cell r="E40">
            <v>21891000</v>
          </cell>
          <cell r="F40">
            <v>2</v>
          </cell>
          <cell r="G40">
            <v>5598000</v>
          </cell>
          <cell r="H40">
            <v>5</v>
          </cell>
          <cell r="I40">
            <v>10895000</v>
          </cell>
          <cell r="N40">
            <v>9</v>
          </cell>
          <cell r="O40">
            <v>42291000</v>
          </cell>
          <cell r="P40">
            <v>2</v>
          </cell>
          <cell r="Q40">
            <v>6598000</v>
          </cell>
          <cell r="R40">
            <v>1</v>
          </cell>
          <cell r="S40">
            <v>3599000</v>
          </cell>
          <cell r="T40">
            <v>1</v>
          </cell>
          <cell r="U40">
            <v>6999000</v>
          </cell>
          <cell r="X40">
            <v>3</v>
          </cell>
          <cell r="Y40">
            <v>16497000</v>
          </cell>
          <cell r="AB40">
            <v>7</v>
          </cell>
          <cell r="AC40">
            <v>41293000</v>
          </cell>
          <cell r="AJ40">
            <v>3</v>
          </cell>
          <cell r="AK40">
            <v>29997000</v>
          </cell>
          <cell r="AN40">
            <v>1</v>
          </cell>
          <cell r="AO40">
            <v>7699000</v>
          </cell>
          <cell r="AR40">
            <v>43</v>
          </cell>
          <cell r="AS40">
            <v>193357000</v>
          </cell>
        </row>
        <row r="41">
          <cell r="B41">
            <v>6040702</v>
          </cell>
          <cell r="D41">
            <v>1</v>
          </cell>
          <cell r="E41">
            <v>2599000</v>
          </cell>
          <cell r="F41">
            <v>5</v>
          </cell>
          <cell r="G41">
            <v>13195000</v>
          </cell>
          <cell r="H41">
            <v>3</v>
          </cell>
          <cell r="I41">
            <v>6297000</v>
          </cell>
          <cell r="N41">
            <v>3</v>
          </cell>
          <cell r="O41">
            <v>13697000</v>
          </cell>
          <cell r="R41">
            <v>1</v>
          </cell>
          <cell r="S41">
            <v>3599000</v>
          </cell>
          <cell r="Z41">
            <v>1</v>
          </cell>
          <cell r="AA41">
            <v>11999000</v>
          </cell>
          <cell r="AB41">
            <v>1</v>
          </cell>
          <cell r="AC41">
            <v>5899000</v>
          </cell>
          <cell r="AF41">
            <v>1</v>
          </cell>
          <cell r="AG41">
            <v>6899000</v>
          </cell>
          <cell r="AH41">
            <v>1</v>
          </cell>
          <cell r="AI41">
            <v>5699000</v>
          </cell>
          <cell r="AJ41">
            <v>2</v>
          </cell>
          <cell r="AK41">
            <v>19998000</v>
          </cell>
          <cell r="AR41">
            <v>19</v>
          </cell>
          <cell r="AS41">
            <v>89881000</v>
          </cell>
        </row>
        <row r="42">
          <cell r="B42">
            <v>6020711</v>
          </cell>
          <cell r="D42">
            <v>19</v>
          </cell>
          <cell r="E42">
            <v>46981000</v>
          </cell>
          <cell r="F42">
            <v>10</v>
          </cell>
          <cell r="G42">
            <v>26390000</v>
          </cell>
          <cell r="H42">
            <v>3</v>
          </cell>
          <cell r="I42">
            <v>6497000</v>
          </cell>
          <cell r="N42">
            <v>13</v>
          </cell>
          <cell r="O42">
            <v>59887000</v>
          </cell>
          <cell r="P42">
            <v>4</v>
          </cell>
          <cell r="Q42">
            <v>13196000</v>
          </cell>
          <cell r="R42">
            <v>1</v>
          </cell>
          <cell r="S42">
            <v>3599000</v>
          </cell>
          <cell r="T42">
            <v>5</v>
          </cell>
          <cell r="U42">
            <v>38995000</v>
          </cell>
          <cell r="X42">
            <v>6</v>
          </cell>
          <cell r="Y42">
            <v>35394000</v>
          </cell>
          <cell r="AB42">
            <v>7</v>
          </cell>
          <cell r="AC42">
            <v>41293000</v>
          </cell>
          <cell r="AD42">
            <v>2</v>
          </cell>
          <cell r="AE42">
            <v>51998000</v>
          </cell>
          <cell r="AF42">
            <v>2</v>
          </cell>
          <cell r="AG42">
            <v>13798000</v>
          </cell>
          <cell r="AH42">
            <v>5</v>
          </cell>
          <cell r="AI42">
            <v>25795000</v>
          </cell>
          <cell r="AJ42">
            <v>8</v>
          </cell>
          <cell r="AK42">
            <v>79992000</v>
          </cell>
          <cell r="AR42">
            <v>85</v>
          </cell>
          <cell r="AS42">
            <v>443815000</v>
          </cell>
        </row>
        <row r="43">
          <cell r="B43">
            <v>6020706</v>
          </cell>
          <cell r="D43">
            <v>24</v>
          </cell>
          <cell r="E43">
            <v>59076000</v>
          </cell>
          <cell r="F43">
            <v>18</v>
          </cell>
          <cell r="G43">
            <v>46782000</v>
          </cell>
          <cell r="H43">
            <v>8</v>
          </cell>
          <cell r="I43">
            <v>17392000</v>
          </cell>
          <cell r="N43">
            <v>14</v>
          </cell>
          <cell r="O43">
            <v>59386000</v>
          </cell>
          <cell r="P43">
            <v>2</v>
          </cell>
          <cell r="Q43">
            <v>6598000</v>
          </cell>
          <cell r="R43">
            <v>1</v>
          </cell>
          <cell r="S43">
            <v>3599000</v>
          </cell>
          <cell r="V43">
            <v>1</v>
          </cell>
          <cell r="W43">
            <v>3599000</v>
          </cell>
          <cell r="X43">
            <v>1</v>
          </cell>
          <cell r="Y43">
            <v>6299000</v>
          </cell>
          <cell r="AB43">
            <v>10</v>
          </cell>
          <cell r="AC43">
            <v>58990000</v>
          </cell>
          <cell r="AF43">
            <v>1</v>
          </cell>
          <cell r="AG43">
            <v>6899000</v>
          </cell>
          <cell r="AJ43">
            <v>3</v>
          </cell>
          <cell r="AK43">
            <v>29997000</v>
          </cell>
          <cell r="AN43">
            <v>2</v>
          </cell>
          <cell r="AO43">
            <v>15398000</v>
          </cell>
          <cell r="AR43">
            <v>85</v>
          </cell>
          <cell r="AS43">
            <v>314015000</v>
          </cell>
        </row>
        <row r="44">
          <cell r="B44">
            <v>6020704</v>
          </cell>
          <cell r="D44">
            <v>17</v>
          </cell>
          <cell r="E44">
            <v>42383000</v>
          </cell>
          <cell r="F44">
            <v>5</v>
          </cell>
          <cell r="G44">
            <v>13595000</v>
          </cell>
          <cell r="H44">
            <v>3</v>
          </cell>
          <cell r="I44">
            <v>6697000</v>
          </cell>
          <cell r="N44">
            <v>8</v>
          </cell>
          <cell r="O44">
            <v>34992000</v>
          </cell>
          <cell r="T44">
            <v>1</v>
          </cell>
          <cell r="U44">
            <v>7999000</v>
          </cell>
          <cell r="V44">
            <v>1</v>
          </cell>
          <cell r="W44">
            <v>3599000</v>
          </cell>
          <cell r="AB44">
            <v>2</v>
          </cell>
          <cell r="AC44">
            <v>11798000</v>
          </cell>
          <cell r="AF44">
            <v>1</v>
          </cell>
          <cell r="AG44">
            <v>6899000</v>
          </cell>
          <cell r="AH44">
            <v>2</v>
          </cell>
          <cell r="AI44">
            <v>9598000</v>
          </cell>
          <cell r="AJ44">
            <v>3</v>
          </cell>
          <cell r="AK44">
            <v>29997000</v>
          </cell>
          <cell r="AP44">
            <v>2</v>
          </cell>
          <cell r="AQ44">
            <v>12998000</v>
          </cell>
          <cell r="AR44">
            <v>45</v>
          </cell>
          <cell r="AS44">
            <v>180555000</v>
          </cell>
        </row>
        <row r="45">
          <cell r="B45">
            <v>6010708</v>
          </cell>
          <cell r="D45">
            <v>8</v>
          </cell>
          <cell r="E45">
            <v>19592000</v>
          </cell>
          <cell r="F45">
            <v>12</v>
          </cell>
          <cell r="G45">
            <v>30388000</v>
          </cell>
          <cell r="H45">
            <v>15</v>
          </cell>
          <cell r="I45">
            <v>32285000</v>
          </cell>
          <cell r="N45">
            <v>3</v>
          </cell>
          <cell r="O45">
            <v>13297000</v>
          </cell>
          <cell r="P45">
            <v>4</v>
          </cell>
          <cell r="Q45">
            <v>13496000</v>
          </cell>
          <cell r="R45">
            <v>3</v>
          </cell>
          <cell r="S45">
            <v>10797000</v>
          </cell>
          <cell r="T45">
            <v>4</v>
          </cell>
          <cell r="U45">
            <v>28996000</v>
          </cell>
          <cell r="V45">
            <v>1</v>
          </cell>
          <cell r="W45">
            <v>3599000</v>
          </cell>
          <cell r="Z45">
            <v>1</v>
          </cell>
          <cell r="AA45">
            <v>11999000</v>
          </cell>
          <cell r="AB45">
            <v>8</v>
          </cell>
          <cell r="AC45">
            <v>48992000</v>
          </cell>
          <cell r="AD45">
            <v>4</v>
          </cell>
          <cell r="AE45">
            <v>107996000</v>
          </cell>
          <cell r="AF45">
            <v>3</v>
          </cell>
          <cell r="AG45">
            <v>20697000</v>
          </cell>
          <cell r="AJ45">
            <v>8</v>
          </cell>
          <cell r="AK45">
            <v>79992000</v>
          </cell>
          <cell r="AL45">
            <v>2</v>
          </cell>
          <cell r="AM45">
            <v>31998000</v>
          </cell>
          <cell r="AN45">
            <v>1</v>
          </cell>
          <cell r="AO45">
            <v>7699000</v>
          </cell>
          <cell r="AP45">
            <v>1</v>
          </cell>
          <cell r="AQ45">
            <v>6499000</v>
          </cell>
          <cell r="AR45">
            <v>78</v>
          </cell>
          <cell r="AS45">
            <v>468322000</v>
          </cell>
        </row>
        <row r="46">
          <cell r="B46">
            <v>6010703</v>
          </cell>
          <cell r="D46">
            <v>15</v>
          </cell>
          <cell r="E46">
            <v>35685000</v>
          </cell>
          <cell r="F46">
            <v>14</v>
          </cell>
          <cell r="G46">
            <v>36386000</v>
          </cell>
          <cell r="H46">
            <v>48</v>
          </cell>
          <cell r="I46">
            <v>105552000</v>
          </cell>
          <cell r="N46">
            <v>13</v>
          </cell>
          <cell r="O46">
            <v>55087000</v>
          </cell>
          <cell r="P46">
            <v>2</v>
          </cell>
          <cell r="Q46">
            <v>6598000</v>
          </cell>
          <cell r="R46">
            <v>1</v>
          </cell>
          <cell r="S46">
            <v>3599000</v>
          </cell>
          <cell r="V46">
            <v>1</v>
          </cell>
          <cell r="W46">
            <v>3599000</v>
          </cell>
          <cell r="X46">
            <v>3</v>
          </cell>
          <cell r="Y46">
            <v>18897000</v>
          </cell>
          <cell r="AB46">
            <v>2</v>
          </cell>
          <cell r="AC46">
            <v>11798000</v>
          </cell>
          <cell r="AF46">
            <v>1</v>
          </cell>
          <cell r="AG46">
            <v>6899000</v>
          </cell>
          <cell r="AJ46">
            <v>3</v>
          </cell>
          <cell r="AK46">
            <v>29997000</v>
          </cell>
          <cell r="AR46">
            <v>103</v>
          </cell>
          <cell r="AS46">
            <v>314097000</v>
          </cell>
        </row>
        <row r="47">
          <cell r="B47">
            <v>6010702</v>
          </cell>
          <cell r="D47">
            <v>67</v>
          </cell>
          <cell r="E47">
            <v>160633000</v>
          </cell>
          <cell r="F47">
            <v>33</v>
          </cell>
          <cell r="G47">
            <v>89167000</v>
          </cell>
          <cell r="H47">
            <v>44</v>
          </cell>
          <cell r="I47">
            <v>95156000</v>
          </cell>
          <cell r="N47">
            <v>37</v>
          </cell>
          <cell r="O47">
            <v>158063000</v>
          </cell>
          <cell r="P47">
            <v>9</v>
          </cell>
          <cell r="Q47">
            <v>29691000</v>
          </cell>
          <cell r="T47">
            <v>6</v>
          </cell>
          <cell r="U47">
            <v>43994000</v>
          </cell>
          <cell r="V47">
            <v>1</v>
          </cell>
          <cell r="W47">
            <v>3599000</v>
          </cell>
          <cell r="X47">
            <v>3</v>
          </cell>
          <cell r="Y47">
            <v>17297000</v>
          </cell>
          <cell r="AB47">
            <v>4</v>
          </cell>
          <cell r="AC47">
            <v>23596000</v>
          </cell>
          <cell r="AD47">
            <v>2</v>
          </cell>
          <cell r="AE47">
            <v>51998000</v>
          </cell>
          <cell r="AF47">
            <v>5</v>
          </cell>
          <cell r="AG47">
            <v>34495000</v>
          </cell>
          <cell r="AH47">
            <v>1</v>
          </cell>
          <cell r="AI47">
            <v>4799000</v>
          </cell>
          <cell r="AJ47">
            <v>8</v>
          </cell>
          <cell r="AK47">
            <v>79992000</v>
          </cell>
          <cell r="AN47">
            <v>1</v>
          </cell>
          <cell r="AO47">
            <v>7699000</v>
          </cell>
          <cell r="AR47">
            <v>221</v>
          </cell>
          <cell r="AS47">
            <v>800179000</v>
          </cell>
        </row>
        <row r="48">
          <cell r="B48">
            <v>6010701</v>
          </cell>
          <cell r="D48">
            <v>55</v>
          </cell>
          <cell r="E48">
            <v>133945000</v>
          </cell>
          <cell r="F48">
            <v>36</v>
          </cell>
          <cell r="G48">
            <v>96764000</v>
          </cell>
          <cell r="H48">
            <v>33</v>
          </cell>
          <cell r="I48">
            <v>71867000</v>
          </cell>
          <cell r="N48">
            <v>33</v>
          </cell>
          <cell r="O48">
            <v>139467000</v>
          </cell>
          <cell r="P48">
            <v>17</v>
          </cell>
          <cell r="Q48">
            <v>56083000</v>
          </cell>
          <cell r="R48">
            <v>3</v>
          </cell>
          <cell r="S48">
            <v>10797000</v>
          </cell>
          <cell r="T48">
            <v>6</v>
          </cell>
          <cell r="U48">
            <v>42994000</v>
          </cell>
          <cell r="V48">
            <v>3</v>
          </cell>
          <cell r="W48">
            <v>10797000</v>
          </cell>
          <cell r="X48">
            <v>4</v>
          </cell>
          <cell r="Y48">
            <v>24396000</v>
          </cell>
          <cell r="AB48">
            <v>8</v>
          </cell>
          <cell r="AC48">
            <v>47792000</v>
          </cell>
          <cell r="AD48">
            <v>1</v>
          </cell>
          <cell r="AE48">
            <v>29999000</v>
          </cell>
          <cell r="AF48">
            <v>6</v>
          </cell>
          <cell r="AG48">
            <v>41394000</v>
          </cell>
          <cell r="AH48">
            <v>1</v>
          </cell>
          <cell r="AI48">
            <v>4799000</v>
          </cell>
          <cell r="AJ48">
            <v>10</v>
          </cell>
          <cell r="AK48">
            <v>99990000</v>
          </cell>
          <cell r="AR48">
            <v>216</v>
          </cell>
          <cell r="AS48">
            <v>811084000</v>
          </cell>
        </row>
        <row r="49">
          <cell r="B49">
            <v>6010710</v>
          </cell>
          <cell r="D49">
            <v>25</v>
          </cell>
          <cell r="E49">
            <v>61675000</v>
          </cell>
          <cell r="F49">
            <v>15</v>
          </cell>
          <cell r="G49">
            <v>38385000</v>
          </cell>
          <cell r="H49">
            <v>21</v>
          </cell>
          <cell r="I49">
            <v>44879000</v>
          </cell>
          <cell r="N49">
            <v>10</v>
          </cell>
          <cell r="O49">
            <v>40590000</v>
          </cell>
          <cell r="P49">
            <v>9</v>
          </cell>
          <cell r="Q49">
            <v>29691000</v>
          </cell>
          <cell r="R49">
            <v>1</v>
          </cell>
          <cell r="S49">
            <v>3599000</v>
          </cell>
          <cell r="X49">
            <v>1</v>
          </cell>
          <cell r="Y49">
            <v>5499000</v>
          </cell>
          <cell r="AB49">
            <v>4</v>
          </cell>
          <cell r="AC49">
            <v>23596000</v>
          </cell>
          <cell r="AH49">
            <v>1</v>
          </cell>
          <cell r="AI49">
            <v>5699000</v>
          </cell>
          <cell r="AJ49">
            <v>5</v>
          </cell>
          <cell r="AK49">
            <v>49995000</v>
          </cell>
          <cell r="AR49">
            <v>92</v>
          </cell>
          <cell r="AS49">
            <v>303608000</v>
          </cell>
        </row>
        <row r="50">
          <cell r="B50">
            <v>6010709</v>
          </cell>
          <cell r="D50">
            <v>75</v>
          </cell>
          <cell r="E50">
            <v>181425000</v>
          </cell>
          <cell r="F50">
            <v>30</v>
          </cell>
          <cell r="G50">
            <v>81170000</v>
          </cell>
          <cell r="H50">
            <v>102</v>
          </cell>
          <cell r="I50">
            <v>225098000</v>
          </cell>
          <cell r="N50">
            <v>50</v>
          </cell>
          <cell r="O50">
            <v>219550000</v>
          </cell>
          <cell r="P50">
            <v>9</v>
          </cell>
          <cell r="Q50">
            <v>29691000</v>
          </cell>
          <cell r="R50">
            <v>4</v>
          </cell>
          <cell r="S50">
            <v>14396000</v>
          </cell>
          <cell r="T50">
            <v>2</v>
          </cell>
          <cell r="U50">
            <v>15998000</v>
          </cell>
          <cell r="V50">
            <v>6</v>
          </cell>
          <cell r="W50">
            <v>21594000</v>
          </cell>
          <cell r="X50">
            <v>7</v>
          </cell>
          <cell r="Y50">
            <v>41693000</v>
          </cell>
          <cell r="AB50">
            <v>14</v>
          </cell>
          <cell r="AC50">
            <v>83186000</v>
          </cell>
          <cell r="AF50">
            <v>7</v>
          </cell>
          <cell r="AG50">
            <v>48293000</v>
          </cell>
          <cell r="AH50">
            <v>5</v>
          </cell>
          <cell r="AI50">
            <v>23995000</v>
          </cell>
          <cell r="AJ50">
            <v>5</v>
          </cell>
          <cell r="AK50">
            <v>49995000</v>
          </cell>
          <cell r="AN50">
            <v>2</v>
          </cell>
          <cell r="AO50">
            <v>15398000</v>
          </cell>
          <cell r="AR50">
            <v>318</v>
          </cell>
          <cell r="AS50">
            <v>1051482000</v>
          </cell>
        </row>
        <row r="51">
          <cell r="B51">
            <v>6010711</v>
          </cell>
          <cell r="D51">
            <v>5</v>
          </cell>
          <cell r="E51">
            <v>11495000</v>
          </cell>
          <cell r="F51">
            <v>1</v>
          </cell>
          <cell r="G51">
            <v>2799000</v>
          </cell>
          <cell r="H51">
            <v>4</v>
          </cell>
          <cell r="I51">
            <v>8996000</v>
          </cell>
          <cell r="L51">
            <v>2</v>
          </cell>
          <cell r="M51">
            <v>5998000</v>
          </cell>
          <cell r="N51">
            <v>2</v>
          </cell>
          <cell r="O51">
            <v>8198000</v>
          </cell>
          <cell r="P51">
            <v>1</v>
          </cell>
          <cell r="Q51">
            <v>3299000</v>
          </cell>
          <cell r="T51">
            <v>3</v>
          </cell>
          <cell r="U51">
            <v>23997000</v>
          </cell>
          <cell r="V51">
            <v>1</v>
          </cell>
          <cell r="W51">
            <v>3599000</v>
          </cell>
          <cell r="AB51">
            <v>2</v>
          </cell>
          <cell r="AC51">
            <v>11798000</v>
          </cell>
          <cell r="AD51">
            <v>2</v>
          </cell>
          <cell r="AE51">
            <v>51998000</v>
          </cell>
          <cell r="AH51">
            <v>1</v>
          </cell>
          <cell r="AI51">
            <v>4799000</v>
          </cell>
          <cell r="AJ51">
            <v>3</v>
          </cell>
          <cell r="AK51">
            <v>29997000</v>
          </cell>
          <cell r="AR51">
            <v>27</v>
          </cell>
          <cell r="AS51">
            <v>166973000</v>
          </cell>
        </row>
        <row r="52">
          <cell r="B52">
            <v>6150702</v>
          </cell>
          <cell r="F52">
            <v>1</v>
          </cell>
          <cell r="G52">
            <v>2799000</v>
          </cell>
          <cell r="N52">
            <v>2</v>
          </cell>
          <cell r="O52">
            <v>8598000</v>
          </cell>
          <cell r="P52">
            <v>1</v>
          </cell>
          <cell r="Q52">
            <v>3299000</v>
          </cell>
          <cell r="R52">
            <v>1</v>
          </cell>
          <cell r="S52">
            <v>3599000</v>
          </cell>
          <cell r="Z52">
            <v>1</v>
          </cell>
          <cell r="AA52">
            <v>11999000</v>
          </cell>
          <cell r="AB52">
            <v>3</v>
          </cell>
          <cell r="AC52">
            <v>17697000</v>
          </cell>
          <cell r="AF52">
            <v>1</v>
          </cell>
          <cell r="AG52">
            <v>6899000</v>
          </cell>
          <cell r="AJ52">
            <v>1</v>
          </cell>
          <cell r="AK52">
            <v>9999000</v>
          </cell>
          <cell r="AR52">
            <v>11</v>
          </cell>
          <cell r="AS52">
            <v>64889000</v>
          </cell>
        </row>
        <row r="53">
          <cell r="B53">
            <v>6100702</v>
          </cell>
          <cell r="D53">
            <v>5</v>
          </cell>
          <cell r="E53">
            <v>12395000</v>
          </cell>
          <cell r="F53">
            <v>1</v>
          </cell>
          <cell r="G53">
            <v>2399000</v>
          </cell>
          <cell r="H53">
            <v>3</v>
          </cell>
          <cell r="I53">
            <v>6297000</v>
          </cell>
          <cell r="N53">
            <v>1</v>
          </cell>
          <cell r="O53">
            <v>3899000</v>
          </cell>
          <cell r="R53">
            <v>1</v>
          </cell>
          <cell r="S53">
            <v>3599000</v>
          </cell>
          <cell r="T53">
            <v>2</v>
          </cell>
          <cell r="U53">
            <v>13998000</v>
          </cell>
          <cell r="V53">
            <v>2</v>
          </cell>
          <cell r="W53">
            <v>7198000</v>
          </cell>
          <cell r="X53">
            <v>3</v>
          </cell>
          <cell r="Y53">
            <v>18097000</v>
          </cell>
          <cell r="Z53">
            <v>1</v>
          </cell>
          <cell r="AA53">
            <v>11999000</v>
          </cell>
          <cell r="AJ53">
            <v>2</v>
          </cell>
          <cell r="AK53">
            <v>19998000</v>
          </cell>
          <cell r="AN53">
            <v>2</v>
          </cell>
          <cell r="AO53">
            <v>15398000</v>
          </cell>
          <cell r="AR53">
            <v>23</v>
          </cell>
          <cell r="AS53">
            <v>115277000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A6" t="str">
            <v>Sum of Qty</v>
          </cell>
        </row>
      </sheetData>
      <sheetData sheetId="42">
        <row r="3">
          <cell r="D3" t="str">
            <v>Sales / Retur</v>
          </cell>
        </row>
        <row r="4">
          <cell r="A4" t="str">
            <v>Tgl</v>
          </cell>
          <cell r="B4" t="str">
            <v>单据来源</v>
          </cell>
          <cell r="C4" t="str">
            <v>单据状态</v>
          </cell>
          <cell r="D4" t="str">
            <v>退货状态</v>
          </cell>
          <cell r="E4" t="str">
            <v>销售渠道</v>
          </cell>
        </row>
        <row r="16">
          <cell r="A16" t="str">
            <v>ID STORE</v>
          </cell>
          <cell r="B16" t="str">
            <v>STORE NAME</v>
          </cell>
          <cell r="C16" t="str">
            <v>VALUE</v>
          </cell>
          <cell r="D16" t="str">
            <v>QTY</v>
          </cell>
          <cell r="E16" t="str">
            <v>ASP</v>
          </cell>
        </row>
        <row r="17">
          <cell r="A17">
            <v>6010708</v>
          </cell>
          <cell r="B17" t="str">
            <v>6010708-MVS SHOWROOM CENTRAL PARK</v>
          </cell>
          <cell r="C17">
            <v>300439000</v>
          </cell>
          <cell r="D17">
            <v>61</v>
          </cell>
          <cell r="E17">
            <v>4925229.5081967209</v>
          </cell>
        </row>
        <row r="18">
          <cell r="A18">
            <v>6010701</v>
          </cell>
          <cell r="B18" t="str">
            <v>6010701-MVS ROXY SHOWROOM 21</v>
          </cell>
          <cell r="C18">
            <v>862763000</v>
          </cell>
          <cell r="D18">
            <v>237</v>
          </cell>
          <cell r="E18">
            <v>3640350.2109704642</v>
          </cell>
        </row>
        <row r="19">
          <cell r="A19">
            <v>6010702</v>
          </cell>
          <cell r="B19" t="str">
            <v>6010702-ME ROXY PAMERAN TIMUR</v>
          </cell>
          <cell r="C19">
            <v>782242000</v>
          </cell>
          <cell r="D19">
            <v>258</v>
          </cell>
          <cell r="E19">
            <v>3031945.7364341086</v>
          </cell>
        </row>
        <row r="20">
          <cell r="A20">
            <v>6010703</v>
          </cell>
          <cell r="B20" t="str">
            <v>6010703-VIVO STORE WINSHOP</v>
          </cell>
          <cell r="C20">
            <v>317878000</v>
          </cell>
          <cell r="D20">
            <v>122</v>
          </cell>
          <cell r="E20">
            <v>2605557.3770491802</v>
          </cell>
        </row>
        <row r="21">
          <cell r="A21">
            <v>6020711</v>
          </cell>
          <cell r="B21" t="str">
            <v>6020711-vivostore emporium</v>
          </cell>
          <cell r="C21">
            <v>464728000</v>
          </cell>
          <cell r="D21">
            <v>72</v>
          </cell>
          <cell r="E21">
            <v>6454555.555555556</v>
          </cell>
        </row>
        <row r="22">
          <cell r="A22">
            <v>6010711</v>
          </cell>
          <cell r="B22" t="str">
            <v>6010711-LIPPO MALL PURI 1FK02</v>
          </cell>
          <cell r="C22">
            <v>296354000</v>
          </cell>
          <cell r="D22">
            <v>46</v>
          </cell>
          <cell r="E22">
            <v>6442478.2608695654</v>
          </cell>
        </row>
        <row r="23">
          <cell r="A23">
            <v>6020706</v>
          </cell>
          <cell r="B23" t="str">
            <v>6020706-MVS CEMPAKA SHOWROOM 2 (454)</v>
          </cell>
          <cell r="C23">
            <v>283313000</v>
          </cell>
          <cell r="D23">
            <v>87</v>
          </cell>
          <cell r="E23">
            <v>3256471.264367816</v>
          </cell>
        </row>
        <row r="24">
          <cell r="A24">
            <v>6020704</v>
          </cell>
          <cell r="B24" t="str">
            <v>6020704-MVS CEMPAKA SHOWROOM 14 (8TOKO)</v>
          </cell>
          <cell r="C24">
            <v>172153000</v>
          </cell>
          <cell r="D24">
            <v>47</v>
          </cell>
          <cell r="E24">
            <v>3662829.7872340428</v>
          </cell>
        </row>
        <row r="25">
          <cell r="A25">
            <v>6080712</v>
          </cell>
          <cell r="B25" t="str">
            <v>6080712-MVS ITC DEPOK VIVO STORE 2</v>
          </cell>
          <cell r="C25">
            <v>177860000</v>
          </cell>
          <cell r="D25">
            <v>40</v>
          </cell>
          <cell r="E25">
            <v>4446500</v>
          </cell>
        </row>
        <row r="26">
          <cell r="A26">
            <v>6040702</v>
          </cell>
          <cell r="B26" t="str">
            <v>6040702-TRAN STUDIO MALL 2F059</v>
          </cell>
          <cell r="C26">
            <v>151167000</v>
          </cell>
          <cell r="D26">
            <v>33</v>
          </cell>
          <cell r="E26">
            <v>4580818.1818181816</v>
          </cell>
        </row>
        <row r="27">
          <cell r="A27">
            <v>6040703</v>
          </cell>
          <cell r="B27" t="str">
            <v>6040703-SAWANGAN 1F1-0320</v>
          </cell>
          <cell r="C27">
            <v>146771000</v>
          </cell>
          <cell r="D27">
            <v>29</v>
          </cell>
          <cell r="E27">
            <v>5061068.9655172415</v>
          </cell>
        </row>
        <row r="28">
          <cell r="A28">
            <v>6050701</v>
          </cell>
          <cell r="B28" t="str">
            <v>6050701-MVS X6 DS0824</v>
          </cell>
          <cell r="C28">
            <v>201862000</v>
          </cell>
          <cell r="D28">
            <v>38</v>
          </cell>
          <cell r="E28">
            <v>5312157.8947368423</v>
          </cell>
        </row>
        <row r="29">
          <cell r="A29">
            <v>6220701</v>
          </cell>
          <cell r="B29" t="str">
            <v>6220701-MVS MBH-VIP VIVO STORE-DD284</v>
          </cell>
          <cell r="C29">
            <v>200543000</v>
          </cell>
          <cell r="D29">
            <v>57</v>
          </cell>
          <cell r="E29">
            <v>3518298.2456140351</v>
          </cell>
        </row>
        <row r="30">
          <cell r="A30">
            <v>6180706</v>
          </cell>
          <cell r="B30" t="str">
            <v>6180706-MVS MALL CCM</v>
          </cell>
          <cell r="C30">
            <v>396900000</v>
          </cell>
          <cell r="D30">
            <v>100</v>
          </cell>
          <cell r="E30">
            <v>3969000</v>
          </cell>
        </row>
        <row r="31">
          <cell r="A31">
            <v>6180707</v>
          </cell>
          <cell r="B31" t="str">
            <v>6180707-SC BTM</v>
          </cell>
          <cell r="C31">
            <v>93277000</v>
          </cell>
          <cell r="D31">
            <v>23</v>
          </cell>
          <cell r="E31">
            <v>4055521.7391304346</v>
          </cell>
        </row>
        <row r="32">
          <cell r="A32">
            <v>6170707</v>
          </cell>
          <cell r="B32" t="str">
            <v>6170707-LG BLOK D NO. 01D</v>
          </cell>
          <cell r="C32">
            <v>231130000</v>
          </cell>
          <cell r="D32">
            <v>70</v>
          </cell>
          <cell r="E32">
            <v>3301857.1428571427</v>
          </cell>
        </row>
        <row r="33">
          <cell r="A33">
            <v>6170706</v>
          </cell>
          <cell r="B33" t="str">
            <v>A200802-CHARLES</v>
          </cell>
          <cell r="C33">
            <v>224425000</v>
          </cell>
          <cell r="D33">
            <v>75</v>
          </cell>
          <cell r="E33">
            <v>2992333.3333333335</v>
          </cell>
        </row>
        <row r="34">
          <cell r="A34">
            <v>6240704</v>
          </cell>
          <cell r="B34" t="str">
            <v>6240704-TANGCITY LG017 WEST LOBBY</v>
          </cell>
          <cell r="C34">
            <v>55281000</v>
          </cell>
          <cell r="D34">
            <v>19</v>
          </cell>
          <cell r="E34">
            <v>2909526.3157894737</v>
          </cell>
        </row>
        <row r="35">
          <cell r="A35">
            <v>6240703</v>
          </cell>
          <cell r="B35" t="str">
            <v>6240703-TANGCITY LG009 CENTER</v>
          </cell>
          <cell r="C35">
            <v>300927000</v>
          </cell>
          <cell r="D35">
            <v>73</v>
          </cell>
          <cell r="E35">
            <v>4122287.6712328768</v>
          </cell>
        </row>
        <row r="36">
          <cell r="A36">
            <v>6240705</v>
          </cell>
          <cell r="B36" t="str">
            <v>6240705-CIPUTRA 2FC15</v>
          </cell>
          <cell r="C36">
            <v>179966000</v>
          </cell>
          <cell r="D36">
            <v>34</v>
          </cell>
          <cell r="E36">
            <v>5293117.6470588231</v>
          </cell>
        </row>
        <row r="37">
          <cell r="A37">
            <v>6240709</v>
          </cell>
          <cell r="B37" t="str">
            <v>6240709-ITC BSD 1F49-50</v>
          </cell>
          <cell r="C37">
            <v>69486000</v>
          </cell>
          <cell r="D37">
            <v>14</v>
          </cell>
          <cell r="E37">
            <v>4963285.7142857146</v>
          </cell>
        </row>
        <row r="38">
          <cell r="A38">
            <v>6240708</v>
          </cell>
          <cell r="B38" t="str">
            <v>6240708-ITC BSD 1F09-14</v>
          </cell>
          <cell r="C38">
            <v>91879000</v>
          </cell>
          <cell r="D38">
            <v>21</v>
          </cell>
          <cell r="E38">
            <v>4375190.4761904757</v>
          </cell>
        </row>
        <row r="39">
          <cell r="A39">
            <v>6240707</v>
          </cell>
          <cell r="B39" t="str">
            <v>6240707-SUPERMALL UGN3A仓库</v>
          </cell>
          <cell r="C39">
            <v>124272000</v>
          </cell>
          <cell r="D39">
            <v>28</v>
          </cell>
          <cell r="E39">
            <v>4438285.7142857146</v>
          </cell>
        </row>
        <row r="40">
          <cell r="A40">
            <v>6240706</v>
          </cell>
          <cell r="B40" t="str">
            <v>6240706-SUPERMALL LGC3A</v>
          </cell>
          <cell r="C40">
            <v>82280000</v>
          </cell>
          <cell r="D40">
            <v>20</v>
          </cell>
          <cell r="E40">
            <v>4114000</v>
          </cell>
        </row>
        <row r="41">
          <cell r="A41">
            <v>6170703</v>
          </cell>
          <cell r="B41" t="str">
            <v>6170703-4004 MVS-BNT-CCM STORE</v>
          </cell>
          <cell r="C41">
            <v>72584000</v>
          </cell>
          <cell r="D41">
            <v>16</v>
          </cell>
          <cell r="E41">
            <v>4536500</v>
          </cell>
        </row>
        <row r="42">
          <cell r="A42">
            <v>6190701</v>
          </cell>
          <cell r="B42" t="str">
            <v>6190701-VIVO STORE UG</v>
          </cell>
          <cell r="C42">
            <v>122261000</v>
          </cell>
          <cell r="D42">
            <v>39</v>
          </cell>
          <cell r="E42">
            <v>3134897.435897436</v>
          </cell>
        </row>
        <row r="43">
          <cell r="A43">
            <v>6190704</v>
          </cell>
          <cell r="B43" t="str">
            <v>A300201-VIVO STORE 1 BEC</v>
          </cell>
          <cell r="C43">
            <v>385605000</v>
          </cell>
          <cell r="D43">
            <v>95</v>
          </cell>
          <cell r="E43">
            <v>4059000</v>
          </cell>
        </row>
        <row r="44">
          <cell r="A44">
            <v>6190707</v>
          </cell>
          <cell r="B44" t="str">
            <v>A300202-VIVO STORE LU</v>
          </cell>
          <cell r="C44">
            <v>380999000</v>
          </cell>
          <cell r="D44">
            <v>101</v>
          </cell>
          <cell r="E44">
            <v>3772267.3267326732</v>
          </cell>
        </row>
        <row r="45">
          <cell r="A45">
            <v>6100702</v>
          </cell>
          <cell r="B45" t="str">
            <v>6100702-VS Jogja City Mall</v>
          </cell>
          <cell r="C45">
            <v>127376000</v>
          </cell>
          <cell r="D45">
            <v>24</v>
          </cell>
          <cell r="E45">
            <v>5307333.333333333</v>
          </cell>
        </row>
        <row r="46">
          <cell r="A46">
            <v>6140703</v>
          </cell>
          <cell r="B46" t="str">
            <v>6140703-ML-VIVO STORE MEGA STORE</v>
          </cell>
          <cell r="C46">
            <v>0</v>
          </cell>
          <cell r="D46">
            <v>0</v>
          </cell>
          <cell r="E46" t="e">
            <v>#DIV/0!</v>
          </cell>
        </row>
        <row r="47">
          <cell r="A47">
            <v>6130702</v>
          </cell>
          <cell r="B47" t="str">
            <v>6130702-RITA SUPERMALL SF36-37</v>
          </cell>
          <cell r="C47">
            <v>251243000</v>
          </cell>
          <cell r="D47">
            <v>57</v>
          </cell>
          <cell r="E47">
            <v>4407771.9298245618</v>
          </cell>
        </row>
        <row r="48">
          <cell r="A48">
            <v>6140705</v>
          </cell>
          <cell r="B48" t="str">
            <v>6140705-QUEENCITY 2F027</v>
          </cell>
          <cell r="C48">
            <v>239458000</v>
          </cell>
          <cell r="D48">
            <v>42</v>
          </cell>
          <cell r="E48">
            <v>5701380.9523809524</v>
          </cell>
        </row>
        <row r="49">
          <cell r="A49">
            <v>6190705</v>
          </cell>
          <cell r="B49" t="str">
            <v>A300105-VIVO STORE LG F20</v>
          </cell>
          <cell r="C49">
            <v>83376000</v>
          </cell>
          <cell r="D49">
            <v>24</v>
          </cell>
          <cell r="E49">
            <v>3474000</v>
          </cell>
        </row>
        <row r="50">
          <cell r="A50">
            <v>6190706</v>
          </cell>
          <cell r="B50" t="str">
            <v>A300102-VIVO STORE 4 BEC</v>
          </cell>
          <cell r="C50">
            <v>530680000</v>
          </cell>
          <cell r="D50">
            <v>120</v>
          </cell>
          <cell r="E50">
            <v>4422333.333333333</v>
          </cell>
        </row>
        <row r="51">
          <cell r="A51">
            <v>6240702</v>
          </cell>
          <cell r="B51" t="str">
            <v>A200902-LG BLOK B NO. 01B</v>
          </cell>
          <cell r="C51">
            <v>339313000</v>
          </cell>
          <cell r="D51">
            <v>87</v>
          </cell>
          <cell r="E51">
            <v>3900149.4252873561</v>
          </cell>
        </row>
        <row r="52">
          <cell r="A52">
            <v>6240701</v>
          </cell>
          <cell r="B52" t="str">
            <v>A200803-LG BLOK A-B NO. 12</v>
          </cell>
          <cell r="C52">
            <v>299512000</v>
          </cell>
          <cell r="D52">
            <v>88</v>
          </cell>
          <cell r="E52">
            <v>3403545.4545454546</v>
          </cell>
        </row>
        <row r="53">
          <cell r="A53">
            <v>6040701</v>
          </cell>
          <cell r="B53" t="str">
            <v>A200402-ITC-VIVO STORE 1</v>
          </cell>
          <cell r="C53">
            <v>199750000</v>
          </cell>
          <cell r="D53">
            <v>50</v>
          </cell>
          <cell r="E53">
            <v>3995000</v>
          </cell>
        </row>
        <row r="54">
          <cell r="A54">
            <v>6010710</v>
          </cell>
          <cell r="B54" t="str">
            <v>A100304-PAMERAN SELATAN</v>
          </cell>
          <cell r="C54">
            <v>300196000</v>
          </cell>
          <cell r="D54">
            <v>104</v>
          </cell>
          <cell r="E54">
            <v>2886500</v>
          </cell>
        </row>
        <row r="55">
          <cell r="A55">
            <v>6010709</v>
          </cell>
          <cell r="B55" t="str">
            <v>A100303-PAMERAN UTARA</v>
          </cell>
          <cell r="C55">
            <v>898985000</v>
          </cell>
          <cell r="D55">
            <v>315</v>
          </cell>
          <cell r="E55">
            <v>2853920.6349206348</v>
          </cell>
        </row>
        <row r="56">
          <cell r="C56">
            <v>10439234000</v>
          </cell>
          <cell r="D56">
            <v>2766</v>
          </cell>
          <cell r="E56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196FE2-FEB0-EA4E-9E39-CE2AFCBBEBA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1c70b99-1385-45fc-8f57-f2118dd4fc3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0"/>
  <sheetViews>
    <sheetView zoomScale="88" zoomScaleNormal="88" workbookViewId="0">
      <selection sqref="A1:BQ50"/>
    </sheetView>
  </sheetViews>
  <sheetFormatPr baseColWidth="10" defaultColWidth="11" defaultRowHeight="16" x14ac:dyDescent="0.2"/>
  <cols>
    <col min="4" max="4" width="50.83203125" customWidth="1"/>
    <col min="5" max="5" width="18.1640625" customWidth="1"/>
    <col min="8" max="8" width="13.6640625" customWidth="1"/>
    <col min="18" max="18" width="12.6640625" customWidth="1"/>
    <col min="20" max="20" width="14.1640625" customWidth="1"/>
  </cols>
  <sheetData>
    <row r="1" spans="1:69" ht="16" customHeight="1" x14ac:dyDescent="0.2">
      <c r="A1" s="270" t="s">
        <v>0</v>
      </c>
      <c r="B1" s="271"/>
      <c r="C1" s="271"/>
      <c r="D1" s="97" t="s">
        <v>1</v>
      </c>
      <c r="E1" s="97" t="s">
        <v>2</v>
      </c>
      <c r="F1" s="98" t="s">
        <v>3</v>
      </c>
      <c r="G1" s="274" t="s">
        <v>4</v>
      </c>
      <c r="H1" s="275"/>
      <c r="I1" s="274" t="s">
        <v>5</v>
      </c>
      <c r="J1" s="279"/>
      <c r="K1" s="280"/>
      <c r="L1" s="280"/>
      <c r="M1" s="280"/>
      <c r="N1" s="280"/>
      <c r="O1" s="280"/>
      <c r="P1" s="280"/>
      <c r="Q1" s="280"/>
      <c r="R1" s="280"/>
      <c r="S1" s="280"/>
      <c r="T1" s="281"/>
      <c r="U1" s="274" t="s">
        <v>6</v>
      </c>
      <c r="V1" s="279"/>
      <c r="W1" s="280"/>
      <c r="X1" s="280"/>
      <c r="Y1" s="280"/>
      <c r="Z1" s="280"/>
      <c r="AA1" s="280"/>
      <c r="AB1" s="281"/>
      <c r="AC1" s="274" t="s">
        <v>7</v>
      </c>
      <c r="AD1" s="275"/>
      <c r="AE1" s="274" t="s">
        <v>8</v>
      </c>
      <c r="AF1" s="279"/>
      <c r="AG1" s="280"/>
      <c r="AH1" s="281"/>
      <c r="AI1" s="240" t="s">
        <v>9</v>
      </c>
      <c r="AJ1" s="241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2"/>
      <c r="BB1" s="285"/>
      <c r="BC1" s="240" t="s">
        <v>10</v>
      </c>
      <c r="BD1" s="241"/>
      <c r="BE1" s="242"/>
      <c r="BF1" s="242"/>
      <c r="BG1" s="242"/>
      <c r="BH1" s="242"/>
      <c r="BI1" s="242"/>
      <c r="BJ1" s="242"/>
      <c r="BK1" s="242"/>
      <c r="BL1" s="242"/>
      <c r="BM1" s="242"/>
      <c r="BN1" s="242"/>
      <c r="BO1" s="242"/>
      <c r="BP1" s="242"/>
      <c r="BQ1" s="243"/>
    </row>
    <row r="2" spans="1:69" ht="16" customHeight="1" x14ac:dyDescent="0.2">
      <c r="A2" s="272"/>
      <c r="B2" s="273"/>
      <c r="C2" s="273"/>
      <c r="D2" s="99">
        <v>30</v>
      </c>
      <c r="E2" s="99">
        <v>28</v>
      </c>
      <c r="F2" s="100">
        <f>E2/D2</f>
        <v>0.93333333333333335</v>
      </c>
      <c r="G2" s="276"/>
      <c r="H2" s="277"/>
      <c r="I2" s="276"/>
      <c r="J2" s="282"/>
      <c r="K2" s="283"/>
      <c r="L2" s="283"/>
      <c r="M2" s="283"/>
      <c r="N2" s="283"/>
      <c r="O2" s="283"/>
      <c r="P2" s="283"/>
      <c r="Q2" s="283"/>
      <c r="R2" s="283"/>
      <c r="S2" s="283"/>
      <c r="T2" s="284"/>
      <c r="U2" s="276"/>
      <c r="V2" s="282"/>
      <c r="W2" s="283"/>
      <c r="X2" s="283"/>
      <c r="Y2" s="283"/>
      <c r="Z2" s="283"/>
      <c r="AA2" s="283"/>
      <c r="AB2" s="284"/>
      <c r="AC2" s="276"/>
      <c r="AD2" s="277"/>
      <c r="AE2" s="276"/>
      <c r="AF2" s="282"/>
      <c r="AG2" s="283"/>
      <c r="AH2" s="284"/>
      <c r="AI2" s="244"/>
      <c r="AJ2" s="245"/>
      <c r="AK2" s="246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86"/>
      <c r="BC2" s="244" t="s">
        <v>11</v>
      </c>
      <c r="BD2" s="245"/>
      <c r="BE2" s="246"/>
      <c r="BF2" s="246" t="s">
        <v>12</v>
      </c>
      <c r="BG2" s="246"/>
      <c r="BH2" s="246"/>
      <c r="BI2" s="246" t="s">
        <v>13</v>
      </c>
      <c r="BJ2" s="246"/>
      <c r="BK2" s="246"/>
      <c r="BL2" s="246" t="s">
        <v>14</v>
      </c>
      <c r="BM2" s="246"/>
      <c r="BN2" s="246"/>
      <c r="BO2" s="246" t="s">
        <v>15</v>
      </c>
      <c r="BP2" s="246"/>
      <c r="BQ2" s="247"/>
    </row>
    <row r="3" spans="1:69" ht="16" customHeight="1" x14ac:dyDescent="0.2">
      <c r="A3" s="248" t="s">
        <v>16</v>
      </c>
      <c r="B3" s="250" t="s">
        <v>17</v>
      </c>
      <c r="C3" s="250" t="s">
        <v>18</v>
      </c>
      <c r="D3" s="250" t="s">
        <v>19</v>
      </c>
      <c r="E3" s="250" t="s">
        <v>77</v>
      </c>
      <c r="F3" s="255" t="s">
        <v>20</v>
      </c>
      <c r="G3" s="257"/>
      <c r="H3" s="278"/>
      <c r="I3" s="257"/>
      <c r="J3" s="259"/>
      <c r="K3" s="253"/>
      <c r="L3" s="253"/>
      <c r="M3" s="253"/>
      <c r="N3" s="253"/>
      <c r="O3" s="253"/>
      <c r="P3" s="253"/>
      <c r="Q3" s="253"/>
      <c r="R3" s="253"/>
      <c r="S3" s="253"/>
      <c r="T3" s="265"/>
      <c r="U3" s="257"/>
      <c r="V3" s="259"/>
      <c r="W3" s="253"/>
      <c r="X3" s="253"/>
      <c r="Y3" s="253"/>
      <c r="Z3" s="253"/>
      <c r="AA3" s="253"/>
      <c r="AB3" s="265"/>
      <c r="AC3" s="257"/>
      <c r="AD3" s="278"/>
      <c r="AE3" s="257"/>
      <c r="AF3" s="259"/>
      <c r="AG3" s="253"/>
      <c r="AH3" s="265"/>
      <c r="AI3" s="261" t="s">
        <v>21</v>
      </c>
      <c r="AJ3" s="262"/>
      <c r="AK3" s="263"/>
      <c r="AL3" s="263"/>
      <c r="AM3" s="253" t="s">
        <v>22</v>
      </c>
      <c r="AN3" s="253"/>
      <c r="AO3" s="253"/>
      <c r="AP3" s="253"/>
      <c r="AQ3" s="253" t="s">
        <v>23</v>
      </c>
      <c r="AR3" s="253"/>
      <c r="AS3" s="253"/>
      <c r="AT3" s="253"/>
      <c r="AU3" s="264" t="s">
        <v>24</v>
      </c>
      <c r="AV3" s="264"/>
      <c r="AW3" s="264"/>
      <c r="AX3" s="264"/>
      <c r="AY3" s="253" t="s">
        <v>25</v>
      </c>
      <c r="AZ3" s="253"/>
      <c r="BA3" s="253"/>
      <c r="BB3" s="265"/>
      <c r="BC3" s="257" t="s">
        <v>26</v>
      </c>
      <c r="BD3" s="259" t="s">
        <v>27</v>
      </c>
      <c r="BE3" s="253" t="s">
        <v>28</v>
      </c>
      <c r="BF3" s="253" t="s">
        <v>29</v>
      </c>
      <c r="BG3" s="253" t="s">
        <v>27</v>
      </c>
      <c r="BH3" s="253" t="s">
        <v>28</v>
      </c>
      <c r="BI3" s="253" t="s">
        <v>30</v>
      </c>
      <c r="BJ3" s="253" t="s">
        <v>27</v>
      </c>
      <c r="BK3" s="253" t="s">
        <v>28</v>
      </c>
      <c r="BL3" s="253" t="s">
        <v>31</v>
      </c>
      <c r="BM3" s="253" t="s">
        <v>27</v>
      </c>
      <c r="BN3" s="253" t="s">
        <v>28</v>
      </c>
      <c r="BO3" s="253" t="s">
        <v>32</v>
      </c>
      <c r="BP3" s="253" t="s">
        <v>27</v>
      </c>
      <c r="BQ3" s="268" t="s">
        <v>28</v>
      </c>
    </row>
    <row r="4" spans="1:69" ht="29" thickBot="1" x14ac:dyDescent="0.25">
      <c r="A4" s="249"/>
      <c r="B4" s="251"/>
      <c r="C4" s="252"/>
      <c r="D4" s="251"/>
      <c r="E4" s="251"/>
      <c r="F4" s="256"/>
      <c r="G4" s="101" t="s">
        <v>21</v>
      </c>
      <c r="H4" s="102" t="s">
        <v>24</v>
      </c>
      <c r="I4" s="103" t="s">
        <v>24</v>
      </c>
      <c r="J4" s="104" t="s">
        <v>28</v>
      </c>
      <c r="K4" s="105" t="s">
        <v>33</v>
      </c>
      <c r="L4" s="106" t="s">
        <v>34</v>
      </c>
      <c r="M4" s="106" t="s">
        <v>23</v>
      </c>
      <c r="N4" s="106" t="s">
        <v>28</v>
      </c>
      <c r="O4" s="106" t="s">
        <v>8</v>
      </c>
      <c r="P4" s="106" t="s">
        <v>28</v>
      </c>
      <c r="Q4" s="106" t="s">
        <v>35</v>
      </c>
      <c r="R4" s="107" t="s">
        <v>21</v>
      </c>
      <c r="S4" s="107" t="s">
        <v>28</v>
      </c>
      <c r="T4" s="108" t="s">
        <v>33</v>
      </c>
      <c r="U4" s="103" t="s">
        <v>24</v>
      </c>
      <c r="V4" s="104" t="s">
        <v>28</v>
      </c>
      <c r="W4" s="109" t="s">
        <v>33</v>
      </c>
      <c r="X4" s="110" t="s">
        <v>23</v>
      </c>
      <c r="Y4" s="110" t="s">
        <v>33</v>
      </c>
      <c r="Z4" s="111" t="s">
        <v>21</v>
      </c>
      <c r="AA4" s="111" t="s">
        <v>33</v>
      </c>
      <c r="AB4" s="112" t="s">
        <v>28</v>
      </c>
      <c r="AC4" s="113" t="s">
        <v>21</v>
      </c>
      <c r="AD4" s="114" t="s">
        <v>24</v>
      </c>
      <c r="AE4" s="115" t="s">
        <v>36</v>
      </c>
      <c r="AF4" s="116" t="s">
        <v>37</v>
      </c>
      <c r="AG4" s="117" t="s">
        <v>33</v>
      </c>
      <c r="AH4" s="118" t="s">
        <v>28</v>
      </c>
      <c r="AI4" s="119" t="s">
        <v>36</v>
      </c>
      <c r="AJ4" s="120" t="s">
        <v>37</v>
      </c>
      <c r="AK4" s="121" t="s">
        <v>33</v>
      </c>
      <c r="AL4" s="121" t="s">
        <v>28</v>
      </c>
      <c r="AM4" s="122" t="s">
        <v>36</v>
      </c>
      <c r="AN4" s="122" t="s">
        <v>37</v>
      </c>
      <c r="AO4" s="122" t="s">
        <v>33</v>
      </c>
      <c r="AP4" s="122" t="s">
        <v>28</v>
      </c>
      <c r="AQ4" s="122" t="s">
        <v>36</v>
      </c>
      <c r="AR4" s="122" t="s">
        <v>37</v>
      </c>
      <c r="AS4" s="122" t="s">
        <v>33</v>
      </c>
      <c r="AT4" s="122" t="s">
        <v>38</v>
      </c>
      <c r="AU4" s="105" t="s">
        <v>36</v>
      </c>
      <c r="AV4" s="105" t="s">
        <v>37</v>
      </c>
      <c r="AW4" s="105" t="s">
        <v>33</v>
      </c>
      <c r="AX4" s="105" t="s">
        <v>28</v>
      </c>
      <c r="AY4" s="122" t="s">
        <v>36</v>
      </c>
      <c r="AZ4" s="122" t="s">
        <v>37</v>
      </c>
      <c r="BA4" s="122" t="s">
        <v>33</v>
      </c>
      <c r="BB4" s="123" t="s">
        <v>28</v>
      </c>
      <c r="BC4" s="258"/>
      <c r="BD4" s="260"/>
      <c r="BE4" s="254"/>
      <c r="BF4" s="254"/>
      <c r="BG4" s="254"/>
      <c r="BH4" s="254"/>
      <c r="BI4" s="254"/>
      <c r="BJ4" s="254"/>
      <c r="BK4" s="254"/>
      <c r="BL4" s="254"/>
      <c r="BM4" s="254"/>
      <c r="BN4" s="254"/>
      <c r="BO4" s="254"/>
      <c r="BP4" s="254"/>
      <c r="BQ4" s="269"/>
    </row>
    <row r="5" spans="1:69" ht="17" thickBot="1" x14ac:dyDescent="0.25">
      <c r="A5" s="124">
        <v>1</v>
      </c>
      <c r="B5" s="125" t="s">
        <v>39</v>
      </c>
      <c r="C5" s="125">
        <v>6010708</v>
      </c>
      <c r="D5" s="36" t="str">
        <f>IFERROR(INDEX('[1]Target store'!$C$5:$C$47,MATCH($C5&amp;"-*",'[1]Target store'!$C$5:$C$47,0)),"NOT FOUND")</f>
        <v>6010708-CENTRAL PARK SHOWROOM</v>
      </c>
      <c r="E5" s="36" t="s">
        <v>40</v>
      </c>
      <c r="F5" s="126">
        <v>3</v>
      </c>
      <c r="G5" s="127">
        <f>_xlfn.XLOOKUP(D:D,'[1]Target store'!C:C,'[1]Target store'!F:F,0)</f>
        <v>110</v>
      </c>
      <c r="H5" s="128">
        <f>_xlfn.XLOOKUP(D:D,'[1]Target store'!C:C,'[1]Target store'!G:G,0)</f>
        <v>600000000</v>
      </c>
      <c r="I5" s="129">
        <f>IFERROR(GETPIVOTDATA("Sum of SRP",'[1]DEVICE &amp; VALUE'!$A$6,"ID Store",$C5),0)</f>
        <v>468322000</v>
      </c>
      <c r="J5" s="130">
        <f>IFERROR(I5/H5,0)</f>
        <v>0.78053666666666666</v>
      </c>
      <c r="K5" s="131">
        <f>I5-H5</f>
        <v>-131678000</v>
      </c>
      <c r="L5" s="132">
        <f>IFERROR(GETPIVOTDATA("Sum of Qty",[1]PF!$A$5,"ID Store",$C5),0)</f>
        <v>6</v>
      </c>
      <c r="M5" s="133">
        <f>IFERROR(GETPIVOTDATA("Sum of Qty",'[1]DEVICE &amp; VALUE'!$A$6,"ID Store",$C5,"Segment Price","3mio&gt;"),0)</f>
        <v>43</v>
      </c>
      <c r="N5" s="134">
        <f>IFERROR(M5/R5,0)</f>
        <v>0.55128205128205132</v>
      </c>
      <c r="O5" s="135">
        <f>IFERROR(GETPIVOTDATA("Sum of Qty",[1]IQOO!$A$6,"ID Store",$C5),0)</f>
        <v>2</v>
      </c>
      <c r="P5" s="134">
        <f>IFERROR(O5/R5,0)</f>
        <v>2.564102564102564E-2</v>
      </c>
      <c r="Q5" s="136">
        <f>IFERROR(M5/R5,0)</f>
        <v>0.55128205128205132</v>
      </c>
      <c r="R5" s="135">
        <f>IFERROR(GETPIVOTDATA("Sum of Qty",'[1]DEVICE &amp; VALUE'!$A$6,"ID Store",$C5),0)</f>
        <v>78</v>
      </c>
      <c r="S5" s="135">
        <f>R5/G5</f>
        <v>0.70909090909090911</v>
      </c>
      <c r="T5" s="135">
        <f>R5-G5</f>
        <v>-32</v>
      </c>
      <c r="U5" s="137">
        <f>I5/$E$2*$D$2</f>
        <v>501773571.42857146</v>
      </c>
      <c r="V5" s="130">
        <f>IFERROR(U5/H5,0)</f>
        <v>0.83628928571428574</v>
      </c>
      <c r="W5" s="138">
        <f>U5-H5</f>
        <v>-98226428.571428537</v>
      </c>
      <c r="X5" s="139">
        <f t="shared" ref="X5:X49" si="0">M5/$E$2*$D$2</f>
        <v>46.071428571428577</v>
      </c>
      <c r="Y5" s="140">
        <f t="shared" ref="Y5:Y49" si="1">X5-G5</f>
        <v>-63.928571428571423</v>
      </c>
      <c r="Z5" s="140">
        <f>R5/$E$2*$D$2</f>
        <v>83.571428571428569</v>
      </c>
      <c r="AA5" s="140">
        <f>Z5-G5</f>
        <v>-26.428571428571431</v>
      </c>
      <c r="AB5" s="140">
        <f>IFERROR(Z5/G5,0)</f>
        <v>0.75974025974025972</v>
      </c>
      <c r="AC5" s="238">
        <f>IFERROR(($G5-$R5)/($D$2-$E$2),0)</f>
        <v>16</v>
      </c>
      <c r="AD5" s="141">
        <f>IFERROR(($H5-$I5)/($D$2-$E$2),0)</f>
        <v>65839000</v>
      </c>
      <c r="AE5" s="142">
        <f>IFERROR(GETPIVOTDATA("Sum of Qty",'[1]DATA LAST MONTH IQOO'!$A$6,"ID Store",$C5),0)</f>
        <v>1</v>
      </c>
      <c r="AF5" s="143">
        <f>IFERROR(GETPIVOTDATA("Sum of Qty",[1]IQOO!$A$6,"ID Store",$C5),0)</f>
        <v>2</v>
      </c>
      <c r="AG5" s="144">
        <f t="shared" ref="AG5:AG49" si="2">AF5-AE5</f>
        <v>1</v>
      </c>
      <c r="AH5" s="136">
        <f t="shared" ref="AH5:AH49" si="3">IFERROR(AG5/AE5,0)</f>
        <v>1</v>
      </c>
      <c r="AI5" s="145">
        <f>IFERROR(GETPIVOTDATA("Sum of Qty",'[1]DATA LAST MONTH DEVICE'!$A$6,"ID Store",$C5),0)</f>
        <v>61</v>
      </c>
      <c r="AJ5" s="146">
        <f>R5</f>
        <v>78</v>
      </c>
      <c r="AK5" s="147">
        <f t="shared" ref="AK5:AK49" si="4">AJ5-AI5</f>
        <v>17</v>
      </c>
      <c r="AL5" s="148">
        <f t="shared" ref="AL5:AL49" si="5">IFERROR(AK5/AI5,0)</f>
        <v>0.27868852459016391</v>
      </c>
      <c r="AM5" s="133">
        <f>IFERROR(GETPIVOTDATA("Sum of Qty",'[1]Store 3mio+ last month'!$A$6,"ID Store",$C5),0)</f>
        <v>71</v>
      </c>
      <c r="AN5" s="144">
        <f t="shared" ref="AN5:AN49" si="6">VLOOKUP(C:C,C:Z,24,0)</f>
        <v>83.571428571428569</v>
      </c>
      <c r="AO5" s="144">
        <f t="shared" ref="AO5:AO49" si="7">AN5-AM5</f>
        <v>12.571428571428569</v>
      </c>
      <c r="AP5" s="134">
        <f t="shared" ref="AP5:AP49" si="8">IFERROR(AO5/AM5,0)</f>
        <v>0.1770623742454728</v>
      </c>
      <c r="AQ5" s="133">
        <f>IFERROR(GETPIVOTDATA("Sum of Qty",'[1]DATA LAST MONTH DEVICE'!$A$6,"ID Store",$C5,"Segment Price","3mio&gt;"),0)</f>
        <v>30</v>
      </c>
      <c r="AR5" s="135">
        <f t="shared" ref="AR5:AR49" si="9">M5</f>
        <v>43</v>
      </c>
      <c r="AS5" s="135">
        <f t="shared" ref="AS5:AS49" si="10">AR5-AQ5</f>
        <v>13</v>
      </c>
      <c r="AT5" s="136">
        <f t="shared" ref="AT5:AT49" si="11">IFERROR(AS5/AQ5,0)</f>
        <v>0.43333333333333335</v>
      </c>
      <c r="AU5" s="129">
        <f>IFERROR(GETPIVOTDATA("Sum of SRP",'[1]DATA LAST MONTH DEVICE'!$A$6,"ID Store",$C5),0)</f>
        <v>300439000</v>
      </c>
      <c r="AV5" s="129">
        <f>I5</f>
        <v>468322000</v>
      </c>
      <c r="AW5" s="149">
        <f t="shared" ref="AW5:AW49" si="12">AV5-AU5</f>
        <v>167883000</v>
      </c>
      <c r="AX5" s="150">
        <f t="shared" ref="AX5:AX49" si="13">IFERROR(AW5/AU5,0)</f>
        <v>0.55879230060012186</v>
      </c>
      <c r="AY5" s="151">
        <f>IFERROR(VLOOKUP(C5,'[1]DATA SALES LAST MONTH'!A:E,5,0),0)</f>
        <v>4925229.5081967209</v>
      </c>
      <c r="AZ5" s="152">
        <f>IFERROR(U5/Z5,0)</f>
        <v>6004128.2051282059</v>
      </c>
      <c r="BA5" s="152">
        <f t="shared" ref="BA5:BA49" si="14">AZ5-AY5</f>
        <v>1078898.6969314851</v>
      </c>
      <c r="BB5" s="136">
        <f t="shared" ref="BB5:BB49" si="15">IFERROR(BA5/AY5,0)</f>
        <v>0.21905551713599297</v>
      </c>
      <c r="BC5" s="153">
        <f>_xlfn.XLOOKUP(D:D,'[1]Target store'!C:C,'[1]Target store'!J:J,0)</f>
        <v>11</v>
      </c>
      <c r="BD5" s="132">
        <f>IFERROR(GETPIVOTDATA("Sum of Qty",[1]ACC!$A$5,"ID Store",$C5),0)</f>
        <v>14</v>
      </c>
      <c r="BE5" s="134">
        <f t="shared" ref="BE5:BE49" si="16">IFERROR(BD5/BC5,0)</f>
        <v>1.2727272727272727</v>
      </c>
      <c r="BF5" s="154">
        <f>_xlfn.XLOOKUP(D:D,'[1]Target store'!C:C,'[1]Target store'!K:K,0)</f>
        <v>2700000</v>
      </c>
      <c r="BG5" s="154">
        <f>IFERROR(GETPIVOTDATA("Sum of SRP",'[1]Insurance by Store'!$A$5,"ID Store",$C5,"Product Type","Qoala"),0)</f>
        <v>954000</v>
      </c>
      <c r="BH5" s="134">
        <f t="shared" ref="BH5:BH49" si="17">IFERROR(BG5/BF5,0)</f>
        <v>0.35333333333333333</v>
      </c>
      <c r="BI5" s="154">
        <f>_xlfn.XLOOKUP(D:D,'[1]Target store'!C:C,'[1]Target store'!L:L,0)</f>
        <v>600000</v>
      </c>
      <c r="BJ5" s="154">
        <f>IFERROR(GETPIVOTDATA("Sum of SRP",'[1]Insurance by Store'!$A$5,"ID Store",$C5,"Product Type","Vivo Care"),0)</f>
        <v>0</v>
      </c>
      <c r="BK5" s="134">
        <f t="shared" ref="BK5:BK49" si="18">IFERROR(BJ5/BI5,0)</f>
        <v>0</v>
      </c>
      <c r="BL5" s="144">
        <f>_xlfn.XLOOKUP(D:D,'[1]Target store'!C:C,'[1]Target store'!M:M,0)</f>
        <v>1200000</v>
      </c>
      <c r="BM5" s="133">
        <f>IFERROR(GETPIVOTDATA("Sum of Qty",'[1]Operator by Store'!$A$5,"ID Store",$C5,"Product Type","Indosat"),0)</f>
        <v>0</v>
      </c>
      <c r="BN5" s="134">
        <f t="shared" ref="BN5:BN49" si="19">IFERROR(BM5/BL5,0)</f>
        <v>0</v>
      </c>
      <c r="BO5" s="144">
        <f>_xlfn.XLOOKUP(D:D,'[1]Target store'!C:C,'[1]Target store'!N:N,0)</f>
        <v>1800000</v>
      </c>
      <c r="BP5" s="133">
        <f>IFERROR(GETPIVOTDATA("Sum of Qty",'[1]Operator by Store'!$A$5,"ID Store",$C5,"Product Type","Telkomsel"),0)</f>
        <v>0</v>
      </c>
      <c r="BQ5" s="155">
        <f t="shared" ref="BQ5:BQ49" si="20">IFERROR(BP5/BO5,0)</f>
        <v>0</v>
      </c>
    </row>
    <row r="6" spans="1:69" ht="17" thickBot="1" x14ac:dyDescent="0.25">
      <c r="A6" s="156">
        <v>2</v>
      </c>
      <c r="B6" s="157" t="s">
        <v>39</v>
      </c>
      <c r="C6" s="158">
        <v>6010701</v>
      </c>
      <c r="D6" s="159" t="str">
        <f>IFERROR(INDEX('[1]Target store'!$C$5:$C$47,MATCH($C6&amp;"-*",'[1]Target store'!$C$5:$C$47,0)),"NOT FOUND")</f>
        <v>6010701-ROXY SHOWROOM 21</v>
      </c>
      <c r="E6" s="159" t="s">
        <v>41</v>
      </c>
      <c r="F6" s="160">
        <v>6</v>
      </c>
      <c r="G6" s="127">
        <f>_xlfn.XLOOKUP(D:D,'[1]Target store'!C:C,'[1]Target store'!F:F,0)</f>
        <v>240</v>
      </c>
      <c r="H6" s="161">
        <f>_xlfn.XLOOKUP(D:D,'[1]Target store'!C:C,'[1]Target store'!G:G,0)</f>
        <v>1050000000</v>
      </c>
      <c r="I6" s="162">
        <f>IFERROR(GETPIVOTDATA("Sum of SRP",'[1]DEVICE &amp; VALUE'!$A$6,"ID Store",$C6),0)</f>
        <v>811084000</v>
      </c>
      <c r="J6" s="163">
        <f t="shared" ref="J6:J49" si="21">IFERROR(I6/H6,0)</f>
        <v>0.77246095238095236</v>
      </c>
      <c r="K6" s="164">
        <f t="shared" ref="K6:K49" si="22">I6-H6</f>
        <v>-238916000</v>
      </c>
      <c r="L6" s="132">
        <f>IFERROR(GETPIVOTDATA("Sum of Qty",[1]PF!$A$5,"ID Store",$C6),0)</f>
        <v>29</v>
      </c>
      <c r="M6" s="133">
        <f>IFERROR(GETPIVOTDATA("Sum of Qty",'[1]DEVICE &amp; VALUE'!$A$6,"ID Store",$C6,"Segment Price","3mio&gt;"),0)</f>
        <v>92</v>
      </c>
      <c r="N6" s="134">
        <f t="shared" ref="N6:N49" si="23">IFERROR(M6/R6,0)</f>
        <v>0.42592592592592593</v>
      </c>
      <c r="O6" s="135">
        <f>IFERROR(GETPIVOTDATA("Sum of Qty",[1]IQOO!$A$6,"ID Store",$C6),0)</f>
        <v>3</v>
      </c>
      <c r="P6" s="134">
        <f t="shared" ref="P6:P49" si="24">IFERROR(O6/R6,0)</f>
        <v>1.3888888888888888E-2</v>
      </c>
      <c r="Q6" s="136">
        <f t="shared" ref="Q6:Q49" si="25">IFERROR(M6/R6,0)</f>
        <v>0.42592592592592593</v>
      </c>
      <c r="R6" s="135">
        <f>IFERROR(GETPIVOTDATA("Sum of Qty",'[1]DEVICE &amp; VALUE'!$A$6,"ID Store",$C6),0)</f>
        <v>216</v>
      </c>
      <c r="S6" s="135">
        <f t="shared" ref="S6:S49" si="26">R6/G6</f>
        <v>0.9</v>
      </c>
      <c r="T6" s="135">
        <f t="shared" ref="T6:T49" si="27">R6-G6</f>
        <v>-24</v>
      </c>
      <c r="U6" s="165">
        <f t="shared" ref="U6:U49" si="28">I6/$E$2*$D$2</f>
        <v>869018571.42857134</v>
      </c>
      <c r="V6" s="163">
        <f t="shared" ref="V6:V49" si="29">IFERROR(U6/H6,0)</f>
        <v>0.82763673469387744</v>
      </c>
      <c r="W6" s="166">
        <f t="shared" ref="W6:W49" si="30">U6-H6</f>
        <v>-180981428.57142866</v>
      </c>
      <c r="X6" s="167">
        <f t="shared" si="0"/>
        <v>98.571428571428569</v>
      </c>
      <c r="Y6" s="168">
        <f t="shared" si="1"/>
        <v>-141.42857142857144</v>
      </c>
      <c r="Z6" s="168">
        <f t="shared" ref="Z6:Z49" si="31">R6/$E$2*$D$2</f>
        <v>231.42857142857144</v>
      </c>
      <c r="AA6" s="168">
        <f t="shared" ref="AA6:AA49" si="32">Z6-G6</f>
        <v>-8.5714285714285552</v>
      </c>
      <c r="AB6" s="168">
        <f t="shared" ref="AB6:AB49" si="33">IFERROR(Z6/G6,0)</f>
        <v>0.9642857142857143</v>
      </c>
      <c r="AC6" s="238">
        <f t="shared" ref="AC6:AC49" si="34">IFERROR(($G6-$R6)/($D$2-$E$2),0)</f>
        <v>12</v>
      </c>
      <c r="AD6" s="141">
        <f t="shared" ref="AD6:AD49" si="35">IFERROR(($H6-$I6)/($D$2-$E$2),0)</f>
        <v>119458000</v>
      </c>
      <c r="AE6" s="169">
        <f>IFERROR(GETPIVOTDATA("Sum of Qty",'[1]DATA LAST MONTH IQOO'!$A$6,"ID Store",$C6),0)</f>
        <v>5</v>
      </c>
      <c r="AF6" s="170">
        <f>IFERROR(GETPIVOTDATA("Sum of Qty",[1]IQOO!$A$6,"ID Store",$C6),0)</f>
        <v>3</v>
      </c>
      <c r="AG6" s="171">
        <f t="shared" si="2"/>
        <v>-2</v>
      </c>
      <c r="AH6" s="172">
        <f t="shared" si="3"/>
        <v>-0.4</v>
      </c>
      <c r="AI6" s="173">
        <f>IFERROR(GETPIVOTDATA("Sum of Qty",'[1]DATA LAST MONTH DEVICE'!$A$6,"ID Store",$C6),0)</f>
        <v>237</v>
      </c>
      <c r="AJ6" s="146">
        <f t="shared" ref="AJ6:AJ49" si="36">R6</f>
        <v>216</v>
      </c>
      <c r="AK6" s="174">
        <f t="shared" si="4"/>
        <v>-21</v>
      </c>
      <c r="AL6" s="175">
        <f t="shared" si="5"/>
        <v>-8.8607594936708861E-2</v>
      </c>
      <c r="AM6" s="176">
        <f>IFERROR(GETPIVOTDATA("Sum of Qty",'[1]Store 3mio+ last month'!$A$6,"ID Store",$C6),0)</f>
        <v>270</v>
      </c>
      <c r="AN6" s="144">
        <f t="shared" si="6"/>
        <v>231.42857142857144</v>
      </c>
      <c r="AO6" s="171">
        <f t="shared" si="7"/>
        <v>-38.571428571428555</v>
      </c>
      <c r="AP6" s="177">
        <f t="shared" si="8"/>
        <v>-0.14285714285714279</v>
      </c>
      <c r="AQ6" s="176">
        <f>IFERROR(GETPIVOTDATA("Sum of Qty",'[1]DATA LAST MONTH DEVICE'!$A$6,"ID Store",$C6,"Segment Price","3mio&gt;"),0)</f>
        <v>100</v>
      </c>
      <c r="AR6" s="178">
        <f t="shared" si="9"/>
        <v>92</v>
      </c>
      <c r="AS6" s="178">
        <f t="shared" si="10"/>
        <v>-8</v>
      </c>
      <c r="AT6" s="172">
        <f t="shared" si="11"/>
        <v>-0.08</v>
      </c>
      <c r="AU6" s="179">
        <f>IFERROR(GETPIVOTDATA("Sum of SRP",'[1]DATA LAST MONTH DEVICE'!$A$6,"ID Store",$C6),0)</f>
        <v>862763000</v>
      </c>
      <c r="AV6" s="179">
        <f t="shared" ref="AV6:AV49" si="37">I6</f>
        <v>811084000</v>
      </c>
      <c r="AW6" s="180">
        <f t="shared" si="12"/>
        <v>-51679000</v>
      </c>
      <c r="AX6" s="181">
        <f t="shared" si="13"/>
        <v>-5.9899416178023399E-2</v>
      </c>
      <c r="AY6" s="182">
        <f>IFERROR(VLOOKUP(C6,'[1]DATA SALES LAST MONTH'!A:E,5,0),0)</f>
        <v>3640350.2109704642</v>
      </c>
      <c r="AZ6" s="152">
        <f t="shared" ref="AZ6:AZ49" si="38">IFERROR(U6/Z6,0)</f>
        <v>3755018.5185185177</v>
      </c>
      <c r="BA6" s="183">
        <f t="shared" si="14"/>
        <v>114668.30754805356</v>
      </c>
      <c r="BB6" s="172">
        <f t="shared" si="15"/>
        <v>3.1499251693557433E-2</v>
      </c>
      <c r="BC6" s="153">
        <f>_xlfn.XLOOKUP(D:D,'[1]Target store'!C:C,'[1]Target store'!J:J,0)</f>
        <v>24</v>
      </c>
      <c r="BD6" s="184">
        <f>IFERROR(GETPIVOTDATA("Sum of Qty",[1]ACC!$A$5,"ID Store",$C6),0)</f>
        <v>71</v>
      </c>
      <c r="BE6" s="177">
        <f t="shared" si="16"/>
        <v>2.9583333333333335</v>
      </c>
      <c r="BF6" s="154">
        <f>_xlfn.XLOOKUP(D:D,'[1]Target store'!C:C,'[1]Target store'!K:K,0)</f>
        <v>4725000</v>
      </c>
      <c r="BG6" s="185">
        <f>IFERROR(GETPIVOTDATA("Sum of SRP",'[1]Insurance by Store'!$A$5,"ID Store",$C6,"Product Type","Qoala"),0)</f>
        <v>2862000</v>
      </c>
      <c r="BH6" s="177">
        <f t="shared" si="17"/>
        <v>0.60571428571428576</v>
      </c>
      <c r="BI6" s="154">
        <f>_xlfn.XLOOKUP(D:D,'[1]Target store'!C:C,'[1]Target store'!L:L,0)</f>
        <v>1050000</v>
      </c>
      <c r="BJ6" s="185">
        <f>IFERROR(GETPIVOTDATA("Sum of SRP",'[1]Insurance by Store'!$A$5,"ID Store",$C6,"Product Type","Vivo Care"),0)</f>
        <v>1000000</v>
      </c>
      <c r="BK6" s="177">
        <f t="shared" si="18"/>
        <v>0.95238095238095233</v>
      </c>
      <c r="BL6" s="144">
        <f>_xlfn.XLOOKUP(D:D,'[1]Target store'!C:C,'[1]Target store'!M:M,0)</f>
        <v>2100000</v>
      </c>
      <c r="BM6" s="176">
        <f>IFERROR(GETPIVOTDATA("Sum of Qty",'[1]Operator by Store'!$A$5,"ID Store",$C6,"Product Type","Indosat"),0)</f>
        <v>4</v>
      </c>
      <c r="BN6" s="177">
        <f t="shared" si="19"/>
        <v>1.9047619047619047E-6</v>
      </c>
      <c r="BO6" s="144">
        <f>_xlfn.XLOOKUP(D:D,'[1]Target store'!C:C,'[1]Target store'!N:N,0)</f>
        <v>3150000</v>
      </c>
      <c r="BP6" s="176">
        <f>IFERROR(GETPIVOTDATA("Sum of Qty",'[1]Operator by Store'!$A$5,"ID Store",$C6,"Product Type","Telkomsel"),0)</f>
        <v>0</v>
      </c>
      <c r="BQ6" s="186">
        <f t="shared" si="20"/>
        <v>0</v>
      </c>
    </row>
    <row r="7" spans="1:69" ht="17" thickBot="1" x14ac:dyDescent="0.25">
      <c r="A7" s="156">
        <v>3</v>
      </c>
      <c r="B7" s="157" t="s">
        <v>39</v>
      </c>
      <c r="C7" s="158">
        <v>6010702</v>
      </c>
      <c r="D7" s="159" t="str">
        <f>IFERROR(INDEX('[1]Target store'!$C$5:$C$47,MATCH($C7&amp;"-*",'[1]Target store'!$C$5:$C$47,0)),"NOT FOUND")</f>
        <v>6010702-ROXY PAMERAN TIMUR</v>
      </c>
      <c r="E7" s="159" t="s">
        <v>41</v>
      </c>
      <c r="F7" s="160">
        <v>6</v>
      </c>
      <c r="G7" s="127">
        <f>_xlfn.XLOOKUP(D:D,'[1]Target store'!C:C,'[1]Target store'!F:F,0)</f>
        <v>240</v>
      </c>
      <c r="H7" s="161">
        <f>_xlfn.XLOOKUP(D:D,'[1]Target store'!C:C,'[1]Target store'!G:G,0)</f>
        <v>950000000</v>
      </c>
      <c r="I7" s="162">
        <f>IFERROR(GETPIVOTDATA("Sum of SRP",'[1]DEVICE &amp; VALUE'!$A$6,"ID Store",$C7),0)</f>
        <v>800179000</v>
      </c>
      <c r="J7" s="163">
        <f t="shared" si="21"/>
        <v>0.84229368421052631</v>
      </c>
      <c r="K7" s="164">
        <f t="shared" si="22"/>
        <v>-149821000</v>
      </c>
      <c r="L7" s="132">
        <f>IFERROR(GETPIVOTDATA("Sum of Qty",[1]PF!$A$5,"ID Store",$C7),0)</f>
        <v>29</v>
      </c>
      <c r="M7" s="133">
        <f>IFERROR(GETPIVOTDATA("Sum of Qty",'[1]DEVICE &amp; VALUE'!$A$6,"ID Store",$C7,"Segment Price","3mio&gt;"),0)</f>
        <v>77</v>
      </c>
      <c r="N7" s="134">
        <f t="shared" si="23"/>
        <v>0.34841628959276016</v>
      </c>
      <c r="O7" s="135">
        <f>IFERROR(GETPIVOTDATA("Sum of Qty",[1]IQOO!$A$6,"ID Store",$C7),0)</f>
        <v>2</v>
      </c>
      <c r="P7" s="134">
        <f t="shared" si="24"/>
        <v>9.0497737556561094E-3</v>
      </c>
      <c r="Q7" s="136">
        <f t="shared" si="25"/>
        <v>0.34841628959276016</v>
      </c>
      <c r="R7" s="135">
        <f>IFERROR(GETPIVOTDATA("Sum of Qty",'[1]DEVICE &amp; VALUE'!$A$6,"ID Store",$C7),0)</f>
        <v>221</v>
      </c>
      <c r="S7" s="135">
        <f t="shared" si="26"/>
        <v>0.92083333333333328</v>
      </c>
      <c r="T7" s="135">
        <f t="shared" si="27"/>
        <v>-19</v>
      </c>
      <c r="U7" s="165">
        <f t="shared" si="28"/>
        <v>857334642.85714293</v>
      </c>
      <c r="V7" s="163">
        <f t="shared" si="29"/>
        <v>0.90245751879699254</v>
      </c>
      <c r="W7" s="166">
        <f t="shared" si="30"/>
        <v>-92665357.142857075</v>
      </c>
      <c r="X7" s="167">
        <f t="shared" si="0"/>
        <v>82.5</v>
      </c>
      <c r="Y7" s="168">
        <f t="shared" si="1"/>
        <v>-157.5</v>
      </c>
      <c r="Z7" s="168">
        <f t="shared" si="31"/>
        <v>236.78571428571431</v>
      </c>
      <c r="AA7" s="168">
        <f t="shared" si="32"/>
        <v>-3.214285714285694</v>
      </c>
      <c r="AB7" s="168">
        <f t="shared" si="33"/>
        <v>0.9866071428571429</v>
      </c>
      <c r="AC7" s="238">
        <f t="shared" si="34"/>
        <v>9.5</v>
      </c>
      <c r="AD7" s="141">
        <f t="shared" si="35"/>
        <v>74910500</v>
      </c>
      <c r="AE7" s="169">
        <f>IFERROR(GETPIVOTDATA("Sum of Qty",'[1]DATA LAST MONTH IQOO'!$A$6,"ID Store",$C7),0)</f>
        <v>3</v>
      </c>
      <c r="AF7" s="170">
        <f>IFERROR(GETPIVOTDATA("Sum of Qty",[1]IQOO!$A$6,"ID Store",$C7),0)</f>
        <v>2</v>
      </c>
      <c r="AG7" s="171">
        <f t="shared" si="2"/>
        <v>-1</v>
      </c>
      <c r="AH7" s="172">
        <f t="shared" si="3"/>
        <v>-0.33333333333333331</v>
      </c>
      <c r="AI7" s="173">
        <f>IFERROR(GETPIVOTDATA("Sum of Qty",'[1]DATA LAST MONTH DEVICE'!$A$6,"ID Store",$C7),0)</f>
        <v>258</v>
      </c>
      <c r="AJ7" s="146">
        <f t="shared" si="36"/>
        <v>221</v>
      </c>
      <c r="AK7" s="174">
        <f t="shared" si="4"/>
        <v>-37</v>
      </c>
      <c r="AL7" s="175">
        <f t="shared" si="5"/>
        <v>-0.1434108527131783</v>
      </c>
      <c r="AM7" s="176">
        <f>IFERROR(GETPIVOTDATA("Sum of Qty",'[1]Store 3mio+ last month'!$A$6,"ID Store",$C7),0)</f>
        <v>285</v>
      </c>
      <c r="AN7" s="144">
        <f t="shared" si="6"/>
        <v>236.78571428571431</v>
      </c>
      <c r="AO7" s="171">
        <f t="shared" si="7"/>
        <v>-48.214285714285694</v>
      </c>
      <c r="AP7" s="177">
        <f t="shared" si="8"/>
        <v>-0.169172932330827</v>
      </c>
      <c r="AQ7" s="176">
        <f>IFERROR(GETPIVOTDATA("Sum of Qty",'[1]DATA LAST MONTH DEVICE'!$A$6,"ID Store",$C7,"Segment Price","3mio&gt;"),0)</f>
        <v>67</v>
      </c>
      <c r="AR7" s="178">
        <f t="shared" si="9"/>
        <v>77</v>
      </c>
      <c r="AS7" s="178">
        <f t="shared" si="10"/>
        <v>10</v>
      </c>
      <c r="AT7" s="172">
        <f t="shared" si="11"/>
        <v>0.14925373134328357</v>
      </c>
      <c r="AU7" s="179">
        <f>IFERROR(GETPIVOTDATA("Sum of SRP",'[1]DATA LAST MONTH DEVICE'!$A$6,"ID Store",$C7),0)</f>
        <v>782242000</v>
      </c>
      <c r="AV7" s="179">
        <f t="shared" si="37"/>
        <v>800179000</v>
      </c>
      <c r="AW7" s="180">
        <f t="shared" si="12"/>
        <v>17937000</v>
      </c>
      <c r="AX7" s="181">
        <f t="shared" si="13"/>
        <v>2.2930244093260142E-2</v>
      </c>
      <c r="AY7" s="182">
        <f>IFERROR(VLOOKUP(C7,'[1]DATA SALES LAST MONTH'!A:E,5,0),0)</f>
        <v>3031945.7364341086</v>
      </c>
      <c r="AZ7" s="152">
        <f t="shared" si="38"/>
        <v>3620719.4570135744</v>
      </c>
      <c r="BA7" s="183">
        <f t="shared" si="14"/>
        <v>588773.72057946585</v>
      </c>
      <c r="BB7" s="172">
        <f t="shared" si="15"/>
        <v>0.19419005871520859</v>
      </c>
      <c r="BC7" s="153">
        <f>_xlfn.XLOOKUP(D:D,'[1]Target store'!C:C,'[1]Target store'!J:J,0)</f>
        <v>24</v>
      </c>
      <c r="BD7" s="184">
        <f>IFERROR(GETPIVOTDATA("Sum of Qty",[1]ACC!$A$5,"ID Store",$C7),0)</f>
        <v>69</v>
      </c>
      <c r="BE7" s="177">
        <f t="shared" si="16"/>
        <v>2.875</v>
      </c>
      <c r="BF7" s="154">
        <f>_xlfn.XLOOKUP(D:D,'[1]Target store'!C:C,'[1]Target store'!K:K,0)</f>
        <v>4275000</v>
      </c>
      <c r="BG7" s="185">
        <f>IFERROR(GETPIVOTDATA("Sum of SRP",'[1]Insurance by Store'!$A$5,"ID Store",$C7,"Product Type","Qoala"),0)</f>
        <v>3509000</v>
      </c>
      <c r="BH7" s="177">
        <f t="shared" si="17"/>
        <v>0.82081871345029245</v>
      </c>
      <c r="BI7" s="154">
        <f>_xlfn.XLOOKUP(D:D,'[1]Target store'!C:C,'[1]Target store'!L:L,0)</f>
        <v>950000</v>
      </c>
      <c r="BJ7" s="185">
        <f>IFERROR(GETPIVOTDATA("Sum of SRP",'[1]Insurance by Store'!$A$5,"ID Store",$C7,"Product Type","Vivo Care"),0)</f>
        <v>0</v>
      </c>
      <c r="BK7" s="177">
        <f t="shared" si="18"/>
        <v>0</v>
      </c>
      <c r="BL7" s="144">
        <f>_xlfn.XLOOKUP(D:D,'[1]Target store'!C:C,'[1]Target store'!M:M,0)</f>
        <v>1900000</v>
      </c>
      <c r="BM7" s="176">
        <f>IFERROR(GETPIVOTDATA("Sum of Qty",'[1]Operator by Store'!$A$5,"ID Store",$C7,"Product Type","Indosat"),0)</f>
        <v>3</v>
      </c>
      <c r="BN7" s="177">
        <f t="shared" si="19"/>
        <v>1.5789473684210526E-6</v>
      </c>
      <c r="BO7" s="144">
        <f>_xlfn.XLOOKUP(D:D,'[1]Target store'!C:C,'[1]Target store'!N:N,0)</f>
        <v>2850000</v>
      </c>
      <c r="BP7" s="176">
        <f>IFERROR(GETPIVOTDATA("Sum of Qty",'[1]Operator by Store'!$A$5,"ID Store",$C7,"Product Type","Telkomsel"),0)</f>
        <v>0</v>
      </c>
      <c r="BQ7" s="186">
        <f t="shared" si="20"/>
        <v>0</v>
      </c>
    </row>
    <row r="8" spans="1:69" ht="17" thickBot="1" x14ac:dyDescent="0.25">
      <c r="A8" s="156">
        <v>4</v>
      </c>
      <c r="B8" s="157" t="s">
        <v>39</v>
      </c>
      <c r="C8" s="158">
        <v>6010703</v>
      </c>
      <c r="D8" s="159" t="str">
        <f>IFERROR(INDEX('[1]Target store'!$C$5:$C$47,MATCH($C8&amp;"-*",'[1]Target store'!$C$5:$C$47,0)),"NOT FOUND")</f>
        <v>6010703-ROXY VS WINSHOP</v>
      </c>
      <c r="E8" s="159" t="s">
        <v>42</v>
      </c>
      <c r="F8" s="160">
        <v>3</v>
      </c>
      <c r="G8" s="127">
        <f>_xlfn.XLOOKUP(D:D,'[1]Target store'!C:C,'[1]Target store'!F:F,0)</f>
        <v>120</v>
      </c>
      <c r="H8" s="161">
        <f>_xlfn.XLOOKUP(D:D,'[1]Target store'!C:C,'[1]Target store'!G:G,0)</f>
        <v>450000000</v>
      </c>
      <c r="I8" s="162">
        <f>IFERROR(GETPIVOTDATA("Sum of SRP",'[1]DEVICE &amp; VALUE'!$A$6,"ID Store",$C8),0)</f>
        <v>314097000</v>
      </c>
      <c r="J8" s="163">
        <f t="shared" si="21"/>
        <v>0.69799333333333335</v>
      </c>
      <c r="K8" s="164">
        <f t="shared" si="22"/>
        <v>-135903000</v>
      </c>
      <c r="L8" s="132">
        <f>IFERROR(GETPIVOTDATA("Sum of Qty",[1]PF!$A$5,"ID Store",$C8),0)</f>
        <v>12</v>
      </c>
      <c r="M8" s="133">
        <f>IFERROR(GETPIVOTDATA("Sum of Qty",'[1]DEVICE &amp; VALUE'!$A$6,"ID Store",$C8,"Segment Price","3mio&gt;"),0)</f>
        <v>26</v>
      </c>
      <c r="N8" s="134">
        <f t="shared" si="23"/>
        <v>0.25242718446601942</v>
      </c>
      <c r="O8" s="135">
        <f>IFERROR(GETPIVOTDATA("Sum of Qty",[1]IQOO!$A$6,"ID Store",$C8),0)</f>
        <v>0</v>
      </c>
      <c r="P8" s="134">
        <f t="shared" si="24"/>
        <v>0</v>
      </c>
      <c r="Q8" s="136">
        <f t="shared" si="25"/>
        <v>0.25242718446601942</v>
      </c>
      <c r="R8" s="135">
        <f>IFERROR(GETPIVOTDATA("Sum of Qty",'[1]DEVICE &amp; VALUE'!$A$6,"ID Store",$C8),0)</f>
        <v>103</v>
      </c>
      <c r="S8" s="135">
        <f t="shared" si="26"/>
        <v>0.85833333333333328</v>
      </c>
      <c r="T8" s="135">
        <f t="shared" si="27"/>
        <v>-17</v>
      </c>
      <c r="U8" s="165">
        <f t="shared" si="28"/>
        <v>336532500</v>
      </c>
      <c r="V8" s="163">
        <f t="shared" si="29"/>
        <v>0.74785000000000001</v>
      </c>
      <c r="W8" s="166">
        <f t="shared" si="30"/>
        <v>-113467500</v>
      </c>
      <c r="X8" s="167">
        <f t="shared" si="0"/>
        <v>27.857142857142858</v>
      </c>
      <c r="Y8" s="168">
        <f t="shared" si="1"/>
        <v>-92.142857142857139</v>
      </c>
      <c r="Z8" s="168">
        <f t="shared" si="31"/>
        <v>110.35714285714285</v>
      </c>
      <c r="AA8" s="168">
        <f t="shared" si="32"/>
        <v>-9.642857142857153</v>
      </c>
      <c r="AB8" s="168">
        <f t="shared" si="33"/>
        <v>0.9196428571428571</v>
      </c>
      <c r="AC8" s="238">
        <f t="shared" si="34"/>
        <v>8.5</v>
      </c>
      <c r="AD8" s="141">
        <f t="shared" si="35"/>
        <v>67951500</v>
      </c>
      <c r="AE8" s="169">
        <f>IFERROR(GETPIVOTDATA("Sum of Qty",'[1]DATA LAST MONTH IQOO'!$A$6,"ID Store",$C8),0)</f>
        <v>2</v>
      </c>
      <c r="AF8" s="170">
        <f>IFERROR(GETPIVOTDATA("Sum of Qty",[1]IQOO!$A$6,"ID Store",$C8),0)</f>
        <v>0</v>
      </c>
      <c r="AG8" s="171">
        <f t="shared" si="2"/>
        <v>-2</v>
      </c>
      <c r="AH8" s="172">
        <f t="shared" si="3"/>
        <v>-1</v>
      </c>
      <c r="AI8" s="173">
        <f>IFERROR(GETPIVOTDATA("Sum of Qty",'[1]DATA LAST MONTH DEVICE'!$A$6,"ID Store",$C8),0)</f>
        <v>122</v>
      </c>
      <c r="AJ8" s="146">
        <f t="shared" si="36"/>
        <v>103</v>
      </c>
      <c r="AK8" s="174">
        <f t="shared" si="4"/>
        <v>-19</v>
      </c>
      <c r="AL8" s="175">
        <f t="shared" si="5"/>
        <v>-0.15573770491803279</v>
      </c>
      <c r="AM8" s="176">
        <f>IFERROR(GETPIVOTDATA("Sum of Qty",'[1]Store 3mio+ last month'!$A$6,"ID Store",$C8),0)</f>
        <v>138</v>
      </c>
      <c r="AN8" s="144">
        <f t="shared" si="6"/>
        <v>110.35714285714285</v>
      </c>
      <c r="AO8" s="171">
        <f t="shared" si="7"/>
        <v>-27.642857142857153</v>
      </c>
      <c r="AP8" s="177">
        <f t="shared" si="8"/>
        <v>-0.20031055900621125</v>
      </c>
      <c r="AQ8" s="176">
        <f>IFERROR(GETPIVOTDATA("Sum of Qty",'[1]DATA LAST MONTH DEVICE'!$A$6,"ID Store",$C8,"Segment Price","3mio&gt;"),0)</f>
        <v>19</v>
      </c>
      <c r="AR8" s="178">
        <f t="shared" si="9"/>
        <v>26</v>
      </c>
      <c r="AS8" s="178">
        <f t="shared" si="10"/>
        <v>7</v>
      </c>
      <c r="AT8" s="172">
        <f t="shared" si="11"/>
        <v>0.36842105263157893</v>
      </c>
      <c r="AU8" s="179">
        <f>IFERROR(GETPIVOTDATA("Sum of SRP",'[1]DATA LAST MONTH DEVICE'!$A$6,"ID Store",$C8),0)</f>
        <v>317878000</v>
      </c>
      <c r="AV8" s="179">
        <f t="shared" si="37"/>
        <v>314097000</v>
      </c>
      <c r="AW8" s="180">
        <f t="shared" si="12"/>
        <v>-3781000</v>
      </c>
      <c r="AX8" s="181">
        <f t="shared" si="13"/>
        <v>-1.1894500405816067E-2</v>
      </c>
      <c r="AY8" s="182">
        <f>IFERROR(VLOOKUP(C8,'[1]DATA SALES LAST MONTH'!A:E,5,0),0)</f>
        <v>2605557.3770491802</v>
      </c>
      <c r="AZ8" s="152">
        <f t="shared" si="38"/>
        <v>3049485.4368932042</v>
      </c>
      <c r="BA8" s="183">
        <f t="shared" si="14"/>
        <v>443928.05984402401</v>
      </c>
      <c r="BB8" s="172">
        <f t="shared" si="15"/>
        <v>0.17037738786883941</v>
      </c>
      <c r="BC8" s="153">
        <f>_xlfn.XLOOKUP(D:D,'[1]Target store'!C:C,'[1]Target store'!J:J,0)</f>
        <v>12</v>
      </c>
      <c r="BD8" s="184">
        <f>IFERROR(GETPIVOTDATA("Sum of Qty",[1]ACC!$A$5,"ID Store",$C8),0)</f>
        <v>28</v>
      </c>
      <c r="BE8" s="177">
        <f t="shared" si="16"/>
        <v>2.3333333333333335</v>
      </c>
      <c r="BF8" s="154">
        <f>_xlfn.XLOOKUP(D:D,'[1]Target store'!C:C,'[1]Target store'!K:K,0)</f>
        <v>2025000</v>
      </c>
      <c r="BG8" s="185">
        <f>IFERROR(GETPIVOTDATA("Sum of SRP",'[1]Insurance by Store'!$A$5,"ID Store",$C8,"Product Type","Qoala"),0)</f>
        <v>1431000</v>
      </c>
      <c r="BH8" s="177">
        <f t="shared" si="17"/>
        <v>0.70666666666666667</v>
      </c>
      <c r="BI8" s="154">
        <f>_xlfn.XLOOKUP(D:D,'[1]Target store'!C:C,'[1]Target store'!L:L,0)</f>
        <v>450000</v>
      </c>
      <c r="BJ8" s="185">
        <f>IFERROR(GETPIVOTDATA("Sum of SRP",'[1]Insurance by Store'!$A$5,"ID Store",$C8,"Product Type","Vivo Care"),0)</f>
        <v>0</v>
      </c>
      <c r="BK8" s="177">
        <f t="shared" si="18"/>
        <v>0</v>
      </c>
      <c r="BL8" s="144">
        <f>_xlfn.XLOOKUP(D:D,'[1]Target store'!C:C,'[1]Target store'!M:M,0)</f>
        <v>900000</v>
      </c>
      <c r="BM8" s="176">
        <f>IFERROR(GETPIVOTDATA("Sum of Qty",'[1]Operator by Store'!$A$5,"ID Store",$C8,"Product Type","Indosat"),0)</f>
        <v>1</v>
      </c>
      <c r="BN8" s="177">
        <f t="shared" si="19"/>
        <v>1.111111111111111E-6</v>
      </c>
      <c r="BO8" s="144">
        <f>_xlfn.XLOOKUP(D:D,'[1]Target store'!C:C,'[1]Target store'!N:N,0)</f>
        <v>1350000</v>
      </c>
      <c r="BP8" s="176">
        <f>IFERROR(GETPIVOTDATA("Sum of Qty",'[1]Operator by Store'!$A$5,"ID Store",$C8,"Product Type","Telkomsel"),0)</f>
        <v>0</v>
      </c>
      <c r="BQ8" s="186">
        <f t="shared" si="20"/>
        <v>0</v>
      </c>
    </row>
    <row r="9" spans="1:69" ht="17" thickBot="1" x14ac:dyDescent="0.25">
      <c r="A9" s="156">
        <v>5</v>
      </c>
      <c r="B9" s="157" t="s">
        <v>39</v>
      </c>
      <c r="C9" s="158">
        <v>6010709</v>
      </c>
      <c r="D9" s="159" t="str">
        <f>IFERROR(INDEX('[1]Target store'!$C$5:$C$47,MATCH($C9&amp;"-*",'[1]Target store'!$C$5:$C$47,0)),"NOT FOUND")</f>
        <v>6010709-ROXY PAMERAN UTARA</v>
      </c>
      <c r="E9" s="159" t="s">
        <v>42</v>
      </c>
      <c r="F9" s="160">
        <v>7</v>
      </c>
      <c r="G9" s="127">
        <f>_xlfn.XLOOKUP(D:D,'[1]Target store'!C:C,'[1]Target store'!F:F,0)</f>
        <v>320</v>
      </c>
      <c r="H9" s="161">
        <f>_xlfn.XLOOKUP(D:D,'[1]Target store'!C:C,'[1]Target store'!G:G,0)</f>
        <v>1100000000</v>
      </c>
      <c r="I9" s="162">
        <f>IFERROR(GETPIVOTDATA("Sum of SRP",'[1]DEVICE &amp; VALUE'!$A$6,"ID Store",$C9),0)</f>
        <v>1051482000</v>
      </c>
      <c r="J9" s="163">
        <f t="shared" si="21"/>
        <v>0.95589272727272723</v>
      </c>
      <c r="K9" s="164">
        <f t="shared" si="22"/>
        <v>-48518000</v>
      </c>
      <c r="L9" s="132">
        <f>IFERROR(GETPIVOTDATA("Sum of Qty",[1]PF!$A$5,"ID Store",$C9),0)</f>
        <v>39</v>
      </c>
      <c r="M9" s="133">
        <f>IFERROR(GETPIVOTDATA("Sum of Qty",'[1]DEVICE &amp; VALUE'!$A$6,"ID Store",$C9,"Segment Price","3mio&gt;"),0)</f>
        <v>111</v>
      </c>
      <c r="N9" s="134">
        <f t="shared" si="23"/>
        <v>0.34905660377358488</v>
      </c>
      <c r="O9" s="135">
        <f>IFERROR(GETPIVOTDATA("Sum of Qty",[1]IQOO!$A$6,"ID Store",$C9),0)</f>
        <v>4</v>
      </c>
      <c r="P9" s="134">
        <f t="shared" si="24"/>
        <v>1.2578616352201259E-2</v>
      </c>
      <c r="Q9" s="136">
        <f t="shared" si="25"/>
        <v>0.34905660377358488</v>
      </c>
      <c r="R9" s="135">
        <f>IFERROR(GETPIVOTDATA("Sum of Qty",'[1]DEVICE &amp; VALUE'!$A$6,"ID Store",$C9),0)</f>
        <v>318</v>
      </c>
      <c r="S9" s="135">
        <f t="shared" si="26"/>
        <v>0.99375000000000002</v>
      </c>
      <c r="T9" s="135">
        <f t="shared" si="27"/>
        <v>-2</v>
      </c>
      <c r="U9" s="165">
        <f t="shared" si="28"/>
        <v>1126587857.1428573</v>
      </c>
      <c r="V9" s="163">
        <f t="shared" si="29"/>
        <v>1.0241707792207795</v>
      </c>
      <c r="W9" s="166">
        <f t="shared" si="30"/>
        <v>26587857.142857313</v>
      </c>
      <c r="X9" s="167">
        <f t="shared" si="0"/>
        <v>118.92857142857143</v>
      </c>
      <c r="Y9" s="168">
        <f t="shared" si="1"/>
        <v>-201.07142857142856</v>
      </c>
      <c r="Z9" s="168">
        <f t="shared" si="31"/>
        <v>340.71428571428572</v>
      </c>
      <c r="AA9" s="168">
        <f t="shared" si="32"/>
        <v>20.714285714285722</v>
      </c>
      <c r="AB9" s="168">
        <f t="shared" si="33"/>
        <v>1.0647321428571428</v>
      </c>
      <c r="AC9" s="238">
        <f t="shared" si="34"/>
        <v>1</v>
      </c>
      <c r="AD9" s="141">
        <f t="shared" si="35"/>
        <v>24259000</v>
      </c>
      <c r="AE9" s="169">
        <f>IFERROR(GETPIVOTDATA("Sum of Qty",'[1]DATA LAST MONTH IQOO'!$A$6,"ID Store",$C9),0)</f>
        <v>3</v>
      </c>
      <c r="AF9" s="170">
        <f>IFERROR(GETPIVOTDATA("Sum of Qty",[1]IQOO!$A$6,"ID Store",$C9),0)</f>
        <v>4</v>
      </c>
      <c r="AG9" s="171">
        <f t="shared" si="2"/>
        <v>1</v>
      </c>
      <c r="AH9" s="172">
        <f t="shared" si="3"/>
        <v>0.33333333333333331</v>
      </c>
      <c r="AI9" s="173">
        <f>IFERROR(GETPIVOTDATA("Sum of Qty",'[1]DATA LAST MONTH DEVICE'!$A$6,"ID Store",$C9),0)</f>
        <v>315</v>
      </c>
      <c r="AJ9" s="146">
        <f t="shared" si="36"/>
        <v>318</v>
      </c>
      <c r="AK9" s="174">
        <f t="shared" si="4"/>
        <v>3</v>
      </c>
      <c r="AL9" s="175">
        <f t="shared" si="5"/>
        <v>9.5238095238095247E-3</v>
      </c>
      <c r="AM9" s="176">
        <f>IFERROR(GETPIVOTDATA("Sum of Qty",'[1]Store 3mio+ last month'!$A$6,"ID Store",$C9),0)</f>
        <v>351</v>
      </c>
      <c r="AN9" s="144">
        <f t="shared" si="6"/>
        <v>340.71428571428572</v>
      </c>
      <c r="AO9" s="171">
        <f t="shared" si="7"/>
        <v>-10.285714285714278</v>
      </c>
      <c r="AP9" s="177">
        <f t="shared" si="8"/>
        <v>-2.930402930402928E-2</v>
      </c>
      <c r="AQ9" s="176">
        <f>IFERROR(GETPIVOTDATA("Sum of Qty",'[1]DATA LAST MONTH DEVICE'!$A$6,"ID Store",$C9,"Segment Price","3mio&gt;"),0)</f>
        <v>73</v>
      </c>
      <c r="AR9" s="178">
        <f t="shared" si="9"/>
        <v>111</v>
      </c>
      <c r="AS9" s="178">
        <f t="shared" si="10"/>
        <v>38</v>
      </c>
      <c r="AT9" s="172">
        <f t="shared" si="11"/>
        <v>0.52054794520547942</v>
      </c>
      <c r="AU9" s="179">
        <f>IFERROR(GETPIVOTDATA("Sum of SRP",'[1]DATA LAST MONTH DEVICE'!$A$6,"ID Store",$C9),0)</f>
        <v>898985000</v>
      </c>
      <c r="AV9" s="179">
        <f t="shared" si="37"/>
        <v>1051482000</v>
      </c>
      <c r="AW9" s="180">
        <f t="shared" si="12"/>
        <v>152497000</v>
      </c>
      <c r="AX9" s="181">
        <f t="shared" si="13"/>
        <v>0.16963241878340574</v>
      </c>
      <c r="AY9" s="182">
        <f>IFERROR(VLOOKUP(C9,'[1]DATA SALES LAST MONTH'!A:E,5,0),0)</f>
        <v>2853920.6349206348</v>
      </c>
      <c r="AZ9" s="152">
        <f t="shared" si="38"/>
        <v>3306547.169811321</v>
      </c>
      <c r="BA9" s="183">
        <f t="shared" si="14"/>
        <v>452626.53489068616</v>
      </c>
      <c r="BB9" s="172">
        <f t="shared" si="15"/>
        <v>0.1585981506816756</v>
      </c>
      <c r="BC9" s="153">
        <f>_xlfn.XLOOKUP(D:D,'[1]Target store'!C:C,'[1]Target store'!J:J,0)</f>
        <v>32</v>
      </c>
      <c r="BD9" s="184">
        <f>IFERROR(GETPIVOTDATA("Sum of Qty",[1]ACC!$A$5,"ID Store",$C9),0)</f>
        <v>65</v>
      </c>
      <c r="BE9" s="177">
        <f t="shared" si="16"/>
        <v>2.03125</v>
      </c>
      <c r="BF9" s="154">
        <f>_xlfn.XLOOKUP(D:D,'[1]Target store'!C:C,'[1]Target store'!K:K,0)</f>
        <v>4950000</v>
      </c>
      <c r="BG9" s="185">
        <f>IFERROR(GETPIVOTDATA("Sum of SRP",'[1]Insurance by Store'!$A$5,"ID Store",$C9,"Product Type","Qoala"),0)</f>
        <v>4145000</v>
      </c>
      <c r="BH9" s="177">
        <f t="shared" si="17"/>
        <v>0.83737373737373733</v>
      </c>
      <c r="BI9" s="154">
        <f>_xlfn.XLOOKUP(D:D,'[1]Target store'!C:C,'[1]Target store'!L:L,0)</f>
        <v>1100000</v>
      </c>
      <c r="BJ9" s="185">
        <f>IFERROR(GETPIVOTDATA("Sum of SRP",'[1]Insurance by Store'!$A$5,"ID Store",$C9,"Product Type","Vivo Care"),0)</f>
        <v>0</v>
      </c>
      <c r="BK9" s="177">
        <f t="shared" si="18"/>
        <v>0</v>
      </c>
      <c r="BL9" s="144">
        <f>_xlfn.XLOOKUP(D:D,'[1]Target store'!C:C,'[1]Target store'!M:M,0)</f>
        <v>2200000</v>
      </c>
      <c r="BM9" s="176">
        <f>IFERROR(GETPIVOTDATA("Sum of Qty",'[1]Operator by Store'!$A$5,"ID Store",$C9,"Product Type","Indosat"),0)</f>
        <v>6</v>
      </c>
      <c r="BN9" s="177">
        <f t="shared" si="19"/>
        <v>2.7272727272727272E-6</v>
      </c>
      <c r="BO9" s="144">
        <f>_xlfn.XLOOKUP(D:D,'[1]Target store'!C:C,'[1]Target store'!N:N,0)</f>
        <v>3300000</v>
      </c>
      <c r="BP9" s="176">
        <f>IFERROR(GETPIVOTDATA("Sum of Qty",'[1]Operator by Store'!$A$5,"ID Store",$C9,"Product Type","Telkomsel"),0)</f>
        <v>0</v>
      </c>
      <c r="BQ9" s="186">
        <f t="shared" si="20"/>
        <v>0</v>
      </c>
    </row>
    <row r="10" spans="1:69" ht="17" thickBot="1" x14ac:dyDescent="0.25">
      <c r="A10" s="156">
        <v>6</v>
      </c>
      <c r="B10" s="157" t="s">
        <v>39</v>
      </c>
      <c r="C10" s="158">
        <v>6010710</v>
      </c>
      <c r="D10" s="187" t="str">
        <f>IFERROR(INDEX('[1]Target store'!$C$5:$C$47,MATCH($C10&amp;"-*",'[1]Target store'!$C$5:$C$47,0)),"NOT FOUND")</f>
        <v>6010710-ROXY PAMERAN SELATAN</v>
      </c>
      <c r="E10" s="187" t="s">
        <v>42</v>
      </c>
      <c r="F10" s="160">
        <v>3</v>
      </c>
      <c r="G10" s="127">
        <f>_xlfn.XLOOKUP(D:D,'[1]Target store'!C:C,'[1]Target store'!F:F,0)</f>
        <v>110</v>
      </c>
      <c r="H10" s="161">
        <f>_xlfn.XLOOKUP(D:D,'[1]Target store'!C:C,'[1]Target store'!G:G,0)</f>
        <v>400000000</v>
      </c>
      <c r="I10" s="162">
        <f>IFERROR(GETPIVOTDATA("Sum of SRP",'[1]DEVICE &amp; VALUE'!$A$6,"ID Store",$C10),0)</f>
        <v>303608000</v>
      </c>
      <c r="J10" s="163">
        <f t="shared" si="21"/>
        <v>0.75902000000000003</v>
      </c>
      <c r="K10" s="164">
        <f t="shared" si="22"/>
        <v>-96392000</v>
      </c>
      <c r="L10" s="132">
        <f>IFERROR(GETPIVOTDATA("Sum of Qty",[1]PF!$A$5,"ID Store",$C10),0)</f>
        <v>11</v>
      </c>
      <c r="M10" s="133">
        <f>IFERROR(GETPIVOTDATA("Sum of Qty",'[1]DEVICE &amp; VALUE'!$A$6,"ID Store",$C10,"Segment Price","3mio&gt;"),0)</f>
        <v>31</v>
      </c>
      <c r="N10" s="134">
        <f t="shared" si="23"/>
        <v>0.33695652173913043</v>
      </c>
      <c r="O10" s="135">
        <f>IFERROR(GETPIVOTDATA("Sum of Qty",[1]IQOO!$A$6,"ID Store",$C10),0)</f>
        <v>0</v>
      </c>
      <c r="P10" s="134">
        <f t="shared" si="24"/>
        <v>0</v>
      </c>
      <c r="Q10" s="136">
        <f t="shared" si="25"/>
        <v>0.33695652173913043</v>
      </c>
      <c r="R10" s="135">
        <f>IFERROR(GETPIVOTDATA("Sum of Qty",'[1]DEVICE &amp; VALUE'!$A$6,"ID Store",$C10),0)</f>
        <v>92</v>
      </c>
      <c r="S10" s="135">
        <f t="shared" si="26"/>
        <v>0.83636363636363631</v>
      </c>
      <c r="T10" s="135">
        <f t="shared" si="27"/>
        <v>-18</v>
      </c>
      <c r="U10" s="165">
        <f t="shared" si="28"/>
        <v>325294285.71428567</v>
      </c>
      <c r="V10" s="163">
        <f t="shared" si="29"/>
        <v>0.81323571428571417</v>
      </c>
      <c r="W10" s="166">
        <f t="shared" si="30"/>
        <v>-74705714.285714328</v>
      </c>
      <c r="X10" s="167">
        <f t="shared" si="0"/>
        <v>33.214285714285715</v>
      </c>
      <c r="Y10" s="168">
        <f t="shared" si="1"/>
        <v>-76.785714285714278</v>
      </c>
      <c r="Z10" s="168">
        <f t="shared" si="31"/>
        <v>98.571428571428569</v>
      </c>
      <c r="AA10" s="168">
        <f t="shared" si="32"/>
        <v>-11.428571428571431</v>
      </c>
      <c r="AB10" s="168">
        <f t="shared" si="33"/>
        <v>0.89610389610389607</v>
      </c>
      <c r="AC10" s="238">
        <f t="shared" si="34"/>
        <v>9</v>
      </c>
      <c r="AD10" s="141">
        <f t="shared" si="35"/>
        <v>48196000</v>
      </c>
      <c r="AE10" s="169">
        <f>IFERROR(GETPIVOTDATA("Sum of Qty",'[1]DATA LAST MONTH IQOO'!$A$6,"ID Store",$C10),0)</f>
        <v>2</v>
      </c>
      <c r="AF10" s="170">
        <f>IFERROR(GETPIVOTDATA("Sum of Qty",[1]IQOO!$A$6,"ID Store",$C10),0)</f>
        <v>0</v>
      </c>
      <c r="AG10" s="171">
        <f t="shared" si="2"/>
        <v>-2</v>
      </c>
      <c r="AH10" s="172">
        <f t="shared" si="3"/>
        <v>-1</v>
      </c>
      <c r="AI10" s="173">
        <f>IFERROR(GETPIVOTDATA("Sum of Qty",'[1]DATA LAST MONTH DEVICE'!$A$6,"ID Store",$C10),0)</f>
        <v>104</v>
      </c>
      <c r="AJ10" s="146">
        <f t="shared" si="36"/>
        <v>92</v>
      </c>
      <c r="AK10" s="174">
        <f t="shared" si="4"/>
        <v>-12</v>
      </c>
      <c r="AL10" s="175">
        <f t="shared" si="5"/>
        <v>-0.11538461538461539</v>
      </c>
      <c r="AM10" s="176">
        <f>IFERROR(GETPIVOTDATA("Sum of Qty",'[1]Store 3mio+ last month'!$A$6,"ID Store",$C10),0)</f>
        <v>123</v>
      </c>
      <c r="AN10" s="144">
        <f t="shared" si="6"/>
        <v>98.571428571428569</v>
      </c>
      <c r="AO10" s="171">
        <f t="shared" si="7"/>
        <v>-24.428571428571431</v>
      </c>
      <c r="AP10" s="177">
        <f t="shared" si="8"/>
        <v>-0.19860627177700349</v>
      </c>
      <c r="AQ10" s="176">
        <f>IFERROR(GETPIVOTDATA("Sum of Qty",'[1]DATA LAST MONTH DEVICE'!$A$6,"ID Store",$C10,"Segment Price","3mio&gt;"),0)</f>
        <v>22</v>
      </c>
      <c r="AR10" s="178">
        <f t="shared" si="9"/>
        <v>31</v>
      </c>
      <c r="AS10" s="178">
        <f t="shared" si="10"/>
        <v>9</v>
      </c>
      <c r="AT10" s="172">
        <f t="shared" si="11"/>
        <v>0.40909090909090912</v>
      </c>
      <c r="AU10" s="179">
        <f>IFERROR(GETPIVOTDATA("Sum of SRP",'[1]DATA LAST MONTH DEVICE'!$A$6,"ID Store",$C10),0)</f>
        <v>300196000</v>
      </c>
      <c r="AV10" s="179">
        <f t="shared" si="37"/>
        <v>303608000</v>
      </c>
      <c r="AW10" s="180">
        <f t="shared" si="12"/>
        <v>3412000</v>
      </c>
      <c r="AX10" s="181">
        <f t="shared" si="13"/>
        <v>1.1365907607030074E-2</v>
      </c>
      <c r="AY10" s="182">
        <f>IFERROR(VLOOKUP(C10,'[1]DATA SALES LAST MONTH'!A:E,5,0),0)</f>
        <v>2886500</v>
      </c>
      <c r="AZ10" s="152">
        <f t="shared" si="38"/>
        <v>3300086.9565217388</v>
      </c>
      <c r="BA10" s="183">
        <f t="shared" si="14"/>
        <v>413586.95652173879</v>
      </c>
      <c r="BB10" s="172">
        <f t="shared" si="15"/>
        <v>0.14328319990359908</v>
      </c>
      <c r="BC10" s="153">
        <f>_xlfn.XLOOKUP(D:D,'[1]Target store'!C:C,'[1]Target store'!J:J,0)</f>
        <v>11</v>
      </c>
      <c r="BD10" s="184">
        <f>IFERROR(GETPIVOTDATA("Sum of Qty",[1]ACC!$A$5,"ID Store",$C10),0)</f>
        <v>14</v>
      </c>
      <c r="BE10" s="177">
        <f t="shared" si="16"/>
        <v>1.2727272727272727</v>
      </c>
      <c r="BF10" s="154">
        <f>_xlfn.XLOOKUP(D:D,'[1]Target store'!C:C,'[1]Target store'!K:K,0)</f>
        <v>1800000</v>
      </c>
      <c r="BG10" s="185">
        <f>IFERROR(GETPIVOTDATA("Sum of SRP",'[1]Insurance by Store'!$A$5,"ID Store",$C10,"Product Type","Qoala"),0)</f>
        <v>1272000</v>
      </c>
      <c r="BH10" s="177">
        <f t="shared" si="17"/>
        <v>0.70666666666666667</v>
      </c>
      <c r="BI10" s="154">
        <f>_xlfn.XLOOKUP(D:D,'[1]Target store'!C:C,'[1]Target store'!L:L,0)</f>
        <v>400000</v>
      </c>
      <c r="BJ10" s="185">
        <f>IFERROR(GETPIVOTDATA("Sum of SRP",'[1]Insurance by Store'!$A$5,"ID Store",$C10,"Product Type","Vivo Care"),0)</f>
        <v>0</v>
      </c>
      <c r="BK10" s="177">
        <f t="shared" si="18"/>
        <v>0</v>
      </c>
      <c r="BL10" s="144">
        <f>_xlfn.XLOOKUP(D:D,'[1]Target store'!C:C,'[1]Target store'!M:M,0)</f>
        <v>800000</v>
      </c>
      <c r="BM10" s="176">
        <f>IFERROR(GETPIVOTDATA("Sum of Qty",'[1]Operator by Store'!$A$5,"ID Store",$C10,"Product Type","Indosat"),0)</f>
        <v>2</v>
      </c>
      <c r="BN10" s="177">
        <f t="shared" si="19"/>
        <v>2.5000000000000002E-6</v>
      </c>
      <c r="BO10" s="144">
        <f>_xlfn.XLOOKUP(D:D,'[1]Target store'!C:C,'[1]Target store'!N:N,0)</f>
        <v>1200000</v>
      </c>
      <c r="BP10" s="176">
        <f>IFERROR(GETPIVOTDATA("Sum of Qty",'[1]Operator by Store'!$A$5,"ID Store",$C10,"Product Type","Telkomsel"),0)</f>
        <v>0</v>
      </c>
      <c r="BQ10" s="186">
        <f t="shared" si="20"/>
        <v>0</v>
      </c>
    </row>
    <row r="11" spans="1:69" ht="17" thickBot="1" x14ac:dyDescent="0.25">
      <c r="A11" s="156">
        <v>7</v>
      </c>
      <c r="B11" s="157" t="s">
        <v>39</v>
      </c>
      <c r="C11" s="158">
        <v>6020711</v>
      </c>
      <c r="D11" s="188" t="str">
        <f>IFERROR(INDEX('[1]Target store'!$C$5:$C$47,MATCH($C11&amp;"-*",'[1]Target store'!$C$5:$C$47,0)),"NOT FOUND")</f>
        <v>6020711-EMPORIUM VIVO STORE</v>
      </c>
      <c r="E11" s="188" t="s">
        <v>43</v>
      </c>
      <c r="F11" s="160">
        <v>3</v>
      </c>
      <c r="G11" s="127">
        <f>_xlfn.XLOOKUP(D:D,'[1]Target store'!C:C,'[1]Target store'!F:F,0)</f>
        <v>110</v>
      </c>
      <c r="H11" s="161">
        <f>_xlfn.XLOOKUP(D:D,'[1]Target store'!C:C,'[1]Target store'!G:G,0)</f>
        <v>620000000</v>
      </c>
      <c r="I11" s="162">
        <f>IFERROR(GETPIVOTDATA("Sum of SRP",'[1]DEVICE &amp; VALUE'!$A$6,"ID Store",$C11),0)</f>
        <v>443815000</v>
      </c>
      <c r="J11" s="163">
        <f t="shared" si="21"/>
        <v>0.71583064516129036</v>
      </c>
      <c r="K11" s="164">
        <f t="shared" si="22"/>
        <v>-176185000</v>
      </c>
      <c r="L11" s="132">
        <f>IFERROR(GETPIVOTDATA("Sum of Qty",[1]PF!$A$5,"ID Store",$C11),0)</f>
        <v>12</v>
      </c>
      <c r="M11" s="133">
        <f>IFERROR(GETPIVOTDATA("Sum of Qty",'[1]DEVICE &amp; VALUE'!$A$6,"ID Store",$C11,"Segment Price","3mio&gt;"),0)</f>
        <v>53</v>
      </c>
      <c r="N11" s="134">
        <f t="shared" si="23"/>
        <v>0.62352941176470589</v>
      </c>
      <c r="O11" s="135">
        <f>IFERROR(GETPIVOTDATA("Sum of Qty",[1]IQOO!$A$6,"ID Store",$C11),0)</f>
        <v>2</v>
      </c>
      <c r="P11" s="134">
        <f t="shared" si="24"/>
        <v>2.3529411764705882E-2</v>
      </c>
      <c r="Q11" s="136">
        <f t="shared" si="25"/>
        <v>0.62352941176470589</v>
      </c>
      <c r="R11" s="135">
        <f>IFERROR(GETPIVOTDATA("Sum of Qty",'[1]DEVICE &amp; VALUE'!$A$6,"ID Store",$C11),0)</f>
        <v>85</v>
      </c>
      <c r="S11" s="135">
        <f t="shared" si="26"/>
        <v>0.77272727272727271</v>
      </c>
      <c r="T11" s="135">
        <f t="shared" si="27"/>
        <v>-25</v>
      </c>
      <c r="U11" s="165">
        <f t="shared" si="28"/>
        <v>475516071.42857146</v>
      </c>
      <c r="V11" s="163">
        <f t="shared" si="29"/>
        <v>0.76696140552995395</v>
      </c>
      <c r="W11" s="166">
        <f t="shared" si="30"/>
        <v>-144483928.57142854</v>
      </c>
      <c r="X11" s="167">
        <f t="shared" si="0"/>
        <v>56.785714285714285</v>
      </c>
      <c r="Y11" s="168">
        <f t="shared" si="1"/>
        <v>-53.214285714285715</v>
      </c>
      <c r="Z11" s="168">
        <f t="shared" si="31"/>
        <v>91.071428571428569</v>
      </c>
      <c r="AA11" s="168">
        <f t="shared" si="32"/>
        <v>-18.928571428571431</v>
      </c>
      <c r="AB11" s="168">
        <f t="shared" si="33"/>
        <v>0.82792207792207795</v>
      </c>
      <c r="AC11" s="238">
        <f t="shared" si="34"/>
        <v>12.5</v>
      </c>
      <c r="AD11" s="141">
        <f t="shared" si="35"/>
        <v>88092500</v>
      </c>
      <c r="AE11" s="169">
        <f>IFERROR(GETPIVOTDATA("Sum of Qty",'[1]DATA LAST MONTH IQOO'!$A$6,"ID Store",$C11),0)</f>
        <v>3</v>
      </c>
      <c r="AF11" s="170">
        <f>IFERROR(GETPIVOTDATA("Sum of Qty",[1]IQOO!$A$6,"ID Store",$C11),0)</f>
        <v>2</v>
      </c>
      <c r="AG11" s="171">
        <f t="shared" si="2"/>
        <v>-1</v>
      </c>
      <c r="AH11" s="172">
        <f t="shared" si="3"/>
        <v>-0.33333333333333331</v>
      </c>
      <c r="AI11" s="173">
        <f>IFERROR(GETPIVOTDATA("Sum of Qty",'[1]DATA LAST MONTH DEVICE'!$A$6,"ID Store",$C11),0)</f>
        <v>72</v>
      </c>
      <c r="AJ11" s="146">
        <f t="shared" si="36"/>
        <v>85</v>
      </c>
      <c r="AK11" s="174">
        <f t="shared" si="4"/>
        <v>13</v>
      </c>
      <c r="AL11" s="175">
        <f t="shared" si="5"/>
        <v>0.18055555555555555</v>
      </c>
      <c r="AM11" s="176">
        <f>IFERROR(GETPIVOTDATA("Sum of Qty",'[1]Store 3mio+ last month'!$A$6,"ID Store",$C11),0)</f>
        <v>86</v>
      </c>
      <c r="AN11" s="144">
        <f t="shared" si="6"/>
        <v>91.071428571428569</v>
      </c>
      <c r="AO11" s="171">
        <f t="shared" si="7"/>
        <v>5.0714285714285694</v>
      </c>
      <c r="AP11" s="177">
        <f t="shared" si="8"/>
        <v>5.8970099667774063E-2</v>
      </c>
      <c r="AQ11" s="176">
        <f>IFERROR(GETPIVOTDATA("Sum of Qty",'[1]DATA LAST MONTH DEVICE'!$A$6,"ID Store",$C11,"Segment Price","3mio&gt;"),0)</f>
        <v>43</v>
      </c>
      <c r="AR11" s="178">
        <f t="shared" si="9"/>
        <v>53</v>
      </c>
      <c r="AS11" s="178">
        <f t="shared" si="10"/>
        <v>10</v>
      </c>
      <c r="AT11" s="172">
        <f t="shared" si="11"/>
        <v>0.23255813953488372</v>
      </c>
      <c r="AU11" s="179">
        <f>IFERROR(GETPIVOTDATA("Sum of SRP",'[1]DATA LAST MONTH DEVICE'!$A$6,"ID Store",$C11),0)</f>
        <v>464728000</v>
      </c>
      <c r="AV11" s="179">
        <f t="shared" si="37"/>
        <v>443815000</v>
      </c>
      <c r="AW11" s="180">
        <f t="shared" si="12"/>
        <v>-20913000</v>
      </c>
      <c r="AX11" s="181">
        <f t="shared" si="13"/>
        <v>-4.5000516431116695E-2</v>
      </c>
      <c r="AY11" s="182">
        <f>IFERROR(VLOOKUP(C11,'[1]DATA SALES LAST MONTH'!A:E,5,0),0)</f>
        <v>6454555.555555556</v>
      </c>
      <c r="AZ11" s="152">
        <f t="shared" si="38"/>
        <v>5221352.9411764713</v>
      </c>
      <c r="BA11" s="183">
        <f t="shared" si="14"/>
        <v>-1233202.6143790847</v>
      </c>
      <c r="BB11" s="172">
        <f t="shared" si="15"/>
        <v>-0.19105926097694584</v>
      </c>
      <c r="BC11" s="153">
        <f>_xlfn.XLOOKUP(D:D,'[1]Target store'!C:C,'[1]Target store'!J:J,0)</f>
        <v>11</v>
      </c>
      <c r="BD11" s="184">
        <f>IFERROR(GETPIVOTDATA("Sum of Qty",[1]ACC!$A$5,"ID Store",$C11),0)</f>
        <v>35</v>
      </c>
      <c r="BE11" s="177">
        <f t="shared" si="16"/>
        <v>3.1818181818181817</v>
      </c>
      <c r="BF11" s="154">
        <f>_xlfn.XLOOKUP(D:D,'[1]Target store'!C:C,'[1]Target store'!K:K,0)</f>
        <v>2790000</v>
      </c>
      <c r="BG11" s="185">
        <f>IFERROR(GETPIVOTDATA("Sum of SRP",'[1]Insurance by Store'!$A$5,"ID Store",$C11,"Product Type","Qoala"),0)</f>
        <v>1055000</v>
      </c>
      <c r="BH11" s="177">
        <f t="shared" si="17"/>
        <v>0.37813620071684589</v>
      </c>
      <c r="BI11" s="154">
        <f>_xlfn.XLOOKUP(D:D,'[1]Target store'!C:C,'[1]Target store'!L:L,0)</f>
        <v>620000</v>
      </c>
      <c r="BJ11" s="185">
        <f>IFERROR(GETPIVOTDATA("Sum of SRP",'[1]Insurance by Store'!$A$5,"ID Store",$C11,"Product Type","Vivo Care"),0)</f>
        <v>1000000</v>
      </c>
      <c r="BK11" s="177">
        <f t="shared" si="18"/>
        <v>1.6129032258064515</v>
      </c>
      <c r="BL11" s="144">
        <f>_xlfn.XLOOKUP(D:D,'[1]Target store'!C:C,'[1]Target store'!M:M,0)</f>
        <v>1240000</v>
      </c>
      <c r="BM11" s="176">
        <f>IFERROR(GETPIVOTDATA("Sum of Qty",'[1]Operator by Store'!$A$5,"ID Store",$C11,"Product Type","Indosat"),0)</f>
        <v>2</v>
      </c>
      <c r="BN11" s="177">
        <f t="shared" si="19"/>
        <v>1.6129032258064516E-6</v>
      </c>
      <c r="BO11" s="144">
        <f>_xlfn.XLOOKUP(D:D,'[1]Target store'!C:C,'[1]Target store'!N:N,0)</f>
        <v>1860000</v>
      </c>
      <c r="BP11" s="176">
        <f>IFERROR(GETPIVOTDATA("Sum of Qty",'[1]Operator by Store'!$A$5,"ID Store",$C11,"Product Type","Telkomsel"),0)</f>
        <v>0</v>
      </c>
      <c r="BQ11" s="186">
        <f t="shared" si="20"/>
        <v>0</v>
      </c>
    </row>
    <row r="12" spans="1:69" ht="17" thickBot="1" x14ac:dyDescent="0.25">
      <c r="A12" s="156">
        <v>8</v>
      </c>
      <c r="B12" s="157" t="s">
        <v>39</v>
      </c>
      <c r="C12" s="158">
        <v>6010711</v>
      </c>
      <c r="D12" s="187" t="str">
        <f>IFERROR(INDEX('[1]Target store'!$C$5:$C$47,MATCH($C12&amp;"-*",'[1]Target store'!$C$5:$C$47,0)),"NOT FOUND")</f>
        <v>6010711-LIPPO MALL PURI 1FK02</v>
      </c>
      <c r="E12" s="187" t="s">
        <v>44</v>
      </c>
      <c r="F12" s="160">
        <v>3</v>
      </c>
      <c r="G12" s="127">
        <f>_xlfn.XLOOKUP(D:D,'[1]Target store'!C:C,'[1]Target store'!F:F,0)</f>
        <v>50</v>
      </c>
      <c r="H12" s="161">
        <f>_xlfn.XLOOKUP(D:D,'[1]Target store'!C:C,'[1]Target store'!G:G,0)</f>
        <v>350000000</v>
      </c>
      <c r="I12" s="162">
        <f>IFERROR(GETPIVOTDATA("Sum of SRP",'[1]DEVICE &amp; VALUE'!$A$6,"ID Store",$C12),0)</f>
        <v>166973000</v>
      </c>
      <c r="J12" s="163">
        <f t="shared" si="21"/>
        <v>0.47706571428571426</v>
      </c>
      <c r="K12" s="164">
        <f t="shared" si="22"/>
        <v>-183027000</v>
      </c>
      <c r="L12" s="132">
        <f>IFERROR(GETPIVOTDATA("Sum of Qty",[1]PF!$A$5,"ID Store",$C12),0)</f>
        <v>3</v>
      </c>
      <c r="M12" s="133">
        <f>IFERROR(GETPIVOTDATA("Sum of Qty",'[1]DEVICE &amp; VALUE'!$A$6,"ID Store",$C12,"Segment Price","3mio&gt;"),0)</f>
        <v>15</v>
      </c>
      <c r="N12" s="134">
        <f t="shared" si="23"/>
        <v>0.55555555555555558</v>
      </c>
      <c r="O12" s="135">
        <f>IFERROR(GETPIVOTDATA("Sum of Qty",[1]IQOO!$A$6,"ID Store",$C12),0)</f>
        <v>0</v>
      </c>
      <c r="P12" s="134">
        <f t="shared" si="24"/>
        <v>0</v>
      </c>
      <c r="Q12" s="136">
        <f t="shared" si="25"/>
        <v>0.55555555555555558</v>
      </c>
      <c r="R12" s="135">
        <f>IFERROR(GETPIVOTDATA("Sum of Qty",'[1]DEVICE &amp; VALUE'!$A$6,"ID Store",$C12),0)</f>
        <v>27</v>
      </c>
      <c r="S12" s="135">
        <f t="shared" si="26"/>
        <v>0.54</v>
      </c>
      <c r="T12" s="135">
        <f t="shared" si="27"/>
        <v>-23</v>
      </c>
      <c r="U12" s="165">
        <f t="shared" si="28"/>
        <v>178899642.85714284</v>
      </c>
      <c r="V12" s="163">
        <f t="shared" si="29"/>
        <v>0.51114183673469382</v>
      </c>
      <c r="W12" s="166">
        <f t="shared" si="30"/>
        <v>-171100357.14285716</v>
      </c>
      <c r="X12" s="167">
        <f t="shared" si="0"/>
        <v>16.071428571428569</v>
      </c>
      <c r="Y12" s="168">
        <f t="shared" si="1"/>
        <v>-33.928571428571431</v>
      </c>
      <c r="Z12" s="168">
        <f t="shared" si="31"/>
        <v>28.928571428571431</v>
      </c>
      <c r="AA12" s="168">
        <f t="shared" si="32"/>
        <v>-21.071428571428569</v>
      </c>
      <c r="AB12" s="168">
        <f t="shared" si="33"/>
        <v>0.57857142857142863</v>
      </c>
      <c r="AC12" s="238">
        <f t="shared" si="34"/>
        <v>11.5</v>
      </c>
      <c r="AD12" s="141">
        <f t="shared" si="35"/>
        <v>91513500</v>
      </c>
      <c r="AE12" s="169">
        <f>IFERROR(GETPIVOTDATA("Sum of Qty",'[1]DATA LAST MONTH IQOO'!$A$6,"ID Store",$C12),0)</f>
        <v>3</v>
      </c>
      <c r="AF12" s="170">
        <f>IFERROR(GETPIVOTDATA("Sum of Qty",[1]IQOO!$A$6,"ID Store",$C12),0)</f>
        <v>0</v>
      </c>
      <c r="AG12" s="171">
        <f t="shared" si="2"/>
        <v>-3</v>
      </c>
      <c r="AH12" s="172">
        <f t="shared" si="3"/>
        <v>-1</v>
      </c>
      <c r="AI12" s="173">
        <f>IFERROR(GETPIVOTDATA("Sum of Qty",'[1]DATA LAST MONTH DEVICE'!$A$6,"ID Store",$C12),0)</f>
        <v>46</v>
      </c>
      <c r="AJ12" s="146">
        <f t="shared" si="36"/>
        <v>27</v>
      </c>
      <c r="AK12" s="174">
        <f t="shared" si="4"/>
        <v>-19</v>
      </c>
      <c r="AL12" s="175">
        <f t="shared" si="5"/>
        <v>-0.41304347826086957</v>
      </c>
      <c r="AM12" s="176">
        <f>IFERROR(GETPIVOTDATA("Sum of Qty",'[1]Store 3mio+ last month'!$A$6,"ID Store",$C12),0)</f>
        <v>49</v>
      </c>
      <c r="AN12" s="144">
        <f t="shared" si="6"/>
        <v>28.928571428571431</v>
      </c>
      <c r="AO12" s="171">
        <f t="shared" si="7"/>
        <v>-20.071428571428569</v>
      </c>
      <c r="AP12" s="177">
        <f t="shared" si="8"/>
        <v>-0.40962099125364426</v>
      </c>
      <c r="AQ12" s="176">
        <f>IFERROR(GETPIVOTDATA("Sum of Qty",'[1]DATA LAST MONTH DEVICE'!$A$6,"ID Store",$C12,"Segment Price","3mio&gt;"),0)</f>
        <v>28</v>
      </c>
      <c r="AR12" s="178">
        <f t="shared" si="9"/>
        <v>15</v>
      </c>
      <c r="AS12" s="178">
        <f t="shared" si="10"/>
        <v>-13</v>
      </c>
      <c r="AT12" s="172">
        <f t="shared" si="11"/>
        <v>-0.4642857142857143</v>
      </c>
      <c r="AU12" s="179">
        <f>IFERROR(GETPIVOTDATA("Sum of SRP",'[1]DATA LAST MONTH DEVICE'!$A$6,"ID Store",$C12),0)</f>
        <v>296354000</v>
      </c>
      <c r="AV12" s="179">
        <f t="shared" si="37"/>
        <v>166973000</v>
      </c>
      <c r="AW12" s="180">
        <f t="shared" si="12"/>
        <v>-129381000</v>
      </c>
      <c r="AX12" s="181">
        <f t="shared" si="13"/>
        <v>-0.43657585185285164</v>
      </c>
      <c r="AY12" s="182">
        <f>IFERROR(VLOOKUP(C12,'[1]DATA SALES LAST MONTH'!A:E,5,0),0)</f>
        <v>6442478.2608695654</v>
      </c>
      <c r="AZ12" s="152">
        <f t="shared" si="38"/>
        <v>6184185.1851851838</v>
      </c>
      <c r="BA12" s="183">
        <f t="shared" si="14"/>
        <v>-258293.07568438165</v>
      </c>
      <c r="BB12" s="172">
        <f t="shared" si="15"/>
        <v>-4.009219204559937E-2</v>
      </c>
      <c r="BC12" s="153">
        <f>_xlfn.XLOOKUP(D:D,'[1]Target store'!C:C,'[1]Target store'!J:J,0)</f>
        <v>5</v>
      </c>
      <c r="BD12" s="184">
        <f>IFERROR(GETPIVOTDATA("Sum of Qty",[1]ACC!$A$5,"ID Store",$C12),0)</f>
        <v>5</v>
      </c>
      <c r="BE12" s="177">
        <f t="shared" si="16"/>
        <v>1</v>
      </c>
      <c r="BF12" s="154">
        <f>_xlfn.XLOOKUP(D:D,'[1]Target store'!C:C,'[1]Target store'!K:K,0)</f>
        <v>1575000</v>
      </c>
      <c r="BG12" s="185">
        <f>IFERROR(GETPIVOTDATA("Sum of SRP",'[1]Insurance by Store'!$A$5,"ID Store",$C12,"Product Type","Qoala"),0)</f>
        <v>477000</v>
      </c>
      <c r="BH12" s="177">
        <f t="shared" si="17"/>
        <v>0.30285714285714288</v>
      </c>
      <c r="BI12" s="154">
        <f>_xlfn.XLOOKUP(D:D,'[1]Target store'!C:C,'[1]Target store'!L:L,0)</f>
        <v>350000</v>
      </c>
      <c r="BJ12" s="185">
        <f>IFERROR(GETPIVOTDATA("Sum of SRP",'[1]Insurance by Store'!$A$5,"ID Store",$C12,"Product Type","Vivo Care"),0)</f>
        <v>0</v>
      </c>
      <c r="BK12" s="177">
        <f t="shared" si="18"/>
        <v>0</v>
      </c>
      <c r="BL12" s="144">
        <f>_xlfn.XLOOKUP(D:D,'[1]Target store'!C:C,'[1]Target store'!M:M,0)</f>
        <v>700000</v>
      </c>
      <c r="BM12" s="176">
        <f>IFERROR(GETPIVOTDATA("Sum of Qty",'[1]Operator by Store'!$A$5,"ID Store",$C12,"Product Type","Indosat"),0)</f>
        <v>0</v>
      </c>
      <c r="BN12" s="177">
        <f t="shared" si="19"/>
        <v>0</v>
      </c>
      <c r="BO12" s="144">
        <f>_xlfn.XLOOKUP(D:D,'[1]Target store'!C:C,'[1]Target store'!N:N,0)</f>
        <v>1050000</v>
      </c>
      <c r="BP12" s="176">
        <f>IFERROR(GETPIVOTDATA("Sum of Qty",'[1]Operator by Store'!$A$5,"ID Store",$C12,"Product Type","Telkomsel"),0)</f>
        <v>0</v>
      </c>
      <c r="BQ12" s="186">
        <f t="shared" si="20"/>
        <v>0</v>
      </c>
    </row>
    <row r="13" spans="1:69" ht="17" thickBot="1" x14ac:dyDescent="0.25">
      <c r="A13" s="156">
        <v>9</v>
      </c>
      <c r="B13" s="157" t="s">
        <v>39</v>
      </c>
      <c r="C13" s="158">
        <v>6020706</v>
      </c>
      <c r="D13" s="187" t="str">
        <f>IFERROR(INDEX('[1]Target store'!$C$5:$C$47,MATCH($C13&amp;"-*",'[1]Target store'!$C$5:$C$47,0)),"NOT FOUND")</f>
        <v>6020706-CEMPAKA SHOWROOM 2 (454)</v>
      </c>
      <c r="E13" s="187" t="s">
        <v>45</v>
      </c>
      <c r="F13" s="160">
        <v>3</v>
      </c>
      <c r="G13" s="127">
        <f>_xlfn.XLOOKUP(D:D,'[1]Target store'!C:C,'[1]Target store'!F:F,0)</f>
        <v>100</v>
      </c>
      <c r="H13" s="161">
        <f>_xlfn.XLOOKUP(D:D,'[1]Target store'!C:C,'[1]Target store'!G:G,0)</f>
        <v>400000000</v>
      </c>
      <c r="I13" s="162">
        <f>IFERROR(GETPIVOTDATA("Sum of SRP",'[1]DEVICE &amp; VALUE'!$A$6,"ID Store",$C13),0)</f>
        <v>314015000</v>
      </c>
      <c r="J13" s="163">
        <f t="shared" si="21"/>
        <v>0.78503750000000005</v>
      </c>
      <c r="K13" s="164">
        <f t="shared" si="22"/>
        <v>-85985000</v>
      </c>
      <c r="L13" s="132">
        <f>IFERROR(GETPIVOTDATA("Sum of Qty",[1]PF!$A$5,"ID Store",$C13),0)</f>
        <v>14</v>
      </c>
      <c r="M13" s="133">
        <f>IFERROR(GETPIVOTDATA("Sum of Qty",'[1]DEVICE &amp; VALUE'!$A$6,"ID Store",$C13,"Segment Price","3mio&gt;"),0)</f>
        <v>35</v>
      </c>
      <c r="N13" s="134">
        <f t="shared" si="23"/>
        <v>0.41176470588235292</v>
      </c>
      <c r="O13" s="135">
        <f>IFERROR(GETPIVOTDATA("Sum of Qty",[1]IQOO!$A$6,"ID Store",$C13),0)</f>
        <v>0</v>
      </c>
      <c r="P13" s="134">
        <f t="shared" si="24"/>
        <v>0</v>
      </c>
      <c r="Q13" s="136">
        <f t="shared" si="25"/>
        <v>0.41176470588235292</v>
      </c>
      <c r="R13" s="135">
        <f>IFERROR(GETPIVOTDATA("Sum of Qty",'[1]DEVICE &amp; VALUE'!$A$6,"ID Store",$C13),0)</f>
        <v>85</v>
      </c>
      <c r="S13" s="135">
        <f t="shared" si="26"/>
        <v>0.85</v>
      </c>
      <c r="T13" s="135">
        <f t="shared" si="27"/>
        <v>-15</v>
      </c>
      <c r="U13" s="165">
        <f t="shared" si="28"/>
        <v>336444642.85714287</v>
      </c>
      <c r="V13" s="163">
        <f t="shared" si="29"/>
        <v>0.84111160714285715</v>
      </c>
      <c r="W13" s="166">
        <f t="shared" si="30"/>
        <v>-63555357.142857134</v>
      </c>
      <c r="X13" s="167">
        <f t="shared" si="0"/>
        <v>37.5</v>
      </c>
      <c r="Y13" s="168">
        <f t="shared" si="1"/>
        <v>-62.5</v>
      </c>
      <c r="Z13" s="168">
        <f t="shared" si="31"/>
        <v>91.071428571428569</v>
      </c>
      <c r="AA13" s="168">
        <f t="shared" si="32"/>
        <v>-8.9285714285714306</v>
      </c>
      <c r="AB13" s="168">
        <f t="shared" si="33"/>
        <v>0.9107142857142857</v>
      </c>
      <c r="AC13" s="238">
        <f t="shared" si="34"/>
        <v>7.5</v>
      </c>
      <c r="AD13" s="141">
        <f t="shared" si="35"/>
        <v>42992500</v>
      </c>
      <c r="AE13" s="169">
        <f>IFERROR(GETPIVOTDATA("Sum of Qty",'[1]DATA LAST MONTH IQOO'!$A$6,"ID Store",$C13),0)</f>
        <v>2</v>
      </c>
      <c r="AF13" s="170">
        <f>IFERROR(GETPIVOTDATA("Sum of Qty",[1]IQOO!$A$6,"ID Store",$C13),0)</f>
        <v>0</v>
      </c>
      <c r="AG13" s="171">
        <f t="shared" si="2"/>
        <v>-2</v>
      </c>
      <c r="AH13" s="172">
        <f t="shared" si="3"/>
        <v>-1</v>
      </c>
      <c r="AI13" s="173">
        <f>IFERROR(GETPIVOTDATA("Sum of Qty",'[1]DATA LAST MONTH DEVICE'!$A$6,"ID Store",$C13),0)</f>
        <v>87</v>
      </c>
      <c r="AJ13" s="146">
        <f t="shared" si="36"/>
        <v>85</v>
      </c>
      <c r="AK13" s="174">
        <f t="shared" si="4"/>
        <v>-2</v>
      </c>
      <c r="AL13" s="175">
        <f t="shared" si="5"/>
        <v>-2.2988505747126436E-2</v>
      </c>
      <c r="AM13" s="176">
        <f>IFERROR(GETPIVOTDATA("Sum of Qty",'[1]Store 3mio+ last month'!$A$6,"ID Store",$C13),0)</f>
        <v>88</v>
      </c>
      <c r="AN13" s="144">
        <f t="shared" si="6"/>
        <v>91.071428571428569</v>
      </c>
      <c r="AO13" s="171">
        <f t="shared" si="7"/>
        <v>3.0714285714285694</v>
      </c>
      <c r="AP13" s="177">
        <f t="shared" si="8"/>
        <v>3.490259740259738E-2</v>
      </c>
      <c r="AQ13" s="176">
        <f>IFERROR(GETPIVOTDATA("Sum of Qty",'[1]DATA LAST MONTH DEVICE'!$A$6,"ID Store",$C13,"Segment Price","3mio&gt;"),0)</f>
        <v>29</v>
      </c>
      <c r="AR13" s="178">
        <f t="shared" si="9"/>
        <v>35</v>
      </c>
      <c r="AS13" s="178">
        <f t="shared" si="10"/>
        <v>6</v>
      </c>
      <c r="AT13" s="172">
        <f t="shared" si="11"/>
        <v>0.20689655172413793</v>
      </c>
      <c r="AU13" s="179">
        <f>IFERROR(GETPIVOTDATA("Sum of SRP",'[1]DATA LAST MONTH DEVICE'!$A$6,"ID Store",$C13),0)</f>
        <v>283313000</v>
      </c>
      <c r="AV13" s="179">
        <f t="shared" si="37"/>
        <v>314015000</v>
      </c>
      <c r="AW13" s="180">
        <f t="shared" si="12"/>
        <v>30702000</v>
      </c>
      <c r="AX13" s="181">
        <f t="shared" si="13"/>
        <v>0.10836777698164221</v>
      </c>
      <c r="AY13" s="182">
        <f>IFERROR(VLOOKUP(C13,'[1]DATA SALES LAST MONTH'!A:E,5,0),0)</f>
        <v>3256471.264367816</v>
      </c>
      <c r="AZ13" s="152">
        <f t="shared" si="38"/>
        <v>3694294.1176470588</v>
      </c>
      <c r="BA13" s="183">
        <f t="shared" si="14"/>
        <v>437822.85327924276</v>
      </c>
      <c r="BB13" s="172">
        <f t="shared" si="15"/>
        <v>0.13444701879297499</v>
      </c>
      <c r="BC13" s="153">
        <f>_xlfn.XLOOKUP(D:D,'[1]Target store'!C:C,'[1]Target store'!J:J,0)</f>
        <v>10</v>
      </c>
      <c r="BD13" s="184">
        <f>IFERROR(GETPIVOTDATA("Sum of Qty",[1]ACC!$A$5,"ID Store",$C13),0)</f>
        <v>7</v>
      </c>
      <c r="BE13" s="177">
        <f t="shared" si="16"/>
        <v>0.7</v>
      </c>
      <c r="BF13" s="154">
        <f>_xlfn.XLOOKUP(D:D,'[1]Target store'!C:C,'[1]Target store'!K:K,0)</f>
        <v>1800000</v>
      </c>
      <c r="BG13" s="185">
        <f>IFERROR(GETPIVOTDATA("Sum of SRP",'[1]Insurance by Store'!$A$5,"ID Store",$C13,"Product Type","Qoala"),0)</f>
        <v>1146000</v>
      </c>
      <c r="BH13" s="177">
        <f t="shared" si="17"/>
        <v>0.63666666666666671</v>
      </c>
      <c r="BI13" s="154">
        <f>_xlfn.XLOOKUP(D:D,'[1]Target store'!C:C,'[1]Target store'!L:L,0)</f>
        <v>400000</v>
      </c>
      <c r="BJ13" s="185">
        <f>IFERROR(GETPIVOTDATA("Sum of SRP",'[1]Insurance by Store'!$A$5,"ID Store",$C13,"Product Type","Vivo Care"),0)</f>
        <v>0</v>
      </c>
      <c r="BK13" s="177">
        <f t="shared" si="18"/>
        <v>0</v>
      </c>
      <c r="BL13" s="144">
        <f>_xlfn.XLOOKUP(D:D,'[1]Target store'!C:C,'[1]Target store'!M:M,0)</f>
        <v>800000</v>
      </c>
      <c r="BM13" s="176">
        <f>IFERROR(GETPIVOTDATA("Sum of Qty",'[1]Operator by Store'!$A$5,"ID Store",$C13,"Product Type","Indosat"),0)</f>
        <v>0</v>
      </c>
      <c r="BN13" s="177">
        <f t="shared" si="19"/>
        <v>0</v>
      </c>
      <c r="BO13" s="144">
        <f>_xlfn.XLOOKUP(D:D,'[1]Target store'!C:C,'[1]Target store'!N:N,0)</f>
        <v>1200000</v>
      </c>
      <c r="BP13" s="176">
        <f>IFERROR(GETPIVOTDATA("Sum of Qty",'[1]Operator by Store'!$A$5,"ID Store",$C13,"Product Type","Telkomsel"),0)</f>
        <v>0</v>
      </c>
      <c r="BQ13" s="186">
        <f t="shared" si="20"/>
        <v>0</v>
      </c>
    </row>
    <row r="14" spans="1:69" ht="17" thickBot="1" x14ac:dyDescent="0.25">
      <c r="A14" s="156">
        <v>10</v>
      </c>
      <c r="B14" s="157" t="s">
        <v>39</v>
      </c>
      <c r="C14" s="158">
        <v>6020704</v>
      </c>
      <c r="D14" s="187" t="str">
        <f>IFERROR(INDEX('[1]Target store'!$C$5:$C$47,MATCH($C14&amp;"-*",'[1]Target store'!$C$5:$C$47,0)),"NOT FOUND")</f>
        <v>6020704-CEMPAKA SHOWROOM 14(8TOKO)</v>
      </c>
      <c r="E14" s="187" t="s">
        <v>45</v>
      </c>
      <c r="F14" s="160">
        <v>3</v>
      </c>
      <c r="G14" s="127">
        <f>_xlfn.XLOOKUP(D:D,'[1]Target store'!C:C,'[1]Target store'!F:F,0)</f>
        <v>50</v>
      </c>
      <c r="H14" s="161">
        <f>_xlfn.XLOOKUP(D:D,'[1]Target store'!C:C,'[1]Target store'!G:G,0)</f>
        <v>200000000</v>
      </c>
      <c r="I14" s="162">
        <f>IFERROR(GETPIVOTDATA("Sum of SRP",'[1]DEVICE &amp; VALUE'!$A$6,"ID Store",$C14),0)</f>
        <v>180555000</v>
      </c>
      <c r="J14" s="163">
        <f t="shared" si="21"/>
        <v>0.90277499999999999</v>
      </c>
      <c r="K14" s="164">
        <f t="shared" si="22"/>
        <v>-19445000</v>
      </c>
      <c r="L14" s="132">
        <f>IFERROR(GETPIVOTDATA("Sum of Qty",[1]PF!$A$5,"ID Store",$C14),0)</f>
        <v>6</v>
      </c>
      <c r="M14" s="133">
        <f>IFERROR(GETPIVOTDATA("Sum of Qty",'[1]DEVICE &amp; VALUE'!$A$6,"ID Store",$C14,"Segment Price","3mio&gt;"),0)</f>
        <v>20</v>
      </c>
      <c r="N14" s="134">
        <f t="shared" si="23"/>
        <v>0.44444444444444442</v>
      </c>
      <c r="O14" s="135">
        <f>IFERROR(GETPIVOTDATA("Sum of Qty",[1]IQOO!$A$6,"ID Store",$C14),0)</f>
        <v>0</v>
      </c>
      <c r="P14" s="134">
        <f t="shared" si="24"/>
        <v>0</v>
      </c>
      <c r="Q14" s="136">
        <f t="shared" si="25"/>
        <v>0.44444444444444442</v>
      </c>
      <c r="R14" s="135">
        <f>IFERROR(GETPIVOTDATA("Sum of Qty",'[1]DEVICE &amp; VALUE'!$A$6,"ID Store",$C14),0)</f>
        <v>45</v>
      </c>
      <c r="S14" s="135">
        <f t="shared" si="26"/>
        <v>0.9</v>
      </c>
      <c r="T14" s="135">
        <f t="shared" si="27"/>
        <v>-5</v>
      </c>
      <c r="U14" s="165">
        <f t="shared" si="28"/>
        <v>193451785.71428573</v>
      </c>
      <c r="V14" s="163">
        <f t="shared" si="29"/>
        <v>0.9672589285714287</v>
      </c>
      <c r="W14" s="166">
        <f t="shared" si="30"/>
        <v>-6548214.2857142687</v>
      </c>
      <c r="X14" s="167">
        <f t="shared" si="0"/>
        <v>21.428571428571431</v>
      </c>
      <c r="Y14" s="168">
        <f t="shared" si="1"/>
        <v>-28.571428571428569</v>
      </c>
      <c r="Z14" s="168">
        <f t="shared" si="31"/>
        <v>48.214285714285715</v>
      </c>
      <c r="AA14" s="168">
        <f t="shared" si="32"/>
        <v>-1.7857142857142847</v>
      </c>
      <c r="AB14" s="168">
        <f t="shared" si="33"/>
        <v>0.9642857142857143</v>
      </c>
      <c r="AC14" s="238">
        <f t="shared" si="34"/>
        <v>2.5</v>
      </c>
      <c r="AD14" s="141">
        <f t="shared" si="35"/>
        <v>9722500</v>
      </c>
      <c r="AE14" s="169">
        <f>IFERROR(GETPIVOTDATA("Sum of Qty",'[1]DATA LAST MONTH IQOO'!$A$6,"ID Store",$C14),0)</f>
        <v>1</v>
      </c>
      <c r="AF14" s="170">
        <f>IFERROR(GETPIVOTDATA("Sum of Qty",[1]IQOO!$A$6,"ID Store",$C14),0)</f>
        <v>0</v>
      </c>
      <c r="AG14" s="171">
        <f t="shared" si="2"/>
        <v>-1</v>
      </c>
      <c r="AH14" s="172">
        <f t="shared" si="3"/>
        <v>-1</v>
      </c>
      <c r="AI14" s="173">
        <f>IFERROR(GETPIVOTDATA("Sum of Qty",'[1]DATA LAST MONTH DEVICE'!$A$6,"ID Store",$C14),0)</f>
        <v>47</v>
      </c>
      <c r="AJ14" s="146">
        <f t="shared" si="36"/>
        <v>45</v>
      </c>
      <c r="AK14" s="174">
        <f t="shared" si="4"/>
        <v>-2</v>
      </c>
      <c r="AL14" s="175">
        <f t="shared" si="5"/>
        <v>-4.2553191489361701E-2</v>
      </c>
      <c r="AM14" s="176">
        <f>IFERROR(GETPIVOTDATA("Sum of Qty",'[1]Store 3mio+ last month'!$A$6,"ID Store",$C14),0)</f>
        <v>63</v>
      </c>
      <c r="AN14" s="144">
        <f t="shared" si="6"/>
        <v>48.214285714285715</v>
      </c>
      <c r="AO14" s="171">
        <f t="shared" si="7"/>
        <v>-14.785714285714285</v>
      </c>
      <c r="AP14" s="177">
        <f t="shared" si="8"/>
        <v>-0.23469387755102039</v>
      </c>
      <c r="AQ14" s="176">
        <f>IFERROR(GETPIVOTDATA("Sum of Qty",'[1]DATA LAST MONTH DEVICE'!$A$6,"ID Store",$C14,"Segment Price","3mio&gt;"),0)</f>
        <v>21</v>
      </c>
      <c r="AR14" s="178">
        <f t="shared" si="9"/>
        <v>20</v>
      </c>
      <c r="AS14" s="178">
        <f t="shared" si="10"/>
        <v>-1</v>
      </c>
      <c r="AT14" s="172">
        <f t="shared" si="11"/>
        <v>-4.7619047619047616E-2</v>
      </c>
      <c r="AU14" s="179">
        <f>IFERROR(GETPIVOTDATA("Sum of SRP",'[1]DATA LAST MONTH DEVICE'!$A$6,"ID Store",$C14),0)</f>
        <v>172153000</v>
      </c>
      <c r="AV14" s="179">
        <f t="shared" si="37"/>
        <v>180555000</v>
      </c>
      <c r="AW14" s="180">
        <f t="shared" si="12"/>
        <v>8402000</v>
      </c>
      <c r="AX14" s="181">
        <f t="shared" si="13"/>
        <v>4.8805423082955275E-2</v>
      </c>
      <c r="AY14" s="182">
        <f>IFERROR(VLOOKUP(C14,'[1]DATA SALES LAST MONTH'!A:E,5,0),0)</f>
        <v>3662829.7872340428</v>
      </c>
      <c r="AZ14" s="152">
        <f t="shared" si="38"/>
        <v>4012333.3333333335</v>
      </c>
      <c r="BA14" s="183">
        <f t="shared" si="14"/>
        <v>349503.54609929072</v>
      </c>
      <c r="BB14" s="172">
        <f t="shared" si="15"/>
        <v>9.5418997442197714E-2</v>
      </c>
      <c r="BC14" s="153">
        <f>_xlfn.XLOOKUP(D:D,'[1]Target store'!C:C,'[1]Target store'!J:J,0)</f>
        <v>5</v>
      </c>
      <c r="BD14" s="184">
        <f>IFERROR(GETPIVOTDATA("Sum of Qty",[1]ACC!$A$5,"ID Store",$C14),0)</f>
        <v>8</v>
      </c>
      <c r="BE14" s="177">
        <f t="shared" si="16"/>
        <v>1.6</v>
      </c>
      <c r="BF14" s="154">
        <f>_xlfn.XLOOKUP(D:D,'[1]Target store'!C:C,'[1]Target store'!K:K,0)</f>
        <v>900000</v>
      </c>
      <c r="BG14" s="185">
        <f>IFERROR(GETPIVOTDATA("Sum of SRP",'[1]Insurance by Store'!$A$5,"ID Store",$C14,"Product Type","Qoala"),0)</f>
        <v>477000</v>
      </c>
      <c r="BH14" s="177">
        <f t="shared" si="17"/>
        <v>0.53</v>
      </c>
      <c r="BI14" s="154">
        <f>_xlfn.XLOOKUP(D:D,'[1]Target store'!C:C,'[1]Target store'!L:L,0)</f>
        <v>200000</v>
      </c>
      <c r="BJ14" s="185">
        <f>IFERROR(GETPIVOTDATA("Sum of SRP",'[1]Insurance by Store'!$A$5,"ID Store",$C14,"Product Type","Vivo Care"),0)</f>
        <v>0</v>
      </c>
      <c r="BK14" s="177">
        <f t="shared" si="18"/>
        <v>0</v>
      </c>
      <c r="BL14" s="144">
        <f>_xlfn.XLOOKUP(D:D,'[1]Target store'!C:C,'[1]Target store'!M:M,0)</f>
        <v>400000</v>
      </c>
      <c r="BM14" s="176">
        <f>IFERROR(GETPIVOTDATA("Sum of Qty",'[1]Operator by Store'!$A$5,"ID Store",$C14,"Product Type","Indosat"),0)</f>
        <v>0</v>
      </c>
      <c r="BN14" s="177">
        <f t="shared" si="19"/>
        <v>0</v>
      </c>
      <c r="BO14" s="144">
        <f>_xlfn.XLOOKUP(D:D,'[1]Target store'!C:C,'[1]Target store'!N:N,0)</f>
        <v>600000</v>
      </c>
      <c r="BP14" s="176">
        <f>IFERROR(GETPIVOTDATA("Sum of Qty",'[1]Operator by Store'!$A$5,"ID Store",$C14,"Product Type","Telkomsel"),0)</f>
        <v>0</v>
      </c>
      <c r="BQ14" s="186">
        <f t="shared" si="20"/>
        <v>0</v>
      </c>
    </row>
    <row r="15" spans="1:69" ht="17" thickBot="1" x14ac:dyDescent="0.25">
      <c r="A15" s="156">
        <v>11</v>
      </c>
      <c r="B15" s="157" t="s">
        <v>46</v>
      </c>
      <c r="C15" s="158">
        <v>6040701</v>
      </c>
      <c r="D15" s="187" t="str">
        <f>IFERROR(INDEX('[1]Target store'!$C$5:$C$47,MATCH($C15&amp;"-*",'[1]Target store'!$C$5:$C$47,0)),"NOT FOUND")</f>
        <v>6040701-ITC DEPOK VIVO STORE 1</v>
      </c>
      <c r="E15" s="187" t="s">
        <v>47</v>
      </c>
      <c r="F15" s="160">
        <v>3</v>
      </c>
      <c r="G15" s="127">
        <f>_xlfn.XLOOKUP(D:D,'[1]Target store'!C:C,'[1]Target store'!F:F,0)</f>
        <v>60</v>
      </c>
      <c r="H15" s="161">
        <f>_xlfn.XLOOKUP(D:D,'[1]Target store'!C:C,'[1]Target store'!G:G,0)</f>
        <v>250000000</v>
      </c>
      <c r="I15" s="162">
        <f>IFERROR(GETPIVOTDATA("Sum of SRP",'[1]DEVICE &amp; VALUE'!$A$6,"ID Store",$C15),0)</f>
        <v>268344000</v>
      </c>
      <c r="J15" s="163">
        <f t="shared" si="21"/>
        <v>1.0733760000000001</v>
      </c>
      <c r="K15" s="164">
        <f t="shared" si="22"/>
        <v>18344000</v>
      </c>
      <c r="L15" s="132">
        <f>IFERROR(GETPIVOTDATA("Sum of Qty",[1]PF!$A$5,"ID Store",$C15),0)</f>
        <v>7</v>
      </c>
      <c r="M15" s="133">
        <f>IFERROR(GETPIVOTDATA("Sum of Qty",'[1]DEVICE &amp; VALUE'!$A$6,"ID Store",$C15,"Segment Price","3mio&gt;"),0)</f>
        <v>32</v>
      </c>
      <c r="N15" s="134">
        <f t="shared" si="23"/>
        <v>0.5714285714285714</v>
      </c>
      <c r="O15" s="135">
        <f>IFERROR(GETPIVOTDATA("Sum of Qty",[1]IQOO!$A$6,"ID Store",$C15),0)</f>
        <v>0</v>
      </c>
      <c r="P15" s="134">
        <f t="shared" si="24"/>
        <v>0</v>
      </c>
      <c r="Q15" s="136">
        <f t="shared" si="25"/>
        <v>0.5714285714285714</v>
      </c>
      <c r="R15" s="135">
        <f>IFERROR(GETPIVOTDATA("Sum of Qty",'[1]DEVICE &amp; VALUE'!$A$6,"ID Store",$C15),0)</f>
        <v>56</v>
      </c>
      <c r="S15" s="135">
        <f t="shared" si="26"/>
        <v>0.93333333333333335</v>
      </c>
      <c r="T15" s="135">
        <f t="shared" si="27"/>
        <v>-4</v>
      </c>
      <c r="U15" s="165">
        <f t="shared" si="28"/>
        <v>287511428.57142854</v>
      </c>
      <c r="V15" s="163">
        <f t="shared" si="29"/>
        <v>1.1500457142857141</v>
      </c>
      <c r="W15" s="166">
        <f t="shared" si="30"/>
        <v>37511428.571428537</v>
      </c>
      <c r="X15" s="167">
        <f t="shared" si="0"/>
        <v>34.285714285714285</v>
      </c>
      <c r="Y15" s="168">
        <f t="shared" si="1"/>
        <v>-25.714285714285715</v>
      </c>
      <c r="Z15" s="168">
        <f t="shared" si="31"/>
        <v>60</v>
      </c>
      <c r="AA15" s="168">
        <f t="shared" si="32"/>
        <v>0</v>
      </c>
      <c r="AB15" s="168">
        <f t="shared" si="33"/>
        <v>1</v>
      </c>
      <c r="AC15" s="238">
        <f t="shared" si="34"/>
        <v>2</v>
      </c>
      <c r="AD15" s="141">
        <f t="shared" si="35"/>
        <v>-9172000</v>
      </c>
      <c r="AE15" s="169">
        <f>IFERROR(GETPIVOTDATA("Sum of Qty",'[1]DATA LAST MONTH IQOO'!$A$6,"ID Store",$C15),0)</f>
        <v>1</v>
      </c>
      <c r="AF15" s="170">
        <f>IFERROR(GETPIVOTDATA("Sum of Qty",[1]IQOO!$A$6,"ID Store",$C15),0)</f>
        <v>0</v>
      </c>
      <c r="AG15" s="171">
        <f t="shared" si="2"/>
        <v>-1</v>
      </c>
      <c r="AH15" s="172">
        <f t="shared" si="3"/>
        <v>-1</v>
      </c>
      <c r="AI15" s="173">
        <f>IFERROR(GETPIVOTDATA("Sum of Qty",'[1]DATA LAST MONTH DEVICE'!$A$6,"ID Store",$C15),0)</f>
        <v>50</v>
      </c>
      <c r="AJ15" s="146">
        <f t="shared" si="36"/>
        <v>56</v>
      </c>
      <c r="AK15" s="174">
        <f t="shared" si="4"/>
        <v>6</v>
      </c>
      <c r="AL15" s="175">
        <f t="shared" si="5"/>
        <v>0.12</v>
      </c>
      <c r="AM15" s="176">
        <f>IFERROR(GETPIVOTDATA("Sum of Qty",'[1]Store 3mio+ last month'!$A$6,"ID Store",$C15),0)</f>
        <v>60</v>
      </c>
      <c r="AN15" s="144">
        <f t="shared" si="6"/>
        <v>60</v>
      </c>
      <c r="AO15" s="171">
        <f t="shared" si="7"/>
        <v>0</v>
      </c>
      <c r="AP15" s="177">
        <f t="shared" si="8"/>
        <v>0</v>
      </c>
      <c r="AQ15" s="176">
        <f>IFERROR(GETPIVOTDATA("Sum of Qty",'[1]DATA LAST MONTH DEVICE'!$A$6,"ID Store",$C15,"Segment Price","3mio&gt;"),0)</f>
        <v>24</v>
      </c>
      <c r="AR15" s="178">
        <f t="shared" si="9"/>
        <v>32</v>
      </c>
      <c r="AS15" s="178">
        <f t="shared" si="10"/>
        <v>8</v>
      </c>
      <c r="AT15" s="172">
        <f t="shared" si="11"/>
        <v>0.33333333333333331</v>
      </c>
      <c r="AU15" s="179">
        <f>IFERROR(GETPIVOTDATA("Sum of SRP",'[1]DATA LAST MONTH DEVICE'!$A$6,"ID Store",$C15),0)</f>
        <v>199750000</v>
      </c>
      <c r="AV15" s="179">
        <f t="shared" si="37"/>
        <v>268344000</v>
      </c>
      <c r="AW15" s="180">
        <f t="shared" si="12"/>
        <v>68594000</v>
      </c>
      <c r="AX15" s="181">
        <f t="shared" si="13"/>
        <v>0.34339924906132668</v>
      </c>
      <c r="AY15" s="182">
        <f>IFERROR(VLOOKUP(C15,'[1]DATA SALES LAST MONTH'!A:E,5,0),0)</f>
        <v>3995000</v>
      </c>
      <c r="AZ15" s="152">
        <f t="shared" si="38"/>
        <v>4791857.1428571427</v>
      </c>
      <c r="BA15" s="183">
        <f t="shared" si="14"/>
        <v>796857.14285714272</v>
      </c>
      <c r="BB15" s="172">
        <f t="shared" si="15"/>
        <v>0.19946361523332734</v>
      </c>
      <c r="BC15" s="153">
        <f>_xlfn.XLOOKUP(D:D,'[1]Target store'!C:C,'[1]Target store'!J:J,0)</f>
        <v>6</v>
      </c>
      <c r="BD15" s="184">
        <f>IFERROR(GETPIVOTDATA("Sum of Qty",[1]ACC!$A$5,"ID Store",$C15),0)</f>
        <v>12</v>
      </c>
      <c r="BE15" s="177">
        <f t="shared" si="16"/>
        <v>2</v>
      </c>
      <c r="BF15" s="154">
        <f>_xlfn.XLOOKUP(D:D,'[1]Target store'!C:C,'[1]Target store'!K:K,0)</f>
        <v>1125000</v>
      </c>
      <c r="BG15" s="185">
        <f>IFERROR(GETPIVOTDATA("Sum of SRP",'[1]Insurance by Store'!$A$5,"ID Store",$C15,"Product Type","Qoala"),0)</f>
        <v>737000</v>
      </c>
      <c r="BH15" s="177">
        <f t="shared" si="17"/>
        <v>0.65511111111111109</v>
      </c>
      <c r="BI15" s="154">
        <f>_xlfn.XLOOKUP(D:D,'[1]Target store'!C:C,'[1]Target store'!L:L,0)</f>
        <v>250000</v>
      </c>
      <c r="BJ15" s="185">
        <f>IFERROR(GETPIVOTDATA("Sum of SRP",'[1]Insurance by Store'!$A$5,"ID Store",$C15,"Product Type","Vivo Care"),0)</f>
        <v>2000000</v>
      </c>
      <c r="BK15" s="177">
        <f t="shared" si="18"/>
        <v>8</v>
      </c>
      <c r="BL15" s="144">
        <f>_xlfn.XLOOKUP(D:D,'[1]Target store'!C:C,'[1]Target store'!M:M,0)</f>
        <v>500000</v>
      </c>
      <c r="BM15" s="176">
        <f>IFERROR(GETPIVOTDATA("Sum of Qty",'[1]Operator by Store'!$A$5,"ID Store",$C15,"Product Type","Indosat"),0)</f>
        <v>8</v>
      </c>
      <c r="BN15" s="177">
        <f t="shared" si="19"/>
        <v>1.5999999999999999E-5</v>
      </c>
      <c r="BO15" s="144">
        <f>_xlfn.XLOOKUP(D:D,'[1]Target store'!C:C,'[1]Target store'!N:N,0)</f>
        <v>750000</v>
      </c>
      <c r="BP15" s="176">
        <f>IFERROR(GETPIVOTDATA("Sum of Qty",'[1]Operator by Store'!$A$5,"ID Store",$C15,"Product Type","Telkomsel"),0)</f>
        <v>0</v>
      </c>
      <c r="BQ15" s="186">
        <f t="shared" si="20"/>
        <v>0</v>
      </c>
    </row>
    <row r="16" spans="1:69" ht="17" thickBot="1" x14ac:dyDescent="0.25">
      <c r="A16" s="156">
        <v>12</v>
      </c>
      <c r="B16" s="157" t="s">
        <v>46</v>
      </c>
      <c r="C16" s="158">
        <v>6080712</v>
      </c>
      <c r="D16" s="187" t="str">
        <f>IFERROR(INDEX('[1]Target store'!$C$5:$C$47,MATCH($C16&amp;"-*",'[1]Target store'!$C$5:$C$47,0)),"NOT FOUND")</f>
        <v>6080712-ITC DEPOK VIVO STORE 2</v>
      </c>
      <c r="E16" s="187" t="s">
        <v>47</v>
      </c>
      <c r="F16" s="160">
        <v>3</v>
      </c>
      <c r="G16" s="127">
        <f>_xlfn.XLOOKUP(D:D,'[1]Target store'!C:C,'[1]Target store'!F:F,0)</f>
        <v>70</v>
      </c>
      <c r="H16" s="161">
        <f>_xlfn.XLOOKUP(D:D,'[1]Target store'!C:C,'[1]Target store'!G:G,0)</f>
        <v>300000000</v>
      </c>
      <c r="I16" s="162">
        <f>IFERROR(GETPIVOTDATA("Sum of SRP",'[1]DEVICE &amp; VALUE'!$A$6,"ID Store",$C16),0)</f>
        <v>193357000</v>
      </c>
      <c r="J16" s="163">
        <f t="shared" si="21"/>
        <v>0.64452333333333334</v>
      </c>
      <c r="K16" s="164">
        <f t="shared" si="22"/>
        <v>-106643000</v>
      </c>
      <c r="L16" s="132">
        <f>IFERROR(GETPIVOTDATA("Sum of Qty",[1]PF!$A$5,"ID Store",$C16),0)</f>
        <v>6</v>
      </c>
      <c r="M16" s="133">
        <f>IFERROR(GETPIVOTDATA("Sum of Qty",'[1]DEVICE &amp; VALUE'!$A$6,"ID Store",$C16,"Segment Price","3mio&gt;"),0)</f>
        <v>27</v>
      </c>
      <c r="N16" s="134">
        <f t="shared" si="23"/>
        <v>0.62790697674418605</v>
      </c>
      <c r="O16" s="135">
        <f>IFERROR(GETPIVOTDATA("Sum of Qty",[1]IQOO!$A$6,"ID Store",$C16),0)</f>
        <v>0</v>
      </c>
      <c r="P16" s="134">
        <f t="shared" si="24"/>
        <v>0</v>
      </c>
      <c r="Q16" s="136">
        <f t="shared" si="25"/>
        <v>0.62790697674418605</v>
      </c>
      <c r="R16" s="135">
        <f>IFERROR(GETPIVOTDATA("Sum of Qty",'[1]DEVICE &amp; VALUE'!$A$6,"ID Store",$C16),0)</f>
        <v>43</v>
      </c>
      <c r="S16" s="135">
        <f t="shared" si="26"/>
        <v>0.61428571428571432</v>
      </c>
      <c r="T16" s="135">
        <f t="shared" si="27"/>
        <v>-27</v>
      </c>
      <c r="U16" s="165">
        <f t="shared" si="28"/>
        <v>207168214.28571427</v>
      </c>
      <c r="V16" s="163">
        <f t="shared" si="29"/>
        <v>0.69056071428571419</v>
      </c>
      <c r="W16" s="166">
        <f t="shared" si="30"/>
        <v>-92831785.714285731</v>
      </c>
      <c r="X16" s="167">
        <f t="shared" si="0"/>
        <v>28.928571428571431</v>
      </c>
      <c r="Y16" s="168">
        <f t="shared" si="1"/>
        <v>-41.071428571428569</v>
      </c>
      <c r="Z16" s="168">
        <f t="shared" si="31"/>
        <v>46.071428571428577</v>
      </c>
      <c r="AA16" s="168">
        <f t="shared" si="32"/>
        <v>-23.928571428571423</v>
      </c>
      <c r="AB16" s="168">
        <f t="shared" si="33"/>
        <v>0.65816326530612257</v>
      </c>
      <c r="AC16" s="238">
        <f t="shared" si="34"/>
        <v>13.5</v>
      </c>
      <c r="AD16" s="141">
        <f t="shared" si="35"/>
        <v>53321500</v>
      </c>
      <c r="AE16" s="169">
        <f>IFERROR(GETPIVOTDATA("Sum of Qty",'[1]DATA LAST MONTH IQOO'!$A$6,"ID Store",$C16),0)</f>
        <v>2</v>
      </c>
      <c r="AF16" s="170">
        <f>IFERROR(GETPIVOTDATA("Sum of Qty",[1]IQOO!$A$6,"ID Store",$C16),0)</f>
        <v>0</v>
      </c>
      <c r="AG16" s="171">
        <f t="shared" si="2"/>
        <v>-2</v>
      </c>
      <c r="AH16" s="172">
        <f t="shared" si="3"/>
        <v>-1</v>
      </c>
      <c r="AI16" s="173">
        <f>IFERROR(GETPIVOTDATA("Sum of Qty",'[1]DATA LAST MONTH DEVICE'!$A$6,"ID Store",$C16),0)</f>
        <v>40</v>
      </c>
      <c r="AJ16" s="146">
        <f t="shared" si="36"/>
        <v>43</v>
      </c>
      <c r="AK16" s="174">
        <f t="shared" si="4"/>
        <v>3</v>
      </c>
      <c r="AL16" s="175">
        <f t="shared" si="5"/>
        <v>7.4999999999999997E-2</v>
      </c>
      <c r="AM16" s="176">
        <f>IFERROR(GETPIVOTDATA("Sum of Qty",'[1]Store 3mio+ last month'!$A$6,"ID Store",$C16),0)</f>
        <v>44</v>
      </c>
      <c r="AN16" s="144">
        <f t="shared" si="6"/>
        <v>46.071428571428577</v>
      </c>
      <c r="AO16" s="171">
        <f t="shared" si="7"/>
        <v>2.0714285714285765</v>
      </c>
      <c r="AP16" s="177">
        <f t="shared" si="8"/>
        <v>4.7077922077922191E-2</v>
      </c>
      <c r="AQ16" s="176">
        <f>IFERROR(GETPIVOTDATA("Sum of Qty",'[1]DATA LAST MONTH DEVICE'!$A$6,"ID Store",$C16,"Segment Price","3mio&gt;"),0)</f>
        <v>21</v>
      </c>
      <c r="AR16" s="178">
        <f t="shared" si="9"/>
        <v>27</v>
      </c>
      <c r="AS16" s="178">
        <f t="shared" si="10"/>
        <v>6</v>
      </c>
      <c r="AT16" s="172">
        <f t="shared" si="11"/>
        <v>0.2857142857142857</v>
      </c>
      <c r="AU16" s="179">
        <f>IFERROR(GETPIVOTDATA("Sum of SRP",'[1]DATA LAST MONTH DEVICE'!$A$6,"ID Store",$C16),0)</f>
        <v>177860000</v>
      </c>
      <c r="AV16" s="179">
        <f t="shared" si="37"/>
        <v>193357000</v>
      </c>
      <c r="AW16" s="180">
        <f t="shared" si="12"/>
        <v>15497000</v>
      </c>
      <c r="AX16" s="181">
        <f t="shared" si="13"/>
        <v>8.7130327223659057E-2</v>
      </c>
      <c r="AY16" s="182">
        <f>IFERROR(VLOOKUP(C16,'[1]DATA SALES LAST MONTH'!A:E,5,0),0)</f>
        <v>4446500</v>
      </c>
      <c r="AZ16" s="152">
        <f t="shared" si="38"/>
        <v>4496674.4186046505</v>
      </c>
      <c r="BA16" s="183">
        <f t="shared" si="14"/>
        <v>50174.418604650535</v>
      </c>
      <c r="BB16" s="172">
        <f t="shared" si="15"/>
        <v>1.1284025324333867E-2</v>
      </c>
      <c r="BC16" s="153">
        <f>_xlfn.XLOOKUP(D:D,'[1]Target store'!C:C,'[1]Target store'!J:J,0)</f>
        <v>7</v>
      </c>
      <c r="BD16" s="184">
        <f>IFERROR(GETPIVOTDATA("Sum of Qty",[1]ACC!$A$5,"ID Store",$C16),0)</f>
        <v>12</v>
      </c>
      <c r="BE16" s="177">
        <f t="shared" si="16"/>
        <v>1.7142857142857142</v>
      </c>
      <c r="BF16" s="154">
        <f>_xlfn.XLOOKUP(D:D,'[1]Target store'!C:C,'[1]Target store'!K:K,0)</f>
        <v>1350000</v>
      </c>
      <c r="BG16" s="185">
        <f>IFERROR(GETPIVOTDATA("Sum of SRP",'[1]Insurance by Store'!$A$5,"ID Store",$C16,"Product Type","Qoala"),0)</f>
        <v>408000</v>
      </c>
      <c r="BH16" s="177">
        <f t="shared" si="17"/>
        <v>0.30222222222222223</v>
      </c>
      <c r="BI16" s="154">
        <f>_xlfn.XLOOKUP(D:D,'[1]Target store'!C:C,'[1]Target store'!L:L,0)</f>
        <v>300000</v>
      </c>
      <c r="BJ16" s="185">
        <f>IFERROR(GETPIVOTDATA("Sum of SRP",'[1]Insurance by Store'!$A$5,"ID Store",$C16,"Product Type","Vivo Care"),0)</f>
        <v>0</v>
      </c>
      <c r="BK16" s="177">
        <f t="shared" si="18"/>
        <v>0</v>
      </c>
      <c r="BL16" s="144">
        <f>_xlfn.XLOOKUP(D:D,'[1]Target store'!C:C,'[1]Target store'!M:M,0)</f>
        <v>600000</v>
      </c>
      <c r="BM16" s="176">
        <f>IFERROR(GETPIVOTDATA("Sum of Qty",'[1]Operator by Store'!$A$5,"ID Store",$C16,"Product Type","Indosat"),0)</f>
        <v>1</v>
      </c>
      <c r="BN16" s="177">
        <f t="shared" si="19"/>
        <v>1.6666666666666667E-6</v>
      </c>
      <c r="BO16" s="144">
        <f>_xlfn.XLOOKUP(D:D,'[1]Target store'!C:C,'[1]Target store'!N:N,0)</f>
        <v>900000</v>
      </c>
      <c r="BP16" s="176">
        <f>IFERROR(GETPIVOTDATA("Sum of Qty",'[1]Operator by Store'!$A$5,"ID Store",$C16,"Product Type","Telkomsel"),0)</f>
        <v>0</v>
      </c>
      <c r="BQ16" s="186">
        <f t="shared" si="20"/>
        <v>0</v>
      </c>
    </row>
    <row r="17" spans="1:69" ht="17" thickBot="1" x14ac:dyDescent="0.25">
      <c r="A17" s="156">
        <v>13</v>
      </c>
      <c r="B17" s="157" t="s">
        <v>46</v>
      </c>
      <c r="C17" s="158">
        <v>6040702</v>
      </c>
      <c r="D17" s="187" t="str">
        <f>IFERROR(INDEX('[1]Target store'!$C$5:$C$47,MATCH($C17&amp;"-*",'[1]Target store'!$C$5:$C$47,0)),"NOT FOUND")</f>
        <v>6040702-TRAN STUDIO MALL 2F059</v>
      </c>
      <c r="E17" s="187" t="s">
        <v>47</v>
      </c>
      <c r="F17" s="160">
        <v>2</v>
      </c>
      <c r="G17" s="127">
        <f>_xlfn.XLOOKUP(D:D,'[1]Target store'!C:C,'[1]Target store'!F:F,0)</f>
        <v>50</v>
      </c>
      <c r="H17" s="161">
        <f>_xlfn.XLOOKUP(D:D,'[1]Target store'!C:C,'[1]Target store'!G:G,0)</f>
        <v>200000000</v>
      </c>
      <c r="I17" s="162">
        <f>IFERROR(GETPIVOTDATA("Sum of SRP",'[1]DEVICE &amp; VALUE'!$A$6,"ID Store",$C17),0)</f>
        <v>89881000</v>
      </c>
      <c r="J17" s="163">
        <f t="shared" si="21"/>
        <v>0.449405</v>
      </c>
      <c r="K17" s="164">
        <f t="shared" si="22"/>
        <v>-110119000</v>
      </c>
      <c r="L17" s="132">
        <f>IFERROR(GETPIVOTDATA("Sum of Qty",[1]PF!$A$5,"ID Store",$C17),0)</f>
        <v>2</v>
      </c>
      <c r="M17" s="133">
        <f>IFERROR(GETPIVOTDATA("Sum of Qty",'[1]DEVICE &amp; VALUE'!$A$6,"ID Store",$C17,"Segment Price","3mio&gt;"),0)</f>
        <v>10</v>
      </c>
      <c r="N17" s="134">
        <f t="shared" si="23"/>
        <v>0.52631578947368418</v>
      </c>
      <c r="O17" s="135">
        <f>IFERROR(GETPIVOTDATA("Sum of Qty",[1]IQOO!$A$6,"ID Store",$C17),0)</f>
        <v>1</v>
      </c>
      <c r="P17" s="134">
        <f t="shared" si="24"/>
        <v>5.2631578947368418E-2</v>
      </c>
      <c r="Q17" s="136">
        <f t="shared" si="25"/>
        <v>0.52631578947368418</v>
      </c>
      <c r="R17" s="135">
        <f>IFERROR(GETPIVOTDATA("Sum of Qty",'[1]DEVICE &amp; VALUE'!$A$6,"ID Store",$C17),0)</f>
        <v>19</v>
      </c>
      <c r="S17" s="135">
        <f t="shared" si="26"/>
        <v>0.38</v>
      </c>
      <c r="T17" s="135">
        <f t="shared" si="27"/>
        <v>-31</v>
      </c>
      <c r="U17" s="165">
        <f t="shared" si="28"/>
        <v>96301071.428571418</v>
      </c>
      <c r="V17" s="163">
        <f t="shared" si="29"/>
        <v>0.48150535714285708</v>
      </c>
      <c r="W17" s="166">
        <f t="shared" si="30"/>
        <v>-103698928.57142858</v>
      </c>
      <c r="X17" s="167">
        <f t="shared" si="0"/>
        <v>10.714285714285715</v>
      </c>
      <c r="Y17" s="168">
        <f t="shared" si="1"/>
        <v>-39.285714285714285</v>
      </c>
      <c r="Z17" s="168">
        <f t="shared" si="31"/>
        <v>20.357142857142858</v>
      </c>
      <c r="AA17" s="168">
        <f t="shared" si="32"/>
        <v>-29.642857142857142</v>
      </c>
      <c r="AB17" s="168">
        <f t="shared" si="33"/>
        <v>0.40714285714285714</v>
      </c>
      <c r="AC17" s="238">
        <f t="shared" si="34"/>
        <v>15.5</v>
      </c>
      <c r="AD17" s="141">
        <f t="shared" si="35"/>
        <v>55059500</v>
      </c>
      <c r="AE17" s="169">
        <f>IFERROR(GETPIVOTDATA("Sum of Qty",'[1]DATA LAST MONTH IQOO'!$A$6,"ID Store",$C17),0)</f>
        <v>3</v>
      </c>
      <c r="AF17" s="170">
        <f>IFERROR(GETPIVOTDATA("Sum of Qty",[1]IQOO!$A$6,"ID Store",$C17),0)</f>
        <v>1</v>
      </c>
      <c r="AG17" s="171">
        <f t="shared" si="2"/>
        <v>-2</v>
      </c>
      <c r="AH17" s="172">
        <f t="shared" si="3"/>
        <v>-0.66666666666666663</v>
      </c>
      <c r="AI17" s="173">
        <f>IFERROR(GETPIVOTDATA("Sum of Qty",'[1]DATA LAST MONTH DEVICE'!$A$6,"ID Store",$C17),0)</f>
        <v>33</v>
      </c>
      <c r="AJ17" s="146">
        <f t="shared" si="36"/>
        <v>19</v>
      </c>
      <c r="AK17" s="174">
        <f t="shared" si="4"/>
        <v>-14</v>
      </c>
      <c r="AL17" s="175">
        <f t="shared" si="5"/>
        <v>-0.42424242424242425</v>
      </c>
      <c r="AM17" s="176">
        <f>IFERROR(GETPIVOTDATA("Sum of Qty",'[1]Store 3mio+ last month'!$A$6,"ID Store",$C17),0)</f>
        <v>36</v>
      </c>
      <c r="AN17" s="144">
        <f t="shared" si="6"/>
        <v>20.357142857142858</v>
      </c>
      <c r="AO17" s="171">
        <f t="shared" si="7"/>
        <v>-15.642857142857142</v>
      </c>
      <c r="AP17" s="177">
        <f t="shared" si="8"/>
        <v>-0.43452380952380953</v>
      </c>
      <c r="AQ17" s="176">
        <f>IFERROR(GETPIVOTDATA("Sum of Qty",'[1]DATA LAST MONTH DEVICE'!$A$6,"ID Store",$C17,"Segment Price","3mio&gt;"),0)</f>
        <v>13</v>
      </c>
      <c r="AR17" s="178">
        <f t="shared" si="9"/>
        <v>10</v>
      </c>
      <c r="AS17" s="178">
        <f t="shared" si="10"/>
        <v>-3</v>
      </c>
      <c r="AT17" s="172">
        <f t="shared" si="11"/>
        <v>-0.23076923076923078</v>
      </c>
      <c r="AU17" s="179">
        <f>IFERROR(GETPIVOTDATA("Sum of SRP",'[1]DATA LAST MONTH DEVICE'!$A$6,"ID Store",$C17),0)</f>
        <v>151167000</v>
      </c>
      <c r="AV17" s="179">
        <f t="shared" si="37"/>
        <v>89881000</v>
      </c>
      <c r="AW17" s="180">
        <f t="shared" si="12"/>
        <v>-61286000</v>
      </c>
      <c r="AX17" s="181">
        <f t="shared" si="13"/>
        <v>-0.40541917217382101</v>
      </c>
      <c r="AY17" s="182">
        <f>IFERROR(VLOOKUP(C17,'[1]DATA SALES LAST MONTH'!A:E,5,0),0)</f>
        <v>4580818.1818181816</v>
      </c>
      <c r="AZ17" s="152">
        <f t="shared" si="38"/>
        <v>4730578.9473684207</v>
      </c>
      <c r="BA17" s="183">
        <f t="shared" si="14"/>
        <v>149760.76555023901</v>
      </c>
      <c r="BB17" s="172">
        <f t="shared" si="15"/>
        <v>3.2693016750731892E-2</v>
      </c>
      <c r="BC17" s="153">
        <f>_xlfn.XLOOKUP(D:D,'[1]Target store'!C:C,'[1]Target store'!J:J,0)</f>
        <v>5</v>
      </c>
      <c r="BD17" s="184">
        <f>IFERROR(GETPIVOTDATA("Sum of Qty",[1]ACC!$A$5,"ID Store",$C17),0)</f>
        <v>6</v>
      </c>
      <c r="BE17" s="177">
        <f t="shared" si="16"/>
        <v>1.2</v>
      </c>
      <c r="BF17" s="154">
        <f>_xlfn.XLOOKUP(D:D,'[1]Target store'!C:C,'[1]Target store'!K:K,0)</f>
        <v>900000</v>
      </c>
      <c r="BG17" s="185">
        <f>IFERROR(GETPIVOTDATA("Sum of SRP",'[1]Insurance by Store'!$A$5,"ID Store",$C17,"Product Type","Qoala"),0)</f>
        <v>477000</v>
      </c>
      <c r="BH17" s="177">
        <f t="shared" si="17"/>
        <v>0.53</v>
      </c>
      <c r="BI17" s="154">
        <f>_xlfn.XLOOKUP(D:D,'[1]Target store'!C:C,'[1]Target store'!L:L,0)</f>
        <v>200000</v>
      </c>
      <c r="BJ17" s="185">
        <f>IFERROR(GETPIVOTDATA("Sum of SRP",'[1]Insurance by Store'!$A$5,"ID Store",$C17,"Product Type","Vivo Care"),0)</f>
        <v>0</v>
      </c>
      <c r="BK17" s="177">
        <f t="shared" si="18"/>
        <v>0</v>
      </c>
      <c r="BL17" s="144">
        <f>_xlfn.XLOOKUP(D:D,'[1]Target store'!C:C,'[1]Target store'!M:M,0)</f>
        <v>400000</v>
      </c>
      <c r="BM17" s="176">
        <f>IFERROR(GETPIVOTDATA("Sum of Qty",'[1]Operator by Store'!$A$5,"ID Store",$C17,"Product Type","Indosat"),0)</f>
        <v>3</v>
      </c>
      <c r="BN17" s="177">
        <f t="shared" si="19"/>
        <v>7.5000000000000002E-6</v>
      </c>
      <c r="BO17" s="144">
        <f>_xlfn.XLOOKUP(D:D,'[1]Target store'!C:C,'[1]Target store'!N:N,0)</f>
        <v>600000</v>
      </c>
      <c r="BP17" s="176">
        <f>IFERROR(GETPIVOTDATA("Sum of Qty",'[1]Operator by Store'!$A$5,"ID Store",$C17,"Product Type","Telkomsel"),0)</f>
        <v>0</v>
      </c>
      <c r="BQ17" s="186">
        <f t="shared" si="20"/>
        <v>0</v>
      </c>
    </row>
    <row r="18" spans="1:69" ht="17" thickBot="1" x14ac:dyDescent="0.25">
      <c r="A18" s="156">
        <v>14</v>
      </c>
      <c r="B18" s="157" t="s">
        <v>46</v>
      </c>
      <c r="C18" s="158">
        <v>6040703</v>
      </c>
      <c r="D18" s="187" t="str">
        <f>IFERROR(INDEX('[1]Target store'!$C$5:$C$47,MATCH($C18&amp;"-*",'[1]Target store'!$C$5:$C$47,0)),"NOT FOUND")</f>
        <v>6040703-SAWANGAN 1F1-0320</v>
      </c>
      <c r="E18" s="187" t="s">
        <v>47</v>
      </c>
      <c r="F18" s="160">
        <v>2</v>
      </c>
      <c r="G18" s="127">
        <f>_xlfn.XLOOKUP(D:D,'[1]Target store'!C:C,'[1]Target store'!F:F,0)</f>
        <v>50</v>
      </c>
      <c r="H18" s="161">
        <f>_xlfn.XLOOKUP(D:D,'[1]Target store'!C:C,'[1]Target store'!G:G,0)</f>
        <v>200000000</v>
      </c>
      <c r="I18" s="162">
        <f>IFERROR(GETPIVOTDATA("Sum of SRP",'[1]DEVICE &amp; VALUE'!$A$6,"ID Store",$C18),0)</f>
        <v>120678000</v>
      </c>
      <c r="J18" s="163">
        <f t="shared" si="21"/>
        <v>0.60338999999999998</v>
      </c>
      <c r="K18" s="164">
        <f t="shared" si="22"/>
        <v>-79322000</v>
      </c>
      <c r="L18" s="132">
        <f>IFERROR(GETPIVOTDATA("Sum of Qty",[1]PF!$A$5,"ID Store",$C18),0)</f>
        <v>4</v>
      </c>
      <c r="M18" s="133">
        <f>IFERROR(GETPIVOTDATA("Sum of Qty",'[1]DEVICE &amp; VALUE'!$A$6,"ID Store",$C18,"Segment Price","3mio&gt;"),0)</f>
        <v>16</v>
      </c>
      <c r="N18" s="134">
        <f t="shared" si="23"/>
        <v>0.72727272727272729</v>
      </c>
      <c r="O18" s="135">
        <f>IFERROR(GETPIVOTDATA("Sum of Qty",[1]IQOO!$A$6,"ID Store",$C18),0)</f>
        <v>1</v>
      </c>
      <c r="P18" s="134">
        <f t="shared" si="24"/>
        <v>4.5454545454545456E-2</v>
      </c>
      <c r="Q18" s="136">
        <f t="shared" si="25"/>
        <v>0.72727272727272729</v>
      </c>
      <c r="R18" s="135">
        <f>IFERROR(GETPIVOTDATA("Sum of Qty",'[1]DEVICE &amp; VALUE'!$A$6,"ID Store",$C18),0)</f>
        <v>22</v>
      </c>
      <c r="S18" s="135">
        <f t="shared" si="26"/>
        <v>0.44</v>
      </c>
      <c r="T18" s="135">
        <f t="shared" si="27"/>
        <v>-28</v>
      </c>
      <c r="U18" s="165">
        <f t="shared" si="28"/>
        <v>129297857.14285715</v>
      </c>
      <c r="V18" s="163">
        <f t="shared" si="29"/>
        <v>0.64648928571428577</v>
      </c>
      <c r="W18" s="166">
        <f t="shared" si="30"/>
        <v>-70702142.857142851</v>
      </c>
      <c r="X18" s="167">
        <f t="shared" si="0"/>
        <v>17.142857142857142</v>
      </c>
      <c r="Y18" s="168">
        <f t="shared" si="1"/>
        <v>-32.857142857142861</v>
      </c>
      <c r="Z18" s="168">
        <f t="shared" si="31"/>
        <v>23.571428571428569</v>
      </c>
      <c r="AA18" s="168">
        <f t="shared" si="32"/>
        <v>-26.428571428571431</v>
      </c>
      <c r="AB18" s="168">
        <f t="shared" si="33"/>
        <v>0.47142857142857136</v>
      </c>
      <c r="AC18" s="238">
        <f t="shared" si="34"/>
        <v>14</v>
      </c>
      <c r="AD18" s="141">
        <f t="shared" si="35"/>
        <v>39661000</v>
      </c>
      <c r="AE18" s="169">
        <f>IFERROR(GETPIVOTDATA("Sum of Qty",'[1]DATA LAST MONTH IQOO'!$A$6,"ID Store",$C18),0)</f>
        <v>2</v>
      </c>
      <c r="AF18" s="170">
        <f>IFERROR(GETPIVOTDATA("Sum of Qty",[1]IQOO!$A$6,"ID Store",$C18),0)</f>
        <v>1</v>
      </c>
      <c r="AG18" s="171">
        <f t="shared" si="2"/>
        <v>-1</v>
      </c>
      <c r="AH18" s="172">
        <f t="shared" si="3"/>
        <v>-0.5</v>
      </c>
      <c r="AI18" s="173">
        <f>IFERROR(GETPIVOTDATA("Sum of Qty",'[1]DATA LAST MONTH DEVICE'!$A$6,"ID Store",$C18),0)</f>
        <v>29</v>
      </c>
      <c r="AJ18" s="146">
        <f t="shared" si="36"/>
        <v>22</v>
      </c>
      <c r="AK18" s="174">
        <f t="shared" si="4"/>
        <v>-7</v>
      </c>
      <c r="AL18" s="175">
        <f t="shared" si="5"/>
        <v>-0.2413793103448276</v>
      </c>
      <c r="AM18" s="176">
        <f>IFERROR(GETPIVOTDATA("Sum of Qty",'[1]Store 3mio+ last month'!$A$6,"ID Store",$C18),0)</f>
        <v>35</v>
      </c>
      <c r="AN18" s="144">
        <f t="shared" si="6"/>
        <v>23.571428571428569</v>
      </c>
      <c r="AO18" s="171">
        <f t="shared" si="7"/>
        <v>-11.428571428571431</v>
      </c>
      <c r="AP18" s="177">
        <f t="shared" si="8"/>
        <v>-0.32653061224489804</v>
      </c>
      <c r="AQ18" s="176">
        <f>IFERROR(GETPIVOTDATA("Sum of Qty",'[1]DATA LAST MONTH DEVICE'!$A$6,"ID Store",$C18,"Segment Price","3mio&gt;"),0)</f>
        <v>13</v>
      </c>
      <c r="AR18" s="178">
        <f t="shared" si="9"/>
        <v>16</v>
      </c>
      <c r="AS18" s="178">
        <f t="shared" si="10"/>
        <v>3</v>
      </c>
      <c r="AT18" s="172">
        <f t="shared" si="11"/>
        <v>0.23076923076923078</v>
      </c>
      <c r="AU18" s="179">
        <f>IFERROR(GETPIVOTDATA("Sum of SRP",'[1]DATA LAST MONTH DEVICE'!$A$6,"ID Store",$C18),0)</f>
        <v>146771000</v>
      </c>
      <c r="AV18" s="179">
        <f t="shared" si="37"/>
        <v>120678000</v>
      </c>
      <c r="AW18" s="180">
        <f t="shared" si="12"/>
        <v>-26093000</v>
      </c>
      <c r="AX18" s="181">
        <f t="shared" si="13"/>
        <v>-0.17778035170435577</v>
      </c>
      <c r="AY18" s="182">
        <f>IFERROR(VLOOKUP(C18,'[1]DATA SALES LAST MONTH'!A:E,5,0),0)</f>
        <v>5061068.9655172415</v>
      </c>
      <c r="AZ18" s="152">
        <f t="shared" si="38"/>
        <v>5485363.6363636367</v>
      </c>
      <c r="BA18" s="183">
        <f t="shared" si="14"/>
        <v>424294.67084639519</v>
      </c>
      <c r="BB18" s="172">
        <f t="shared" si="15"/>
        <v>8.3834990935167442E-2</v>
      </c>
      <c r="BC18" s="153">
        <f>_xlfn.XLOOKUP(D:D,'[1]Target store'!C:C,'[1]Target store'!J:J,0)</f>
        <v>5</v>
      </c>
      <c r="BD18" s="184">
        <f>IFERROR(GETPIVOTDATA("Sum of Qty",[1]ACC!$A$5,"ID Store",$C18),0)</f>
        <v>8</v>
      </c>
      <c r="BE18" s="177">
        <f t="shared" si="16"/>
        <v>1.6</v>
      </c>
      <c r="BF18" s="154">
        <f>_xlfn.XLOOKUP(D:D,'[1]Target store'!C:C,'[1]Target store'!K:K,0)</f>
        <v>900000</v>
      </c>
      <c r="BG18" s="185">
        <f>IFERROR(GETPIVOTDATA("Sum of SRP",'[1]Insurance by Store'!$A$5,"ID Store",$C18,"Product Type","Qoala"),0)</f>
        <v>329000</v>
      </c>
      <c r="BH18" s="177">
        <f t="shared" si="17"/>
        <v>0.36555555555555558</v>
      </c>
      <c r="BI18" s="154">
        <f>_xlfn.XLOOKUP(D:D,'[1]Target store'!C:C,'[1]Target store'!L:L,0)</f>
        <v>200000</v>
      </c>
      <c r="BJ18" s="185">
        <f>IFERROR(GETPIVOTDATA("Sum of SRP",'[1]Insurance by Store'!$A$5,"ID Store",$C18,"Product Type","Vivo Care"),0)</f>
        <v>0</v>
      </c>
      <c r="BK18" s="177">
        <f t="shared" si="18"/>
        <v>0</v>
      </c>
      <c r="BL18" s="144">
        <f>_xlfn.XLOOKUP(D:D,'[1]Target store'!C:C,'[1]Target store'!M:M,0)</f>
        <v>400000</v>
      </c>
      <c r="BM18" s="176">
        <f>IFERROR(GETPIVOTDATA("Sum of Qty",'[1]Operator by Store'!$A$5,"ID Store",$C18,"Product Type","Indosat"),0)</f>
        <v>0</v>
      </c>
      <c r="BN18" s="177">
        <f t="shared" si="19"/>
        <v>0</v>
      </c>
      <c r="BO18" s="144">
        <f>_xlfn.XLOOKUP(D:D,'[1]Target store'!C:C,'[1]Target store'!N:N,0)</f>
        <v>600000</v>
      </c>
      <c r="BP18" s="176">
        <f>IFERROR(GETPIVOTDATA("Sum of Qty",'[1]Operator by Store'!$A$5,"ID Store",$C18,"Product Type","Telkomsel"),0)</f>
        <v>0</v>
      </c>
      <c r="BQ18" s="186">
        <f t="shared" si="20"/>
        <v>0</v>
      </c>
    </row>
    <row r="19" spans="1:69" ht="17" thickBot="1" x14ac:dyDescent="0.25">
      <c r="A19" s="156">
        <v>15</v>
      </c>
      <c r="B19" s="157" t="s">
        <v>48</v>
      </c>
      <c r="C19" s="158">
        <v>6050701</v>
      </c>
      <c r="D19" s="187" t="str">
        <f>IFERROR(INDEX('[1]Target store'!$C$5:$C$47,MATCH($C19&amp;"-*",'[1]Target store'!$C$5:$C$47,0)),"NOT FOUND")</f>
        <v>6050701-BCP VS X6 DS0824</v>
      </c>
      <c r="E19" s="187" t="s">
        <v>49</v>
      </c>
      <c r="F19" s="160">
        <v>2</v>
      </c>
      <c r="G19" s="127">
        <f>_xlfn.XLOOKUP(D:D,'[1]Target store'!C:C,'[1]Target store'!F:F,0)</f>
        <v>60</v>
      </c>
      <c r="H19" s="161">
        <f>_xlfn.XLOOKUP(D:D,'[1]Target store'!C:C,'[1]Target store'!G:G,0)</f>
        <v>280000000</v>
      </c>
      <c r="I19" s="162">
        <f>IFERROR(GETPIVOTDATA("Sum of SRP",'[1]DEVICE &amp; VALUE'!$A$6,"ID Store",$C19),0)</f>
        <v>261245000</v>
      </c>
      <c r="J19" s="163">
        <f t="shared" si="21"/>
        <v>0.93301785714285712</v>
      </c>
      <c r="K19" s="164">
        <f t="shared" si="22"/>
        <v>-18755000</v>
      </c>
      <c r="L19" s="132">
        <f>IFERROR(GETPIVOTDATA("Sum of Qty",[1]PF!$A$5,"ID Store",$C19),0)</f>
        <v>10</v>
      </c>
      <c r="M19" s="133">
        <f>IFERROR(GETPIVOTDATA("Sum of Qty",'[1]DEVICE &amp; VALUE'!$A$6,"ID Store",$C19,"Segment Price","3mio&gt;"),0)</f>
        <v>37</v>
      </c>
      <c r="N19" s="134">
        <f t="shared" si="23"/>
        <v>0.67272727272727273</v>
      </c>
      <c r="O19" s="135">
        <f>IFERROR(GETPIVOTDATA("Sum of Qty",[1]IQOO!$A$6,"ID Store",$C19),0)</f>
        <v>2</v>
      </c>
      <c r="P19" s="134">
        <f t="shared" si="24"/>
        <v>3.6363636363636362E-2</v>
      </c>
      <c r="Q19" s="136">
        <f t="shared" si="25"/>
        <v>0.67272727272727273</v>
      </c>
      <c r="R19" s="135">
        <f>IFERROR(GETPIVOTDATA("Sum of Qty",'[1]DEVICE &amp; VALUE'!$A$6,"ID Store",$C19),0)</f>
        <v>55</v>
      </c>
      <c r="S19" s="135">
        <f t="shared" si="26"/>
        <v>0.91666666666666663</v>
      </c>
      <c r="T19" s="135">
        <f t="shared" si="27"/>
        <v>-5</v>
      </c>
      <c r="U19" s="165">
        <f t="shared" si="28"/>
        <v>279905357.14285713</v>
      </c>
      <c r="V19" s="163">
        <f t="shared" si="29"/>
        <v>0.99966198979591836</v>
      </c>
      <c r="W19" s="166">
        <f t="shared" si="30"/>
        <v>-94642.857142865658</v>
      </c>
      <c r="X19" s="167">
        <f t="shared" si="0"/>
        <v>39.642857142857139</v>
      </c>
      <c r="Y19" s="168">
        <f t="shared" si="1"/>
        <v>-20.357142857142861</v>
      </c>
      <c r="Z19" s="168">
        <f t="shared" si="31"/>
        <v>58.928571428571423</v>
      </c>
      <c r="AA19" s="168">
        <f t="shared" si="32"/>
        <v>-1.0714285714285765</v>
      </c>
      <c r="AB19" s="168">
        <f t="shared" si="33"/>
        <v>0.9821428571428571</v>
      </c>
      <c r="AC19" s="238">
        <f t="shared" si="34"/>
        <v>2.5</v>
      </c>
      <c r="AD19" s="141">
        <f t="shared" si="35"/>
        <v>9377500</v>
      </c>
      <c r="AE19" s="169">
        <f>IFERROR(GETPIVOTDATA("Sum of Qty",'[1]DATA LAST MONTH IQOO'!$A$6,"ID Store",$C19),0)</f>
        <v>7</v>
      </c>
      <c r="AF19" s="170">
        <f>IFERROR(GETPIVOTDATA("Sum of Qty",[1]IQOO!$A$6,"ID Store",$C19),0)</f>
        <v>2</v>
      </c>
      <c r="AG19" s="171">
        <f t="shared" si="2"/>
        <v>-5</v>
      </c>
      <c r="AH19" s="172">
        <f t="shared" si="3"/>
        <v>-0.7142857142857143</v>
      </c>
      <c r="AI19" s="173">
        <f>IFERROR(GETPIVOTDATA("Sum of Qty",'[1]DATA LAST MONTH DEVICE'!$A$6,"ID Store",$C19),0)</f>
        <v>38</v>
      </c>
      <c r="AJ19" s="146">
        <f t="shared" si="36"/>
        <v>55</v>
      </c>
      <c r="AK19" s="174">
        <f t="shared" si="4"/>
        <v>17</v>
      </c>
      <c r="AL19" s="175">
        <f t="shared" si="5"/>
        <v>0.44736842105263158</v>
      </c>
      <c r="AM19" s="176">
        <f>IFERROR(GETPIVOTDATA("Sum of Qty",'[1]Store 3mio+ last month'!$A$6,"ID Store",$C19),0)</f>
        <v>43</v>
      </c>
      <c r="AN19" s="144">
        <f t="shared" si="6"/>
        <v>58.928571428571423</v>
      </c>
      <c r="AO19" s="171">
        <f t="shared" si="7"/>
        <v>15.928571428571423</v>
      </c>
      <c r="AP19" s="177">
        <f t="shared" si="8"/>
        <v>0.37043189368770751</v>
      </c>
      <c r="AQ19" s="176">
        <f>IFERROR(GETPIVOTDATA("Sum of Qty",'[1]DATA LAST MONTH DEVICE'!$A$6,"ID Store",$C19,"Segment Price","3mio&gt;"),0)</f>
        <v>24</v>
      </c>
      <c r="AR19" s="178">
        <f t="shared" si="9"/>
        <v>37</v>
      </c>
      <c r="AS19" s="178">
        <f t="shared" si="10"/>
        <v>13</v>
      </c>
      <c r="AT19" s="172">
        <f t="shared" si="11"/>
        <v>0.54166666666666663</v>
      </c>
      <c r="AU19" s="179">
        <f>IFERROR(GETPIVOTDATA("Sum of SRP",'[1]DATA LAST MONTH DEVICE'!$A$6,"ID Store",$C19),0)</f>
        <v>201862000</v>
      </c>
      <c r="AV19" s="179">
        <f t="shared" si="37"/>
        <v>261245000</v>
      </c>
      <c r="AW19" s="180">
        <f t="shared" si="12"/>
        <v>59383000</v>
      </c>
      <c r="AX19" s="181">
        <f t="shared" si="13"/>
        <v>0.29417621939741012</v>
      </c>
      <c r="AY19" s="182">
        <f>IFERROR(VLOOKUP(C19,'[1]DATA SALES LAST MONTH'!A:E,5,0),0)</f>
        <v>5312157.8947368423</v>
      </c>
      <c r="AZ19" s="152">
        <f t="shared" si="38"/>
        <v>4749909.0909090908</v>
      </c>
      <c r="BA19" s="183">
        <f t="shared" si="14"/>
        <v>-562248.80382775143</v>
      </c>
      <c r="BB19" s="172">
        <f t="shared" si="15"/>
        <v>-0.10584188477997124</v>
      </c>
      <c r="BC19" s="153">
        <f>_xlfn.XLOOKUP(D:D,'[1]Target store'!C:C,'[1]Target store'!J:J,0)</f>
        <v>6</v>
      </c>
      <c r="BD19" s="184">
        <f>IFERROR(GETPIVOTDATA("Sum of Qty",[1]ACC!$A$5,"ID Store",$C19),0)</f>
        <v>12</v>
      </c>
      <c r="BE19" s="177">
        <f t="shared" si="16"/>
        <v>2</v>
      </c>
      <c r="BF19" s="154">
        <f>_xlfn.XLOOKUP(D:D,'[1]Target store'!C:C,'[1]Target store'!K:K,0)</f>
        <v>1260000</v>
      </c>
      <c r="BG19" s="185">
        <f>IFERROR(GETPIVOTDATA("Sum of SRP",'[1]Insurance by Store'!$A$5,"ID Store",$C19,"Product Type","Qoala"),0)</f>
        <v>329000</v>
      </c>
      <c r="BH19" s="177">
        <f t="shared" si="17"/>
        <v>0.26111111111111113</v>
      </c>
      <c r="BI19" s="154">
        <f>_xlfn.XLOOKUP(D:D,'[1]Target store'!C:C,'[1]Target store'!L:L,0)</f>
        <v>280000</v>
      </c>
      <c r="BJ19" s="185">
        <f>IFERROR(GETPIVOTDATA("Sum of SRP",'[1]Insurance by Store'!$A$5,"ID Store",$C19,"Product Type","Vivo Care"),0)</f>
        <v>0</v>
      </c>
      <c r="BK19" s="177">
        <f t="shared" si="18"/>
        <v>0</v>
      </c>
      <c r="BL19" s="144">
        <f>_xlfn.XLOOKUP(D:D,'[1]Target store'!C:C,'[1]Target store'!M:M,0)</f>
        <v>560000</v>
      </c>
      <c r="BM19" s="176">
        <f>IFERROR(GETPIVOTDATA("Sum of Qty",'[1]Operator by Store'!$A$5,"ID Store",$C19,"Product Type","Indosat"),0)</f>
        <v>0</v>
      </c>
      <c r="BN19" s="177">
        <f t="shared" si="19"/>
        <v>0</v>
      </c>
      <c r="BO19" s="144">
        <f>_xlfn.XLOOKUP(D:D,'[1]Target store'!C:C,'[1]Target store'!N:N,0)</f>
        <v>840000</v>
      </c>
      <c r="BP19" s="176">
        <f>IFERROR(GETPIVOTDATA("Sum of Qty",'[1]Operator by Store'!$A$5,"ID Store",$C19,"Product Type","Telkomsel"),0)</f>
        <v>0</v>
      </c>
      <c r="BQ19" s="186">
        <f t="shared" si="20"/>
        <v>0</v>
      </c>
    </row>
    <row r="20" spans="1:69" ht="17" thickBot="1" x14ac:dyDescent="0.25">
      <c r="A20" s="156">
        <v>16</v>
      </c>
      <c r="B20" s="157" t="s">
        <v>48</v>
      </c>
      <c r="C20" s="158">
        <v>6220701</v>
      </c>
      <c r="D20" s="187" t="str">
        <f>IFERROR(INDEX('[1]Target store'!$C$5:$C$47,MATCH($C20&amp;"-*",'[1]Target store'!$C$5:$C$47,0)),"NOT FOUND")</f>
        <v>6220701-MBH-VIP VIVO STORE-DD284</v>
      </c>
      <c r="E20" s="187" t="s">
        <v>49</v>
      </c>
      <c r="F20" s="160">
        <v>2</v>
      </c>
      <c r="G20" s="127">
        <f>_xlfn.XLOOKUP(D:D,'[1]Target store'!C:C,'[1]Target store'!F:F,0)</f>
        <v>70</v>
      </c>
      <c r="H20" s="161">
        <f>_xlfn.XLOOKUP(D:D,'[1]Target store'!C:C,'[1]Target store'!G:G,0)</f>
        <v>300000000</v>
      </c>
      <c r="I20" s="162">
        <f>IFERROR(GETPIVOTDATA("Sum of SRP",'[1]DEVICE &amp; VALUE'!$A$6,"ID Store",$C20),0)</f>
        <v>294835000</v>
      </c>
      <c r="J20" s="163">
        <f t="shared" si="21"/>
        <v>0.98278333333333334</v>
      </c>
      <c r="K20" s="164">
        <f t="shared" si="22"/>
        <v>-5165000</v>
      </c>
      <c r="L20" s="132">
        <f>IFERROR(GETPIVOTDATA("Sum of Qty",[1]PF!$A$5,"ID Store",$C20),0)</f>
        <v>19</v>
      </c>
      <c r="M20" s="133">
        <f>IFERROR(GETPIVOTDATA("Sum of Qty",'[1]DEVICE &amp; VALUE'!$A$6,"ID Store",$C20,"Segment Price","3mio&gt;"),0)</f>
        <v>41</v>
      </c>
      <c r="N20" s="134">
        <f t="shared" si="23"/>
        <v>0.63076923076923075</v>
      </c>
      <c r="O20" s="135">
        <f>IFERROR(GETPIVOTDATA("Sum of Qty",[1]IQOO!$A$6,"ID Store",$C20),0)</f>
        <v>1</v>
      </c>
      <c r="P20" s="134">
        <f t="shared" si="24"/>
        <v>1.5384615384615385E-2</v>
      </c>
      <c r="Q20" s="136">
        <f t="shared" si="25"/>
        <v>0.63076923076923075</v>
      </c>
      <c r="R20" s="135">
        <f>IFERROR(GETPIVOTDATA("Sum of Qty",'[1]DEVICE &amp; VALUE'!$A$6,"ID Store",$C20),0)</f>
        <v>65</v>
      </c>
      <c r="S20" s="135">
        <f t="shared" si="26"/>
        <v>0.9285714285714286</v>
      </c>
      <c r="T20" s="135">
        <f t="shared" si="27"/>
        <v>-5</v>
      </c>
      <c r="U20" s="165">
        <f t="shared" si="28"/>
        <v>315894642.85714287</v>
      </c>
      <c r="V20" s="163">
        <f t="shared" si="29"/>
        <v>1.0529821428571429</v>
      </c>
      <c r="W20" s="166">
        <f t="shared" si="30"/>
        <v>15894642.857142866</v>
      </c>
      <c r="X20" s="167">
        <f t="shared" si="0"/>
        <v>43.928571428571423</v>
      </c>
      <c r="Y20" s="168">
        <f t="shared" si="1"/>
        <v>-26.071428571428577</v>
      </c>
      <c r="Z20" s="168">
        <f t="shared" si="31"/>
        <v>69.642857142857153</v>
      </c>
      <c r="AA20" s="168">
        <f t="shared" si="32"/>
        <v>-0.35714285714284699</v>
      </c>
      <c r="AB20" s="168">
        <f t="shared" si="33"/>
        <v>0.99489795918367363</v>
      </c>
      <c r="AC20" s="238">
        <f t="shared" si="34"/>
        <v>2.5</v>
      </c>
      <c r="AD20" s="141">
        <f t="shared" si="35"/>
        <v>2582500</v>
      </c>
      <c r="AE20" s="169">
        <f>IFERROR(GETPIVOTDATA("Sum of Qty",'[1]DATA LAST MONTH IQOO'!$A$6,"ID Store",$C20),0)</f>
        <v>2</v>
      </c>
      <c r="AF20" s="170">
        <f>IFERROR(GETPIVOTDATA("Sum of Qty",[1]IQOO!$A$6,"ID Store",$C20),0)</f>
        <v>1</v>
      </c>
      <c r="AG20" s="171">
        <f t="shared" si="2"/>
        <v>-1</v>
      </c>
      <c r="AH20" s="172">
        <f t="shared" si="3"/>
        <v>-0.5</v>
      </c>
      <c r="AI20" s="173">
        <f>IFERROR(GETPIVOTDATA("Sum of Qty",'[1]DATA LAST MONTH DEVICE'!$A$6,"ID Store",$C20),0)</f>
        <v>57</v>
      </c>
      <c r="AJ20" s="146">
        <f t="shared" si="36"/>
        <v>65</v>
      </c>
      <c r="AK20" s="174">
        <f t="shared" si="4"/>
        <v>8</v>
      </c>
      <c r="AL20" s="175">
        <f t="shared" si="5"/>
        <v>0.14035087719298245</v>
      </c>
      <c r="AM20" s="176">
        <f>IFERROR(GETPIVOTDATA("Sum of Qty",'[1]Store 3mio+ last month'!$A$6,"ID Store",$C20),0)</f>
        <v>66</v>
      </c>
      <c r="AN20" s="144">
        <f t="shared" si="6"/>
        <v>69.642857142857153</v>
      </c>
      <c r="AO20" s="171">
        <f t="shared" si="7"/>
        <v>3.642857142857153</v>
      </c>
      <c r="AP20" s="177">
        <f t="shared" si="8"/>
        <v>5.5194805194805352E-2</v>
      </c>
      <c r="AQ20" s="176">
        <f>IFERROR(GETPIVOTDATA("Sum of Qty",'[1]DATA LAST MONTH DEVICE'!$A$6,"ID Store",$C20,"Segment Price","3mio&gt;"),0)</f>
        <v>21</v>
      </c>
      <c r="AR20" s="178">
        <f t="shared" si="9"/>
        <v>41</v>
      </c>
      <c r="AS20" s="178">
        <f t="shared" si="10"/>
        <v>20</v>
      </c>
      <c r="AT20" s="172">
        <f t="shared" si="11"/>
        <v>0.95238095238095233</v>
      </c>
      <c r="AU20" s="179">
        <f>IFERROR(GETPIVOTDATA("Sum of SRP",'[1]DATA LAST MONTH DEVICE'!$A$6,"ID Store",$C20),0)</f>
        <v>200543000</v>
      </c>
      <c r="AV20" s="179">
        <f t="shared" si="37"/>
        <v>294835000</v>
      </c>
      <c r="AW20" s="180">
        <f t="shared" si="12"/>
        <v>94292000</v>
      </c>
      <c r="AX20" s="181">
        <f t="shared" si="13"/>
        <v>0.47018345192801542</v>
      </c>
      <c r="AY20" s="182">
        <f>IFERROR(VLOOKUP(C20,'[1]DATA SALES LAST MONTH'!A:E,5,0),0)</f>
        <v>3518298.2456140351</v>
      </c>
      <c r="AZ20" s="152">
        <f t="shared" si="38"/>
        <v>4535923.0769230761</v>
      </c>
      <c r="BA20" s="183">
        <f t="shared" si="14"/>
        <v>1017624.831309041</v>
      </c>
      <c r="BB20" s="172">
        <f t="shared" si="15"/>
        <v>0.28923779630610563</v>
      </c>
      <c r="BC20" s="153">
        <f>_xlfn.XLOOKUP(D:D,'[1]Target store'!C:C,'[1]Target store'!J:J,0)</f>
        <v>7</v>
      </c>
      <c r="BD20" s="184">
        <f>IFERROR(GETPIVOTDATA("Sum of Qty",[1]ACC!$A$5,"ID Store",$C20),0)</f>
        <v>18</v>
      </c>
      <c r="BE20" s="177">
        <f t="shared" si="16"/>
        <v>2.5714285714285716</v>
      </c>
      <c r="BF20" s="154">
        <f>_xlfn.XLOOKUP(D:D,'[1]Target store'!C:C,'[1]Target store'!K:K,0)</f>
        <v>1350000</v>
      </c>
      <c r="BG20" s="185">
        <f>IFERROR(GETPIVOTDATA("Sum of SRP",'[1]Insurance by Store'!$A$5,"ID Store",$C20,"Product Type","Qoala"),0)</f>
        <v>1532000</v>
      </c>
      <c r="BH20" s="177">
        <f t="shared" si="17"/>
        <v>1.1348148148148147</v>
      </c>
      <c r="BI20" s="154">
        <f>_xlfn.XLOOKUP(D:D,'[1]Target store'!C:C,'[1]Target store'!L:L,0)</f>
        <v>300000</v>
      </c>
      <c r="BJ20" s="185">
        <f>IFERROR(GETPIVOTDATA("Sum of SRP",'[1]Insurance by Store'!$A$5,"ID Store",$C20,"Product Type","Vivo Care"),0)</f>
        <v>0</v>
      </c>
      <c r="BK20" s="177">
        <f t="shared" si="18"/>
        <v>0</v>
      </c>
      <c r="BL20" s="144">
        <f>_xlfn.XLOOKUP(D:D,'[1]Target store'!C:C,'[1]Target store'!M:M,0)</f>
        <v>600000</v>
      </c>
      <c r="BM20" s="176">
        <f>IFERROR(GETPIVOTDATA("Sum of Qty",'[1]Operator by Store'!$A$5,"ID Store",$C20,"Product Type","Indosat"),0)</f>
        <v>2</v>
      </c>
      <c r="BN20" s="177">
        <f t="shared" si="19"/>
        <v>3.3333333333333333E-6</v>
      </c>
      <c r="BO20" s="144">
        <f>_xlfn.XLOOKUP(D:D,'[1]Target store'!C:C,'[1]Target store'!N:N,0)</f>
        <v>900000</v>
      </c>
      <c r="BP20" s="176">
        <f>IFERROR(GETPIVOTDATA("Sum of Qty",'[1]Operator by Store'!$A$5,"ID Store",$C20,"Product Type","Telkomsel"),0)</f>
        <v>0</v>
      </c>
      <c r="BQ20" s="186">
        <f t="shared" si="20"/>
        <v>0</v>
      </c>
    </row>
    <row r="21" spans="1:69" ht="17" thickBot="1" x14ac:dyDescent="0.25">
      <c r="A21" s="156">
        <v>17</v>
      </c>
      <c r="B21" s="157" t="s">
        <v>48</v>
      </c>
      <c r="C21" s="158">
        <v>6050705</v>
      </c>
      <c r="D21" s="187" t="str">
        <f>IFERROR(INDEX('[1]Target store'!$C$5:$C$47,MATCH($C21&amp;"-*",'[1]Target store'!$C$5:$C$47,0)),"NOT FOUND")</f>
        <v>6050705-MBH 2F009</v>
      </c>
      <c r="E21" s="187" t="s">
        <v>49</v>
      </c>
      <c r="F21" s="160">
        <v>1</v>
      </c>
      <c r="G21" s="127">
        <f>_xlfn.XLOOKUP(D:D,'[1]Target store'!C:C,'[1]Target store'!F:F,0)</f>
        <v>30</v>
      </c>
      <c r="H21" s="161">
        <f>_xlfn.XLOOKUP(D:D,'[1]Target store'!C:C,'[1]Target store'!G:G,0)</f>
        <v>120000000</v>
      </c>
      <c r="I21" s="162">
        <f>IFERROR(GETPIVOTDATA("Sum of SRP",'[1]DEVICE &amp; VALUE'!$A$6,"ID Store",$C21),0)</f>
        <v>120374000</v>
      </c>
      <c r="J21" s="163">
        <f t="shared" si="21"/>
        <v>1.0031166666666667</v>
      </c>
      <c r="K21" s="164">
        <f t="shared" si="22"/>
        <v>374000</v>
      </c>
      <c r="L21" s="132">
        <f>IFERROR(GETPIVOTDATA("Sum of Qty",[1]PF!$A$5,"ID Store",$C21),0)</f>
        <v>3</v>
      </c>
      <c r="M21" s="133">
        <f>IFERROR(GETPIVOTDATA("Sum of Qty",'[1]DEVICE &amp; VALUE'!$A$6,"ID Store",$C21,"Segment Price","3mio&gt;"),0)</f>
        <v>18</v>
      </c>
      <c r="N21" s="134">
        <f t="shared" si="23"/>
        <v>0.69230769230769229</v>
      </c>
      <c r="O21" s="135">
        <f>IFERROR(GETPIVOTDATA("Sum of Qty",[1]IQOO!$A$6,"ID Store",$C21),0)</f>
        <v>2</v>
      </c>
      <c r="P21" s="134">
        <f t="shared" si="24"/>
        <v>7.6923076923076927E-2</v>
      </c>
      <c r="Q21" s="136">
        <f t="shared" si="25"/>
        <v>0.69230769230769229</v>
      </c>
      <c r="R21" s="135">
        <f>IFERROR(GETPIVOTDATA("Sum of Qty",'[1]DEVICE &amp; VALUE'!$A$6,"ID Store",$C21),0)</f>
        <v>26</v>
      </c>
      <c r="S21" s="135">
        <f t="shared" si="26"/>
        <v>0.8666666666666667</v>
      </c>
      <c r="T21" s="135">
        <f t="shared" si="27"/>
        <v>-4</v>
      </c>
      <c r="U21" s="165">
        <f t="shared" si="28"/>
        <v>128972142.85714285</v>
      </c>
      <c r="V21" s="163">
        <f t="shared" si="29"/>
        <v>1.0747678571428572</v>
      </c>
      <c r="W21" s="166">
        <f t="shared" si="30"/>
        <v>8972142.8571428508</v>
      </c>
      <c r="X21" s="167">
        <f t="shared" si="0"/>
        <v>19.285714285714288</v>
      </c>
      <c r="Y21" s="168">
        <f t="shared" si="1"/>
        <v>-10.714285714285712</v>
      </c>
      <c r="Z21" s="168">
        <f t="shared" si="31"/>
        <v>27.857142857142858</v>
      </c>
      <c r="AA21" s="168">
        <f t="shared" si="32"/>
        <v>-2.1428571428571423</v>
      </c>
      <c r="AB21" s="168">
        <f t="shared" si="33"/>
        <v>0.9285714285714286</v>
      </c>
      <c r="AC21" s="238">
        <f t="shared" si="34"/>
        <v>2</v>
      </c>
      <c r="AD21" s="141">
        <f t="shared" si="35"/>
        <v>-187000</v>
      </c>
      <c r="AE21" s="169">
        <f>IFERROR(GETPIVOTDATA("Sum of Qty",'[1]DATA LAST MONTH IQOO'!$A$6,"ID Store",$C21),0)</f>
        <v>2</v>
      </c>
      <c r="AF21" s="170">
        <f>IFERROR(GETPIVOTDATA("Sum of Qty",[1]IQOO!$A$6,"ID Store",$C21),0)</f>
        <v>2</v>
      </c>
      <c r="AG21" s="171">
        <f t="shared" si="2"/>
        <v>0</v>
      </c>
      <c r="AH21" s="172">
        <f t="shared" si="3"/>
        <v>0</v>
      </c>
      <c r="AI21" s="173">
        <f>IFERROR(GETPIVOTDATA("Sum of Qty",'[1]DATA LAST MONTH DEVICE'!$A$6,"ID Store",$C21),0)</f>
        <v>20</v>
      </c>
      <c r="AJ21" s="146">
        <f t="shared" si="36"/>
        <v>26</v>
      </c>
      <c r="AK21" s="174">
        <f t="shared" si="4"/>
        <v>6</v>
      </c>
      <c r="AL21" s="175">
        <f t="shared" si="5"/>
        <v>0.3</v>
      </c>
      <c r="AM21" s="176">
        <f>IFERROR(GETPIVOTDATA("Sum of Qty",'[1]Store 3mio+ last month'!$A$6,"ID Store",$C21),0)</f>
        <v>23</v>
      </c>
      <c r="AN21" s="144">
        <f t="shared" si="6"/>
        <v>27.857142857142858</v>
      </c>
      <c r="AO21" s="171">
        <f t="shared" si="7"/>
        <v>4.8571428571428577</v>
      </c>
      <c r="AP21" s="177">
        <f t="shared" si="8"/>
        <v>0.21118012422360249</v>
      </c>
      <c r="AQ21" s="176">
        <f>IFERROR(GETPIVOTDATA("Sum of Qty",'[1]DATA LAST MONTH DEVICE'!$A$6,"ID Store",$C21,"Segment Price","3mio&gt;"),0)</f>
        <v>14</v>
      </c>
      <c r="AR21" s="178">
        <f t="shared" si="9"/>
        <v>18</v>
      </c>
      <c r="AS21" s="178">
        <f t="shared" si="10"/>
        <v>4</v>
      </c>
      <c r="AT21" s="172">
        <f t="shared" si="11"/>
        <v>0.2857142857142857</v>
      </c>
      <c r="AU21" s="179">
        <f>IFERROR(GETPIVOTDATA("Sum of SRP",'[1]DATA LAST MONTH DEVICE'!$A$6,"ID Store",$C21),0)</f>
        <v>101380000</v>
      </c>
      <c r="AV21" s="179">
        <f t="shared" si="37"/>
        <v>120374000</v>
      </c>
      <c r="AW21" s="180">
        <f t="shared" si="12"/>
        <v>18994000</v>
      </c>
      <c r="AX21" s="181">
        <f t="shared" si="13"/>
        <v>0.18735450779246399</v>
      </c>
      <c r="AY21" s="182">
        <f>IFERROR(VLOOKUP(C21,'[1]DATA SALES LAST MONTH'!A:E,5,0),0)</f>
        <v>0</v>
      </c>
      <c r="AZ21" s="152">
        <f t="shared" si="38"/>
        <v>4629769.2307692301</v>
      </c>
      <c r="BA21" s="183">
        <f t="shared" si="14"/>
        <v>4629769.2307692301</v>
      </c>
      <c r="BB21" s="172">
        <f t="shared" si="15"/>
        <v>0</v>
      </c>
      <c r="BC21" s="153">
        <f>_xlfn.XLOOKUP(D:D,'[1]Target store'!C:C,'[1]Target store'!J:J,0)</f>
        <v>3</v>
      </c>
      <c r="BD21" s="184">
        <f>IFERROR(GETPIVOTDATA("Sum of Qty",[1]ACC!$A$5,"ID Store",$C21),0)</f>
        <v>6</v>
      </c>
      <c r="BE21" s="177">
        <f t="shared" si="16"/>
        <v>2</v>
      </c>
      <c r="BF21" s="154">
        <f>_xlfn.XLOOKUP(D:D,'[1]Target store'!C:C,'[1]Target store'!K:K,0)</f>
        <v>540000</v>
      </c>
      <c r="BG21" s="185">
        <f>IFERROR(GETPIVOTDATA("Sum of SRP",'[1]Insurance by Store'!$A$5,"ID Store",$C21,"Product Type","Qoala"),0)</f>
        <v>159000</v>
      </c>
      <c r="BH21" s="177">
        <f t="shared" si="17"/>
        <v>0.29444444444444445</v>
      </c>
      <c r="BI21" s="154">
        <f>_xlfn.XLOOKUP(D:D,'[1]Target store'!C:C,'[1]Target store'!L:L,0)</f>
        <v>120000</v>
      </c>
      <c r="BJ21" s="185">
        <f>IFERROR(GETPIVOTDATA("Sum of SRP",'[1]Insurance by Store'!$A$5,"ID Store",$C21,"Product Type","Vivo Care"),0)</f>
        <v>0</v>
      </c>
      <c r="BK21" s="177">
        <f t="shared" si="18"/>
        <v>0</v>
      </c>
      <c r="BL21" s="144">
        <f>_xlfn.XLOOKUP(D:D,'[1]Target store'!C:C,'[1]Target store'!M:M,0)</f>
        <v>240000</v>
      </c>
      <c r="BM21" s="176">
        <f>IFERROR(GETPIVOTDATA("Sum of Qty",'[1]Operator by Store'!$A$5,"ID Store",$C21,"Product Type","Indosat"),0)</f>
        <v>0</v>
      </c>
      <c r="BN21" s="177">
        <f t="shared" si="19"/>
        <v>0</v>
      </c>
      <c r="BO21" s="144">
        <f>_xlfn.XLOOKUP(D:D,'[1]Target store'!C:C,'[1]Target store'!N:N,0)</f>
        <v>360000</v>
      </c>
      <c r="BP21" s="176">
        <f>IFERROR(GETPIVOTDATA("Sum of Qty",'[1]Operator by Store'!$A$5,"ID Store",$C21,"Product Type","Telkomsel"),0)</f>
        <v>0</v>
      </c>
      <c r="BQ21" s="186">
        <f t="shared" si="20"/>
        <v>0</v>
      </c>
    </row>
    <row r="22" spans="1:69" ht="17" thickBot="1" x14ac:dyDescent="0.25">
      <c r="A22" s="156">
        <v>18</v>
      </c>
      <c r="B22" s="157" t="s">
        <v>48</v>
      </c>
      <c r="C22" s="158">
        <v>6050706</v>
      </c>
      <c r="D22" s="187" t="str">
        <f>IFERROR(INDEX('[1]Target store'!$C$5:$C$47,MATCH($C22&amp;"-*",'[1]Target store'!$C$5:$C$47,0)),"NOT FOUND")</f>
        <v>6050706-AEON MALL DELTAMAS 1F081</v>
      </c>
      <c r="E22" s="187" t="s">
        <v>49</v>
      </c>
      <c r="F22" s="160">
        <v>3</v>
      </c>
      <c r="G22" s="127">
        <f>_xlfn.XLOOKUP(D:D,'[1]Target store'!C:C,'[1]Target store'!F:F,0)</f>
        <v>30</v>
      </c>
      <c r="H22" s="161">
        <f>_xlfn.XLOOKUP(D:D,'[1]Target store'!C:C,'[1]Target store'!G:G,0)</f>
        <v>170000000</v>
      </c>
      <c r="I22" s="162">
        <f>IFERROR(GETPIVOTDATA("Sum of SRP",'[1]DEVICE &amp; VALUE'!$A$6,"ID Store",$C22),0)</f>
        <v>137171000</v>
      </c>
      <c r="J22" s="163">
        <f t="shared" si="21"/>
        <v>0.80688823529411768</v>
      </c>
      <c r="K22" s="164">
        <f t="shared" si="22"/>
        <v>-32829000</v>
      </c>
      <c r="L22" s="132">
        <f>IFERROR(GETPIVOTDATA("Sum of Qty",[1]PF!$A$5,"ID Store",$C22),0)</f>
        <v>6</v>
      </c>
      <c r="M22" s="133">
        <f>IFERROR(GETPIVOTDATA("Sum of Qty",'[1]DEVICE &amp; VALUE'!$A$6,"ID Store",$C22,"Segment Price","3mio&gt;"),0)</f>
        <v>19</v>
      </c>
      <c r="N22" s="134">
        <f t="shared" si="23"/>
        <v>0.65517241379310343</v>
      </c>
      <c r="O22" s="135">
        <f>IFERROR(GETPIVOTDATA("Sum of Qty",[1]IQOO!$A$6,"ID Store",$C22),0)</f>
        <v>0</v>
      </c>
      <c r="P22" s="134">
        <f t="shared" si="24"/>
        <v>0</v>
      </c>
      <c r="Q22" s="136">
        <f t="shared" si="25"/>
        <v>0.65517241379310343</v>
      </c>
      <c r="R22" s="135">
        <f>IFERROR(GETPIVOTDATA("Sum of Qty",'[1]DEVICE &amp; VALUE'!$A$6,"ID Store",$C22),0)</f>
        <v>29</v>
      </c>
      <c r="S22" s="135">
        <f t="shared" si="26"/>
        <v>0.96666666666666667</v>
      </c>
      <c r="T22" s="135">
        <f t="shared" si="27"/>
        <v>-1</v>
      </c>
      <c r="U22" s="165">
        <f t="shared" si="28"/>
        <v>146968928.57142857</v>
      </c>
      <c r="V22" s="163">
        <f t="shared" si="29"/>
        <v>0.86452310924369746</v>
      </c>
      <c r="W22" s="166">
        <f t="shared" si="30"/>
        <v>-23031071.428571433</v>
      </c>
      <c r="X22" s="167">
        <f t="shared" si="0"/>
        <v>20.357142857142858</v>
      </c>
      <c r="Y22" s="168">
        <f t="shared" si="1"/>
        <v>-9.6428571428571423</v>
      </c>
      <c r="Z22" s="168">
        <f t="shared" si="31"/>
        <v>31.071428571428573</v>
      </c>
      <c r="AA22" s="168">
        <f t="shared" si="32"/>
        <v>1.071428571428573</v>
      </c>
      <c r="AB22" s="168">
        <f t="shared" si="33"/>
        <v>1.0357142857142858</v>
      </c>
      <c r="AC22" s="238">
        <f t="shared" si="34"/>
        <v>0.5</v>
      </c>
      <c r="AD22" s="141">
        <f t="shared" si="35"/>
        <v>16414500</v>
      </c>
      <c r="AE22" s="169">
        <f>IFERROR(GETPIVOTDATA("Sum of Qty",'[1]DATA LAST MONTH IQOO'!$A$6,"ID Store",$C22),0)</f>
        <v>2</v>
      </c>
      <c r="AF22" s="170">
        <f>IFERROR(GETPIVOTDATA("Sum of Qty",[1]IQOO!$A$6,"ID Store",$C22),0)</f>
        <v>0</v>
      </c>
      <c r="AG22" s="171">
        <f t="shared" si="2"/>
        <v>-2</v>
      </c>
      <c r="AH22" s="172">
        <f t="shared" si="3"/>
        <v>-1</v>
      </c>
      <c r="AI22" s="173">
        <f>IFERROR(GETPIVOTDATA("Sum of Qty",'[1]DATA LAST MONTH DEVICE'!$A$6,"ID Store",$C22),0)</f>
        <v>36</v>
      </c>
      <c r="AJ22" s="146">
        <f t="shared" si="36"/>
        <v>29</v>
      </c>
      <c r="AK22" s="174">
        <f t="shared" si="4"/>
        <v>-7</v>
      </c>
      <c r="AL22" s="175">
        <f t="shared" si="5"/>
        <v>-0.19444444444444445</v>
      </c>
      <c r="AM22" s="176">
        <f>IFERROR(GETPIVOTDATA("Sum of Qty",'[1]Store 3mio+ last month'!$A$6,"ID Store",$C22),0)</f>
        <v>44</v>
      </c>
      <c r="AN22" s="144">
        <f t="shared" si="6"/>
        <v>31.071428571428573</v>
      </c>
      <c r="AO22" s="171">
        <f t="shared" si="7"/>
        <v>-12.928571428571427</v>
      </c>
      <c r="AP22" s="177">
        <f t="shared" si="8"/>
        <v>-0.29383116883116878</v>
      </c>
      <c r="AQ22" s="176">
        <f>IFERROR(GETPIVOTDATA("Sum of Qty",'[1]DATA LAST MONTH DEVICE'!$A$6,"ID Store",$C22,"Segment Price","3mio&gt;"),0)</f>
        <v>14</v>
      </c>
      <c r="AR22" s="178">
        <f t="shared" si="9"/>
        <v>19</v>
      </c>
      <c r="AS22" s="178">
        <f t="shared" si="10"/>
        <v>5</v>
      </c>
      <c r="AT22" s="172">
        <f t="shared" si="11"/>
        <v>0.35714285714285715</v>
      </c>
      <c r="AU22" s="179">
        <f>IFERROR(GETPIVOTDATA("Sum of SRP",'[1]DATA LAST MONTH DEVICE'!$A$6,"ID Store",$C22),0)</f>
        <v>134964000</v>
      </c>
      <c r="AV22" s="179">
        <f t="shared" si="37"/>
        <v>137171000</v>
      </c>
      <c r="AW22" s="180">
        <f t="shared" si="12"/>
        <v>2207000</v>
      </c>
      <c r="AX22" s="181">
        <f t="shared" si="13"/>
        <v>1.6352508817166059E-2</v>
      </c>
      <c r="AY22" s="182">
        <f>IFERROR(VLOOKUP(C22,'[1]DATA SALES LAST MONTH'!A:E,5,0),0)</f>
        <v>0</v>
      </c>
      <c r="AZ22" s="152">
        <f t="shared" si="38"/>
        <v>4730034.4827586208</v>
      </c>
      <c r="BA22" s="183">
        <f t="shared" si="14"/>
        <v>4730034.4827586208</v>
      </c>
      <c r="BB22" s="172">
        <f t="shared" si="15"/>
        <v>0</v>
      </c>
      <c r="BC22" s="153">
        <f>_xlfn.XLOOKUP(D:D,'[1]Target store'!C:C,'[1]Target store'!J:J,0)</f>
        <v>3</v>
      </c>
      <c r="BD22" s="184">
        <f>IFERROR(GETPIVOTDATA("Sum of Qty",[1]ACC!$A$5,"ID Store",$C22),0)</f>
        <v>14</v>
      </c>
      <c r="BE22" s="177">
        <f t="shared" si="16"/>
        <v>4.666666666666667</v>
      </c>
      <c r="BF22" s="154">
        <f>_xlfn.XLOOKUP(D:D,'[1]Target store'!C:C,'[1]Target store'!K:K,0)</f>
        <v>765000</v>
      </c>
      <c r="BG22" s="185">
        <f>IFERROR(GETPIVOTDATA("Sum of SRP",'[1]Insurance by Store'!$A$5,"ID Store",$C22,"Product Type","Qoala"),0)</f>
        <v>408000</v>
      </c>
      <c r="BH22" s="177">
        <f t="shared" si="17"/>
        <v>0.53333333333333333</v>
      </c>
      <c r="BI22" s="154">
        <f>_xlfn.XLOOKUP(D:D,'[1]Target store'!C:C,'[1]Target store'!L:L,0)</f>
        <v>170000</v>
      </c>
      <c r="BJ22" s="185">
        <f>IFERROR(GETPIVOTDATA("Sum of SRP",'[1]Insurance by Store'!$A$5,"ID Store",$C22,"Product Type","Vivo Care"),0)</f>
        <v>0</v>
      </c>
      <c r="BK22" s="177">
        <f t="shared" si="18"/>
        <v>0</v>
      </c>
      <c r="BL22" s="144">
        <f>_xlfn.XLOOKUP(D:D,'[1]Target store'!C:C,'[1]Target store'!M:M,0)</f>
        <v>340000</v>
      </c>
      <c r="BM22" s="176">
        <f>IFERROR(GETPIVOTDATA("Sum of Qty",'[1]Operator by Store'!$A$5,"ID Store",$C22,"Product Type","Indosat"),0)</f>
        <v>0</v>
      </c>
      <c r="BN22" s="177">
        <f t="shared" si="19"/>
        <v>0</v>
      </c>
      <c r="BO22" s="144">
        <f>_xlfn.XLOOKUP(D:D,'[1]Target store'!C:C,'[1]Target store'!N:N,0)</f>
        <v>510000</v>
      </c>
      <c r="BP22" s="176">
        <f>IFERROR(GETPIVOTDATA("Sum of Qty",'[1]Operator by Store'!$A$5,"ID Store",$C22,"Product Type","Telkomsel"),0)</f>
        <v>0</v>
      </c>
      <c r="BQ22" s="186">
        <f t="shared" si="20"/>
        <v>0</v>
      </c>
    </row>
    <row r="23" spans="1:69" ht="17" thickBot="1" x14ac:dyDescent="0.25">
      <c r="A23" s="156">
        <v>19</v>
      </c>
      <c r="B23" s="157" t="s">
        <v>50</v>
      </c>
      <c r="C23" s="158">
        <v>6180706</v>
      </c>
      <c r="D23" s="187" t="str">
        <f>IFERROR(INDEX('[1]Target store'!$C$5:$C$47,MATCH($C23&amp;"-*",'[1]Target store'!$C$5:$C$47,0)),"NOT FOUND")</f>
        <v>6180706-MALL CCM VIVO STORE</v>
      </c>
      <c r="E23" s="187" t="s">
        <v>51</v>
      </c>
      <c r="F23" s="160">
        <v>3</v>
      </c>
      <c r="G23" s="127">
        <f>_xlfn.XLOOKUP(D:D,'[1]Target store'!C:C,'[1]Target store'!F:F,0)</f>
        <v>120</v>
      </c>
      <c r="H23" s="161">
        <f>_xlfn.XLOOKUP(D:D,'[1]Target store'!C:C,'[1]Target store'!G:G,0)</f>
        <v>550000000</v>
      </c>
      <c r="I23" s="162">
        <f>IFERROR(GETPIVOTDATA("Sum of SRP",'[1]DEVICE &amp; VALUE'!$A$6,"ID Store",$C23),0)</f>
        <v>362516000</v>
      </c>
      <c r="J23" s="163">
        <f t="shared" si="21"/>
        <v>0.65912000000000004</v>
      </c>
      <c r="K23" s="164">
        <f t="shared" si="22"/>
        <v>-187484000</v>
      </c>
      <c r="L23" s="132">
        <f>IFERROR(GETPIVOTDATA("Sum of Qty",[1]PF!$A$5,"ID Store",$C23),0)</f>
        <v>11</v>
      </c>
      <c r="M23" s="133">
        <f>IFERROR(GETPIVOTDATA("Sum of Qty",'[1]DEVICE &amp; VALUE'!$A$6,"ID Store",$C23,"Segment Price","3mio&gt;"),0)</f>
        <v>48</v>
      </c>
      <c r="N23" s="134">
        <f t="shared" si="23"/>
        <v>0.5714285714285714</v>
      </c>
      <c r="O23" s="135">
        <f>IFERROR(GETPIVOTDATA("Sum of Qty",[1]IQOO!$A$6,"ID Store",$C23),0)</f>
        <v>2</v>
      </c>
      <c r="P23" s="134">
        <f t="shared" si="24"/>
        <v>2.3809523809523808E-2</v>
      </c>
      <c r="Q23" s="136">
        <f t="shared" si="25"/>
        <v>0.5714285714285714</v>
      </c>
      <c r="R23" s="135">
        <f>IFERROR(GETPIVOTDATA("Sum of Qty",'[1]DEVICE &amp; VALUE'!$A$6,"ID Store",$C23),0)</f>
        <v>84</v>
      </c>
      <c r="S23" s="135">
        <f t="shared" si="26"/>
        <v>0.7</v>
      </c>
      <c r="T23" s="135">
        <f t="shared" si="27"/>
        <v>-36</v>
      </c>
      <c r="U23" s="165">
        <f t="shared" si="28"/>
        <v>388410000</v>
      </c>
      <c r="V23" s="163">
        <f t="shared" si="29"/>
        <v>0.70620000000000005</v>
      </c>
      <c r="W23" s="166">
        <f t="shared" si="30"/>
        <v>-161590000</v>
      </c>
      <c r="X23" s="167">
        <f t="shared" si="0"/>
        <v>51.428571428571423</v>
      </c>
      <c r="Y23" s="168">
        <f t="shared" si="1"/>
        <v>-68.571428571428584</v>
      </c>
      <c r="Z23" s="168">
        <f t="shared" si="31"/>
        <v>90</v>
      </c>
      <c r="AA23" s="168">
        <f t="shared" si="32"/>
        <v>-30</v>
      </c>
      <c r="AB23" s="168">
        <f t="shared" si="33"/>
        <v>0.75</v>
      </c>
      <c r="AC23" s="238">
        <f t="shared" si="34"/>
        <v>18</v>
      </c>
      <c r="AD23" s="141">
        <f t="shared" si="35"/>
        <v>93742000</v>
      </c>
      <c r="AE23" s="169">
        <f>IFERROR(GETPIVOTDATA("Sum of Qty",'[1]DATA LAST MONTH IQOO'!$A$6,"ID Store",$C23),0)</f>
        <v>5</v>
      </c>
      <c r="AF23" s="170">
        <f>IFERROR(GETPIVOTDATA("Sum of Qty",[1]IQOO!$A$6,"ID Store",$C23),0)</f>
        <v>2</v>
      </c>
      <c r="AG23" s="171">
        <f t="shared" si="2"/>
        <v>-3</v>
      </c>
      <c r="AH23" s="172">
        <f t="shared" si="3"/>
        <v>-0.6</v>
      </c>
      <c r="AI23" s="173">
        <f>IFERROR(GETPIVOTDATA("Sum of Qty",'[1]DATA LAST MONTH DEVICE'!$A$6,"ID Store",$C23),0)</f>
        <v>100</v>
      </c>
      <c r="AJ23" s="146">
        <f t="shared" si="36"/>
        <v>84</v>
      </c>
      <c r="AK23" s="174">
        <f t="shared" si="4"/>
        <v>-16</v>
      </c>
      <c r="AL23" s="175">
        <f t="shared" si="5"/>
        <v>-0.16</v>
      </c>
      <c r="AM23" s="176">
        <f>IFERROR(GETPIVOTDATA("Sum of Qty",'[1]Store 3mio+ last month'!$A$6,"ID Store",$C23),0)</f>
        <v>109</v>
      </c>
      <c r="AN23" s="144">
        <f t="shared" si="6"/>
        <v>90</v>
      </c>
      <c r="AO23" s="171">
        <f t="shared" si="7"/>
        <v>-19</v>
      </c>
      <c r="AP23" s="177">
        <f t="shared" si="8"/>
        <v>-0.1743119266055046</v>
      </c>
      <c r="AQ23" s="176">
        <f>IFERROR(GETPIVOTDATA("Sum of Qty",'[1]DATA LAST MONTH DEVICE'!$A$6,"ID Store",$C23,"Segment Price","3mio&gt;"),0)</f>
        <v>46</v>
      </c>
      <c r="AR23" s="178">
        <f t="shared" si="9"/>
        <v>48</v>
      </c>
      <c r="AS23" s="178">
        <f t="shared" si="10"/>
        <v>2</v>
      </c>
      <c r="AT23" s="172">
        <f t="shared" si="11"/>
        <v>4.3478260869565216E-2</v>
      </c>
      <c r="AU23" s="179">
        <f>IFERROR(GETPIVOTDATA("Sum of SRP",'[1]DATA LAST MONTH DEVICE'!$A$6,"ID Store",$C23),0)</f>
        <v>396900000</v>
      </c>
      <c r="AV23" s="179">
        <f t="shared" si="37"/>
        <v>362516000</v>
      </c>
      <c r="AW23" s="180">
        <f t="shared" si="12"/>
        <v>-34384000</v>
      </c>
      <c r="AX23" s="181">
        <f t="shared" si="13"/>
        <v>-8.6631393298059967E-2</v>
      </c>
      <c r="AY23" s="182">
        <f>IFERROR(VLOOKUP(C23,'[1]DATA SALES LAST MONTH'!A:E,5,0),0)</f>
        <v>3969000</v>
      </c>
      <c r="AZ23" s="152">
        <f t="shared" si="38"/>
        <v>4315666.666666667</v>
      </c>
      <c r="BA23" s="183">
        <f t="shared" si="14"/>
        <v>346666.66666666698</v>
      </c>
      <c r="BB23" s="172">
        <f t="shared" si="15"/>
        <v>8.7343579407071548E-2</v>
      </c>
      <c r="BC23" s="153">
        <f>_xlfn.XLOOKUP(D:D,'[1]Target store'!C:C,'[1]Target store'!J:J,0)</f>
        <v>12</v>
      </c>
      <c r="BD23" s="184">
        <f>IFERROR(GETPIVOTDATA("Sum of Qty",[1]ACC!$A$5,"ID Store",$C23),0)</f>
        <v>26</v>
      </c>
      <c r="BE23" s="177">
        <f t="shared" si="16"/>
        <v>2.1666666666666665</v>
      </c>
      <c r="BF23" s="154">
        <f>_xlfn.XLOOKUP(D:D,'[1]Target store'!C:C,'[1]Target store'!K:K,0)</f>
        <v>2475000</v>
      </c>
      <c r="BG23" s="185">
        <f>IFERROR(GETPIVOTDATA("Sum of SRP",'[1]Insurance by Store'!$A$5,"ID Store",$C23,"Product Type","Qoala"),0)</f>
        <v>2349000</v>
      </c>
      <c r="BH23" s="177">
        <f t="shared" si="17"/>
        <v>0.9490909090909091</v>
      </c>
      <c r="BI23" s="154">
        <f>_xlfn.XLOOKUP(D:D,'[1]Target store'!C:C,'[1]Target store'!L:L,0)</f>
        <v>550000</v>
      </c>
      <c r="BJ23" s="185">
        <f>IFERROR(GETPIVOTDATA("Sum of SRP",'[1]Insurance by Store'!$A$5,"ID Store",$C23,"Product Type","Vivo Care"),0)</f>
        <v>0</v>
      </c>
      <c r="BK23" s="177">
        <f t="shared" si="18"/>
        <v>0</v>
      </c>
      <c r="BL23" s="144">
        <f>_xlfn.XLOOKUP(D:D,'[1]Target store'!C:C,'[1]Target store'!M:M,0)</f>
        <v>1100000</v>
      </c>
      <c r="BM23" s="176">
        <f>IFERROR(GETPIVOTDATA("Sum of Qty",'[1]Operator by Store'!$A$5,"ID Store",$C23,"Product Type","Indosat"),0)</f>
        <v>2</v>
      </c>
      <c r="BN23" s="177">
        <f t="shared" si="19"/>
        <v>1.8181818181818181E-6</v>
      </c>
      <c r="BO23" s="144">
        <f>_xlfn.XLOOKUP(D:D,'[1]Target store'!C:C,'[1]Target store'!N:N,0)</f>
        <v>1650000</v>
      </c>
      <c r="BP23" s="176">
        <f>IFERROR(GETPIVOTDATA("Sum of Qty",'[1]Operator by Store'!$A$5,"ID Store",$C23,"Product Type","Telkomsel"),0)</f>
        <v>0</v>
      </c>
      <c r="BQ23" s="186">
        <f t="shared" si="20"/>
        <v>0</v>
      </c>
    </row>
    <row r="24" spans="1:69" ht="17" thickBot="1" x14ac:dyDescent="0.25">
      <c r="A24" s="156">
        <v>20</v>
      </c>
      <c r="B24" s="157" t="s">
        <v>50</v>
      </c>
      <c r="C24" s="158">
        <v>6180707</v>
      </c>
      <c r="D24" s="187" t="str">
        <f>IFERROR(INDEX('[1]Target store'!$C$5:$C$47,MATCH($C24&amp;"-*",'[1]Target store'!$C$5:$C$47,0)),"NOT FOUND")</f>
        <v>6180707-BTM SC VIVO STORE</v>
      </c>
      <c r="E24" s="187" t="s">
        <v>51</v>
      </c>
      <c r="F24" s="160">
        <v>1</v>
      </c>
      <c r="G24" s="127">
        <f>_xlfn.XLOOKUP(D:D,'[1]Target store'!C:C,'[1]Target store'!F:F,0)</f>
        <v>30</v>
      </c>
      <c r="H24" s="161">
        <f>_xlfn.XLOOKUP(D:D,'[1]Target store'!C:C,'[1]Target store'!G:G,0)</f>
        <v>120000000</v>
      </c>
      <c r="I24" s="162">
        <f>IFERROR(GETPIVOTDATA("Sum of SRP",'[1]DEVICE &amp; VALUE'!$A$6,"ID Store",$C24),0)</f>
        <v>98376000</v>
      </c>
      <c r="J24" s="163">
        <f t="shared" si="21"/>
        <v>0.81979999999999997</v>
      </c>
      <c r="K24" s="164">
        <f t="shared" si="22"/>
        <v>-21624000</v>
      </c>
      <c r="L24" s="132">
        <f>IFERROR(GETPIVOTDATA("Sum of Qty",[1]PF!$A$5,"ID Store",$C24),0)</f>
        <v>5</v>
      </c>
      <c r="M24" s="133">
        <f>IFERROR(GETPIVOTDATA("Sum of Qty",'[1]DEVICE &amp; VALUE'!$A$6,"ID Store",$C24,"Segment Price","3mio&gt;"),0)</f>
        <v>13</v>
      </c>
      <c r="N24" s="134">
        <f t="shared" si="23"/>
        <v>0.54166666666666663</v>
      </c>
      <c r="O24" s="135">
        <f>IFERROR(GETPIVOTDATA("Sum of Qty",[1]IQOO!$A$6,"ID Store",$C24),0)</f>
        <v>0</v>
      </c>
      <c r="P24" s="134">
        <f t="shared" si="24"/>
        <v>0</v>
      </c>
      <c r="Q24" s="136">
        <f t="shared" si="25"/>
        <v>0.54166666666666663</v>
      </c>
      <c r="R24" s="135">
        <f>IFERROR(GETPIVOTDATA("Sum of Qty",'[1]DEVICE &amp; VALUE'!$A$6,"ID Store",$C24),0)</f>
        <v>24</v>
      </c>
      <c r="S24" s="135">
        <f t="shared" si="26"/>
        <v>0.8</v>
      </c>
      <c r="T24" s="135">
        <f t="shared" si="27"/>
        <v>-6</v>
      </c>
      <c r="U24" s="165">
        <f t="shared" si="28"/>
        <v>105402857.14285713</v>
      </c>
      <c r="V24" s="163">
        <f t="shared" si="29"/>
        <v>0.87835714285714284</v>
      </c>
      <c r="W24" s="166">
        <f t="shared" si="30"/>
        <v>-14597142.857142866</v>
      </c>
      <c r="X24" s="167">
        <f t="shared" si="0"/>
        <v>13.928571428571429</v>
      </c>
      <c r="Y24" s="168">
        <f t="shared" si="1"/>
        <v>-16.071428571428569</v>
      </c>
      <c r="Z24" s="168">
        <f t="shared" si="31"/>
        <v>25.714285714285712</v>
      </c>
      <c r="AA24" s="168">
        <f t="shared" si="32"/>
        <v>-4.2857142857142883</v>
      </c>
      <c r="AB24" s="168">
        <f t="shared" si="33"/>
        <v>0.8571428571428571</v>
      </c>
      <c r="AC24" s="238">
        <f t="shared" si="34"/>
        <v>3</v>
      </c>
      <c r="AD24" s="141">
        <f t="shared" si="35"/>
        <v>10812000</v>
      </c>
      <c r="AE24" s="169">
        <f>IFERROR(GETPIVOTDATA("Sum of Qty",'[1]DATA LAST MONTH IQOO'!$A$6,"ID Store",$C24),0)</f>
        <v>0</v>
      </c>
      <c r="AF24" s="170">
        <f>IFERROR(GETPIVOTDATA("Sum of Qty",[1]IQOO!$A$6,"ID Store",$C24),0)</f>
        <v>0</v>
      </c>
      <c r="AG24" s="171">
        <f t="shared" si="2"/>
        <v>0</v>
      </c>
      <c r="AH24" s="172">
        <f t="shared" si="3"/>
        <v>0</v>
      </c>
      <c r="AI24" s="173">
        <f>IFERROR(GETPIVOTDATA("Sum of Qty",'[1]DATA LAST MONTH DEVICE'!$A$6,"ID Store",$C24),0)</f>
        <v>23</v>
      </c>
      <c r="AJ24" s="146">
        <f t="shared" si="36"/>
        <v>24</v>
      </c>
      <c r="AK24" s="174">
        <f t="shared" si="4"/>
        <v>1</v>
      </c>
      <c r="AL24" s="175">
        <f t="shared" si="5"/>
        <v>4.3478260869565216E-2</v>
      </c>
      <c r="AM24" s="176">
        <f>IFERROR(GETPIVOTDATA("Sum of Qty",'[1]Store 3mio+ last month'!$A$6,"ID Store",$C24),0)</f>
        <v>27</v>
      </c>
      <c r="AN24" s="144">
        <f t="shared" si="6"/>
        <v>25.714285714285712</v>
      </c>
      <c r="AO24" s="171">
        <f t="shared" si="7"/>
        <v>-1.2857142857142883</v>
      </c>
      <c r="AP24" s="177">
        <f t="shared" si="8"/>
        <v>-4.7619047619047714E-2</v>
      </c>
      <c r="AQ24" s="176">
        <f>IFERROR(GETPIVOTDATA("Sum of Qty",'[1]DATA LAST MONTH DEVICE'!$A$6,"ID Store",$C24,"Segment Price","3mio&gt;"),0)</f>
        <v>12</v>
      </c>
      <c r="AR24" s="178">
        <f t="shared" si="9"/>
        <v>13</v>
      </c>
      <c r="AS24" s="178">
        <f t="shared" si="10"/>
        <v>1</v>
      </c>
      <c r="AT24" s="172">
        <f t="shared" si="11"/>
        <v>8.3333333333333329E-2</v>
      </c>
      <c r="AU24" s="179">
        <f>IFERROR(GETPIVOTDATA("Sum of SRP",'[1]DATA LAST MONTH DEVICE'!$A$6,"ID Store",$C24),0)</f>
        <v>93277000</v>
      </c>
      <c r="AV24" s="179">
        <f t="shared" si="37"/>
        <v>98376000</v>
      </c>
      <c r="AW24" s="180">
        <f t="shared" si="12"/>
        <v>5099000</v>
      </c>
      <c r="AX24" s="181">
        <f t="shared" si="13"/>
        <v>5.4665137172078861E-2</v>
      </c>
      <c r="AY24" s="182">
        <f>IFERROR(VLOOKUP(C24,'[1]DATA SALES LAST MONTH'!A:E,5,0),0)</f>
        <v>4055521.7391304346</v>
      </c>
      <c r="AZ24" s="152">
        <f t="shared" si="38"/>
        <v>4099000</v>
      </c>
      <c r="BA24" s="183">
        <f t="shared" si="14"/>
        <v>43478.26086956542</v>
      </c>
      <c r="BB24" s="172">
        <f t="shared" si="15"/>
        <v>1.0720756456575626E-2</v>
      </c>
      <c r="BC24" s="153">
        <f>_xlfn.XLOOKUP(D:D,'[1]Target store'!C:C,'[1]Target store'!J:J,0)</f>
        <v>3</v>
      </c>
      <c r="BD24" s="184">
        <f>IFERROR(GETPIVOTDATA("Sum of Qty",[1]ACC!$A$5,"ID Store",$C24),0)</f>
        <v>0</v>
      </c>
      <c r="BE24" s="177">
        <f t="shared" si="16"/>
        <v>0</v>
      </c>
      <c r="BF24" s="154">
        <f>_xlfn.XLOOKUP(D:D,'[1]Target store'!C:C,'[1]Target store'!K:K,0)</f>
        <v>100000</v>
      </c>
      <c r="BG24" s="185">
        <f>IFERROR(GETPIVOTDATA("Sum of SRP",'[1]Insurance by Store'!$A$5,"ID Store",$C24,"Product Type","Qoala"),0)</f>
        <v>0</v>
      </c>
      <c r="BH24" s="177">
        <f t="shared" si="17"/>
        <v>0</v>
      </c>
      <c r="BI24" s="154">
        <f>_xlfn.XLOOKUP(D:D,'[1]Target store'!C:C,'[1]Target store'!L:L,0)</f>
        <v>100000</v>
      </c>
      <c r="BJ24" s="185">
        <f>IFERROR(GETPIVOTDATA("Sum of SRP",'[1]Insurance by Store'!$A$5,"ID Store",$C24,"Product Type","Vivo Care"),0)</f>
        <v>0</v>
      </c>
      <c r="BK24" s="177">
        <f t="shared" si="18"/>
        <v>0</v>
      </c>
      <c r="BL24" s="144">
        <f>_xlfn.XLOOKUP(D:D,'[1]Target store'!C:C,'[1]Target store'!M:M,0)</f>
        <v>240000</v>
      </c>
      <c r="BM24" s="176">
        <f>IFERROR(GETPIVOTDATA("Sum of Qty",'[1]Operator by Store'!$A$5,"ID Store",$C24,"Product Type","Indosat"),0)</f>
        <v>0</v>
      </c>
      <c r="BN24" s="177">
        <f t="shared" si="19"/>
        <v>0</v>
      </c>
      <c r="BO24" s="144">
        <f>_xlfn.XLOOKUP(D:D,'[1]Target store'!C:C,'[1]Target store'!N:N,0)</f>
        <v>360000</v>
      </c>
      <c r="BP24" s="176">
        <f>IFERROR(GETPIVOTDATA("Sum of Qty",'[1]Operator by Store'!$A$5,"ID Store",$C24,"Product Type","Telkomsel"),0)</f>
        <v>0</v>
      </c>
      <c r="BQ24" s="186">
        <f t="shared" si="20"/>
        <v>0</v>
      </c>
    </row>
    <row r="25" spans="1:69" ht="17" thickBot="1" x14ac:dyDescent="0.25">
      <c r="A25" s="156">
        <v>21</v>
      </c>
      <c r="B25" s="157" t="s">
        <v>52</v>
      </c>
      <c r="C25" s="158">
        <v>6170707</v>
      </c>
      <c r="D25" s="188" t="str">
        <f>IFERROR(INDEX('[1]Target store'!$C$5:$C$47,MATCH($C25&amp;"-*",'[1]Target store'!$C$5:$C$47,0)),"NOT FOUND")</f>
        <v>6170707-TANGCITY LG BLOK D NO. 01D</v>
      </c>
      <c r="E25" s="188" t="s">
        <v>53</v>
      </c>
      <c r="F25" s="160">
        <v>3</v>
      </c>
      <c r="G25" s="127">
        <f>_xlfn.XLOOKUP(D:D,'[1]Target store'!C:C,'[1]Target store'!F:F,0)</f>
        <v>90</v>
      </c>
      <c r="H25" s="161">
        <f>_xlfn.XLOOKUP(D:D,'[1]Target store'!C:C,'[1]Target store'!G:G,0)</f>
        <v>300000000</v>
      </c>
      <c r="I25" s="162">
        <f>IFERROR(GETPIVOTDATA("Sum of SRP",'[1]DEVICE &amp; VALUE'!$A$6,"ID Store",$C25),0)</f>
        <v>328604000</v>
      </c>
      <c r="J25" s="163">
        <f t="shared" si="21"/>
        <v>1.0953466666666667</v>
      </c>
      <c r="K25" s="164">
        <f t="shared" si="22"/>
        <v>28604000</v>
      </c>
      <c r="L25" s="132">
        <f>IFERROR(GETPIVOTDATA("Sum of Qty",[1]PF!$A$5,"ID Store",$C25),0)</f>
        <v>8</v>
      </c>
      <c r="M25" s="133">
        <f>IFERROR(GETPIVOTDATA("Sum of Qty",'[1]DEVICE &amp; VALUE'!$A$6,"ID Store",$C25,"Segment Price","3mio&gt;"),0)</f>
        <v>36</v>
      </c>
      <c r="N25" s="134">
        <f t="shared" si="23"/>
        <v>0.375</v>
      </c>
      <c r="O25" s="135">
        <f>IFERROR(GETPIVOTDATA("Sum of Qty",[1]IQOO!$A$6,"ID Store",$C25),0)</f>
        <v>0</v>
      </c>
      <c r="P25" s="134">
        <f t="shared" si="24"/>
        <v>0</v>
      </c>
      <c r="Q25" s="136">
        <f t="shared" si="25"/>
        <v>0.375</v>
      </c>
      <c r="R25" s="135">
        <f>IFERROR(GETPIVOTDATA("Sum of Qty",'[1]DEVICE &amp; VALUE'!$A$6,"ID Store",$C25),0)</f>
        <v>96</v>
      </c>
      <c r="S25" s="135">
        <f t="shared" si="26"/>
        <v>1.0666666666666667</v>
      </c>
      <c r="T25" s="135">
        <f t="shared" si="27"/>
        <v>6</v>
      </c>
      <c r="U25" s="165">
        <f t="shared" si="28"/>
        <v>352075714.28571433</v>
      </c>
      <c r="V25" s="163">
        <f t="shared" si="29"/>
        <v>1.1735857142857145</v>
      </c>
      <c r="W25" s="166">
        <f t="shared" si="30"/>
        <v>52075714.285714328</v>
      </c>
      <c r="X25" s="167">
        <f t="shared" si="0"/>
        <v>38.571428571428577</v>
      </c>
      <c r="Y25" s="168">
        <f t="shared" si="1"/>
        <v>-51.428571428571423</v>
      </c>
      <c r="Z25" s="168">
        <f t="shared" si="31"/>
        <v>102.85714285714285</v>
      </c>
      <c r="AA25" s="168">
        <f t="shared" si="32"/>
        <v>12.857142857142847</v>
      </c>
      <c r="AB25" s="168">
        <f t="shared" si="33"/>
        <v>1.1428571428571428</v>
      </c>
      <c r="AC25" s="238">
        <f t="shared" si="34"/>
        <v>-3</v>
      </c>
      <c r="AD25" s="141">
        <f t="shared" si="35"/>
        <v>-14302000</v>
      </c>
      <c r="AE25" s="169">
        <f>IFERROR(GETPIVOTDATA("Sum of Qty",'[1]DATA LAST MONTH IQOO'!$A$6,"ID Store",$C25),0)</f>
        <v>2</v>
      </c>
      <c r="AF25" s="170">
        <f>IFERROR(GETPIVOTDATA("Sum of Qty",[1]IQOO!$A$6,"ID Store",$C25),0)</f>
        <v>0</v>
      </c>
      <c r="AG25" s="171">
        <f t="shared" si="2"/>
        <v>-2</v>
      </c>
      <c r="AH25" s="172">
        <f t="shared" si="3"/>
        <v>-1</v>
      </c>
      <c r="AI25" s="173">
        <f>IFERROR(GETPIVOTDATA("Sum of Qty",'[1]DATA LAST MONTH DEVICE'!$A$6,"ID Store",$C25),0)</f>
        <v>70</v>
      </c>
      <c r="AJ25" s="146">
        <f t="shared" si="36"/>
        <v>96</v>
      </c>
      <c r="AK25" s="174">
        <f t="shared" si="4"/>
        <v>26</v>
      </c>
      <c r="AL25" s="175">
        <f t="shared" si="5"/>
        <v>0.37142857142857144</v>
      </c>
      <c r="AM25" s="176">
        <f>IFERROR(GETPIVOTDATA("Sum of Qty",'[1]Store 3mio+ last month'!$A$6,"ID Store",$C25),0)</f>
        <v>81</v>
      </c>
      <c r="AN25" s="144">
        <f t="shared" si="6"/>
        <v>102.85714285714285</v>
      </c>
      <c r="AO25" s="171">
        <f t="shared" si="7"/>
        <v>21.857142857142847</v>
      </c>
      <c r="AP25" s="177">
        <f t="shared" si="8"/>
        <v>0.26984126984126972</v>
      </c>
      <c r="AQ25" s="176">
        <f>IFERROR(GETPIVOTDATA("Sum of Qty",'[1]DATA LAST MONTH DEVICE'!$A$6,"ID Store",$C25,"Segment Price","3mio&gt;"),0)</f>
        <v>19</v>
      </c>
      <c r="AR25" s="178">
        <f t="shared" si="9"/>
        <v>36</v>
      </c>
      <c r="AS25" s="178">
        <f t="shared" si="10"/>
        <v>17</v>
      </c>
      <c r="AT25" s="172">
        <f t="shared" si="11"/>
        <v>0.89473684210526316</v>
      </c>
      <c r="AU25" s="179">
        <f>IFERROR(GETPIVOTDATA("Sum of SRP",'[1]DATA LAST MONTH DEVICE'!$A$6,"ID Store",$C25),0)</f>
        <v>231130000</v>
      </c>
      <c r="AV25" s="179">
        <f t="shared" si="37"/>
        <v>328604000</v>
      </c>
      <c r="AW25" s="180">
        <f t="shared" si="12"/>
        <v>97474000</v>
      </c>
      <c r="AX25" s="181">
        <f t="shared" si="13"/>
        <v>0.42172803184355123</v>
      </c>
      <c r="AY25" s="182">
        <f>IFERROR(VLOOKUP(C25,'[1]DATA SALES LAST MONTH'!A:E,5,0),0)</f>
        <v>3301857.1428571427</v>
      </c>
      <c r="AZ25" s="152">
        <f t="shared" si="38"/>
        <v>3422958.333333334</v>
      </c>
      <c r="BA25" s="183">
        <f t="shared" si="14"/>
        <v>121101.19047619123</v>
      </c>
      <c r="BB25" s="172">
        <f t="shared" si="15"/>
        <v>3.6676689885923014E-2</v>
      </c>
      <c r="BC25" s="153">
        <f>_xlfn.XLOOKUP(D:D,'[1]Target store'!C:C,'[1]Target store'!J:J,0)</f>
        <v>9</v>
      </c>
      <c r="BD25" s="184">
        <f>IFERROR(GETPIVOTDATA("Sum of Qty",[1]ACC!$A$5,"ID Store",$C25),0)</f>
        <v>9</v>
      </c>
      <c r="BE25" s="177">
        <f t="shared" si="16"/>
        <v>1</v>
      </c>
      <c r="BF25" s="154">
        <f>_xlfn.XLOOKUP(D:D,'[1]Target store'!C:C,'[1]Target store'!K:K,0)</f>
        <v>1350000</v>
      </c>
      <c r="BG25" s="185">
        <f>IFERROR(GETPIVOTDATA("Sum of SRP",'[1]Insurance by Store'!$A$5,"ID Store",$C25,"Product Type","Qoala"),0)</f>
        <v>726000</v>
      </c>
      <c r="BH25" s="177">
        <f t="shared" si="17"/>
        <v>0.5377777777777778</v>
      </c>
      <c r="BI25" s="154">
        <f>_xlfn.XLOOKUP(D:D,'[1]Target store'!C:C,'[1]Target store'!L:L,0)</f>
        <v>300000</v>
      </c>
      <c r="BJ25" s="185">
        <f>IFERROR(GETPIVOTDATA("Sum of SRP",'[1]Insurance by Store'!$A$5,"ID Store",$C25,"Product Type","Vivo Care"),0)</f>
        <v>0</v>
      </c>
      <c r="BK25" s="177">
        <f t="shared" si="18"/>
        <v>0</v>
      </c>
      <c r="BL25" s="144">
        <f>_xlfn.XLOOKUP(D:D,'[1]Target store'!C:C,'[1]Target store'!M:M,0)</f>
        <v>600000</v>
      </c>
      <c r="BM25" s="176">
        <f>IFERROR(GETPIVOTDATA("Sum of Qty",'[1]Operator by Store'!$A$5,"ID Store",$C25,"Product Type","Indosat"),0)</f>
        <v>0</v>
      </c>
      <c r="BN25" s="177">
        <f t="shared" si="19"/>
        <v>0</v>
      </c>
      <c r="BO25" s="144">
        <f>_xlfn.XLOOKUP(D:D,'[1]Target store'!C:C,'[1]Target store'!N:N,0)</f>
        <v>900000</v>
      </c>
      <c r="BP25" s="176">
        <f>IFERROR(GETPIVOTDATA("Sum of Qty",'[1]Operator by Store'!$A$5,"ID Store",$C25,"Product Type","Telkomsel"),0)</f>
        <v>0</v>
      </c>
      <c r="BQ25" s="186">
        <f t="shared" si="20"/>
        <v>0</v>
      </c>
    </row>
    <row r="26" spans="1:69" ht="17" thickBot="1" x14ac:dyDescent="0.25">
      <c r="A26" s="156">
        <v>22</v>
      </c>
      <c r="B26" s="157" t="s">
        <v>52</v>
      </c>
      <c r="C26" s="158">
        <v>6240702</v>
      </c>
      <c r="D26" s="188" t="str">
        <f>IFERROR(INDEX('[1]Target store'!$C$5:$C$47,MATCH($C26&amp;"-*",'[1]Target store'!$C$5:$C$47,0)),"NOT FOUND")</f>
        <v>6240702-TANGCITY LG BLOK B NO. 01B</v>
      </c>
      <c r="E26" s="188" t="s">
        <v>53</v>
      </c>
      <c r="F26" s="160">
        <v>3</v>
      </c>
      <c r="G26" s="127">
        <f>_xlfn.XLOOKUP(D:D,'[1]Target store'!C:C,'[1]Target store'!F:F,0)</f>
        <v>90</v>
      </c>
      <c r="H26" s="161">
        <f>_xlfn.XLOOKUP(D:D,'[1]Target store'!C:C,'[1]Target store'!G:G,0)</f>
        <v>400000000</v>
      </c>
      <c r="I26" s="162">
        <f>IFERROR(GETPIVOTDATA("Sum of SRP",'[1]DEVICE &amp; VALUE'!$A$6,"ID Store",$C26),0)</f>
        <v>366018000</v>
      </c>
      <c r="J26" s="163">
        <f t="shared" si="21"/>
        <v>0.915045</v>
      </c>
      <c r="K26" s="164">
        <f t="shared" si="22"/>
        <v>-33982000</v>
      </c>
      <c r="L26" s="132">
        <f>IFERROR(GETPIVOTDATA("Sum of Qty",[1]PF!$A$5,"ID Store",$C26),0)</f>
        <v>4</v>
      </c>
      <c r="M26" s="133">
        <f>IFERROR(GETPIVOTDATA("Sum of Qty",'[1]DEVICE &amp; VALUE'!$A$6,"ID Store",$C26,"Segment Price","3mio&gt;"),0)</f>
        <v>36</v>
      </c>
      <c r="N26" s="134">
        <f t="shared" si="23"/>
        <v>0.43902439024390244</v>
      </c>
      <c r="O26" s="135">
        <f>IFERROR(GETPIVOTDATA("Sum of Qty",[1]IQOO!$A$6,"ID Store",$C26),0)</f>
        <v>2</v>
      </c>
      <c r="P26" s="134">
        <f t="shared" si="24"/>
        <v>2.4390243902439025E-2</v>
      </c>
      <c r="Q26" s="136">
        <f t="shared" si="25"/>
        <v>0.43902439024390244</v>
      </c>
      <c r="R26" s="135">
        <f>IFERROR(GETPIVOTDATA("Sum of Qty",'[1]DEVICE &amp; VALUE'!$A$6,"ID Store",$C26),0)</f>
        <v>82</v>
      </c>
      <c r="S26" s="135">
        <f t="shared" si="26"/>
        <v>0.91111111111111109</v>
      </c>
      <c r="T26" s="135">
        <f t="shared" si="27"/>
        <v>-8</v>
      </c>
      <c r="U26" s="165">
        <f t="shared" si="28"/>
        <v>392162142.85714287</v>
      </c>
      <c r="V26" s="163">
        <f t="shared" si="29"/>
        <v>0.98040535714285715</v>
      </c>
      <c r="W26" s="166">
        <f t="shared" si="30"/>
        <v>-7837857.1428571343</v>
      </c>
      <c r="X26" s="167">
        <f t="shared" si="0"/>
        <v>38.571428571428577</v>
      </c>
      <c r="Y26" s="168">
        <f t="shared" si="1"/>
        <v>-51.428571428571423</v>
      </c>
      <c r="Z26" s="168">
        <f t="shared" si="31"/>
        <v>87.857142857142847</v>
      </c>
      <c r="AA26" s="168">
        <f t="shared" si="32"/>
        <v>-2.142857142857153</v>
      </c>
      <c r="AB26" s="168">
        <f t="shared" si="33"/>
        <v>0.97619047619047605</v>
      </c>
      <c r="AC26" s="238">
        <f t="shared" si="34"/>
        <v>4</v>
      </c>
      <c r="AD26" s="141">
        <f t="shared" si="35"/>
        <v>16991000</v>
      </c>
      <c r="AE26" s="169">
        <f>IFERROR(GETPIVOTDATA("Sum of Qty",'[1]DATA LAST MONTH IQOO'!$A$6,"ID Store",$C26),0)</f>
        <v>1</v>
      </c>
      <c r="AF26" s="170">
        <f>IFERROR(GETPIVOTDATA("Sum of Qty",[1]IQOO!$A$6,"ID Store",$C26),0)</f>
        <v>2</v>
      </c>
      <c r="AG26" s="171">
        <f t="shared" si="2"/>
        <v>1</v>
      </c>
      <c r="AH26" s="172">
        <f t="shared" si="3"/>
        <v>1</v>
      </c>
      <c r="AI26" s="173">
        <f>IFERROR(GETPIVOTDATA("Sum of Qty",'[1]DATA LAST MONTH DEVICE'!$A$6,"ID Store",$C26),0)</f>
        <v>87</v>
      </c>
      <c r="AJ26" s="146">
        <f t="shared" si="36"/>
        <v>82</v>
      </c>
      <c r="AK26" s="174">
        <f t="shared" si="4"/>
        <v>-5</v>
      </c>
      <c r="AL26" s="175">
        <f t="shared" si="5"/>
        <v>-5.7471264367816091E-2</v>
      </c>
      <c r="AM26" s="176">
        <f>IFERROR(GETPIVOTDATA("Sum of Qty",'[1]Store 3mio+ last month'!$A$6,"ID Store",$C26),0)</f>
        <v>105</v>
      </c>
      <c r="AN26" s="144">
        <f t="shared" si="6"/>
        <v>87.857142857142847</v>
      </c>
      <c r="AO26" s="171">
        <f t="shared" si="7"/>
        <v>-17.142857142857153</v>
      </c>
      <c r="AP26" s="177">
        <f t="shared" si="8"/>
        <v>-0.16326530612244908</v>
      </c>
      <c r="AQ26" s="176">
        <f>IFERROR(GETPIVOTDATA("Sum of Qty",'[1]DATA LAST MONTH DEVICE'!$A$6,"ID Store",$C26,"Segment Price","3mio&gt;"),0)</f>
        <v>36</v>
      </c>
      <c r="AR26" s="178">
        <f t="shared" si="9"/>
        <v>36</v>
      </c>
      <c r="AS26" s="178">
        <f t="shared" si="10"/>
        <v>0</v>
      </c>
      <c r="AT26" s="172">
        <f t="shared" si="11"/>
        <v>0</v>
      </c>
      <c r="AU26" s="179">
        <f>IFERROR(GETPIVOTDATA("Sum of SRP",'[1]DATA LAST MONTH DEVICE'!$A$6,"ID Store",$C26),0)</f>
        <v>339313000</v>
      </c>
      <c r="AV26" s="179">
        <f t="shared" si="37"/>
        <v>366018000</v>
      </c>
      <c r="AW26" s="180">
        <f t="shared" si="12"/>
        <v>26705000</v>
      </c>
      <c r="AX26" s="181">
        <f t="shared" si="13"/>
        <v>7.8703144294500954E-2</v>
      </c>
      <c r="AY26" s="182">
        <f>IFERROR(VLOOKUP(C26,'[1]DATA SALES LAST MONTH'!A:E,5,0),0)</f>
        <v>3900149.4252873561</v>
      </c>
      <c r="AZ26" s="152">
        <f t="shared" si="38"/>
        <v>4463634.1463414645</v>
      </c>
      <c r="BA26" s="183">
        <f t="shared" si="14"/>
        <v>563484.72105410835</v>
      </c>
      <c r="BB26" s="172">
        <f t="shared" si="15"/>
        <v>0.14447772626367816</v>
      </c>
      <c r="BC26" s="153">
        <f>_xlfn.XLOOKUP(D:D,'[1]Target store'!C:C,'[1]Target store'!J:J,0)</f>
        <v>9</v>
      </c>
      <c r="BD26" s="184">
        <f>IFERROR(GETPIVOTDATA("Sum of Qty",[1]ACC!$A$5,"ID Store",$C26),0)</f>
        <v>21</v>
      </c>
      <c r="BE26" s="177">
        <f t="shared" si="16"/>
        <v>2.3333333333333335</v>
      </c>
      <c r="BF26" s="154">
        <f>_xlfn.XLOOKUP(D:D,'[1]Target store'!C:C,'[1]Target store'!K:K,0)</f>
        <v>1800000</v>
      </c>
      <c r="BG26" s="185">
        <f>IFERROR(GETPIVOTDATA("Sum of SRP",'[1]Insurance by Store'!$A$5,"ID Store",$C26,"Product Type","Qoala"),0)</f>
        <v>954000</v>
      </c>
      <c r="BH26" s="177">
        <f t="shared" si="17"/>
        <v>0.53</v>
      </c>
      <c r="BI26" s="154">
        <f>_xlfn.XLOOKUP(D:D,'[1]Target store'!C:C,'[1]Target store'!L:L,0)</f>
        <v>400000</v>
      </c>
      <c r="BJ26" s="185">
        <f>IFERROR(GETPIVOTDATA("Sum of SRP",'[1]Insurance by Store'!$A$5,"ID Store",$C26,"Product Type","Vivo Care"),0)</f>
        <v>0</v>
      </c>
      <c r="BK26" s="177">
        <f t="shared" si="18"/>
        <v>0</v>
      </c>
      <c r="BL26" s="144">
        <f>_xlfn.XLOOKUP(D:D,'[1]Target store'!C:C,'[1]Target store'!M:M,0)</f>
        <v>800000</v>
      </c>
      <c r="BM26" s="176">
        <f>IFERROR(GETPIVOTDATA("Sum of Qty",'[1]Operator by Store'!$A$5,"ID Store",$C26,"Product Type","Indosat"),0)</f>
        <v>0</v>
      </c>
      <c r="BN26" s="177">
        <f t="shared" si="19"/>
        <v>0</v>
      </c>
      <c r="BO26" s="144">
        <f>_xlfn.XLOOKUP(D:D,'[1]Target store'!C:C,'[1]Target store'!N:N,0)</f>
        <v>1200000</v>
      </c>
      <c r="BP26" s="176">
        <f>IFERROR(GETPIVOTDATA("Sum of Qty",'[1]Operator by Store'!$A$5,"ID Store",$C26,"Product Type","Telkomsel"),0)</f>
        <v>0</v>
      </c>
      <c r="BQ26" s="186">
        <f t="shared" si="20"/>
        <v>0</v>
      </c>
    </row>
    <row r="27" spans="1:69" ht="17" thickBot="1" x14ac:dyDescent="0.25">
      <c r="A27" s="156">
        <v>23</v>
      </c>
      <c r="B27" s="157" t="s">
        <v>52</v>
      </c>
      <c r="C27" s="158">
        <v>6240704</v>
      </c>
      <c r="D27" s="188" t="str">
        <f>IFERROR(INDEX('[1]Target store'!$C$5:$C$47,MATCH($C27&amp;"-*",'[1]Target store'!$C$5:$C$47,0)),"NOT FOUND")</f>
        <v>6240704-TANGCITY LG017</v>
      </c>
      <c r="E27" s="188" t="s">
        <v>53</v>
      </c>
      <c r="F27" s="160">
        <v>2</v>
      </c>
      <c r="G27" s="127">
        <f>_xlfn.XLOOKUP(D:D,'[1]Target store'!C:C,'[1]Target store'!F:F,0)</f>
        <v>30</v>
      </c>
      <c r="H27" s="161">
        <f>_xlfn.XLOOKUP(D:D,'[1]Target store'!C:C,'[1]Target store'!G:G,0)</f>
        <v>100000000</v>
      </c>
      <c r="I27" s="162">
        <f>IFERROR(GETPIVOTDATA("Sum of SRP",'[1]DEVICE &amp; VALUE'!$A$6,"ID Store",$C27),0)</f>
        <v>92180000</v>
      </c>
      <c r="J27" s="163">
        <f t="shared" si="21"/>
        <v>0.92179999999999995</v>
      </c>
      <c r="K27" s="164">
        <f t="shared" si="22"/>
        <v>-7820000</v>
      </c>
      <c r="L27" s="132">
        <f>IFERROR(GETPIVOTDATA("Sum of Qty",[1]PF!$A$5,"ID Store",$C27),0)</f>
        <v>2</v>
      </c>
      <c r="M27" s="133">
        <f>IFERROR(GETPIVOTDATA("Sum of Qty",'[1]DEVICE &amp; VALUE'!$A$6,"ID Store",$C27,"Segment Price","3mio&gt;"),0)</f>
        <v>14</v>
      </c>
      <c r="N27" s="134">
        <f t="shared" si="23"/>
        <v>0.7</v>
      </c>
      <c r="O27" s="135">
        <f>IFERROR(GETPIVOTDATA("Sum of Qty",[1]IQOO!$A$6,"ID Store",$C27),0)</f>
        <v>0</v>
      </c>
      <c r="P27" s="134">
        <f t="shared" si="24"/>
        <v>0</v>
      </c>
      <c r="Q27" s="136">
        <f t="shared" si="25"/>
        <v>0.7</v>
      </c>
      <c r="R27" s="135">
        <f>IFERROR(GETPIVOTDATA("Sum of Qty",'[1]DEVICE &amp; VALUE'!$A$6,"ID Store",$C27),0)</f>
        <v>20</v>
      </c>
      <c r="S27" s="135">
        <f t="shared" si="26"/>
        <v>0.66666666666666663</v>
      </c>
      <c r="T27" s="135">
        <f t="shared" si="27"/>
        <v>-10</v>
      </c>
      <c r="U27" s="165">
        <f t="shared" si="28"/>
        <v>98764285.714285716</v>
      </c>
      <c r="V27" s="163">
        <f t="shared" si="29"/>
        <v>0.98764285714285716</v>
      </c>
      <c r="W27" s="166">
        <f t="shared" si="30"/>
        <v>-1235714.2857142836</v>
      </c>
      <c r="X27" s="167">
        <f t="shared" si="0"/>
        <v>15</v>
      </c>
      <c r="Y27" s="168">
        <f t="shared" si="1"/>
        <v>-15</v>
      </c>
      <c r="Z27" s="168">
        <f t="shared" si="31"/>
        <v>21.428571428571431</v>
      </c>
      <c r="AA27" s="168">
        <f t="shared" si="32"/>
        <v>-8.5714285714285694</v>
      </c>
      <c r="AB27" s="168">
        <f t="shared" si="33"/>
        <v>0.7142857142857143</v>
      </c>
      <c r="AC27" s="238">
        <f t="shared" si="34"/>
        <v>5</v>
      </c>
      <c r="AD27" s="141">
        <f t="shared" si="35"/>
        <v>3910000</v>
      </c>
      <c r="AE27" s="169">
        <f>IFERROR(GETPIVOTDATA("Sum of Qty",'[1]DATA LAST MONTH IQOO'!$A$6,"ID Store",$C27),0)</f>
        <v>0</v>
      </c>
      <c r="AF27" s="170">
        <f>IFERROR(GETPIVOTDATA("Sum of Qty",[1]IQOO!$A$6,"ID Store",$C27),0)</f>
        <v>0</v>
      </c>
      <c r="AG27" s="171">
        <f t="shared" si="2"/>
        <v>0</v>
      </c>
      <c r="AH27" s="172">
        <f t="shared" si="3"/>
        <v>0</v>
      </c>
      <c r="AI27" s="173">
        <f>IFERROR(GETPIVOTDATA("Sum of Qty",'[1]DATA LAST MONTH DEVICE'!$A$6,"ID Store",$C27),0)</f>
        <v>19</v>
      </c>
      <c r="AJ27" s="146">
        <f t="shared" si="36"/>
        <v>20</v>
      </c>
      <c r="AK27" s="174">
        <f t="shared" si="4"/>
        <v>1</v>
      </c>
      <c r="AL27" s="175">
        <f t="shared" si="5"/>
        <v>5.2631578947368418E-2</v>
      </c>
      <c r="AM27" s="176">
        <f>IFERROR(GETPIVOTDATA("Sum of Qty",'[1]Store 3mio+ last month'!$A$6,"ID Store",$C27),0)</f>
        <v>20</v>
      </c>
      <c r="AN27" s="144">
        <f t="shared" si="6"/>
        <v>21.428571428571431</v>
      </c>
      <c r="AO27" s="171">
        <f t="shared" si="7"/>
        <v>1.4285714285714306</v>
      </c>
      <c r="AP27" s="177">
        <f t="shared" si="8"/>
        <v>7.1428571428571536E-2</v>
      </c>
      <c r="AQ27" s="176">
        <f>IFERROR(GETPIVOTDATA("Sum of Qty",'[1]DATA LAST MONTH DEVICE'!$A$6,"ID Store",$C27,"Segment Price","3mio&gt;"),0)</f>
        <v>4</v>
      </c>
      <c r="AR27" s="178">
        <f t="shared" si="9"/>
        <v>14</v>
      </c>
      <c r="AS27" s="178">
        <f t="shared" si="10"/>
        <v>10</v>
      </c>
      <c r="AT27" s="172">
        <f t="shared" si="11"/>
        <v>2.5</v>
      </c>
      <c r="AU27" s="179">
        <f>IFERROR(GETPIVOTDATA("Sum of SRP",'[1]DATA LAST MONTH DEVICE'!$A$6,"ID Store",$C27),0)</f>
        <v>55281000</v>
      </c>
      <c r="AV27" s="179">
        <f t="shared" si="37"/>
        <v>92180000</v>
      </c>
      <c r="AW27" s="180">
        <f t="shared" si="12"/>
        <v>36899000</v>
      </c>
      <c r="AX27" s="181">
        <f t="shared" si="13"/>
        <v>0.66748068956784423</v>
      </c>
      <c r="AY27" s="182">
        <f>IFERROR(VLOOKUP(C27,'[1]DATA SALES LAST MONTH'!A:E,5,0),0)</f>
        <v>2909526.3157894737</v>
      </c>
      <c r="AZ27" s="152">
        <f t="shared" si="38"/>
        <v>4609000</v>
      </c>
      <c r="BA27" s="183">
        <f t="shared" si="14"/>
        <v>1699473.6842105263</v>
      </c>
      <c r="BB27" s="172">
        <f t="shared" si="15"/>
        <v>0.58410665508945203</v>
      </c>
      <c r="BC27" s="153">
        <f>_xlfn.XLOOKUP(D:D,'[1]Target store'!C:C,'[1]Target store'!J:J,0)</f>
        <v>3</v>
      </c>
      <c r="BD27" s="184">
        <f>IFERROR(GETPIVOTDATA("Sum of Qty",[1]ACC!$A$5,"ID Store",$C27),0)</f>
        <v>0</v>
      </c>
      <c r="BE27" s="177">
        <f t="shared" si="16"/>
        <v>0</v>
      </c>
      <c r="BF27" s="154">
        <f>_xlfn.XLOOKUP(D:D,'[1]Target store'!C:C,'[1]Target store'!K:K,0)</f>
        <v>350000</v>
      </c>
      <c r="BG27" s="185">
        <f>IFERROR(GETPIVOTDATA("Sum of SRP",'[1]Insurance by Store'!$A$5,"ID Store",$C27,"Product Type","Qoala"),0)</f>
        <v>159000</v>
      </c>
      <c r="BH27" s="177">
        <f t="shared" si="17"/>
        <v>0.45428571428571429</v>
      </c>
      <c r="BI27" s="154">
        <f>_xlfn.XLOOKUP(D:D,'[1]Target store'!C:C,'[1]Target store'!L:L,0)</f>
        <v>150000</v>
      </c>
      <c r="BJ27" s="185">
        <f>IFERROR(GETPIVOTDATA("Sum of SRP",'[1]Insurance by Store'!$A$5,"ID Store",$C27,"Product Type","Vivo Care"),0)</f>
        <v>0</v>
      </c>
      <c r="BK27" s="177">
        <f t="shared" si="18"/>
        <v>0</v>
      </c>
      <c r="BL27" s="144">
        <f>_xlfn.XLOOKUP(D:D,'[1]Target store'!C:C,'[1]Target store'!M:M,0)</f>
        <v>200000</v>
      </c>
      <c r="BM27" s="176">
        <f>IFERROR(GETPIVOTDATA("Sum of Qty",'[1]Operator by Store'!$A$5,"ID Store",$C27,"Product Type","Indosat"),0)</f>
        <v>0</v>
      </c>
      <c r="BN27" s="177">
        <f t="shared" si="19"/>
        <v>0</v>
      </c>
      <c r="BO27" s="144">
        <f>_xlfn.XLOOKUP(D:D,'[1]Target store'!C:C,'[1]Target store'!N:N,0)</f>
        <v>300000</v>
      </c>
      <c r="BP27" s="176">
        <f>IFERROR(GETPIVOTDATA("Sum of Qty",'[1]Operator by Store'!$A$5,"ID Store",$C27,"Product Type","Telkomsel"),0)</f>
        <v>0</v>
      </c>
      <c r="BQ27" s="186">
        <f t="shared" si="20"/>
        <v>0</v>
      </c>
    </row>
    <row r="28" spans="1:69" ht="17" thickBot="1" x14ac:dyDescent="0.25">
      <c r="A28" s="156">
        <v>24</v>
      </c>
      <c r="B28" s="157" t="s">
        <v>52</v>
      </c>
      <c r="C28" s="158">
        <v>6240701</v>
      </c>
      <c r="D28" s="187" t="str">
        <f>IFERROR(INDEX('[1]Target store'!$C$5:$C$47,MATCH($C28&amp;"-*",'[1]Target store'!$C$5:$C$47,0)),"NOT FOUND")</f>
        <v>6240701-TANGCITY LG BLOK A-B NO. 12</v>
      </c>
      <c r="E28" s="187" t="s">
        <v>54</v>
      </c>
      <c r="F28" s="160">
        <v>3</v>
      </c>
      <c r="G28" s="127">
        <f>_xlfn.XLOOKUP(D:D,'[1]Target store'!C:C,'[1]Target store'!F:F,0)</f>
        <v>90</v>
      </c>
      <c r="H28" s="161">
        <f>_xlfn.XLOOKUP(D:D,'[1]Target store'!C:C,'[1]Target store'!G:G,0)</f>
        <v>350000000</v>
      </c>
      <c r="I28" s="162">
        <f>IFERROR(GETPIVOTDATA("Sum of SRP",'[1]DEVICE &amp; VALUE'!$A$6,"ID Store",$C28),0)</f>
        <v>237037000</v>
      </c>
      <c r="J28" s="163">
        <f t="shared" si="21"/>
        <v>0.67724857142857142</v>
      </c>
      <c r="K28" s="164">
        <f t="shared" si="22"/>
        <v>-112963000</v>
      </c>
      <c r="L28" s="132">
        <f>IFERROR(GETPIVOTDATA("Sum of Qty",[1]PF!$A$5,"ID Store",$C28),0)</f>
        <v>9</v>
      </c>
      <c r="M28" s="133">
        <f>IFERROR(GETPIVOTDATA("Sum of Qty",'[1]DEVICE &amp; VALUE'!$A$6,"ID Store",$C28,"Segment Price","3mio&gt;"),0)</f>
        <v>28</v>
      </c>
      <c r="N28" s="134">
        <f t="shared" si="23"/>
        <v>0.44444444444444442</v>
      </c>
      <c r="O28" s="135">
        <f>IFERROR(GETPIVOTDATA("Sum of Qty",[1]IQOO!$A$6,"ID Store",$C28),0)</f>
        <v>0</v>
      </c>
      <c r="P28" s="134">
        <f t="shared" si="24"/>
        <v>0</v>
      </c>
      <c r="Q28" s="136">
        <f t="shared" si="25"/>
        <v>0.44444444444444442</v>
      </c>
      <c r="R28" s="135">
        <f>IFERROR(GETPIVOTDATA("Sum of Qty",'[1]DEVICE &amp; VALUE'!$A$6,"ID Store",$C28),0)</f>
        <v>63</v>
      </c>
      <c r="S28" s="135">
        <f t="shared" si="26"/>
        <v>0.7</v>
      </c>
      <c r="T28" s="135">
        <f t="shared" si="27"/>
        <v>-27</v>
      </c>
      <c r="U28" s="165">
        <f t="shared" si="28"/>
        <v>253968214.2857143</v>
      </c>
      <c r="V28" s="163">
        <f t="shared" si="29"/>
        <v>0.72562346938775513</v>
      </c>
      <c r="W28" s="166">
        <f t="shared" si="30"/>
        <v>-96031785.714285702</v>
      </c>
      <c r="X28" s="167">
        <f t="shared" si="0"/>
        <v>30</v>
      </c>
      <c r="Y28" s="168">
        <f t="shared" si="1"/>
        <v>-60</v>
      </c>
      <c r="Z28" s="168">
        <f t="shared" si="31"/>
        <v>67.5</v>
      </c>
      <c r="AA28" s="168">
        <f t="shared" si="32"/>
        <v>-22.5</v>
      </c>
      <c r="AB28" s="168">
        <f t="shared" si="33"/>
        <v>0.75</v>
      </c>
      <c r="AC28" s="238">
        <f t="shared" si="34"/>
        <v>13.5</v>
      </c>
      <c r="AD28" s="141">
        <f t="shared" si="35"/>
        <v>56481500</v>
      </c>
      <c r="AE28" s="169">
        <f>IFERROR(GETPIVOTDATA("Sum of Qty",'[1]DATA LAST MONTH IQOO'!$A$6,"ID Store",$C28),0)</f>
        <v>1</v>
      </c>
      <c r="AF28" s="170">
        <f>IFERROR(GETPIVOTDATA("Sum of Qty",[1]IQOO!$A$6,"ID Store",$C28),0)</f>
        <v>0</v>
      </c>
      <c r="AG28" s="171">
        <f t="shared" si="2"/>
        <v>-1</v>
      </c>
      <c r="AH28" s="172">
        <f t="shared" si="3"/>
        <v>-1</v>
      </c>
      <c r="AI28" s="173">
        <f>IFERROR(GETPIVOTDATA("Sum of Qty",'[1]DATA LAST MONTH DEVICE'!$A$6,"ID Store",$C28),0)</f>
        <v>88</v>
      </c>
      <c r="AJ28" s="146">
        <f t="shared" si="36"/>
        <v>63</v>
      </c>
      <c r="AK28" s="174">
        <f t="shared" si="4"/>
        <v>-25</v>
      </c>
      <c r="AL28" s="175">
        <f t="shared" si="5"/>
        <v>-0.28409090909090912</v>
      </c>
      <c r="AM28" s="176">
        <f>IFERROR(GETPIVOTDATA("Sum of Qty",'[1]Store 3mio+ last month'!$A$6,"ID Store",$C28),0)</f>
        <v>105</v>
      </c>
      <c r="AN28" s="144">
        <f t="shared" si="6"/>
        <v>67.5</v>
      </c>
      <c r="AO28" s="171">
        <f t="shared" si="7"/>
        <v>-37.5</v>
      </c>
      <c r="AP28" s="177">
        <f t="shared" si="8"/>
        <v>-0.35714285714285715</v>
      </c>
      <c r="AQ28" s="176">
        <f>IFERROR(GETPIVOTDATA("Sum of Qty",'[1]DATA LAST MONTH DEVICE'!$A$6,"ID Store",$C28,"Segment Price","3mio&gt;"),0)</f>
        <v>36</v>
      </c>
      <c r="AR28" s="178">
        <f t="shared" si="9"/>
        <v>28</v>
      </c>
      <c r="AS28" s="178">
        <f t="shared" si="10"/>
        <v>-8</v>
      </c>
      <c r="AT28" s="172">
        <f t="shared" si="11"/>
        <v>-0.22222222222222221</v>
      </c>
      <c r="AU28" s="179">
        <f>IFERROR(GETPIVOTDATA("Sum of SRP",'[1]DATA LAST MONTH DEVICE'!$A$6,"ID Store",$C28),0)</f>
        <v>299512000</v>
      </c>
      <c r="AV28" s="179">
        <f t="shared" si="37"/>
        <v>237037000</v>
      </c>
      <c r="AW28" s="180">
        <f t="shared" si="12"/>
        <v>-62475000</v>
      </c>
      <c r="AX28" s="181">
        <f t="shared" si="13"/>
        <v>-0.20858930526990571</v>
      </c>
      <c r="AY28" s="182">
        <f>IFERROR(VLOOKUP(C28,'[1]DATA SALES LAST MONTH'!A:E,5,0),0)</f>
        <v>3403545.4545454546</v>
      </c>
      <c r="AZ28" s="152">
        <f t="shared" si="38"/>
        <v>3762492.0634920639</v>
      </c>
      <c r="BA28" s="183">
        <f t="shared" si="14"/>
        <v>358946.60894660931</v>
      </c>
      <c r="BB28" s="172">
        <f t="shared" si="15"/>
        <v>0.10546255771822705</v>
      </c>
      <c r="BC28" s="153">
        <f>_xlfn.XLOOKUP(D:D,'[1]Target store'!C:C,'[1]Target store'!J:J,0)</f>
        <v>9</v>
      </c>
      <c r="BD28" s="184">
        <f>IFERROR(GETPIVOTDATA("Sum of Qty",[1]ACC!$A$5,"ID Store",$C28),0)</f>
        <v>23</v>
      </c>
      <c r="BE28" s="177">
        <f t="shared" si="16"/>
        <v>2.5555555555555554</v>
      </c>
      <c r="BF28" s="154">
        <f>_xlfn.XLOOKUP(D:D,'[1]Target store'!C:C,'[1]Target store'!K:K,0)</f>
        <v>1575000</v>
      </c>
      <c r="BG28" s="185">
        <f>IFERROR(GETPIVOTDATA("Sum of SRP",'[1]Insurance by Store'!$A$5,"ID Store",$C28,"Product Type","Qoala"),0)</f>
        <v>1157000</v>
      </c>
      <c r="BH28" s="177">
        <f t="shared" si="17"/>
        <v>0.73460317460317459</v>
      </c>
      <c r="BI28" s="154">
        <f>_xlfn.XLOOKUP(D:D,'[1]Target store'!C:C,'[1]Target store'!L:L,0)</f>
        <v>350000</v>
      </c>
      <c r="BJ28" s="185">
        <f>IFERROR(GETPIVOTDATA("Sum of SRP",'[1]Insurance by Store'!$A$5,"ID Store",$C28,"Product Type","Vivo Care"),0)</f>
        <v>0</v>
      </c>
      <c r="BK28" s="177">
        <f t="shared" si="18"/>
        <v>0</v>
      </c>
      <c r="BL28" s="144">
        <f>_xlfn.XLOOKUP(D:D,'[1]Target store'!C:C,'[1]Target store'!M:M,0)</f>
        <v>700000</v>
      </c>
      <c r="BM28" s="176">
        <f>IFERROR(GETPIVOTDATA("Sum of Qty",'[1]Operator by Store'!$A$5,"ID Store",$C28,"Product Type","Indosat"),0)</f>
        <v>1</v>
      </c>
      <c r="BN28" s="177">
        <f t="shared" si="19"/>
        <v>1.4285714285714286E-6</v>
      </c>
      <c r="BO28" s="144">
        <f>_xlfn.XLOOKUP(D:D,'[1]Target store'!C:C,'[1]Target store'!N:N,0)</f>
        <v>1050000</v>
      </c>
      <c r="BP28" s="176">
        <f>IFERROR(GETPIVOTDATA("Sum of Qty",'[1]Operator by Store'!$A$5,"ID Store",$C28,"Product Type","Telkomsel"),0)</f>
        <v>0</v>
      </c>
      <c r="BQ28" s="186">
        <f t="shared" si="20"/>
        <v>0</v>
      </c>
    </row>
    <row r="29" spans="1:69" ht="17" thickBot="1" x14ac:dyDescent="0.25">
      <c r="A29" s="156">
        <v>25</v>
      </c>
      <c r="B29" s="157" t="s">
        <v>52</v>
      </c>
      <c r="C29" s="158">
        <v>6170706</v>
      </c>
      <c r="D29" s="187" t="str">
        <f>IFERROR(INDEX('[1]Target store'!$C$5:$C$47,MATCH($C29&amp;"-*",'[1]Target store'!$C$5:$C$47,0)),"NOT FOUND")</f>
        <v>6170706-TANGCITY CHARLES</v>
      </c>
      <c r="E29" s="187" t="s">
        <v>54</v>
      </c>
      <c r="F29" s="160">
        <v>2</v>
      </c>
      <c r="G29" s="127">
        <f>_xlfn.XLOOKUP(D:D,'[1]Target store'!C:C,'[1]Target store'!F:F,0)</f>
        <v>90</v>
      </c>
      <c r="H29" s="161">
        <f>_xlfn.XLOOKUP(D:D,'[1]Target store'!C:C,'[1]Target store'!G:G,0)</f>
        <v>310000000</v>
      </c>
      <c r="I29" s="162">
        <f>IFERROR(GETPIVOTDATA("Sum of SRP",'[1]DEVICE &amp; VALUE'!$A$6,"ID Store",$C29),0)</f>
        <v>190843000</v>
      </c>
      <c r="J29" s="163">
        <f t="shared" si="21"/>
        <v>0.61562258064516129</v>
      </c>
      <c r="K29" s="164">
        <f t="shared" si="22"/>
        <v>-119157000</v>
      </c>
      <c r="L29" s="132">
        <f>IFERROR(GETPIVOTDATA("Sum of Qty",[1]PF!$A$5,"ID Store",$C29),0)</f>
        <v>5</v>
      </c>
      <c r="M29" s="133">
        <f>IFERROR(GETPIVOTDATA("Sum of Qty",'[1]DEVICE &amp; VALUE'!$A$6,"ID Store",$C29,"Segment Price","3mio&gt;"),0)</f>
        <v>20</v>
      </c>
      <c r="N29" s="134">
        <f t="shared" si="23"/>
        <v>0.35087719298245612</v>
      </c>
      <c r="O29" s="135">
        <f>IFERROR(GETPIVOTDATA("Sum of Qty",[1]IQOO!$A$6,"ID Store",$C29),0)</f>
        <v>0</v>
      </c>
      <c r="P29" s="134">
        <f t="shared" si="24"/>
        <v>0</v>
      </c>
      <c r="Q29" s="136">
        <f t="shared" si="25"/>
        <v>0.35087719298245612</v>
      </c>
      <c r="R29" s="135">
        <f>IFERROR(GETPIVOTDATA("Sum of Qty",'[1]DEVICE &amp; VALUE'!$A$6,"ID Store",$C29),0)</f>
        <v>57</v>
      </c>
      <c r="S29" s="135">
        <f t="shared" si="26"/>
        <v>0.6333333333333333</v>
      </c>
      <c r="T29" s="135">
        <f t="shared" si="27"/>
        <v>-33</v>
      </c>
      <c r="U29" s="165">
        <f t="shared" si="28"/>
        <v>204474642.85714284</v>
      </c>
      <c r="V29" s="163">
        <f t="shared" si="29"/>
        <v>0.65959562211981559</v>
      </c>
      <c r="W29" s="166">
        <f t="shared" si="30"/>
        <v>-105525357.14285716</v>
      </c>
      <c r="X29" s="167">
        <f t="shared" si="0"/>
        <v>21.428571428571431</v>
      </c>
      <c r="Y29" s="168">
        <f t="shared" si="1"/>
        <v>-68.571428571428569</v>
      </c>
      <c r="Z29" s="168">
        <f t="shared" si="31"/>
        <v>61.071428571428569</v>
      </c>
      <c r="AA29" s="168">
        <f t="shared" si="32"/>
        <v>-28.928571428571431</v>
      </c>
      <c r="AB29" s="168">
        <f t="shared" si="33"/>
        <v>0.6785714285714286</v>
      </c>
      <c r="AC29" s="238">
        <f t="shared" si="34"/>
        <v>16.5</v>
      </c>
      <c r="AD29" s="141">
        <f t="shared" si="35"/>
        <v>59578500</v>
      </c>
      <c r="AE29" s="169">
        <f>IFERROR(GETPIVOTDATA("Sum of Qty",'[1]DATA LAST MONTH IQOO'!$A$6,"ID Store",$C29),0)</f>
        <v>0</v>
      </c>
      <c r="AF29" s="170">
        <f>IFERROR(GETPIVOTDATA("Sum of Qty",[1]IQOO!$A$6,"ID Store",$C29),0)</f>
        <v>0</v>
      </c>
      <c r="AG29" s="171">
        <f t="shared" si="2"/>
        <v>0</v>
      </c>
      <c r="AH29" s="172">
        <f t="shared" si="3"/>
        <v>0</v>
      </c>
      <c r="AI29" s="173">
        <f>IFERROR(GETPIVOTDATA("Sum of Qty",'[1]DATA LAST MONTH DEVICE'!$A$6,"ID Store",$C29),0)</f>
        <v>75</v>
      </c>
      <c r="AJ29" s="146">
        <f t="shared" si="36"/>
        <v>57</v>
      </c>
      <c r="AK29" s="174">
        <f t="shared" si="4"/>
        <v>-18</v>
      </c>
      <c r="AL29" s="175">
        <f t="shared" si="5"/>
        <v>-0.24</v>
      </c>
      <c r="AM29" s="176">
        <f>IFERROR(GETPIVOTDATA("Sum of Qty",'[1]Store 3mio+ last month'!$A$6,"ID Store",$C29),0)</f>
        <v>85</v>
      </c>
      <c r="AN29" s="144">
        <f t="shared" si="6"/>
        <v>61.071428571428569</v>
      </c>
      <c r="AO29" s="171">
        <f t="shared" si="7"/>
        <v>-23.928571428571431</v>
      </c>
      <c r="AP29" s="177">
        <f t="shared" si="8"/>
        <v>-0.28151260504201681</v>
      </c>
      <c r="AQ29" s="176">
        <f>IFERROR(GETPIVOTDATA("Sum of Qty",'[1]DATA LAST MONTH DEVICE'!$A$6,"ID Store",$C29,"Segment Price","3mio&gt;"),0)</f>
        <v>13</v>
      </c>
      <c r="AR29" s="178">
        <f t="shared" si="9"/>
        <v>20</v>
      </c>
      <c r="AS29" s="178">
        <f t="shared" si="10"/>
        <v>7</v>
      </c>
      <c r="AT29" s="172">
        <f t="shared" si="11"/>
        <v>0.53846153846153844</v>
      </c>
      <c r="AU29" s="179">
        <f>IFERROR(GETPIVOTDATA("Sum of SRP",'[1]DATA LAST MONTH DEVICE'!$A$6,"ID Store",$C29),0)</f>
        <v>224425000</v>
      </c>
      <c r="AV29" s="179">
        <f t="shared" si="37"/>
        <v>190843000</v>
      </c>
      <c r="AW29" s="180">
        <f t="shared" si="12"/>
        <v>-33582000</v>
      </c>
      <c r="AX29" s="181">
        <f t="shared" si="13"/>
        <v>-0.14963573576918793</v>
      </c>
      <c r="AY29" s="182">
        <f>IFERROR(VLOOKUP(C29,'[1]DATA SALES LAST MONTH'!A:E,5,0),0)</f>
        <v>2992333.3333333335</v>
      </c>
      <c r="AZ29" s="152">
        <f t="shared" si="38"/>
        <v>3348122.8070175438</v>
      </c>
      <c r="BA29" s="183">
        <f t="shared" si="14"/>
        <v>355789.47368421033</v>
      </c>
      <c r="BB29" s="172">
        <f t="shared" si="15"/>
        <v>0.11890034767212108</v>
      </c>
      <c r="BC29" s="153">
        <f>_xlfn.XLOOKUP(D:D,'[1]Target store'!C:C,'[1]Target store'!J:J,0)</f>
        <v>9</v>
      </c>
      <c r="BD29" s="184">
        <f>IFERROR(GETPIVOTDATA("Sum of Qty",[1]ACC!$A$5,"ID Store",$C29),0)</f>
        <v>8</v>
      </c>
      <c r="BE29" s="177">
        <f t="shared" si="16"/>
        <v>0.88888888888888884</v>
      </c>
      <c r="BF29" s="154">
        <f>_xlfn.XLOOKUP(D:D,'[1]Target store'!C:C,'[1]Target store'!K:K,0)</f>
        <v>1395000</v>
      </c>
      <c r="BG29" s="185">
        <f>IFERROR(GETPIVOTDATA("Sum of SRP",'[1]Insurance by Store'!$A$5,"ID Store",$C29,"Product Type","Qoala"),0)</f>
        <v>658000</v>
      </c>
      <c r="BH29" s="177">
        <f t="shared" si="17"/>
        <v>0.47168458781362005</v>
      </c>
      <c r="BI29" s="154">
        <f>_xlfn.XLOOKUP(D:D,'[1]Target store'!C:C,'[1]Target store'!L:L,0)</f>
        <v>310000</v>
      </c>
      <c r="BJ29" s="185">
        <f>IFERROR(GETPIVOTDATA("Sum of SRP",'[1]Insurance by Store'!$A$5,"ID Store",$C29,"Product Type","Vivo Care"),0)</f>
        <v>0</v>
      </c>
      <c r="BK29" s="177">
        <f t="shared" si="18"/>
        <v>0</v>
      </c>
      <c r="BL29" s="144">
        <f>_xlfn.XLOOKUP(D:D,'[1]Target store'!C:C,'[1]Target store'!M:M,0)</f>
        <v>620000</v>
      </c>
      <c r="BM29" s="176">
        <f>IFERROR(GETPIVOTDATA("Sum of Qty",'[1]Operator by Store'!$A$5,"ID Store",$C29,"Product Type","Indosat"),0)</f>
        <v>0</v>
      </c>
      <c r="BN29" s="177">
        <f t="shared" si="19"/>
        <v>0</v>
      </c>
      <c r="BO29" s="144">
        <f>_xlfn.XLOOKUP(D:D,'[1]Target store'!C:C,'[1]Target store'!N:N,0)</f>
        <v>930000</v>
      </c>
      <c r="BP29" s="176">
        <f>IFERROR(GETPIVOTDATA("Sum of Qty",'[1]Operator by Store'!$A$5,"ID Store",$C29,"Product Type","Telkomsel"),0)</f>
        <v>0</v>
      </c>
      <c r="BQ29" s="186">
        <f t="shared" si="20"/>
        <v>0</v>
      </c>
    </row>
    <row r="30" spans="1:69" ht="17" thickBot="1" x14ac:dyDescent="0.25">
      <c r="A30" s="156">
        <v>26</v>
      </c>
      <c r="B30" s="157" t="s">
        <v>52</v>
      </c>
      <c r="C30" s="158">
        <v>6240703</v>
      </c>
      <c r="D30" s="187" t="str">
        <f>IFERROR(INDEX('[1]Target store'!$C$5:$C$47,MATCH($C30&amp;"-*",'[1]Target store'!$C$5:$C$47,0)),"NOT FOUND")</f>
        <v>6240703-TANGCITY LG009</v>
      </c>
      <c r="E30" s="187" t="s">
        <v>54</v>
      </c>
      <c r="F30" s="160">
        <v>3</v>
      </c>
      <c r="G30" s="127">
        <f>_xlfn.XLOOKUP(D:D,'[1]Target store'!C:C,'[1]Target store'!F:F,0)</f>
        <v>90</v>
      </c>
      <c r="H30" s="161">
        <f>_xlfn.XLOOKUP(D:D,'[1]Target store'!C:C,'[1]Target store'!G:G,0)</f>
        <v>400000000</v>
      </c>
      <c r="I30" s="162">
        <f>IFERROR(GETPIVOTDATA("Sum of SRP",'[1]DEVICE &amp; VALUE'!$A$6,"ID Store",$C30),0)</f>
        <v>234033000</v>
      </c>
      <c r="J30" s="163">
        <f t="shared" si="21"/>
        <v>0.58508249999999995</v>
      </c>
      <c r="K30" s="164">
        <f t="shared" si="22"/>
        <v>-165967000</v>
      </c>
      <c r="L30" s="132">
        <f>IFERROR(GETPIVOTDATA("Sum of Qty",[1]PF!$A$5,"ID Store",$C30),0)</f>
        <v>7</v>
      </c>
      <c r="M30" s="133">
        <f>IFERROR(GETPIVOTDATA("Sum of Qty",'[1]DEVICE &amp; VALUE'!$A$6,"ID Store",$C30,"Segment Price","3mio&gt;"),0)</f>
        <v>25</v>
      </c>
      <c r="N30" s="134">
        <f t="shared" si="23"/>
        <v>0.37313432835820898</v>
      </c>
      <c r="O30" s="135">
        <f>IFERROR(GETPIVOTDATA("Sum of Qty",[1]IQOO!$A$6,"ID Store",$C30),0)</f>
        <v>0</v>
      </c>
      <c r="P30" s="134">
        <f t="shared" si="24"/>
        <v>0</v>
      </c>
      <c r="Q30" s="136">
        <f t="shared" si="25"/>
        <v>0.37313432835820898</v>
      </c>
      <c r="R30" s="135">
        <f>IFERROR(GETPIVOTDATA("Sum of Qty",'[1]DEVICE &amp; VALUE'!$A$6,"ID Store",$C30),0)</f>
        <v>67</v>
      </c>
      <c r="S30" s="135">
        <f t="shared" si="26"/>
        <v>0.74444444444444446</v>
      </c>
      <c r="T30" s="135">
        <f t="shared" si="27"/>
        <v>-23</v>
      </c>
      <c r="U30" s="165">
        <f t="shared" si="28"/>
        <v>250749642.85714284</v>
      </c>
      <c r="V30" s="163">
        <f t="shared" si="29"/>
        <v>0.62687410714285707</v>
      </c>
      <c r="W30" s="166">
        <f t="shared" si="30"/>
        <v>-149250357.14285716</v>
      </c>
      <c r="X30" s="167">
        <f t="shared" si="0"/>
        <v>26.785714285714288</v>
      </c>
      <c r="Y30" s="168">
        <f t="shared" si="1"/>
        <v>-63.214285714285708</v>
      </c>
      <c r="Z30" s="168">
        <f t="shared" si="31"/>
        <v>71.785714285714278</v>
      </c>
      <c r="AA30" s="168">
        <f t="shared" si="32"/>
        <v>-18.214285714285722</v>
      </c>
      <c r="AB30" s="168">
        <f t="shared" si="33"/>
        <v>0.79761904761904756</v>
      </c>
      <c r="AC30" s="238">
        <f t="shared" si="34"/>
        <v>11.5</v>
      </c>
      <c r="AD30" s="141">
        <f t="shared" si="35"/>
        <v>82983500</v>
      </c>
      <c r="AE30" s="169">
        <f>IFERROR(GETPIVOTDATA("Sum of Qty",'[1]DATA LAST MONTH IQOO'!$A$6,"ID Store",$C30),0)</f>
        <v>2</v>
      </c>
      <c r="AF30" s="170">
        <f>IFERROR(GETPIVOTDATA("Sum of Qty",[1]IQOO!$A$6,"ID Store",$C30),0)</f>
        <v>0</v>
      </c>
      <c r="AG30" s="171">
        <f t="shared" si="2"/>
        <v>-2</v>
      </c>
      <c r="AH30" s="172">
        <f t="shared" si="3"/>
        <v>-1</v>
      </c>
      <c r="AI30" s="173">
        <f>IFERROR(GETPIVOTDATA("Sum of Qty",'[1]DATA LAST MONTH DEVICE'!$A$6,"ID Store",$C30),0)</f>
        <v>73</v>
      </c>
      <c r="AJ30" s="146">
        <f t="shared" si="36"/>
        <v>67</v>
      </c>
      <c r="AK30" s="174">
        <f t="shared" si="4"/>
        <v>-6</v>
      </c>
      <c r="AL30" s="175">
        <f t="shared" si="5"/>
        <v>-8.2191780821917804E-2</v>
      </c>
      <c r="AM30" s="176">
        <f>IFERROR(GETPIVOTDATA("Sum of Qty",'[1]Store 3mio+ last month'!$A$6,"ID Store",$C30),0)</f>
        <v>85</v>
      </c>
      <c r="AN30" s="144">
        <f t="shared" si="6"/>
        <v>71.785714285714278</v>
      </c>
      <c r="AO30" s="171">
        <f t="shared" si="7"/>
        <v>-13.214285714285722</v>
      </c>
      <c r="AP30" s="177">
        <f t="shared" si="8"/>
        <v>-0.15546218487394967</v>
      </c>
      <c r="AQ30" s="176">
        <f>IFERROR(GETPIVOTDATA("Sum of Qty",'[1]DATA LAST MONTH DEVICE'!$A$6,"ID Store",$C30,"Segment Price","3mio&gt;"),0)</f>
        <v>34</v>
      </c>
      <c r="AR30" s="178">
        <f t="shared" si="9"/>
        <v>25</v>
      </c>
      <c r="AS30" s="178">
        <f t="shared" si="10"/>
        <v>-9</v>
      </c>
      <c r="AT30" s="172">
        <f t="shared" si="11"/>
        <v>-0.26470588235294118</v>
      </c>
      <c r="AU30" s="179">
        <f>IFERROR(GETPIVOTDATA("Sum of SRP",'[1]DATA LAST MONTH DEVICE'!$A$6,"ID Store",$C30),0)</f>
        <v>300927000</v>
      </c>
      <c r="AV30" s="179">
        <f t="shared" si="37"/>
        <v>234033000</v>
      </c>
      <c r="AW30" s="180">
        <f t="shared" si="12"/>
        <v>-66894000</v>
      </c>
      <c r="AX30" s="181">
        <f t="shared" si="13"/>
        <v>-0.22229311427688442</v>
      </c>
      <c r="AY30" s="182">
        <f>IFERROR(VLOOKUP(C30,'[1]DATA SALES LAST MONTH'!A:E,5,0),0)</f>
        <v>4122287.6712328768</v>
      </c>
      <c r="AZ30" s="152">
        <f t="shared" si="38"/>
        <v>3493029.8507462689</v>
      </c>
      <c r="BA30" s="183">
        <f t="shared" si="14"/>
        <v>-629257.82048660796</v>
      </c>
      <c r="BB30" s="172">
        <f t="shared" si="15"/>
        <v>-0.15264772152556061</v>
      </c>
      <c r="BC30" s="153">
        <f>_xlfn.XLOOKUP(D:D,'[1]Target store'!C:C,'[1]Target store'!J:J,0)</f>
        <v>9</v>
      </c>
      <c r="BD30" s="184">
        <f>IFERROR(GETPIVOTDATA("Sum of Qty",[1]ACC!$A$5,"ID Store",$C30),0)</f>
        <v>24</v>
      </c>
      <c r="BE30" s="177">
        <f t="shared" si="16"/>
        <v>2.6666666666666665</v>
      </c>
      <c r="BF30" s="154">
        <f>_xlfn.XLOOKUP(D:D,'[1]Target store'!C:C,'[1]Target store'!K:K,0)</f>
        <v>1800000</v>
      </c>
      <c r="BG30" s="185">
        <f>IFERROR(GETPIVOTDATA("Sum of SRP",'[1]Insurance by Store'!$A$5,"ID Store",$C30,"Product Type","Qoala"),0)</f>
        <v>329000</v>
      </c>
      <c r="BH30" s="177">
        <f t="shared" si="17"/>
        <v>0.18277777777777779</v>
      </c>
      <c r="BI30" s="154">
        <f>_xlfn.XLOOKUP(D:D,'[1]Target store'!C:C,'[1]Target store'!L:L,0)</f>
        <v>400000</v>
      </c>
      <c r="BJ30" s="185">
        <f>IFERROR(GETPIVOTDATA("Sum of SRP",'[1]Insurance by Store'!$A$5,"ID Store",$C30,"Product Type","Vivo Care"),0)</f>
        <v>0</v>
      </c>
      <c r="BK30" s="177">
        <f t="shared" si="18"/>
        <v>0</v>
      </c>
      <c r="BL30" s="144">
        <f>_xlfn.XLOOKUP(D:D,'[1]Target store'!C:C,'[1]Target store'!M:M,0)</f>
        <v>800000</v>
      </c>
      <c r="BM30" s="176">
        <f>IFERROR(GETPIVOTDATA("Sum of Qty",'[1]Operator by Store'!$A$5,"ID Store",$C30,"Product Type","Indosat"),0)</f>
        <v>0</v>
      </c>
      <c r="BN30" s="177">
        <f t="shared" si="19"/>
        <v>0</v>
      </c>
      <c r="BO30" s="144">
        <f>_xlfn.XLOOKUP(D:D,'[1]Target store'!C:C,'[1]Target store'!N:N,0)</f>
        <v>1200000</v>
      </c>
      <c r="BP30" s="176">
        <f>IFERROR(GETPIVOTDATA("Sum of Qty",'[1]Operator by Store'!$A$5,"ID Store",$C30,"Product Type","Telkomsel"),0)</f>
        <v>0</v>
      </c>
      <c r="BQ30" s="186">
        <f t="shared" si="20"/>
        <v>0</v>
      </c>
    </row>
    <row r="31" spans="1:69" ht="17" thickBot="1" x14ac:dyDescent="0.25">
      <c r="A31" s="156">
        <v>27</v>
      </c>
      <c r="B31" s="157" t="s">
        <v>52</v>
      </c>
      <c r="C31" s="158">
        <v>6170703</v>
      </c>
      <c r="D31" s="188" t="str">
        <f>IFERROR(INDEX('[1]Target store'!$C$5:$C$47,MATCH($C31&amp;"-*",'[1]Target store'!$C$5:$C$47,0)),"NOT FOUND")</f>
        <v>6170703-BNT-CCM VIVO STORE</v>
      </c>
      <c r="E31" s="188" t="s">
        <v>55</v>
      </c>
      <c r="F31" s="160">
        <v>2</v>
      </c>
      <c r="G31" s="127">
        <f>_xlfn.XLOOKUP(D:D,'[1]Target store'!C:C,'[1]Target store'!F:F,0)</f>
        <v>30</v>
      </c>
      <c r="H31" s="161">
        <f>_xlfn.XLOOKUP(D:D,'[1]Target store'!C:C,'[1]Target store'!G:G,0)</f>
        <v>120000000</v>
      </c>
      <c r="I31" s="162">
        <f>IFERROR(GETPIVOTDATA("Sum of SRP",'[1]DEVICE &amp; VALUE'!$A$6,"ID Store",$C31),0)</f>
        <v>44993000</v>
      </c>
      <c r="J31" s="163">
        <f t="shared" si="21"/>
        <v>0.37494166666666667</v>
      </c>
      <c r="K31" s="164">
        <f t="shared" si="22"/>
        <v>-75007000</v>
      </c>
      <c r="L31" s="132">
        <f>IFERROR(GETPIVOTDATA("Sum of Qty",[1]PF!$A$5,"ID Store",$C31),0)</f>
        <v>1</v>
      </c>
      <c r="M31" s="133">
        <f>IFERROR(GETPIVOTDATA("Sum of Qty",'[1]DEVICE &amp; VALUE'!$A$6,"ID Store",$C31,"Segment Price","3mio&gt;"),0)</f>
        <v>3</v>
      </c>
      <c r="N31" s="134">
        <f t="shared" si="23"/>
        <v>0.42857142857142855</v>
      </c>
      <c r="O31" s="135">
        <f>IFERROR(GETPIVOTDATA("Sum of Qty",[1]IQOO!$A$6,"ID Store",$C31),0)</f>
        <v>0</v>
      </c>
      <c r="P31" s="134">
        <f t="shared" si="24"/>
        <v>0</v>
      </c>
      <c r="Q31" s="136">
        <f t="shared" si="25"/>
        <v>0.42857142857142855</v>
      </c>
      <c r="R31" s="135">
        <f>IFERROR(GETPIVOTDATA("Sum of Qty",'[1]DEVICE &amp; VALUE'!$A$6,"ID Store",$C31),0)</f>
        <v>7</v>
      </c>
      <c r="S31" s="135">
        <f t="shared" si="26"/>
        <v>0.23333333333333334</v>
      </c>
      <c r="T31" s="135">
        <f t="shared" si="27"/>
        <v>-23</v>
      </c>
      <c r="U31" s="165">
        <f t="shared" si="28"/>
        <v>48206785.714285709</v>
      </c>
      <c r="V31" s="163">
        <f t="shared" si="29"/>
        <v>0.40172321428571423</v>
      </c>
      <c r="W31" s="166">
        <f t="shared" si="30"/>
        <v>-71793214.285714298</v>
      </c>
      <c r="X31" s="167">
        <f t="shared" si="0"/>
        <v>3.214285714285714</v>
      </c>
      <c r="Y31" s="168">
        <f t="shared" si="1"/>
        <v>-26.785714285714285</v>
      </c>
      <c r="Z31" s="168">
        <f t="shared" si="31"/>
        <v>7.5</v>
      </c>
      <c r="AA31" s="168">
        <f t="shared" si="32"/>
        <v>-22.5</v>
      </c>
      <c r="AB31" s="168">
        <f t="shared" si="33"/>
        <v>0.25</v>
      </c>
      <c r="AC31" s="238">
        <f t="shared" si="34"/>
        <v>11.5</v>
      </c>
      <c r="AD31" s="141">
        <f t="shared" si="35"/>
        <v>37503500</v>
      </c>
      <c r="AE31" s="169">
        <f>IFERROR(GETPIVOTDATA("Sum of Qty",'[1]DATA LAST MONTH IQOO'!$A$6,"ID Store",$C31),0)</f>
        <v>1</v>
      </c>
      <c r="AF31" s="170">
        <f>IFERROR(GETPIVOTDATA("Sum of Qty",[1]IQOO!$A$6,"ID Store",$C31),0)</f>
        <v>0</v>
      </c>
      <c r="AG31" s="171">
        <f t="shared" si="2"/>
        <v>-1</v>
      </c>
      <c r="AH31" s="172">
        <f t="shared" si="3"/>
        <v>-1</v>
      </c>
      <c r="AI31" s="173">
        <f>IFERROR(GETPIVOTDATA("Sum of Qty",'[1]DATA LAST MONTH DEVICE'!$A$6,"ID Store",$C31),0)</f>
        <v>16</v>
      </c>
      <c r="AJ31" s="146">
        <f t="shared" si="36"/>
        <v>7</v>
      </c>
      <c r="AK31" s="174">
        <f t="shared" si="4"/>
        <v>-9</v>
      </c>
      <c r="AL31" s="175">
        <f t="shared" si="5"/>
        <v>-0.5625</v>
      </c>
      <c r="AM31" s="176">
        <f>IFERROR(GETPIVOTDATA("Sum of Qty",'[1]Store 3mio+ last month'!$A$6,"ID Store",$C31),0)</f>
        <v>17</v>
      </c>
      <c r="AN31" s="144">
        <f t="shared" si="6"/>
        <v>7.5</v>
      </c>
      <c r="AO31" s="171">
        <f t="shared" si="7"/>
        <v>-9.5</v>
      </c>
      <c r="AP31" s="177">
        <f t="shared" si="8"/>
        <v>-0.55882352941176472</v>
      </c>
      <c r="AQ31" s="176">
        <f>IFERROR(GETPIVOTDATA("Sum of Qty",'[1]DATA LAST MONTH DEVICE'!$A$6,"ID Store",$C31,"Segment Price","3mio&gt;"),0)</f>
        <v>8</v>
      </c>
      <c r="AR31" s="178">
        <f t="shared" si="9"/>
        <v>3</v>
      </c>
      <c r="AS31" s="178">
        <f t="shared" si="10"/>
        <v>-5</v>
      </c>
      <c r="AT31" s="172">
        <f t="shared" si="11"/>
        <v>-0.625</v>
      </c>
      <c r="AU31" s="179">
        <f>IFERROR(GETPIVOTDATA("Sum of SRP",'[1]DATA LAST MONTH DEVICE'!$A$6,"ID Store",$C31),0)</f>
        <v>72584000</v>
      </c>
      <c r="AV31" s="179">
        <f t="shared" si="37"/>
        <v>44993000</v>
      </c>
      <c r="AW31" s="180">
        <f t="shared" si="12"/>
        <v>-27591000</v>
      </c>
      <c r="AX31" s="181">
        <f t="shared" si="13"/>
        <v>-0.38012509643998676</v>
      </c>
      <c r="AY31" s="182">
        <f>IFERROR(VLOOKUP(C31,'[1]DATA SALES LAST MONTH'!A:E,5,0),0)</f>
        <v>4536500</v>
      </c>
      <c r="AZ31" s="152">
        <f t="shared" si="38"/>
        <v>6427571.4285714282</v>
      </c>
      <c r="BA31" s="183">
        <f t="shared" si="14"/>
        <v>1891071.4285714282</v>
      </c>
      <c r="BB31" s="172">
        <f t="shared" si="15"/>
        <v>0.4168569224228873</v>
      </c>
      <c r="BC31" s="153">
        <f>_xlfn.XLOOKUP(D:D,'[1]Target store'!C:C,'[1]Target store'!J:J,0)</f>
        <v>3</v>
      </c>
      <c r="BD31" s="184">
        <f>IFERROR(GETPIVOTDATA("Sum of Qty",[1]ACC!$A$5,"ID Store",$C31),0)</f>
        <v>0</v>
      </c>
      <c r="BE31" s="177">
        <f t="shared" si="16"/>
        <v>0</v>
      </c>
      <c r="BF31" s="154">
        <f>_xlfn.XLOOKUP(D:D,'[1]Target store'!C:C,'[1]Target store'!K:K,0)</f>
        <v>200000</v>
      </c>
      <c r="BG31" s="185">
        <f>IFERROR(GETPIVOTDATA("Sum of SRP",'[1]Insurance by Store'!$A$5,"ID Store",$C31,"Product Type","Qoala"),0)</f>
        <v>0</v>
      </c>
      <c r="BH31" s="177">
        <f t="shared" si="17"/>
        <v>0</v>
      </c>
      <c r="BI31" s="154">
        <f>_xlfn.XLOOKUP(D:D,'[1]Target store'!C:C,'[1]Target store'!L:L,0)</f>
        <v>100000</v>
      </c>
      <c r="BJ31" s="185">
        <f>IFERROR(GETPIVOTDATA("Sum of SRP",'[1]Insurance by Store'!$A$5,"ID Store",$C31,"Product Type","Vivo Care"),0)</f>
        <v>0</v>
      </c>
      <c r="BK31" s="177">
        <f t="shared" si="18"/>
        <v>0</v>
      </c>
      <c r="BL31" s="144">
        <f>_xlfn.XLOOKUP(D:D,'[1]Target store'!C:C,'[1]Target store'!M:M,0)</f>
        <v>240000</v>
      </c>
      <c r="BM31" s="176">
        <f>IFERROR(GETPIVOTDATA("Sum of Qty",'[1]Operator by Store'!$A$5,"ID Store",$C31,"Product Type","Indosat"),0)</f>
        <v>0</v>
      </c>
      <c r="BN31" s="177">
        <f t="shared" si="19"/>
        <v>0</v>
      </c>
      <c r="BO31" s="144">
        <f>_xlfn.XLOOKUP(D:D,'[1]Target store'!C:C,'[1]Target store'!N:N,0)</f>
        <v>360000</v>
      </c>
      <c r="BP31" s="176">
        <f>IFERROR(GETPIVOTDATA("Sum of Qty",'[1]Operator by Store'!$A$5,"ID Store",$C31,"Product Type","Telkomsel"),0)</f>
        <v>0</v>
      </c>
      <c r="BQ31" s="186">
        <f t="shared" si="20"/>
        <v>0</v>
      </c>
    </row>
    <row r="32" spans="1:69" ht="17" thickBot="1" x14ac:dyDescent="0.25">
      <c r="A32" s="156">
        <v>28</v>
      </c>
      <c r="B32" s="157" t="s">
        <v>52</v>
      </c>
      <c r="C32" s="158">
        <v>6240705</v>
      </c>
      <c r="D32" s="187" t="str">
        <f>IFERROR(INDEX('[1]Target store'!$C$5:$C$47,MATCH($C32&amp;"-*",'[1]Target store'!$C$5:$C$47,0)),"NOT FOUND")</f>
        <v>6240705-CIPUTRA 2FC15</v>
      </c>
      <c r="E32" s="187" t="s">
        <v>54</v>
      </c>
      <c r="F32" s="160">
        <v>2</v>
      </c>
      <c r="G32" s="127">
        <f>_xlfn.XLOOKUP(D:D,'[1]Target store'!C:C,'[1]Target store'!F:F,0)</f>
        <v>40</v>
      </c>
      <c r="H32" s="161">
        <f>_xlfn.XLOOKUP(D:D,'[1]Target store'!C:C,'[1]Target store'!G:G,0)</f>
        <v>210000000</v>
      </c>
      <c r="I32" s="162">
        <f>IFERROR(GETPIVOTDATA("Sum of SRP",'[1]DEVICE &amp; VALUE'!$A$6,"ID Store",$C32),0)</f>
        <v>107476000</v>
      </c>
      <c r="J32" s="163">
        <f t="shared" si="21"/>
        <v>0.51179047619047624</v>
      </c>
      <c r="K32" s="164">
        <f t="shared" si="22"/>
        <v>-102524000</v>
      </c>
      <c r="L32" s="132">
        <f>IFERROR(GETPIVOTDATA("Sum of Qty",[1]PF!$A$5,"ID Store",$C32),0)</f>
        <v>7</v>
      </c>
      <c r="M32" s="133">
        <f>IFERROR(GETPIVOTDATA("Sum of Qty",'[1]DEVICE &amp; VALUE'!$A$6,"ID Store",$C32,"Segment Price","3mio&gt;"),0)</f>
        <v>17</v>
      </c>
      <c r="N32" s="134">
        <f t="shared" si="23"/>
        <v>0.70833333333333337</v>
      </c>
      <c r="O32" s="135">
        <f>IFERROR(GETPIVOTDATA("Sum of Qty",[1]IQOO!$A$6,"ID Store",$C32),0)</f>
        <v>1</v>
      </c>
      <c r="P32" s="134">
        <f t="shared" si="24"/>
        <v>4.1666666666666664E-2</v>
      </c>
      <c r="Q32" s="136">
        <f t="shared" si="25"/>
        <v>0.70833333333333337</v>
      </c>
      <c r="R32" s="135">
        <f>IFERROR(GETPIVOTDATA("Sum of Qty",'[1]DEVICE &amp; VALUE'!$A$6,"ID Store",$C32),0)</f>
        <v>24</v>
      </c>
      <c r="S32" s="135">
        <f t="shared" si="26"/>
        <v>0.6</v>
      </c>
      <c r="T32" s="135">
        <f t="shared" si="27"/>
        <v>-16</v>
      </c>
      <c r="U32" s="165">
        <f t="shared" si="28"/>
        <v>115152857.14285713</v>
      </c>
      <c r="V32" s="163">
        <f t="shared" si="29"/>
        <v>0.54834693877551022</v>
      </c>
      <c r="W32" s="166">
        <f t="shared" si="30"/>
        <v>-94847142.857142866</v>
      </c>
      <c r="X32" s="167">
        <f t="shared" si="0"/>
        <v>18.214285714285712</v>
      </c>
      <c r="Y32" s="168">
        <f t="shared" si="1"/>
        <v>-21.785714285714288</v>
      </c>
      <c r="Z32" s="168">
        <f t="shared" si="31"/>
        <v>25.714285714285712</v>
      </c>
      <c r="AA32" s="168">
        <f t="shared" si="32"/>
        <v>-14.285714285714288</v>
      </c>
      <c r="AB32" s="168">
        <f t="shared" si="33"/>
        <v>0.64285714285714279</v>
      </c>
      <c r="AC32" s="238">
        <f t="shared" si="34"/>
        <v>8</v>
      </c>
      <c r="AD32" s="141">
        <f t="shared" si="35"/>
        <v>51262000</v>
      </c>
      <c r="AE32" s="169">
        <f>IFERROR(GETPIVOTDATA("Sum of Qty",'[1]DATA LAST MONTH IQOO'!$A$6,"ID Store",$C32),0)</f>
        <v>3</v>
      </c>
      <c r="AF32" s="170">
        <f>IFERROR(GETPIVOTDATA("Sum of Qty",[1]IQOO!$A$6,"ID Store",$C32),0)</f>
        <v>1</v>
      </c>
      <c r="AG32" s="171">
        <f t="shared" si="2"/>
        <v>-2</v>
      </c>
      <c r="AH32" s="172">
        <f t="shared" si="3"/>
        <v>-0.66666666666666663</v>
      </c>
      <c r="AI32" s="173">
        <f>IFERROR(GETPIVOTDATA("Sum of Qty",'[1]DATA LAST MONTH DEVICE'!$A$6,"ID Store",$C32),0)</f>
        <v>34</v>
      </c>
      <c r="AJ32" s="146">
        <f t="shared" si="36"/>
        <v>24</v>
      </c>
      <c r="AK32" s="174">
        <f t="shared" si="4"/>
        <v>-10</v>
      </c>
      <c r="AL32" s="175">
        <f t="shared" si="5"/>
        <v>-0.29411764705882354</v>
      </c>
      <c r="AM32" s="176">
        <f>IFERROR(GETPIVOTDATA("Sum of Qty",'[1]Store 3mio+ last month'!$A$6,"ID Store",$C32),0)</f>
        <v>38</v>
      </c>
      <c r="AN32" s="144">
        <f t="shared" si="6"/>
        <v>25.714285714285712</v>
      </c>
      <c r="AO32" s="171">
        <f t="shared" si="7"/>
        <v>-12.285714285714288</v>
      </c>
      <c r="AP32" s="177">
        <f t="shared" si="8"/>
        <v>-0.32330827067669182</v>
      </c>
      <c r="AQ32" s="176">
        <f>IFERROR(GETPIVOTDATA("Sum of Qty",'[1]DATA LAST MONTH DEVICE'!$A$6,"ID Store",$C32,"Segment Price","3mio&gt;"),0)</f>
        <v>23</v>
      </c>
      <c r="AR32" s="178">
        <f t="shared" si="9"/>
        <v>17</v>
      </c>
      <c r="AS32" s="178">
        <f t="shared" si="10"/>
        <v>-6</v>
      </c>
      <c r="AT32" s="172">
        <f t="shared" si="11"/>
        <v>-0.2608695652173913</v>
      </c>
      <c r="AU32" s="179">
        <f>IFERROR(GETPIVOTDATA("Sum of SRP",'[1]DATA LAST MONTH DEVICE'!$A$6,"ID Store",$C32),0)</f>
        <v>179966000</v>
      </c>
      <c r="AV32" s="179">
        <f t="shared" si="37"/>
        <v>107476000</v>
      </c>
      <c r="AW32" s="180">
        <f t="shared" si="12"/>
        <v>-72490000</v>
      </c>
      <c r="AX32" s="181">
        <f t="shared" si="13"/>
        <v>-0.4027983063467544</v>
      </c>
      <c r="AY32" s="182">
        <f>IFERROR(VLOOKUP(C32,'[1]DATA SALES LAST MONTH'!A:E,5,0),0)</f>
        <v>5293117.6470588231</v>
      </c>
      <c r="AZ32" s="152">
        <f t="shared" si="38"/>
        <v>4478166.666666667</v>
      </c>
      <c r="BA32" s="183">
        <f t="shared" si="14"/>
        <v>-814950.98039215617</v>
      </c>
      <c r="BB32" s="172">
        <f t="shared" si="15"/>
        <v>-0.15396426732456858</v>
      </c>
      <c r="BC32" s="153">
        <f>_xlfn.XLOOKUP(D:D,'[1]Target store'!C:C,'[1]Target store'!J:J,0)</f>
        <v>4</v>
      </c>
      <c r="BD32" s="184">
        <f>IFERROR(GETPIVOTDATA("Sum of Qty",[1]ACC!$A$5,"ID Store",$C32),0)</f>
        <v>5</v>
      </c>
      <c r="BE32" s="177">
        <f t="shared" si="16"/>
        <v>1.25</v>
      </c>
      <c r="BF32" s="154">
        <f>_xlfn.XLOOKUP(D:D,'[1]Target store'!C:C,'[1]Target store'!K:K,0)</f>
        <v>100000</v>
      </c>
      <c r="BG32" s="185">
        <f>IFERROR(GETPIVOTDATA("Sum of SRP",'[1]Insurance by Store'!$A$5,"ID Store",$C32,"Product Type","Qoala"),0)</f>
        <v>828000</v>
      </c>
      <c r="BH32" s="177">
        <f t="shared" si="17"/>
        <v>8.2799999999999994</v>
      </c>
      <c r="BI32" s="154">
        <f>_xlfn.XLOOKUP(D:D,'[1]Target store'!C:C,'[1]Target store'!L:L,0)</f>
        <v>50000</v>
      </c>
      <c r="BJ32" s="185">
        <f>IFERROR(GETPIVOTDATA("Sum of SRP",'[1]Insurance by Store'!$A$5,"ID Store",$C32,"Product Type","Vivo Care"),0)</f>
        <v>0</v>
      </c>
      <c r="BK32" s="177">
        <f t="shared" si="18"/>
        <v>0</v>
      </c>
      <c r="BL32" s="144">
        <f>_xlfn.XLOOKUP(D:D,'[1]Target store'!C:C,'[1]Target store'!M:M,0)</f>
        <v>420000</v>
      </c>
      <c r="BM32" s="176">
        <f>IFERROR(GETPIVOTDATA("Sum of Qty",'[1]Operator by Store'!$A$5,"ID Store",$C32,"Product Type","Indosat"),0)</f>
        <v>1</v>
      </c>
      <c r="BN32" s="177">
        <f t="shared" si="19"/>
        <v>2.3809523809523808E-6</v>
      </c>
      <c r="BO32" s="144">
        <f>_xlfn.XLOOKUP(D:D,'[1]Target store'!C:C,'[1]Target store'!N:N,0)</f>
        <v>630000</v>
      </c>
      <c r="BP32" s="176">
        <f>IFERROR(GETPIVOTDATA("Sum of Qty",'[1]Operator by Store'!$A$5,"ID Store",$C32,"Product Type","Telkomsel"),0)</f>
        <v>0</v>
      </c>
      <c r="BQ32" s="186">
        <f t="shared" si="20"/>
        <v>0</v>
      </c>
    </row>
    <row r="33" spans="1:69" ht="17" thickBot="1" x14ac:dyDescent="0.25">
      <c r="A33" s="156">
        <v>29</v>
      </c>
      <c r="B33" s="157" t="s">
        <v>52</v>
      </c>
      <c r="C33" s="158">
        <v>6240709</v>
      </c>
      <c r="D33" s="188" t="str">
        <f>IFERROR(INDEX('[1]Target store'!$C$5:$C$47,MATCH($C33&amp;"-*",'[1]Target store'!$C$5:$C$47,0)),"NOT FOUND")</f>
        <v>6240709-ITC BSD 1F49-50</v>
      </c>
      <c r="E33" s="188" t="s">
        <v>53</v>
      </c>
      <c r="F33" s="160">
        <v>2</v>
      </c>
      <c r="G33" s="127">
        <f>_xlfn.XLOOKUP(D:D,'[1]Target store'!C:C,'[1]Target store'!F:F,0)</f>
        <v>30</v>
      </c>
      <c r="H33" s="161">
        <f>_xlfn.XLOOKUP(D:D,'[1]Target store'!C:C,'[1]Target store'!G:G,0)</f>
        <v>100000000</v>
      </c>
      <c r="I33" s="162">
        <f>IFERROR(GETPIVOTDATA("Sum of SRP",'[1]DEVICE &amp; VALUE'!$A$6,"ID Store",$C33),0)</f>
        <v>76984000</v>
      </c>
      <c r="J33" s="163">
        <f t="shared" si="21"/>
        <v>0.76983999999999997</v>
      </c>
      <c r="K33" s="164">
        <f t="shared" si="22"/>
        <v>-23016000</v>
      </c>
      <c r="L33" s="132">
        <f>IFERROR(GETPIVOTDATA("Sum of Qty",[1]PF!$A$5,"ID Store",$C33),0)</f>
        <v>1</v>
      </c>
      <c r="M33" s="133">
        <f>IFERROR(GETPIVOTDATA("Sum of Qty",'[1]DEVICE &amp; VALUE'!$A$6,"ID Store",$C33,"Segment Price","3mio&gt;"),0)</f>
        <v>10</v>
      </c>
      <c r="N33" s="134">
        <f t="shared" si="23"/>
        <v>0.625</v>
      </c>
      <c r="O33" s="135">
        <f>IFERROR(GETPIVOTDATA("Sum of Qty",[1]IQOO!$A$6,"ID Store",$C33),0)</f>
        <v>0</v>
      </c>
      <c r="P33" s="134">
        <f t="shared" si="24"/>
        <v>0</v>
      </c>
      <c r="Q33" s="136">
        <f t="shared" si="25"/>
        <v>0.625</v>
      </c>
      <c r="R33" s="135">
        <f>IFERROR(GETPIVOTDATA("Sum of Qty",'[1]DEVICE &amp; VALUE'!$A$6,"ID Store",$C33),0)</f>
        <v>16</v>
      </c>
      <c r="S33" s="135">
        <f t="shared" si="26"/>
        <v>0.53333333333333333</v>
      </c>
      <c r="T33" s="135">
        <f t="shared" si="27"/>
        <v>-14</v>
      </c>
      <c r="U33" s="165">
        <f t="shared" si="28"/>
        <v>82482857.142857134</v>
      </c>
      <c r="V33" s="163">
        <f t="shared" si="29"/>
        <v>0.82482857142857136</v>
      </c>
      <c r="W33" s="166">
        <f t="shared" si="30"/>
        <v>-17517142.857142866</v>
      </c>
      <c r="X33" s="167">
        <f t="shared" si="0"/>
        <v>10.714285714285715</v>
      </c>
      <c r="Y33" s="168">
        <f t="shared" si="1"/>
        <v>-19.285714285714285</v>
      </c>
      <c r="Z33" s="168">
        <f t="shared" si="31"/>
        <v>17.142857142857142</v>
      </c>
      <c r="AA33" s="168">
        <f t="shared" si="32"/>
        <v>-12.857142857142858</v>
      </c>
      <c r="AB33" s="168">
        <f t="shared" si="33"/>
        <v>0.5714285714285714</v>
      </c>
      <c r="AC33" s="238">
        <f t="shared" si="34"/>
        <v>7</v>
      </c>
      <c r="AD33" s="141">
        <f t="shared" si="35"/>
        <v>11508000</v>
      </c>
      <c r="AE33" s="169">
        <f>IFERROR(GETPIVOTDATA("Sum of Qty",'[1]DATA LAST MONTH IQOO'!$A$6,"ID Store",$C33),0)</f>
        <v>1</v>
      </c>
      <c r="AF33" s="170">
        <f>IFERROR(GETPIVOTDATA("Sum of Qty",[1]IQOO!$A$6,"ID Store",$C33),0)</f>
        <v>0</v>
      </c>
      <c r="AG33" s="171">
        <f t="shared" si="2"/>
        <v>-1</v>
      </c>
      <c r="AH33" s="172">
        <f t="shared" si="3"/>
        <v>-1</v>
      </c>
      <c r="AI33" s="173">
        <f>IFERROR(GETPIVOTDATA("Sum of Qty",'[1]DATA LAST MONTH DEVICE'!$A$6,"ID Store",$C33),0)</f>
        <v>14</v>
      </c>
      <c r="AJ33" s="146">
        <f t="shared" si="36"/>
        <v>16</v>
      </c>
      <c r="AK33" s="174">
        <f t="shared" si="4"/>
        <v>2</v>
      </c>
      <c r="AL33" s="175">
        <f t="shared" si="5"/>
        <v>0.14285714285714285</v>
      </c>
      <c r="AM33" s="176">
        <f>IFERROR(GETPIVOTDATA("Sum of Qty",'[1]Store 3mio+ last month'!$A$6,"ID Store",$C33),0)</f>
        <v>23</v>
      </c>
      <c r="AN33" s="144">
        <f t="shared" si="6"/>
        <v>17.142857142857142</v>
      </c>
      <c r="AO33" s="171">
        <f t="shared" si="7"/>
        <v>-5.8571428571428577</v>
      </c>
      <c r="AP33" s="177">
        <f t="shared" si="8"/>
        <v>-0.25465838509316774</v>
      </c>
      <c r="AQ33" s="176">
        <f>IFERROR(GETPIVOTDATA("Sum of Qty",'[1]DATA LAST MONTH DEVICE'!$A$6,"ID Store",$C33,"Segment Price","3mio&gt;"),0)</f>
        <v>12</v>
      </c>
      <c r="AR33" s="178">
        <f t="shared" si="9"/>
        <v>10</v>
      </c>
      <c r="AS33" s="178">
        <f t="shared" si="10"/>
        <v>-2</v>
      </c>
      <c r="AT33" s="172">
        <f t="shared" si="11"/>
        <v>-0.16666666666666666</v>
      </c>
      <c r="AU33" s="179">
        <f>IFERROR(GETPIVOTDATA("Sum of SRP",'[1]DATA LAST MONTH DEVICE'!$A$6,"ID Store",$C33),0)</f>
        <v>69486000</v>
      </c>
      <c r="AV33" s="179">
        <f t="shared" si="37"/>
        <v>76984000</v>
      </c>
      <c r="AW33" s="180">
        <f t="shared" si="12"/>
        <v>7498000</v>
      </c>
      <c r="AX33" s="181">
        <f t="shared" si="13"/>
        <v>0.10790662867340184</v>
      </c>
      <c r="AY33" s="182">
        <f>IFERROR(VLOOKUP(C33,'[1]DATA SALES LAST MONTH'!A:E,5,0),0)</f>
        <v>4963285.7142857146</v>
      </c>
      <c r="AZ33" s="152">
        <f t="shared" si="38"/>
        <v>4811500</v>
      </c>
      <c r="BA33" s="183">
        <f t="shared" si="14"/>
        <v>-151785.71428571455</v>
      </c>
      <c r="BB33" s="172">
        <f t="shared" si="15"/>
        <v>-3.0581699910773447E-2</v>
      </c>
      <c r="BC33" s="153">
        <f>_xlfn.XLOOKUP(D:D,'[1]Target store'!C:C,'[1]Target store'!J:J,0)</f>
        <v>3</v>
      </c>
      <c r="BD33" s="184">
        <f>IFERROR(GETPIVOTDATA("Sum of Qty",[1]ACC!$A$5,"ID Store",$C33),0)</f>
        <v>3</v>
      </c>
      <c r="BE33" s="177">
        <f t="shared" si="16"/>
        <v>1</v>
      </c>
      <c r="BF33" s="154">
        <f>_xlfn.XLOOKUP(D:D,'[1]Target store'!C:C,'[1]Target store'!K:K,0)</f>
        <v>450000</v>
      </c>
      <c r="BG33" s="185">
        <f>IFERROR(GETPIVOTDATA("Sum of SRP",'[1]Insurance by Store'!$A$5,"ID Store",$C33,"Product Type","Qoala"),0)</f>
        <v>748000</v>
      </c>
      <c r="BH33" s="177">
        <f t="shared" si="17"/>
        <v>1.6622222222222223</v>
      </c>
      <c r="BI33" s="154">
        <f>_xlfn.XLOOKUP(D:D,'[1]Target store'!C:C,'[1]Target store'!L:L,0)</f>
        <v>100000</v>
      </c>
      <c r="BJ33" s="185">
        <f>IFERROR(GETPIVOTDATA("Sum of SRP",'[1]Insurance by Store'!$A$5,"ID Store",$C33,"Product Type","Vivo Care"),0)</f>
        <v>0</v>
      </c>
      <c r="BK33" s="177">
        <f t="shared" si="18"/>
        <v>0</v>
      </c>
      <c r="BL33" s="144">
        <f>_xlfn.XLOOKUP(D:D,'[1]Target store'!C:C,'[1]Target store'!M:M,0)</f>
        <v>200000</v>
      </c>
      <c r="BM33" s="176">
        <f>IFERROR(GETPIVOTDATA("Sum of Qty",'[1]Operator by Store'!$A$5,"ID Store",$C33,"Product Type","Indosat"),0)</f>
        <v>0</v>
      </c>
      <c r="BN33" s="177">
        <f t="shared" si="19"/>
        <v>0</v>
      </c>
      <c r="BO33" s="144">
        <f>_xlfn.XLOOKUP(D:D,'[1]Target store'!C:C,'[1]Target store'!N:N,0)</f>
        <v>300000</v>
      </c>
      <c r="BP33" s="176">
        <f>IFERROR(GETPIVOTDATA("Sum of Qty",'[1]Operator by Store'!$A$5,"ID Store",$C33,"Product Type","Telkomsel"),0)</f>
        <v>0</v>
      </c>
      <c r="BQ33" s="186">
        <f t="shared" si="20"/>
        <v>0</v>
      </c>
    </row>
    <row r="34" spans="1:69" ht="17" thickBot="1" x14ac:dyDescent="0.25">
      <c r="A34" s="156">
        <v>30</v>
      </c>
      <c r="B34" s="157" t="s">
        <v>52</v>
      </c>
      <c r="C34" s="158">
        <v>6240708</v>
      </c>
      <c r="D34" s="188" t="str">
        <f>IFERROR(INDEX('[1]Target store'!$C$5:$C$47,MATCH($C34&amp;"-*",'[1]Target store'!$C$5:$C$47,0)),"NOT FOUND")</f>
        <v>6240708-ITC BSD 1F09-14</v>
      </c>
      <c r="E34" s="188" t="s">
        <v>53</v>
      </c>
      <c r="F34" s="160">
        <v>2</v>
      </c>
      <c r="G34" s="127">
        <f>_xlfn.XLOOKUP(D:D,'[1]Target store'!C:C,'[1]Target store'!F:F,0)</f>
        <v>30</v>
      </c>
      <c r="H34" s="161">
        <f>_xlfn.XLOOKUP(D:D,'[1]Target store'!C:C,'[1]Target store'!G:G,0)</f>
        <v>120000000</v>
      </c>
      <c r="I34" s="162">
        <f>IFERROR(GETPIVOTDATA("Sum of SRP",'[1]DEVICE &amp; VALUE'!$A$6,"ID Store",$C34),0)</f>
        <v>68183000</v>
      </c>
      <c r="J34" s="163">
        <f t="shared" si="21"/>
        <v>0.56819166666666665</v>
      </c>
      <c r="K34" s="164">
        <f t="shared" si="22"/>
        <v>-51817000</v>
      </c>
      <c r="L34" s="132">
        <f>IFERROR(GETPIVOTDATA("Sum of Qty",[1]PF!$A$5,"ID Store",$C34),0)</f>
        <v>1</v>
      </c>
      <c r="M34" s="133">
        <f>IFERROR(GETPIVOTDATA("Sum of Qty",'[1]DEVICE &amp; VALUE'!$A$6,"ID Store",$C34,"Segment Price","3mio&gt;"),0)</f>
        <v>7</v>
      </c>
      <c r="N34" s="134">
        <f t="shared" si="23"/>
        <v>0.41176470588235292</v>
      </c>
      <c r="O34" s="135">
        <f>IFERROR(GETPIVOTDATA("Sum of Qty",[1]IQOO!$A$6,"ID Store",$C34),0)</f>
        <v>0</v>
      </c>
      <c r="P34" s="134">
        <f t="shared" si="24"/>
        <v>0</v>
      </c>
      <c r="Q34" s="136">
        <f t="shared" si="25"/>
        <v>0.41176470588235292</v>
      </c>
      <c r="R34" s="135">
        <f>IFERROR(GETPIVOTDATA("Sum of Qty",'[1]DEVICE &amp; VALUE'!$A$6,"ID Store",$C34),0)</f>
        <v>17</v>
      </c>
      <c r="S34" s="135">
        <f t="shared" si="26"/>
        <v>0.56666666666666665</v>
      </c>
      <c r="T34" s="135">
        <f t="shared" si="27"/>
        <v>-13</v>
      </c>
      <c r="U34" s="165">
        <f t="shared" si="28"/>
        <v>73053214.285714284</v>
      </c>
      <c r="V34" s="163">
        <f t="shared" si="29"/>
        <v>0.60877678571428573</v>
      </c>
      <c r="W34" s="166">
        <f t="shared" si="30"/>
        <v>-46946785.714285716</v>
      </c>
      <c r="X34" s="167">
        <f t="shared" si="0"/>
        <v>7.5</v>
      </c>
      <c r="Y34" s="168">
        <f t="shared" si="1"/>
        <v>-22.5</v>
      </c>
      <c r="Z34" s="168">
        <f t="shared" si="31"/>
        <v>18.214285714285712</v>
      </c>
      <c r="AA34" s="168">
        <f t="shared" si="32"/>
        <v>-11.785714285714288</v>
      </c>
      <c r="AB34" s="168">
        <f t="shared" si="33"/>
        <v>0.6071428571428571</v>
      </c>
      <c r="AC34" s="238">
        <f t="shared" si="34"/>
        <v>6.5</v>
      </c>
      <c r="AD34" s="141">
        <f t="shared" si="35"/>
        <v>25908500</v>
      </c>
      <c r="AE34" s="169">
        <f>IFERROR(GETPIVOTDATA("Sum of Qty",'[1]DATA LAST MONTH IQOO'!$A$6,"ID Store",$C34),0)</f>
        <v>0</v>
      </c>
      <c r="AF34" s="170">
        <f>IFERROR(GETPIVOTDATA("Sum of Qty",[1]IQOO!$A$6,"ID Store",$C34),0)</f>
        <v>0</v>
      </c>
      <c r="AG34" s="171">
        <f t="shared" si="2"/>
        <v>0</v>
      </c>
      <c r="AH34" s="172">
        <f t="shared" si="3"/>
        <v>0</v>
      </c>
      <c r="AI34" s="173">
        <f>IFERROR(GETPIVOTDATA("Sum of Qty",'[1]DATA LAST MONTH DEVICE'!$A$6,"ID Store",$C34),0)</f>
        <v>21</v>
      </c>
      <c r="AJ34" s="146">
        <f t="shared" si="36"/>
        <v>17</v>
      </c>
      <c r="AK34" s="174">
        <f t="shared" si="4"/>
        <v>-4</v>
      </c>
      <c r="AL34" s="175">
        <f t="shared" si="5"/>
        <v>-0.19047619047619047</v>
      </c>
      <c r="AM34" s="176">
        <f>IFERROR(GETPIVOTDATA("Sum of Qty",'[1]Store 3mio+ last month'!$A$6,"ID Store",$C34),0)</f>
        <v>23</v>
      </c>
      <c r="AN34" s="144">
        <f t="shared" si="6"/>
        <v>18.214285714285712</v>
      </c>
      <c r="AO34" s="171">
        <f t="shared" si="7"/>
        <v>-4.7857142857142883</v>
      </c>
      <c r="AP34" s="177">
        <f t="shared" si="8"/>
        <v>-0.2080745341614908</v>
      </c>
      <c r="AQ34" s="176">
        <f>IFERROR(GETPIVOTDATA("Sum of Qty",'[1]DATA LAST MONTH DEVICE'!$A$6,"ID Store",$C34,"Segment Price","3mio&gt;"),0)</f>
        <v>13</v>
      </c>
      <c r="AR34" s="178">
        <f t="shared" si="9"/>
        <v>7</v>
      </c>
      <c r="AS34" s="178">
        <f t="shared" si="10"/>
        <v>-6</v>
      </c>
      <c r="AT34" s="172">
        <f t="shared" si="11"/>
        <v>-0.46153846153846156</v>
      </c>
      <c r="AU34" s="179">
        <f>IFERROR(GETPIVOTDATA("Sum of SRP",'[1]DATA LAST MONTH DEVICE'!$A$6,"ID Store",$C34),0)</f>
        <v>91879000</v>
      </c>
      <c r="AV34" s="179">
        <f t="shared" si="37"/>
        <v>68183000</v>
      </c>
      <c r="AW34" s="180">
        <f t="shared" si="12"/>
        <v>-23696000</v>
      </c>
      <c r="AX34" s="181">
        <f t="shared" si="13"/>
        <v>-0.25790441776684553</v>
      </c>
      <c r="AY34" s="182">
        <f>IFERROR(VLOOKUP(C34,'[1]DATA SALES LAST MONTH'!A:E,5,0),0)</f>
        <v>4375190.4761904757</v>
      </c>
      <c r="AZ34" s="152">
        <f t="shared" si="38"/>
        <v>4010764.7058823532</v>
      </c>
      <c r="BA34" s="183">
        <f t="shared" si="14"/>
        <v>-364425.7703081225</v>
      </c>
      <c r="BB34" s="172">
        <f t="shared" si="15"/>
        <v>-8.3293692535514899E-2</v>
      </c>
      <c r="BC34" s="153">
        <f>_xlfn.XLOOKUP(D:D,'[1]Target store'!C:C,'[1]Target store'!J:J,0)</f>
        <v>3</v>
      </c>
      <c r="BD34" s="184">
        <f>IFERROR(GETPIVOTDATA("Sum of Qty",[1]ACC!$A$5,"ID Store",$C34),0)</f>
        <v>9</v>
      </c>
      <c r="BE34" s="177">
        <f t="shared" si="16"/>
        <v>3</v>
      </c>
      <c r="BF34" s="154">
        <f>_xlfn.XLOOKUP(D:D,'[1]Target store'!C:C,'[1]Target store'!K:K,0)</f>
        <v>540000</v>
      </c>
      <c r="BG34" s="185">
        <f>IFERROR(GETPIVOTDATA("Sum of SRP",'[1]Insurance by Store'!$A$5,"ID Store",$C34,"Product Type","Qoala"),0)</f>
        <v>159000</v>
      </c>
      <c r="BH34" s="177">
        <f t="shared" si="17"/>
        <v>0.29444444444444445</v>
      </c>
      <c r="BI34" s="154">
        <f>_xlfn.XLOOKUP(D:D,'[1]Target store'!C:C,'[1]Target store'!L:L,0)</f>
        <v>120000</v>
      </c>
      <c r="BJ34" s="185">
        <f>IFERROR(GETPIVOTDATA("Sum of SRP",'[1]Insurance by Store'!$A$5,"ID Store",$C34,"Product Type","Vivo Care"),0)</f>
        <v>0</v>
      </c>
      <c r="BK34" s="177">
        <f t="shared" si="18"/>
        <v>0</v>
      </c>
      <c r="BL34" s="144">
        <f>_xlfn.XLOOKUP(D:D,'[1]Target store'!C:C,'[1]Target store'!M:M,0)</f>
        <v>240000</v>
      </c>
      <c r="BM34" s="176">
        <f>IFERROR(GETPIVOTDATA("Sum of Qty",'[1]Operator by Store'!$A$5,"ID Store",$C34,"Product Type","Indosat"),0)</f>
        <v>0</v>
      </c>
      <c r="BN34" s="177">
        <f t="shared" si="19"/>
        <v>0</v>
      </c>
      <c r="BO34" s="144">
        <f>_xlfn.XLOOKUP(D:D,'[1]Target store'!C:C,'[1]Target store'!N:N,0)</f>
        <v>360000</v>
      </c>
      <c r="BP34" s="176">
        <f>IFERROR(GETPIVOTDATA("Sum of Qty",'[1]Operator by Store'!$A$5,"ID Store",$C34,"Product Type","Telkomsel"),0)</f>
        <v>0</v>
      </c>
      <c r="BQ34" s="186">
        <f t="shared" si="20"/>
        <v>0</v>
      </c>
    </row>
    <row r="35" spans="1:69" ht="17" thickBot="1" x14ac:dyDescent="0.25">
      <c r="A35" s="156">
        <v>31</v>
      </c>
      <c r="B35" s="157" t="s">
        <v>52</v>
      </c>
      <c r="C35" s="158">
        <v>6240707</v>
      </c>
      <c r="D35" s="187" t="str">
        <f>IFERROR(INDEX('[1]Target store'!$C$5:$C$47,MATCH($C35&amp;"-*",'[1]Target store'!$C$5:$C$47,0)),"NOT FOUND")</f>
        <v>6240707-KARAWACI UGN3A</v>
      </c>
      <c r="E35" s="187" t="s">
        <v>56</v>
      </c>
      <c r="F35" s="160">
        <v>2</v>
      </c>
      <c r="G35" s="127">
        <f>_xlfn.XLOOKUP(D:D,'[1]Target store'!C:C,'[1]Target store'!F:F,0)</f>
        <v>30</v>
      </c>
      <c r="H35" s="161">
        <f>_xlfn.XLOOKUP(D:D,'[1]Target store'!C:C,'[1]Target store'!G:G,0)</f>
        <v>160000000</v>
      </c>
      <c r="I35" s="162">
        <f>IFERROR(GETPIVOTDATA("Sum of SRP",'[1]DEVICE &amp; VALUE'!$A$6,"ID Store",$C35),0)</f>
        <v>39089000</v>
      </c>
      <c r="J35" s="163">
        <f t="shared" si="21"/>
        <v>0.24430625</v>
      </c>
      <c r="K35" s="164">
        <f t="shared" si="22"/>
        <v>-120911000</v>
      </c>
      <c r="L35" s="132">
        <f>IFERROR(GETPIVOTDATA("Sum of Qty",[1]PF!$A$5,"ID Store",$C35),0)</f>
        <v>1</v>
      </c>
      <c r="M35" s="133">
        <f>IFERROR(GETPIVOTDATA("Sum of Qty",'[1]DEVICE &amp; VALUE'!$A$6,"ID Store",$C35,"Segment Price","3mio&gt;"),0)</f>
        <v>4</v>
      </c>
      <c r="N35" s="134">
        <f t="shared" si="23"/>
        <v>0.36363636363636365</v>
      </c>
      <c r="O35" s="135">
        <f>IFERROR(GETPIVOTDATA("Sum of Qty",[1]IQOO!$A$6,"ID Store",$C35),0)</f>
        <v>0</v>
      </c>
      <c r="P35" s="134">
        <f t="shared" si="24"/>
        <v>0</v>
      </c>
      <c r="Q35" s="136">
        <f t="shared" si="25"/>
        <v>0.36363636363636365</v>
      </c>
      <c r="R35" s="135">
        <f>IFERROR(GETPIVOTDATA("Sum of Qty",'[1]DEVICE &amp; VALUE'!$A$6,"ID Store",$C35),0)</f>
        <v>11</v>
      </c>
      <c r="S35" s="135">
        <f t="shared" si="26"/>
        <v>0.36666666666666664</v>
      </c>
      <c r="T35" s="135">
        <f t="shared" si="27"/>
        <v>-19</v>
      </c>
      <c r="U35" s="165">
        <f t="shared" si="28"/>
        <v>41881071.428571433</v>
      </c>
      <c r="V35" s="163">
        <f t="shared" si="29"/>
        <v>0.26175669642857147</v>
      </c>
      <c r="W35" s="166">
        <f t="shared" si="30"/>
        <v>-118118928.57142857</v>
      </c>
      <c r="X35" s="167">
        <f t="shared" si="0"/>
        <v>4.2857142857142856</v>
      </c>
      <c r="Y35" s="168">
        <f t="shared" si="1"/>
        <v>-25.714285714285715</v>
      </c>
      <c r="Z35" s="168">
        <f t="shared" si="31"/>
        <v>11.785714285714285</v>
      </c>
      <c r="AA35" s="168">
        <f t="shared" si="32"/>
        <v>-18.214285714285715</v>
      </c>
      <c r="AB35" s="168">
        <f t="shared" si="33"/>
        <v>0.39285714285714285</v>
      </c>
      <c r="AC35" s="238">
        <f t="shared" si="34"/>
        <v>9.5</v>
      </c>
      <c r="AD35" s="141">
        <f t="shared" si="35"/>
        <v>60455500</v>
      </c>
      <c r="AE35" s="169">
        <f>IFERROR(GETPIVOTDATA("Sum of Qty",'[1]DATA LAST MONTH IQOO'!$A$6,"ID Store",$C35),0)</f>
        <v>0</v>
      </c>
      <c r="AF35" s="170">
        <f>IFERROR(GETPIVOTDATA("Sum of Qty",[1]IQOO!$A$6,"ID Store",$C35),0)</f>
        <v>0</v>
      </c>
      <c r="AG35" s="171">
        <f t="shared" si="2"/>
        <v>0</v>
      </c>
      <c r="AH35" s="172">
        <f t="shared" si="3"/>
        <v>0</v>
      </c>
      <c r="AI35" s="173">
        <f>IFERROR(GETPIVOTDATA("Sum of Qty",'[1]DATA LAST MONTH DEVICE'!$A$6,"ID Store",$C35),0)</f>
        <v>28</v>
      </c>
      <c r="AJ35" s="146">
        <f t="shared" si="36"/>
        <v>11</v>
      </c>
      <c r="AK35" s="174">
        <f t="shared" si="4"/>
        <v>-17</v>
      </c>
      <c r="AL35" s="175">
        <f t="shared" si="5"/>
        <v>-0.6071428571428571</v>
      </c>
      <c r="AM35" s="176">
        <f>IFERROR(GETPIVOTDATA("Sum of Qty",'[1]Store 3mio+ last month'!$A$6,"ID Store",$C35),0)</f>
        <v>32</v>
      </c>
      <c r="AN35" s="144">
        <f t="shared" si="6"/>
        <v>11.785714285714285</v>
      </c>
      <c r="AO35" s="171">
        <f t="shared" si="7"/>
        <v>-20.214285714285715</v>
      </c>
      <c r="AP35" s="177">
        <f t="shared" si="8"/>
        <v>-0.6316964285714286</v>
      </c>
      <c r="AQ35" s="176">
        <f>IFERROR(GETPIVOTDATA("Sum of Qty",'[1]DATA LAST MONTH DEVICE'!$A$6,"ID Store",$C35,"Segment Price","3mio&gt;"),0)</f>
        <v>16</v>
      </c>
      <c r="AR35" s="178">
        <f t="shared" si="9"/>
        <v>4</v>
      </c>
      <c r="AS35" s="178">
        <f t="shared" si="10"/>
        <v>-12</v>
      </c>
      <c r="AT35" s="172">
        <f t="shared" si="11"/>
        <v>-0.75</v>
      </c>
      <c r="AU35" s="179">
        <f>IFERROR(GETPIVOTDATA("Sum of SRP",'[1]DATA LAST MONTH DEVICE'!$A$6,"ID Store",$C35),0)</f>
        <v>124272000</v>
      </c>
      <c r="AV35" s="179">
        <f t="shared" si="37"/>
        <v>39089000</v>
      </c>
      <c r="AW35" s="180">
        <f t="shared" si="12"/>
        <v>-85183000</v>
      </c>
      <c r="AX35" s="181">
        <f t="shared" si="13"/>
        <v>-0.68545609630487958</v>
      </c>
      <c r="AY35" s="182">
        <f>IFERROR(VLOOKUP(C35,'[1]DATA SALES LAST MONTH'!A:E,5,0),0)</f>
        <v>4438285.7142857146</v>
      </c>
      <c r="AZ35" s="152">
        <f t="shared" si="38"/>
        <v>3553545.4545454551</v>
      </c>
      <c r="BA35" s="183">
        <f t="shared" si="14"/>
        <v>-884740.2597402595</v>
      </c>
      <c r="BB35" s="172">
        <f t="shared" si="15"/>
        <v>-0.19934279059423896</v>
      </c>
      <c r="BC35" s="153">
        <f>_xlfn.XLOOKUP(D:D,'[1]Target store'!C:C,'[1]Target store'!J:J,0)</f>
        <v>3</v>
      </c>
      <c r="BD35" s="184">
        <f>IFERROR(GETPIVOTDATA("Sum of Qty",[1]ACC!$A$5,"ID Store",$C35),0)</f>
        <v>4</v>
      </c>
      <c r="BE35" s="177">
        <f t="shared" si="16"/>
        <v>1.3333333333333333</v>
      </c>
      <c r="BF35" s="154">
        <f>_xlfn.XLOOKUP(D:D,'[1]Target store'!C:C,'[1]Target store'!K:K,0)</f>
        <v>720000</v>
      </c>
      <c r="BG35" s="185">
        <f>IFERROR(GETPIVOTDATA("Sum of SRP",'[1]Insurance by Store'!$A$5,"ID Store",$C35,"Product Type","Qoala"),0)</f>
        <v>0</v>
      </c>
      <c r="BH35" s="177">
        <f t="shared" si="17"/>
        <v>0</v>
      </c>
      <c r="BI35" s="154">
        <f>_xlfn.XLOOKUP(D:D,'[1]Target store'!C:C,'[1]Target store'!L:L,0)</f>
        <v>160000</v>
      </c>
      <c r="BJ35" s="185">
        <f>IFERROR(GETPIVOTDATA("Sum of SRP",'[1]Insurance by Store'!$A$5,"ID Store",$C35,"Product Type","Vivo Care"),0)</f>
        <v>0</v>
      </c>
      <c r="BK35" s="177">
        <f t="shared" si="18"/>
        <v>0</v>
      </c>
      <c r="BL35" s="144">
        <f>_xlfn.XLOOKUP(D:D,'[1]Target store'!C:C,'[1]Target store'!M:M,0)</f>
        <v>320000</v>
      </c>
      <c r="BM35" s="176">
        <f>IFERROR(GETPIVOTDATA("Sum of Qty",'[1]Operator by Store'!$A$5,"ID Store",$C35,"Product Type","Indosat"),0)</f>
        <v>0</v>
      </c>
      <c r="BN35" s="177">
        <f t="shared" si="19"/>
        <v>0</v>
      </c>
      <c r="BO35" s="144">
        <f>_xlfn.XLOOKUP(D:D,'[1]Target store'!C:C,'[1]Target store'!N:N,0)</f>
        <v>480000</v>
      </c>
      <c r="BP35" s="176">
        <f>IFERROR(GETPIVOTDATA("Sum of Qty",'[1]Operator by Store'!$A$5,"ID Store",$C35,"Product Type","Telkomsel"),0)</f>
        <v>0</v>
      </c>
      <c r="BQ35" s="186">
        <f t="shared" si="20"/>
        <v>0</v>
      </c>
    </row>
    <row r="36" spans="1:69" ht="17" thickBot="1" x14ac:dyDescent="0.25">
      <c r="A36" s="156">
        <v>32</v>
      </c>
      <c r="B36" s="157" t="s">
        <v>52</v>
      </c>
      <c r="C36" s="158">
        <v>6240706</v>
      </c>
      <c r="D36" s="187" t="str">
        <f>IFERROR(INDEX('[1]Target store'!$C$5:$C$47,MATCH($C36&amp;"-*",'[1]Target store'!$C$5:$C$47,0)),"NOT FOUND")</f>
        <v>6240706-KARAWACI 1FC3A</v>
      </c>
      <c r="E36" s="187" t="s">
        <v>56</v>
      </c>
      <c r="F36" s="160">
        <v>2</v>
      </c>
      <c r="G36" s="127">
        <f>_xlfn.XLOOKUP(D:D,'[1]Target store'!C:C,'[1]Target store'!F:F,0)</f>
        <v>30</v>
      </c>
      <c r="H36" s="161">
        <f>_xlfn.XLOOKUP(D:D,'[1]Target store'!C:C,'[1]Target store'!G:G,0)</f>
        <v>120000000</v>
      </c>
      <c r="I36" s="162">
        <f>IFERROR(GETPIVOTDATA("Sum of SRP",'[1]DEVICE &amp; VALUE'!$A$6,"ID Store",$C36),0)</f>
        <v>141573000</v>
      </c>
      <c r="J36" s="163">
        <f t="shared" si="21"/>
        <v>1.179775</v>
      </c>
      <c r="K36" s="164">
        <f t="shared" si="22"/>
        <v>21573000</v>
      </c>
      <c r="L36" s="132">
        <f>IFERROR(GETPIVOTDATA("Sum of Qty",[1]PF!$A$5,"ID Store",$C36),0)</f>
        <v>3</v>
      </c>
      <c r="M36" s="133">
        <f>IFERROR(GETPIVOTDATA("Sum of Qty",'[1]DEVICE &amp; VALUE'!$A$6,"ID Store",$C36,"Segment Price","3mio&gt;"),0)</f>
        <v>20</v>
      </c>
      <c r="N36" s="134">
        <f t="shared" si="23"/>
        <v>0.7407407407407407</v>
      </c>
      <c r="O36" s="135">
        <f>IFERROR(GETPIVOTDATA("Sum of Qty",[1]IQOO!$A$6,"ID Store",$C36),0)</f>
        <v>2</v>
      </c>
      <c r="P36" s="134">
        <f t="shared" si="24"/>
        <v>7.407407407407407E-2</v>
      </c>
      <c r="Q36" s="136">
        <f t="shared" si="25"/>
        <v>0.7407407407407407</v>
      </c>
      <c r="R36" s="135">
        <f>IFERROR(GETPIVOTDATA("Sum of Qty",'[1]DEVICE &amp; VALUE'!$A$6,"ID Store",$C36),0)</f>
        <v>27</v>
      </c>
      <c r="S36" s="135">
        <f t="shared" si="26"/>
        <v>0.9</v>
      </c>
      <c r="T36" s="135">
        <f t="shared" si="27"/>
        <v>-3</v>
      </c>
      <c r="U36" s="165">
        <f t="shared" si="28"/>
        <v>151685357.14285716</v>
      </c>
      <c r="V36" s="163">
        <f t="shared" si="29"/>
        <v>1.264044642857143</v>
      </c>
      <c r="W36" s="166">
        <f t="shared" si="30"/>
        <v>31685357.142857164</v>
      </c>
      <c r="X36" s="167">
        <f t="shared" si="0"/>
        <v>21.428571428571431</v>
      </c>
      <c r="Y36" s="168">
        <f t="shared" si="1"/>
        <v>-8.5714285714285694</v>
      </c>
      <c r="Z36" s="168">
        <f t="shared" si="31"/>
        <v>28.928571428571431</v>
      </c>
      <c r="AA36" s="168">
        <f t="shared" si="32"/>
        <v>-1.0714285714285694</v>
      </c>
      <c r="AB36" s="168">
        <f t="shared" si="33"/>
        <v>0.9642857142857143</v>
      </c>
      <c r="AC36" s="238">
        <f t="shared" si="34"/>
        <v>1.5</v>
      </c>
      <c r="AD36" s="141">
        <f t="shared" si="35"/>
        <v>-10786500</v>
      </c>
      <c r="AE36" s="169">
        <f>IFERROR(GETPIVOTDATA("Sum of Qty",'[1]DATA LAST MONTH IQOO'!$A$6,"ID Store",$C36),0)</f>
        <v>1</v>
      </c>
      <c r="AF36" s="170">
        <f>IFERROR(GETPIVOTDATA("Sum of Qty",[1]IQOO!$A$6,"ID Store",$C36),0)</f>
        <v>2</v>
      </c>
      <c r="AG36" s="171">
        <f t="shared" si="2"/>
        <v>1</v>
      </c>
      <c r="AH36" s="172">
        <f t="shared" si="3"/>
        <v>1</v>
      </c>
      <c r="AI36" s="173">
        <f>IFERROR(GETPIVOTDATA("Sum of Qty",'[1]DATA LAST MONTH DEVICE'!$A$6,"ID Store",$C36),0)</f>
        <v>20</v>
      </c>
      <c r="AJ36" s="146">
        <f t="shared" si="36"/>
        <v>27</v>
      </c>
      <c r="AK36" s="174">
        <f t="shared" si="4"/>
        <v>7</v>
      </c>
      <c r="AL36" s="175">
        <f t="shared" si="5"/>
        <v>0.35</v>
      </c>
      <c r="AM36" s="176">
        <f>IFERROR(GETPIVOTDATA("Sum of Qty",'[1]Store 3mio+ last month'!$A$6,"ID Store",$C36),0)</f>
        <v>22</v>
      </c>
      <c r="AN36" s="144">
        <f t="shared" si="6"/>
        <v>28.928571428571431</v>
      </c>
      <c r="AO36" s="171">
        <f t="shared" si="7"/>
        <v>6.9285714285714306</v>
      </c>
      <c r="AP36" s="177">
        <f t="shared" si="8"/>
        <v>0.31493506493506501</v>
      </c>
      <c r="AQ36" s="176">
        <f>IFERROR(GETPIVOTDATA("Sum of Qty",'[1]DATA LAST MONTH DEVICE'!$A$6,"ID Store",$C36,"Segment Price","3mio&gt;"),0)</f>
        <v>9</v>
      </c>
      <c r="AR36" s="178">
        <f t="shared" si="9"/>
        <v>20</v>
      </c>
      <c r="AS36" s="178">
        <f t="shared" si="10"/>
        <v>11</v>
      </c>
      <c r="AT36" s="172">
        <f t="shared" si="11"/>
        <v>1.2222222222222223</v>
      </c>
      <c r="AU36" s="179">
        <f>IFERROR(GETPIVOTDATA("Sum of SRP",'[1]DATA LAST MONTH DEVICE'!$A$6,"ID Store",$C36),0)</f>
        <v>82280000</v>
      </c>
      <c r="AV36" s="179">
        <f t="shared" si="37"/>
        <v>141573000</v>
      </c>
      <c r="AW36" s="180">
        <f t="shared" si="12"/>
        <v>59293000</v>
      </c>
      <c r="AX36" s="181">
        <f t="shared" si="13"/>
        <v>0.72062469615945557</v>
      </c>
      <c r="AY36" s="182">
        <f>IFERROR(VLOOKUP(C36,'[1]DATA SALES LAST MONTH'!A:E,5,0),0)</f>
        <v>4114000</v>
      </c>
      <c r="AZ36" s="152">
        <f t="shared" si="38"/>
        <v>5243444.444444445</v>
      </c>
      <c r="BA36" s="183">
        <f t="shared" si="14"/>
        <v>1129444.444444445</v>
      </c>
      <c r="BB36" s="172">
        <f t="shared" si="15"/>
        <v>0.27453681196996715</v>
      </c>
      <c r="BC36" s="153">
        <f>_xlfn.XLOOKUP(D:D,'[1]Target store'!C:C,'[1]Target store'!J:J,0)</f>
        <v>3</v>
      </c>
      <c r="BD36" s="184">
        <f>IFERROR(GETPIVOTDATA("Sum of Qty",[1]ACC!$A$5,"ID Store",$C36),0)</f>
        <v>8</v>
      </c>
      <c r="BE36" s="177">
        <f t="shared" si="16"/>
        <v>2.6666666666666665</v>
      </c>
      <c r="BF36" s="154">
        <f>_xlfn.XLOOKUP(D:D,'[1]Target store'!C:C,'[1]Target store'!K:K,0)</f>
        <v>540000</v>
      </c>
      <c r="BG36" s="185">
        <f>IFERROR(GETPIVOTDATA("Sum of SRP",'[1]Insurance by Store'!$A$5,"ID Store",$C36,"Product Type","Qoala"),0)</f>
        <v>159000</v>
      </c>
      <c r="BH36" s="177">
        <f t="shared" si="17"/>
        <v>0.29444444444444445</v>
      </c>
      <c r="BI36" s="154">
        <f>_xlfn.XLOOKUP(D:D,'[1]Target store'!C:C,'[1]Target store'!L:L,0)</f>
        <v>120000</v>
      </c>
      <c r="BJ36" s="185">
        <f>IFERROR(GETPIVOTDATA("Sum of SRP",'[1]Insurance by Store'!$A$5,"ID Store",$C36,"Product Type","Vivo Care"),0)</f>
        <v>0</v>
      </c>
      <c r="BK36" s="177">
        <f t="shared" si="18"/>
        <v>0</v>
      </c>
      <c r="BL36" s="144">
        <f>_xlfn.XLOOKUP(D:D,'[1]Target store'!C:C,'[1]Target store'!M:M,0)</f>
        <v>240000</v>
      </c>
      <c r="BM36" s="176">
        <f>IFERROR(GETPIVOTDATA("Sum of Qty",'[1]Operator by Store'!$A$5,"ID Store",$C36,"Product Type","Indosat"),0)</f>
        <v>0</v>
      </c>
      <c r="BN36" s="177">
        <f t="shared" si="19"/>
        <v>0</v>
      </c>
      <c r="BO36" s="144">
        <f>_xlfn.XLOOKUP(D:D,'[1]Target store'!C:C,'[1]Target store'!N:N,0)</f>
        <v>360000</v>
      </c>
      <c r="BP36" s="176">
        <f>IFERROR(GETPIVOTDATA("Sum of Qty",'[1]Operator by Store'!$A$5,"ID Store",$C36,"Product Type","Telkomsel"),0)</f>
        <v>0</v>
      </c>
      <c r="BQ36" s="186">
        <f t="shared" si="20"/>
        <v>0</v>
      </c>
    </row>
    <row r="37" spans="1:69" ht="17" thickBot="1" x14ac:dyDescent="0.25">
      <c r="A37" s="156">
        <v>33</v>
      </c>
      <c r="B37" s="157" t="s">
        <v>57</v>
      </c>
      <c r="C37" s="158">
        <v>6190701</v>
      </c>
      <c r="D37" s="187" t="str">
        <f>IFERROR(INDEX('[1]Target store'!$C$5:$C$47,MATCH($C37&amp;"-*",'[1]Target store'!$C$5:$C$47,0)),"NOT FOUND")</f>
        <v>6190701-BEC VIVO STORE UG</v>
      </c>
      <c r="E37" s="187" t="s">
        <v>58</v>
      </c>
      <c r="F37" s="160">
        <v>2</v>
      </c>
      <c r="G37" s="127">
        <f>_xlfn.XLOOKUP(D:D,'[1]Target store'!C:C,'[1]Target store'!F:F,0)</f>
        <v>50</v>
      </c>
      <c r="H37" s="161">
        <f>_xlfn.XLOOKUP(D:D,'[1]Target store'!C:C,'[1]Target store'!G:G,0)</f>
        <v>170000000</v>
      </c>
      <c r="I37" s="162">
        <f>IFERROR(GETPIVOTDATA("Sum of SRP",'[1]DEVICE &amp; VALUE'!$A$6,"ID Store",$C37),0)</f>
        <v>143962000</v>
      </c>
      <c r="J37" s="163">
        <f t="shared" si="21"/>
        <v>0.84683529411764702</v>
      </c>
      <c r="K37" s="164">
        <f t="shared" si="22"/>
        <v>-26038000</v>
      </c>
      <c r="L37" s="132">
        <f>IFERROR(GETPIVOTDATA("Sum of Qty",[1]PF!$A$5,"ID Store",$C37),0)</f>
        <v>3</v>
      </c>
      <c r="M37" s="133">
        <f>IFERROR(GETPIVOTDATA("Sum of Qty",'[1]DEVICE &amp; VALUE'!$A$6,"ID Store",$C37,"Segment Price","3mio&gt;"),0)</f>
        <v>14</v>
      </c>
      <c r="N37" s="134">
        <f t="shared" si="23"/>
        <v>0.36842105263157893</v>
      </c>
      <c r="O37" s="135">
        <f>IFERROR(GETPIVOTDATA("Sum of Qty",[1]IQOO!$A$6,"ID Store",$C37),0)</f>
        <v>0</v>
      </c>
      <c r="P37" s="134">
        <f t="shared" si="24"/>
        <v>0</v>
      </c>
      <c r="Q37" s="136">
        <f t="shared" si="25"/>
        <v>0.36842105263157893</v>
      </c>
      <c r="R37" s="135">
        <f>IFERROR(GETPIVOTDATA("Sum of Qty",'[1]DEVICE &amp; VALUE'!$A$6,"ID Store",$C37),0)</f>
        <v>38</v>
      </c>
      <c r="S37" s="135">
        <f t="shared" si="26"/>
        <v>0.76</v>
      </c>
      <c r="T37" s="135">
        <f t="shared" si="27"/>
        <v>-12</v>
      </c>
      <c r="U37" s="165">
        <f t="shared" si="28"/>
        <v>154245000</v>
      </c>
      <c r="V37" s="163">
        <f t="shared" si="29"/>
        <v>0.90732352941176475</v>
      </c>
      <c r="W37" s="166">
        <f t="shared" si="30"/>
        <v>-15755000</v>
      </c>
      <c r="X37" s="167">
        <f t="shared" si="0"/>
        <v>15</v>
      </c>
      <c r="Y37" s="168">
        <f t="shared" si="1"/>
        <v>-35</v>
      </c>
      <c r="Z37" s="168">
        <f t="shared" si="31"/>
        <v>40.714285714285715</v>
      </c>
      <c r="AA37" s="168">
        <f t="shared" si="32"/>
        <v>-9.2857142857142847</v>
      </c>
      <c r="AB37" s="168">
        <f t="shared" si="33"/>
        <v>0.81428571428571428</v>
      </c>
      <c r="AC37" s="238">
        <f t="shared" si="34"/>
        <v>6</v>
      </c>
      <c r="AD37" s="141">
        <f t="shared" si="35"/>
        <v>13019000</v>
      </c>
      <c r="AE37" s="169">
        <f>IFERROR(GETPIVOTDATA("Sum of Qty",'[1]DATA LAST MONTH IQOO'!$A$6,"ID Store",$C37),0)</f>
        <v>2</v>
      </c>
      <c r="AF37" s="170">
        <f>IFERROR(GETPIVOTDATA("Sum of Qty",[1]IQOO!$A$6,"ID Store",$C37),0)</f>
        <v>0</v>
      </c>
      <c r="AG37" s="171">
        <f t="shared" si="2"/>
        <v>-2</v>
      </c>
      <c r="AH37" s="172">
        <f t="shared" si="3"/>
        <v>-1</v>
      </c>
      <c r="AI37" s="173">
        <f>IFERROR(GETPIVOTDATA("Sum of Qty",'[1]DATA LAST MONTH DEVICE'!$A$6,"ID Store",$C37),0)</f>
        <v>39</v>
      </c>
      <c r="AJ37" s="146">
        <f t="shared" si="36"/>
        <v>38</v>
      </c>
      <c r="AK37" s="174">
        <f t="shared" si="4"/>
        <v>-1</v>
      </c>
      <c r="AL37" s="175">
        <f t="shared" si="5"/>
        <v>-2.564102564102564E-2</v>
      </c>
      <c r="AM37" s="176">
        <f>IFERROR(GETPIVOTDATA("Sum of Qty",'[1]Store 3mio+ last month'!$A$6,"ID Store",$C37),0)</f>
        <v>48</v>
      </c>
      <c r="AN37" s="144">
        <f t="shared" si="6"/>
        <v>40.714285714285715</v>
      </c>
      <c r="AO37" s="171">
        <f t="shared" si="7"/>
        <v>-7.2857142857142847</v>
      </c>
      <c r="AP37" s="177">
        <f t="shared" si="8"/>
        <v>-0.15178571428571427</v>
      </c>
      <c r="AQ37" s="176">
        <f>IFERROR(GETPIVOTDATA("Sum of Qty",'[1]DATA LAST MONTH DEVICE'!$A$6,"ID Store",$C37,"Segment Price","3mio&gt;"),0)</f>
        <v>12</v>
      </c>
      <c r="AR37" s="178">
        <f t="shared" si="9"/>
        <v>14</v>
      </c>
      <c r="AS37" s="178">
        <f t="shared" si="10"/>
        <v>2</v>
      </c>
      <c r="AT37" s="172">
        <f t="shared" si="11"/>
        <v>0.16666666666666666</v>
      </c>
      <c r="AU37" s="179">
        <f>IFERROR(GETPIVOTDATA("Sum of SRP",'[1]DATA LAST MONTH DEVICE'!$A$6,"ID Store",$C37),0)</f>
        <v>122261000</v>
      </c>
      <c r="AV37" s="179">
        <f t="shared" si="37"/>
        <v>143962000</v>
      </c>
      <c r="AW37" s="180">
        <f t="shared" si="12"/>
        <v>21701000</v>
      </c>
      <c r="AX37" s="181">
        <f t="shared" si="13"/>
        <v>0.1774973213044225</v>
      </c>
      <c r="AY37" s="182">
        <f>IFERROR(VLOOKUP(C37,'[1]DATA SALES LAST MONTH'!A:E,5,0),0)</f>
        <v>3134897.435897436</v>
      </c>
      <c r="AZ37" s="152">
        <f t="shared" si="38"/>
        <v>3788473.6842105263</v>
      </c>
      <c r="BA37" s="183">
        <f t="shared" si="14"/>
        <v>653576.2483130903</v>
      </c>
      <c r="BB37" s="172">
        <f t="shared" si="15"/>
        <v>0.20848409291769673</v>
      </c>
      <c r="BC37" s="153">
        <f>_xlfn.XLOOKUP(D:D,'[1]Target store'!C:C,'[1]Target store'!J:J,0)</f>
        <v>5</v>
      </c>
      <c r="BD37" s="184">
        <f>IFERROR(GETPIVOTDATA("Sum of Qty",[1]ACC!$A$5,"ID Store",$C37),0)</f>
        <v>6</v>
      </c>
      <c r="BE37" s="177">
        <f t="shared" si="16"/>
        <v>1.2</v>
      </c>
      <c r="BF37" s="154">
        <f>_xlfn.XLOOKUP(D:D,'[1]Target store'!C:C,'[1]Target store'!K:K,0)</f>
        <v>765000</v>
      </c>
      <c r="BG37" s="185">
        <f>IFERROR(GETPIVOTDATA("Sum of SRP",'[1]Insurance by Store'!$A$5,"ID Store",$C37,"Product Type","Qoala"),0)</f>
        <v>488000</v>
      </c>
      <c r="BH37" s="177">
        <f t="shared" si="17"/>
        <v>0.6379084967320261</v>
      </c>
      <c r="BI37" s="154">
        <f>_xlfn.XLOOKUP(D:D,'[1]Target store'!C:C,'[1]Target store'!L:L,0)</f>
        <v>170000</v>
      </c>
      <c r="BJ37" s="185">
        <f>IFERROR(GETPIVOTDATA("Sum of SRP",'[1]Insurance by Store'!$A$5,"ID Store",$C37,"Product Type","Vivo Care"),0)</f>
        <v>0</v>
      </c>
      <c r="BK37" s="177">
        <f t="shared" si="18"/>
        <v>0</v>
      </c>
      <c r="BL37" s="144">
        <f>_xlfn.XLOOKUP(D:D,'[1]Target store'!C:C,'[1]Target store'!M:M,0)</f>
        <v>340000</v>
      </c>
      <c r="BM37" s="176">
        <f>IFERROR(GETPIVOTDATA("Sum of Qty",'[1]Operator by Store'!$A$5,"ID Store",$C37,"Product Type","Indosat"),0)</f>
        <v>2</v>
      </c>
      <c r="BN37" s="177">
        <f t="shared" si="19"/>
        <v>5.8823529411764709E-6</v>
      </c>
      <c r="BO37" s="144">
        <f>_xlfn.XLOOKUP(D:D,'[1]Target store'!C:C,'[1]Target store'!N:N,0)</f>
        <v>510000</v>
      </c>
      <c r="BP37" s="176">
        <f>IFERROR(GETPIVOTDATA("Sum of Qty",'[1]Operator by Store'!$A$5,"ID Store",$C37,"Product Type","Telkomsel"),0)</f>
        <v>0</v>
      </c>
      <c r="BQ37" s="186">
        <f t="shared" si="20"/>
        <v>0</v>
      </c>
    </row>
    <row r="38" spans="1:69" ht="17" thickBot="1" x14ac:dyDescent="0.25">
      <c r="A38" s="156">
        <v>34</v>
      </c>
      <c r="B38" s="157" t="s">
        <v>57</v>
      </c>
      <c r="C38" s="158">
        <v>6190706</v>
      </c>
      <c r="D38" s="187" t="str">
        <f>IFERROR(INDEX('[1]Target store'!$C$5:$C$47,MATCH($C38&amp;"-*",'[1]Target store'!$C$5:$C$47,0)),"NOT FOUND")</f>
        <v>6190706-BEC VIVO STORE 4</v>
      </c>
      <c r="E38" s="187" t="s">
        <v>58</v>
      </c>
      <c r="F38" s="160">
        <v>4</v>
      </c>
      <c r="G38" s="127">
        <f>_xlfn.XLOOKUP(D:D,'[1]Target store'!C:C,'[1]Target store'!F:F,0)</f>
        <v>120</v>
      </c>
      <c r="H38" s="161">
        <f>_xlfn.XLOOKUP(D:D,'[1]Target store'!C:C,'[1]Target store'!G:G,0)</f>
        <v>620000000</v>
      </c>
      <c r="I38" s="162">
        <f>IFERROR(GETPIVOTDATA("Sum of SRP",'[1]DEVICE &amp; VALUE'!$A$6,"ID Store",$C38),0)</f>
        <v>539174000</v>
      </c>
      <c r="J38" s="163">
        <f t="shared" si="21"/>
        <v>0.86963548387096778</v>
      </c>
      <c r="K38" s="164">
        <f t="shared" si="22"/>
        <v>-80826000</v>
      </c>
      <c r="L38" s="132">
        <f>IFERROR(GETPIVOTDATA("Sum of Qty",[1]PF!$A$5,"ID Store",$C38),0)</f>
        <v>17</v>
      </c>
      <c r="M38" s="133">
        <f>IFERROR(GETPIVOTDATA("Sum of Qty",'[1]DEVICE &amp; VALUE'!$A$6,"ID Store",$C38,"Segment Price","3mio&gt;"),0)</f>
        <v>72</v>
      </c>
      <c r="N38" s="134">
        <f t="shared" si="23"/>
        <v>0.5714285714285714</v>
      </c>
      <c r="O38" s="135">
        <f>IFERROR(GETPIVOTDATA("Sum of Qty",[1]IQOO!$A$6,"ID Store",$C38),0)</f>
        <v>3</v>
      </c>
      <c r="P38" s="134">
        <f t="shared" si="24"/>
        <v>2.3809523809523808E-2</v>
      </c>
      <c r="Q38" s="136">
        <f t="shared" si="25"/>
        <v>0.5714285714285714</v>
      </c>
      <c r="R38" s="135">
        <f>IFERROR(GETPIVOTDATA("Sum of Qty",'[1]DEVICE &amp; VALUE'!$A$6,"ID Store",$C38),0)</f>
        <v>126</v>
      </c>
      <c r="S38" s="135">
        <f t="shared" si="26"/>
        <v>1.05</v>
      </c>
      <c r="T38" s="135">
        <f t="shared" si="27"/>
        <v>6</v>
      </c>
      <c r="U38" s="165">
        <f t="shared" si="28"/>
        <v>577686428.57142866</v>
      </c>
      <c r="V38" s="163">
        <f t="shared" si="29"/>
        <v>0.93175230414746557</v>
      </c>
      <c r="W38" s="166">
        <f t="shared" si="30"/>
        <v>-42313571.428571343</v>
      </c>
      <c r="X38" s="167">
        <f t="shared" si="0"/>
        <v>77.142857142857153</v>
      </c>
      <c r="Y38" s="168">
        <f t="shared" si="1"/>
        <v>-42.857142857142847</v>
      </c>
      <c r="Z38" s="168">
        <f t="shared" si="31"/>
        <v>135</v>
      </c>
      <c r="AA38" s="168">
        <f t="shared" si="32"/>
        <v>15</v>
      </c>
      <c r="AB38" s="168">
        <f t="shared" si="33"/>
        <v>1.125</v>
      </c>
      <c r="AC38" s="238">
        <f t="shared" si="34"/>
        <v>-3</v>
      </c>
      <c r="AD38" s="141">
        <f t="shared" si="35"/>
        <v>40413000</v>
      </c>
      <c r="AE38" s="169">
        <f>IFERROR(GETPIVOTDATA("Sum of Qty",'[1]DATA LAST MONTH IQOO'!$A$6,"ID Store",$C38),0)</f>
        <v>7</v>
      </c>
      <c r="AF38" s="170">
        <f>IFERROR(GETPIVOTDATA("Sum of Qty",[1]IQOO!$A$6,"ID Store",$C38),0)</f>
        <v>3</v>
      </c>
      <c r="AG38" s="171">
        <f t="shared" si="2"/>
        <v>-4</v>
      </c>
      <c r="AH38" s="172">
        <f t="shared" si="3"/>
        <v>-0.5714285714285714</v>
      </c>
      <c r="AI38" s="173">
        <f>IFERROR(GETPIVOTDATA("Sum of Qty",'[1]DATA LAST MONTH DEVICE'!$A$6,"ID Store",$C38),0)</f>
        <v>120</v>
      </c>
      <c r="AJ38" s="146">
        <f t="shared" si="36"/>
        <v>126</v>
      </c>
      <c r="AK38" s="174">
        <f t="shared" si="4"/>
        <v>6</v>
      </c>
      <c r="AL38" s="175">
        <f t="shared" si="5"/>
        <v>0.05</v>
      </c>
      <c r="AM38" s="176">
        <f>IFERROR(GETPIVOTDATA("Sum of Qty",'[1]Store 3mio+ last month'!$A$6,"ID Store",$C38),0)</f>
        <v>136</v>
      </c>
      <c r="AN38" s="144">
        <f t="shared" si="6"/>
        <v>135</v>
      </c>
      <c r="AO38" s="171">
        <f t="shared" si="7"/>
        <v>-1</v>
      </c>
      <c r="AP38" s="177">
        <f t="shared" si="8"/>
        <v>-7.3529411764705881E-3</v>
      </c>
      <c r="AQ38" s="176">
        <f>IFERROR(GETPIVOTDATA("Sum of Qty",'[1]DATA LAST MONTH DEVICE'!$A$6,"ID Store",$C38,"Segment Price","3mio&gt;"),0)</f>
        <v>52</v>
      </c>
      <c r="AR38" s="178">
        <f t="shared" si="9"/>
        <v>72</v>
      </c>
      <c r="AS38" s="178">
        <f t="shared" si="10"/>
        <v>20</v>
      </c>
      <c r="AT38" s="172">
        <f t="shared" si="11"/>
        <v>0.38461538461538464</v>
      </c>
      <c r="AU38" s="179">
        <f>IFERROR(GETPIVOTDATA("Sum of SRP",'[1]DATA LAST MONTH DEVICE'!$A$6,"ID Store",$C38),0)</f>
        <v>530680000</v>
      </c>
      <c r="AV38" s="179">
        <f t="shared" si="37"/>
        <v>539174000</v>
      </c>
      <c r="AW38" s="180">
        <f t="shared" si="12"/>
        <v>8494000</v>
      </c>
      <c r="AX38" s="181">
        <f t="shared" si="13"/>
        <v>1.6005879249265095E-2</v>
      </c>
      <c r="AY38" s="182">
        <f>IFERROR(VLOOKUP(C38,'[1]DATA SALES LAST MONTH'!A:E,5,0),0)</f>
        <v>4422333.333333333</v>
      </c>
      <c r="AZ38" s="152">
        <f t="shared" si="38"/>
        <v>4279158.7301587304</v>
      </c>
      <c r="BA38" s="183">
        <f t="shared" si="14"/>
        <v>-143174.60317460261</v>
      </c>
      <c r="BB38" s="172">
        <f t="shared" si="15"/>
        <v>-3.2375353095937878E-2</v>
      </c>
      <c r="BC38" s="153">
        <f>_xlfn.XLOOKUP(D:D,'[1]Target store'!C:C,'[1]Target store'!J:J,0)</f>
        <v>12</v>
      </c>
      <c r="BD38" s="184">
        <f>IFERROR(GETPIVOTDATA("Sum of Qty",[1]ACC!$A$5,"ID Store",$C38),0)</f>
        <v>11</v>
      </c>
      <c r="BE38" s="177">
        <f t="shared" si="16"/>
        <v>0.91666666666666663</v>
      </c>
      <c r="BF38" s="154">
        <f>_xlfn.XLOOKUP(D:D,'[1]Target store'!C:C,'[1]Target store'!K:K,0)</f>
        <v>2790000</v>
      </c>
      <c r="BG38" s="185">
        <f>IFERROR(GETPIVOTDATA("Sum of SRP",'[1]Insurance by Store'!$A$5,"ID Store",$C38,"Product Type","Qoala"),0)</f>
        <v>477000</v>
      </c>
      <c r="BH38" s="177">
        <f t="shared" si="17"/>
        <v>0.17096774193548386</v>
      </c>
      <c r="BI38" s="154">
        <f>_xlfn.XLOOKUP(D:D,'[1]Target store'!C:C,'[1]Target store'!L:L,0)</f>
        <v>620000</v>
      </c>
      <c r="BJ38" s="185">
        <f>IFERROR(GETPIVOTDATA("Sum of SRP",'[1]Insurance by Store'!$A$5,"ID Store",$C38,"Product Type","Vivo Care"),0)</f>
        <v>0</v>
      </c>
      <c r="BK38" s="177">
        <f t="shared" si="18"/>
        <v>0</v>
      </c>
      <c r="BL38" s="144">
        <f>_xlfn.XLOOKUP(D:D,'[1]Target store'!C:C,'[1]Target store'!M:M,0)</f>
        <v>1240000</v>
      </c>
      <c r="BM38" s="176">
        <f>IFERROR(GETPIVOTDATA("Sum of Qty",'[1]Operator by Store'!$A$5,"ID Store",$C38,"Product Type","Indosat"),0)</f>
        <v>10</v>
      </c>
      <c r="BN38" s="177">
        <f t="shared" si="19"/>
        <v>8.0645161290322584E-6</v>
      </c>
      <c r="BO38" s="144">
        <f>_xlfn.XLOOKUP(D:D,'[1]Target store'!C:C,'[1]Target store'!N:N,0)</f>
        <v>1860000</v>
      </c>
      <c r="BP38" s="176">
        <f>IFERROR(GETPIVOTDATA("Sum of Qty",'[1]Operator by Store'!$A$5,"ID Store",$C38,"Product Type","Telkomsel"),0)</f>
        <v>0</v>
      </c>
      <c r="BQ38" s="186">
        <f t="shared" si="20"/>
        <v>0</v>
      </c>
    </row>
    <row r="39" spans="1:69" ht="17" thickBot="1" x14ac:dyDescent="0.25">
      <c r="A39" s="156">
        <v>35</v>
      </c>
      <c r="B39" s="157" t="s">
        <v>57</v>
      </c>
      <c r="C39" s="158">
        <v>6190705</v>
      </c>
      <c r="D39" s="187" t="str">
        <f>IFERROR(INDEX('[1]Target store'!$C$5:$C$47,MATCH($C39&amp;"-*",'[1]Target store'!$C$5:$C$47,0)),"NOT FOUND")</f>
        <v>6190705-BEC VIVO STORE LG F20</v>
      </c>
      <c r="E39" s="187" t="s">
        <v>59</v>
      </c>
      <c r="F39" s="160">
        <v>2</v>
      </c>
      <c r="G39" s="127">
        <f>_xlfn.XLOOKUP(D:D,'[1]Target store'!C:C,'[1]Target store'!F:F,0)</f>
        <v>50</v>
      </c>
      <c r="H39" s="161">
        <f>_xlfn.XLOOKUP(D:D,'[1]Target store'!C:C,'[1]Target store'!G:G,0)</f>
        <v>150000000</v>
      </c>
      <c r="I39" s="162">
        <f>IFERROR(GETPIVOTDATA("Sum of SRP",'[1]DEVICE &amp; VALUE'!$A$6,"ID Store",$C39),0)</f>
        <v>166460000</v>
      </c>
      <c r="J39" s="163">
        <f t="shared" si="21"/>
        <v>1.1097333333333332</v>
      </c>
      <c r="K39" s="164">
        <f t="shared" si="22"/>
        <v>16460000</v>
      </c>
      <c r="L39" s="132">
        <f>IFERROR(GETPIVOTDATA("Sum of Qty",[1]PF!$A$5,"ID Store",$C39),0)</f>
        <v>8</v>
      </c>
      <c r="M39" s="133">
        <f>IFERROR(GETPIVOTDATA("Sum of Qty",'[1]DEVICE &amp; VALUE'!$A$6,"ID Store",$C39,"Segment Price","3mio&gt;"),0)</f>
        <v>21</v>
      </c>
      <c r="N39" s="134">
        <f t="shared" si="23"/>
        <v>0.52500000000000002</v>
      </c>
      <c r="O39" s="135">
        <f>IFERROR(GETPIVOTDATA("Sum of Qty",[1]IQOO!$A$6,"ID Store",$C39),0)</f>
        <v>2</v>
      </c>
      <c r="P39" s="134">
        <f t="shared" si="24"/>
        <v>0.05</v>
      </c>
      <c r="Q39" s="136">
        <f t="shared" si="25"/>
        <v>0.52500000000000002</v>
      </c>
      <c r="R39" s="135">
        <f>IFERROR(GETPIVOTDATA("Sum of Qty",'[1]DEVICE &amp; VALUE'!$A$6,"ID Store",$C39),0)</f>
        <v>40</v>
      </c>
      <c r="S39" s="135">
        <f t="shared" si="26"/>
        <v>0.8</v>
      </c>
      <c r="T39" s="135">
        <f t="shared" si="27"/>
        <v>-10</v>
      </c>
      <c r="U39" s="165">
        <f t="shared" si="28"/>
        <v>178350000</v>
      </c>
      <c r="V39" s="163">
        <f t="shared" si="29"/>
        <v>1.1890000000000001</v>
      </c>
      <c r="W39" s="166">
        <f t="shared" si="30"/>
        <v>28350000</v>
      </c>
      <c r="X39" s="167">
        <f t="shared" si="0"/>
        <v>22.5</v>
      </c>
      <c r="Y39" s="168">
        <f t="shared" si="1"/>
        <v>-27.5</v>
      </c>
      <c r="Z39" s="168">
        <f t="shared" si="31"/>
        <v>42.857142857142861</v>
      </c>
      <c r="AA39" s="168">
        <f t="shared" si="32"/>
        <v>-7.1428571428571388</v>
      </c>
      <c r="AB39" s="168">
        <f t="shared" si="33"/>
        <v>0.85714285714285721</v>
      </c>
      <c r="AC39" s="238">
        <f t="shared" si="34"/>
        <v>5</v>
      </c>
      <c r="AD39" s="141">
        <f t="shared" si="35"/>
        <v>-8230000</v>
      </c>
      <c r="AE39" s="169">
        <f>IFERROR(GETPIVOTDATA("Sum of Qty",'[1]DATA LAST MONTH IQOO'!$A$6,"ID Store",$C39),0)</f>
        <v>1</v>
      </c>
      <c r="AF39" s="170">
        <f>IFERROR(GETPIVOTDATA("Sum of Qty",[1]IQOO!$A$6,"ID Store",$C39),0)</f>
        <v>2</v>
      </c>
      <c r="AG39" s="171">
        <f t="shared" si="2"/>
        <v>1</v>
      </c>
      <c r="AH39" s="172">
        <f t="shared" si="3"/>
        <v>1</v>
      </c>
      <c r="AI39" s="173">
        <f>IFERROR(GETPIVOTDATA("Sum of Qty",'[1]DATA LAST MONTH DEVICE'!$A$6,"ID Store",$C39),0)</f>
        <v>24</v>
      </c>
      <c r="AJ39" s="146">
        <f t="shared" si="36"/>
        <v>40</v>
      </c>
      <c r="AK39" s="174">
        <f t="shared" si="4"/>
        <v>16</v>
      </c>
      <c r="AL39" s="175">
        <f t="shared" si="5"/>
        <v>0.66666666666666663</v>
      </c>
      <c r="AM39" s="176">
        <f>IFERROR(GETPIVOTDATA("Sum of Qty",'[1]Store 3mio+ last month'!$A$6,"ID Store",$C39),0)</f>
        <v>24</v>
      </c>
      <c r="AN39" s="144">
        <f t="shared" si="6"/>
        <v>42.857142857142861</v>
      </c>
      <c r="AO39" s="171">
        <f t="shared" si="7"/>
        <v>18.857142857142861</v>
      </c>
      <c r="AP39" s="177">
        <f t="shared" si="8"/>
        <v>0.78571428571428592</v>
      </c>
      <c r="AQ39" s="176">
        <f>IFERROR(GETPIVOTDATA("Sum of Qty",'[1]DATA LAST MONTH DEVICE'!$A$6,"ID Store",$C39,"Segment Price","3mio&gt;"),0)</f>
        <v>10</v>
      </c>
      <c r="AR39" s="178">
        <f t="shared" si="9"/>
        <v>21</v>
      </c>
      <c r="AS39" s="178">
        <f t="shared" si="10"/>
        <v>11</v>
      </c>
      <c r="AT39" s="172">
        <f t="shared" si="11"/>
        <v>1.1000000000000001</v>
      </c>
      <c r="AU39" s="179">
        <f>IFERROR(GETPIVOTDATA("Sum of SRP",'[1]DATA LAST MONTH DEVICE'!$A$6,"ID Store",$C39),0)</f>
        <v>83376000</v>
      </c>
      <c r="AV39" s="179">
        <f t="shared" si="37"/>
        <v>166460000</v>
      </c>
      <c r="AW39" s="180">
        <f t="shared" si="12"/>
        <v>83084000</v>
      </c>
      <c r="AX39" s="181">
        <f t="shared" si="13"/>
        <v>0.99649779312991749</v>
      </c>
      <c r="AY39" s="182">
        <f>IFERROR(VLOOKUP(C39,'[1]DATA SALES LAST MONTH'!A:E,5,0),0)</f>
        <v>3474000</v>
      </c>
      <c r="AZ39" s="152">
        <f t="shared" si="38"/>
        <v>4161499.9999999995</v>
      </c>
      <c r="BA39" s="183">
        <f t="shared" si="14"/>
        <v>687499.99999999953</v>
      </c>
      <c r="BB39" s="172">
        <f t="shared" si="15"/>
        <v>0.19789867587795035</v>
      </c>
      <c r="BC39" s="153">
        <f>_xlfn.XLOOKUP(D:D,'[1]Target store'!C:C,'[1]Target store'!J:J,0)</f>
        <v>5</v>
      </c>
      <c r="BD39" s="184">
        <f>IFERROR(GETPIVOTDATA("Sum of Qty",[1]ACC!$A$5,"ID Store",$C39),0)</f>
        <v>7</v>
      </c>
      <c r="BE39" s="177">
        <f t="shared" si="16"/>
        <v>1.4</v>
      </c>
      <c r="BF39" s="154">
        <f>_xlfn.XLOOKUP(D:D,'[1]Target store'!C:C,'[1]Target store'!K:K,0)</f>
        <v>675000</v>
      </c>
      <c r="BG39" s="185">
        <f>IFERROR(GETPIVOTDATA("Sum of SRP",'[1]Insurance by Store'!$A$5,"ID Store",$C39,"Product Type","Qoala"),0)</f>
        <v>159000</v>
      </c>
      <c r="BH39" s="177">
        <f t="shared" si="17"/>
        <v>0.23555555555555555</v>
      </c>
      <c r="BI39" s="154">
        <f>_xlfn.XLOOKUP(D:D,'[1]Target store'!C:C,'[1]Target store'!L:L,0)</f>
        <v>150000</v>
      </c>
      <c r="BJ39" s="185">
        <f>IFERROR(GETPIVOTDATA("Sum of SRP",'[1]Insurance by Store'!$A$5,"ID Store",$C39,"Product Type","Vivo Care"),0)</f>
        <v>0</v>
      </c>
      <c r="BK39" s="177">
        <f t="shared" si="18"/>
        <v>0</v>
      </c>
      <c r="BL39" s="144">
        <f>_xlfn.XLOOKUP(D:D,'[1]Target store'!C:C,'[1]Target store'!M:M,0)</f>
        <v>300000</v>
      </c>
      <c r="BM39" s="176">
        <f>IFERROR(GETPIVOTDATA("Sum of Qty",'[1]Operator by Store'!$A$5,"ID Store",$C39,"Product Type","Indosat"),0)</f>
        <v>2</v>
      </c>
      <c r="BN39" s="177">
        <f t="shared" si="19"/>
        <v>6.6666666666666666E-6</v>
      </c>
      <c r="BO39" s="144">
        <f>_xlfn.XLOOKUP(D:D,'[1]Target store'!C:C,'[1]Target store'!N:N,0)</f>
        <v>450000</v>
      </c>
      <c r="BP39" s="176">
        <f>IFERROR(GETPIVOTDATA("Sum of Qty",'[1]Operator by Store'!$A$5,"ID Store",$C39,"Product Type","Telkomsel"),0)</f>
        <v>0</v>
      </c>
      <c r="BQ39" s="186">
        <f t="shared" si="20"/>
        <v>0</v>
      </c>
    </row>
    <row r="40" spans="1:69" ht="17" thickBot="1" x14ac:dyDescent="0.25">
      <c r="A40" s="156">
        <v>36</v>
      </c>
      <c r="B40" s="157" t="s">
        <v>57</v>
      </c>
      <c r="C40" s="158">
        <v>6190704</v>
      </c>
      <c r="D40" s="187" t="str">
        <f>IFERROR(INDEX('[1]Target store'!$C$5:$C$47,MATCH($C40&amp;"-*",'[1]Target store'!$C$5:$C$47,0)),"NOT FOUND")</f>
        <v>6190704-BEC VIVO STORE 1</v>
      </c>
      <c r="E40" s="187" t="s">
        <v>59</v>
      </c>
      <c r="F40" s="160">
        <v>4</v>
      </c>
      <c r="G40" s="127">
        <f>_xlfn.XLOOKUP(D:D,'[1]Target store'!C:C,'[1]Target store'!F:F,0)</f>
        <v>110</v>
      </c>
      <c r="H40" s="161">
        <f>_xlfn.XLOOKUP(D:D,'[1]Target store'!C:C,'[1]Target store'!G:G,0)</f>
        <v>500000000</v>
      </c>
      <c r="I40" s="162">
        <f>IFERROR(GETPIVOTDATA("Sum of SRP",'[1]DEVICE &amp; VALUE'!$A$6,"ID Store",$C40),0)</f>
        <v>392510000</v>
      </c>
      <c r="J40" s="163">
        <f t="shared" si="21"/>
        <v>0.78502000000000005</v>
      </c>
      <c r="K40" s="164">
        <f t="shared" si="22"/>
        <v>-107490000</v>
      </c>
      <c r="L40" s="132">
        <f>IFERROR(GETPIVOTDATA("Sum of Qty",[1]PF!$A$5,"ID Store",$C40),0)</f>
        <v>13</v>
      </c>
      <c r="M40" s="133">
        <f>IFERROR(GETPIVOTDATA("Sum of Qty",'[1]DEVICE &amp; VALUE'!$A$6,"ID Store",$C40,"Segment Price","3mio&gt;"),0)</f>
        <v>52</v>
      </c>
      <c r="N40" s="134">
        <f t="shared" si="23"/>
        <v>0.57777777777777772</v>
      </c>
      <c r="O40" s="135">
        <f>IFERROR(GETPIVOTDATA("Sum of Qty",[1]IQOO!$A$6,"ID Store",$C40),0)</f>
        <v>1</v>
      </c>
      <c r="P40" s="134">
        <f t="shared" si="24"/>
        <v>1.1111111111111112E-2</v>
      </c>
      <c r="Q40" s="136">
        <f t="shared" si="25"/>
        <v>0.57777777777777772</v>
      </c>
      <c r="R40" s="135">
        <f>IFERROR(GETPIVOTDATA("Sum of Qty",'[1]DEVICE &amp; VALUE'!$A$6,"ID Store",$C40),0)</f>
        <v>90</v>
      </c>
      <c r="S40" s="135">
        <f t="shared" si="26"/>
        <v>0.81818181818181823</v>
      </c>
      <c r="T40" s="135">
        <f t="shared" si="27"/>
        <v>-20</v>
      </c>
      <c r="U40" s="165">
        <f t="shared" si="28"/>
        <v>420546428.57142854</v>
      </c>
      <c r="V40" s="163">
        <f t="shared" si="29"/>
        <v>0.84109285714285709</v>
      </c>
      <c r="W40" s="166">
        <f t="shared" si="30"/>
        <v>-79453571.428571463</v>
      </c>
      <c r="X40" s="167">
        <f t="shared" si="0"/>
        <v>55.714285714285715</v>
      </c>
      <c r="Y40" s="168">
        <f t="shared" si="1"/>
        <v>-54.285714285714285</v>
      </c>
      <c r="Z40" s="168">
        <f t="shared" si="31"/>
        <v>96.428571428571431</v>
      </c>
      <c r="AA40" s="168">
        <f t="shared" si="32"/>
        <v>-13.571428571428569</v>
      </c>
      <c r="AB40" s="168">
        <f t="shared" si="33"/>
        <v>0.87662337662337664</v>
      </c>
      <c r="AC40" s="238">
        <f t="shared" si="34"/>
        <v>10</v>
      </c>
      <c r="AD40" s="141">
        <f t="shared" si="35"/>
        <v>53745000</v>
      </c>
      <c r="AE40" s="169">
        <f>IFERROR(GETPIVOTDATA("Sum of Qty",'[1]DATA LAST MONTH IQOO'!$A$6,"ID Store",$C40),0)</f>
        <v>2</v>
      </c>
      <c r="AF40" s="170">
        <f>IFERROR(GETPIVOTDATA("Sum of Qty",[1]IQOO!$A$6,"ID Store",$C40),0)</f>
        <v>1</v>
      </c>
      <c r="AG40" s="171">
        <f t="shared" si="2"/>
        <v>-1</v>
      </c>
      <c r="AH40" s="172">
        <f t="shared" si="3"/>
        <v>-0.5</v>
      </c>
      <c r="AI40" s="173">
        <f>IFERROR(GETPIVOTDATA("Sum of Qty",'[1]DATA LAST MONTH DEVICE'!$A$6,"ID Store",$C40),0)</f>
        <v>95</v>
      </c>
      <c r="AJ40" s="146">
        <f t="shared" si="36"/>
        <v>90</v>
      </c>
      <c r="AK40" s="174">
        <f t="shared" si="4"/>
        <v>-5</v>
      </c>
      <c r="AL40" s="175">
        <f t="shared" si="5"/>
        <v>-5.2631578947368418E-2</v>
      </c>
      <c r="AM40" s="176">
        <f>IFERROR(GETPIVOTDATA("Sum of Qty",'[1]Store 3mio+ last month'!$A$6,"ID Store",$C40),0)</f>
        <v>107</v>
      </c>
      <c r="AN40" s="144">
        <f t="shared" si="6"/>
        <v>96.428571428571431</v>
      </c>
      <c r="AO40" s="171">
        <f t="shared" si="7"/>
        <v>-10.571428571428569</v>
      </c>
      <c r="AP40" s="177">
        <f t="shared" si="8"/>
        <v>-9.8798397863818402E-2</v>
      </c>
      <c r="AQ40" s="176">
        <f>IFERROR(GETPIVOTDATA("Sum of Qty",'[1]DATA LAST MONTH DEVICE'!$A$6,"ID Store",$C40,"Segment Price","3mio&gt;"),0)</f>
        <v>41</v>
      </c>
      <c r="AR40" s="178">
        <f t="shared" si="9"/>
        <v>52</v>
      </c>
      <c r="AS40" s="178">
        <f t="shared" si="10"/>
        <v>11</v>
      </c>
      <c r="AT40" s="172">
        <f t="shared" si="11"/>
        <v>0.26829268292682928</v>
      </c>
      <c r="AU40" s="179">
        <f>IFERROR(GETPIVOTDATA("Sum of SRP",'[1]DATA LAST MONTH DEVICE'!$A$6,"ID Store",$C40),0)</f>
        <v>385605000</v>
      </c>
      <c r="AV40" s="179">
        <f t="shared" si="37"/>
        <v>392510000</v>
      </c>
      <c r="AW40" s="180">
        <f t="shared" si="12"/>
        <v>6905000</v>
      </c>
      <c r="AX40" s="181">
        <f t="shared" si="13"/>
        <v>1.7906925480738061E-2</v>
      </c>
      <c r="AY40" s="182">
        <f>IFERROR(VLOOKUP(C40,'[1]DATA SALES LAST MONTH'!A:E,5,0),0)</f>
        <v>4059000</v>
      </c>
      <c r="AZ40" s="152">
        <f t="shared" si="38"/>
        <v>4361222.222222222</v>
      </c>
      <c r="BA40" s="183">
        <f t="shared" si="14"/>
        <v>302222.22222222202</v>
      </c>
      <c r="BB40" s="172">
        <f t="shared" si="15"/>
        <v>7.4457310229667908E-2</v>
      </c>
      <c r="BC40" s="153">
        <f>_xlfn.XLOOKUP(D:D,'[1]Target store'!C:C,'[1]Target store'!J:J,0)</f>
        <v>11</v>
      </c>
      <c r="BD40" s="184">
        <f>IFERROR(GETPIVOTDATA("Sum of Qty",[1]ACC!$A$5,"ID Store",$C40),0)</f>
        <v>7</v>
      </c>
      <c r="BE40" s="177">
        <f t="shared" si="16"/>
        <v>0.63636363636363635</v>
      </c>
      <c r="BF40" s="154">
        <f>_xlfn.XLOOKUP(D:D,'[1]Target store'!C:C,'[1]Target store'!K:K,0)</f>
        <v>2250000</v>
      </c>
      <c r="BG40" s="185">
        <f>IFERROR(GETPIVOTDATA("Sum of SRP",'[1]Insurance by Store'!$A$5,"ID Store",$C40,"Product Type","Qoala"),0)</f>
        <v>636000</v>
      </c>
      <c r="BH40" s="177">
        <f t="shared" si="17"/>
        <v>0.28266666666666668</v>
      </c>
      <c r="BI40" s="154">
        <f>_xlfn.XLOOKUP(D:D,'[1]Target store'!C:C,'[1]Target store'!L:L,0)</f>
        <v>500000</v>
      </c>
      <c r="BJ40" s="185">
        <f>IFERROR(GETPIVOTDATA("Sum of SRP",'[1]Insurance by Store'!$A$5,"ID Store",$C40,"Product Type","Vivo Care"),0)</f>
        <v>0</v>
      </c>
      <c r="BK40" s="177">
        <f t="shared" si="18"/>
        <v>0</v>
      </c>
      <c r="BL40" s="144">
        <f>_xlfn.XLOOKUP(D:D,'[1]Target store'!C:C,'[1]Target store'!M:M,0)</f>
        <v>1000000</v>
      </c>
      <c r="BM40" s="176">
        <f>IFERROR(GETPIVOTDATA("Sum of Qty",'[1]Operator by Store'!$A$5,"ID Store",$C40,"Product Type","Indosat"),0)</f>
        <v>1</v>
      </c>
      <c r="BN40" s="177">
        <f t="shared" si="19"/>
        <v>9.9999999999999995E-7</v>
      </c>
      <c r="BO40" s="144">
        <f>_xlfn.XLOOKUP(D:D,'[1]Target store'!C:C,'[1]Target store'!N:N,0)</f>
        <v>1500000</v>
      </c>
      <c r="BP40" s="176">
        <f>IFERROR(GETPIVOTDATA("Sum of Qty",'[1]Operator by Store'!$A$5,"ID Store",$C40,"Product Type","Telkomsel"),0)</f>
        <v>0</v>
      </c>
      <c r="BQ40" s="186">
        <f t="shared" si="20"/>
        <v>0</v>
      </c>
    </row>
    <row r="41" spans="1:69" ht="17" thickBot="1" x14ac:dyDescent="0.25">
      <c r="A41" s="156">
        <v>37</v>
      </c>
      <c r="B41" s="157" t="s">
        <v>57</v>
      </c>
      <c r="C41" s="158">
        <v>6190707</v>
      </c>
      <c r="D41" s="187" t="str">
        <f>IFERROR(INDEX('[1]Target store'!$C$5:$C$47,MATCH($C41&amp;"-*",'[1]Target store'!$C$5:$C$47,0)),"NOT FOUND")</f>
        <v>6190707-BEC VIVO STORE LU</v>
      </c>
      <c r="E41" s="187" t="s">
        <v>59</v>
      </c>
      <c r="F41" s="160">
        <v>4</v>
      </c>
      <c r="G41" s="127">
        <f>_xlfn.XLOOKUP(D:D,'[1]Target store'!C:C,'[1]Target store'!F:F,0)</f>
        <v>120</v>
      </c>
      <c r="H41" s="161">
        <f>_xlfn.XLOOKUP(D:D,'[1]Target store'!C:C,'[1]Target store'!G:G,0)</f>
        <v>500000000</v>
      </c>
      <c r="I41" s="162">
        <f>IFERROR(GETPIVOTDATA("Sum of SRP",'[1]DEVICE &amp; VALUE'!$A$6,"ID Store",$C41),0)</f>
        <v>471270000</v>
      </c>
      <c r="J41" s="163">
        <f t="shared" si="21"/>
        <v>0.94254000000000004</v>
      </c>
      <c r="K41" s="164">
        <f t="shared" si="22"/>
        <v>-28730000</v>
      </c>
      <c r="L41" s="132">
        <f>IFERROR(GETPIVOTDATA("Sum of Qty",[1]PF!$A$5,"ID Store",$C41),0)</f>
        <v>16</v>
      </c>
      <c r="M41" s="133">
        <f>IFERROR(GETPIVOTDATA("Sum of Qty",'[1]DEVICE &amp; VALUE'!$A$6,"ID Store",$C41,"Segment Price","3mio&gt;"),0)</f>
        <v>59</v>
      </c>
      <c r="N41" s="134">
        <f t="shared" si="23"/>
        <v>0.45384615384615384</v>
      </c>
      <c r="O41" s="135">
        <f>IFERROR(GETPIVOTDATA("Sum of Qty",[1]IQOO!$A$6,"ID Store",$C41),0)</f>
        <v>0</v>
      </c>
      <c r="P41" s="134">
        <f t="shared" si="24"/>
        <v>0</v>
      </c>
      <c r="Q41" s="136">
        <f t="shared" si="25"/>
        <v>0.45384615384615384</v>
      </c>
      <c r="R41" s="135">
        <f>IFERROR(GETPIVOTDATA("Sum of Qty",'[1]DEVICE &amp; VALUE'!$A$6,"ID Store",$C41),0)</f>
        <v>130</v>
      </c>
      <c r="S41" s="135">
        <f t="shared" si="26"/>
        <v>1.0833333333333333</v>
      </c>
      <c r="T41" s="135">
        <f t="shared" si="27"/>
        <v>10</v>
      </c>
      <c r="U41" s="165">
        <f t="shared" si="28"/>
        <v>504932142.85714287</v>
      </c>
      <c r="V41" s="163">
        <f t="shared" si="29"/>
        <v>1.0098642857142857</v>
      </c>
      <c r="W41" s="166">
        <f t="shared" si="30"/>
        <v>4932142.8571428657</v>
      </c>
      <c r="X41" s="167">
        <f t="shared" si="0"/>
        <v>63.214285714285715</v>
      </c>
      <c r="Y41" s="168">
        <f t="shared" si="1"/>
        <v>-56.785714285714285</v>
      </c>
      <c r="Z41" s="168">
        <f t="shared" si="31"/>
        <v>139.28571428571431</v>
      </c>
      <c r="AA41" s="168">
        <f t="shared" si="32"/>
        <v>19.285714285714306</v>
      </c>
      <c r="AB41" s="168">
        <f t="shared" si="33"/>
        <v>1.1607142857142858</v>
      </c>
      <c r="AC41" s="238">
        <f t="shared" si="34"/>
        <v>-5</v>
      </c>
      <c r="AD41" s="141">
        <f t="shared" si="35"/>
        <v>14365000</v>
      </c>
      <c r="AE41" s="169">
        <f>IFERROR(GETPIVOTDATA("Sum of Qty",'[1]DATA LAST MONTH IQOO'!$A$6,"ID Store",$C41),0)</f>
        <v>6</v>
      </c>
      <c r="AF41" s="170">
        <f>IFERROR(GETPIVOTDATA("Sum of Qty",[1]IQOO!$A$6,"ID Store",$C41),0)</f>
        <v>0</v>
      </c>
      <c r="AG41" s="171">
        <f t="shared" si="2"/>
        <v>-6</v>
      </c>
      <c r="AH41" s="172">
        <f t="shared" si="3"/>
        <v>-1</v>
      </c>
      <c r="AI41" s="173">
        <f>IFERROR(GETPIVOTDATA("Sum of Qty",'[1]DATA LAST MONTH DEVICE'!$A$6,"ID Store",$C41),0)</f>
        <v>101</v>
      </c>
      <c r="AJ41" s="146">
        <f t="shared" si="36"/>
        <v>130</v>
      </c>
      <c r="AK41" s="174">
        <f t="shared" si="4"/>
        <v>29</v>
      </c>
      <c r="AL41" s="175">
        <f t="shared" si="5"/>
        <v>0.28712871287128711</v>
      </c>
      <c r="AM41" s="176">
        <f>IFERROR(GETPIVOTDATA("Sum of Qty",'[1]Store 3mio+ last month'!$A$6,"ID Store",$C41),0)</f>
        <v>110</v>
      </c>
      <c r="AN41" s="144">
        <f t="shared" si="6"/>
        <v>139.28571428571431</v>
      </c>
      <c r="AO41" s="171">
        <f t="shared" si="7"/>
        <v>29.285714285714306</v>
      </c>
      <c r="AP41" s="177">
        <f t="shared" si="8"/>
        <v>0.26623376623376643</v>
      </c>
      <c r="AQ41" s="176">
        <f>IFERROR(GETPIVOTDATA("Sum of Qty",'[1]DATA LAST MONTH DEVICE'!$A$6,"ID Store",$C41,"Segment Price","3mio&gt;"),0)</f>
        <v>36</v>
      </c>
      <c r="AR41" s="178">
        <f t="shared" si="9"/>
        <v>59</v>
      </c>
      <c r="AS41" s="178">
        <f t="shared" si="10"/>
        <v>23</v>
      </c>
      <c r="AT41" s="172">
        <f t="shared" si="11"/>
        <v>0.63888888888888884</v>
      </c>
      <c r="AU41" s="179">
        <f>IFERROR(GETPIVOTDATA("Sum of SRP",'[1]DATA LAST MONTH DEVICE'!$A$6,"ID Store",$C41),0)</f>
        <v>380999000</v>
      </c>
      <c r="AV41" s="179">
        <f t="shared" si="37"/>
        <v>471270000</v>
      </c>
      <c r="AW41" s="180">
        <f t="shared" si="12"/>
        <v>90271000</v>
      </c>
      <c r="AX41" s="181">
        <f t="shared" si="13"/>
        <v>0.23693238039994854</v>
      </c>
      <c r="AY41" s="182">
        <f>IFERROR(VLOOKUP(C41,'[1]DATA SALES LAST MONTH'!A:E,5,0),0)</f>
        <v>3772267.3267326732</v>
      </c>
      <c r="AZ41" s="152">
        <f t="shared" si="38"/>
        <v>3625153.8461538455</v>
      </c>
      <c r="BA41" s="183">
        <f t="shared" si="14"/>
        <v>-147113.48057882767</v>
      </c>
      <c r="BB41" s="172">
        <f t="shared" si="15"/>
        <v>-3.8998689073886268E-2</v>
      </c>
      <c r="BC41" s="153">
        <f>_xlfn.XLOOKUP(D:D,'[1]Target store'!C:C,'[1]Target store'!J:J,0)</f>
        <v>12</v>
      </c>
      <c r="BD41" s="184">
        <f>IFERROR(GETPIVOTDATA("Sum of Qty",[1]ACC!$A$5,"ID Store",$C41),0)</f>
        <v>13</v>
      </c>
      <c r="BE41" s="177">
        <f t="shared" si="16"/>
        <v>1.0833333333333333</v>
      </c>
      <c r="BF41" s="154">
        <f>_xlfn.XLOOKUP(D:D,'[1]Target store'!C:C,'[1]Target store'!K:K,0)</f>
        <v>2250000</v>
      </c>
      <c r="BG41" s="185">
        <f>IFERROR(GETPIVOTDATA("Sum of SRP",'[1]Insurance by Store'!$A$5,"ID Store",$C41,"Product Type","Qoala"),0)</f>
        <v>1113000</v>
      </c>
      <c r="BH41" s="177">
        <f t="shared" si="17"/>
        <v>0.49466666666666664</v>
      </c>
      <c r="BI41" s="154">
        <f>_xlfn.XLOOKUP(D:D,'[1]Target store'!C:C,'[1]Target store'!L:L,0)</f>
        <v>500000</v>
      </c>
      <c r="BJ41" s="185">
        <f>IFERROR(GETPIVOTDATA("Sum of SRP",'[1]Insurance by Store'!$A$5,"ID Store",$C41,"Product Type","Vivo Care"),0)</f>
        <v>0</v>
      </c>
      <c r="BK41" s="177">
        <f t="shared" si="18"/>
        <v>0</v>
      </c>
      <c r="BL41" s="144">
        <f>_xlfn.XLOOKUP(D:D,'[1]Target store'!C:C,'[1]Target store'!M:M,0)</f>
        <v>1000000</v>
      </c>
      <c r="BM41" s="176">
        <f>IFERROR(GETPIVOTDATA("Sum of Qty",'[1]Operator by Store'!$A$5,"ID Store",$C41,"Product Type","Indosat"),0)</f>
        <v>2</v>
      </c>
      <c r="BN41" s="177">
        <f t="shared" si="19"/>
        <v>1.9999999999999999E-6</v>
      </c>
      <c r="BO41" s="144">
        <f>_xlfn.XLOOKUP(D:D,'[1]Target store'!C:C,'[1]Target store'!N:N,0)</f>
        <v>1500000</v>
      </c>
      <c r="BP41" s="176">
        <f>IFERROR(GETPIVOTDATA("Sum of Qty",'[1]Operator by Store'!$A$5,"ID Store",$C41,"Product Type","Telkomsel"),0)</f>
        <v>0</v>
      </c>
      <c r="BQ41" s="186">
        <f t="shared" si="20"/>
        <v>0</v>
      </c>
    </row>
    <row r="42" spans="1:69" ht="17" thickBot="1" x14ac:dyDescent="0.25">
      <c r="A42" s="156">
        <v>38</v>
      </c>
      <c r="B42" s="157" t="s">
        <v>57</v>
      </c>
      <c r="C42" s="158">
        <v>6190708</v>
      </c>
      <c r="D42" s="187" t="str">
        <f>IFERROR(INDEX('[1]Target store'!$C$5:$C$47,MATCH($C42&amp;"-*",'[1]Target store'!$C$5:$C$47,0)),"NOT FOUND")</f>
        <v>6190708-BEC SC LGAA07</v>
      </c>
      <c r="E42" s="187" t="s">
        <v>59</v>
      </c>
      <c r="F42" s="160">
        <v>1</v>
      </c>
      <c r="G42" s="127">
        <f>_xlfn.XLOOKUP(D:D,'[1]Target store'!C:C,'[1]Target store'!F:F,0)</f>
        <v>20</v>
      </c>
      <c r="H42" s="161">
        <f>_xlfn.XLOOKUP(D:D,'[1]Target store'!C:C,'[1]Target store'!G:G,0)</f>
        <v>80000000</v>
      </c>
      <c r="I42" s="162">
        <f>IFERROR(GETPIVOTDATA("Sum of SRP",'[1]DEVICE &amp; VALUE'!$A$6,"ID Store",$C42),0)</f>
        <v>95678000</v>
      </c>
      <c r="J42" s="163">
        <f t="shared" si="21"/>
        <v>1.195975</v>
      </c>
      <c r="K42" s="164">
        <f t="shared" si="22"/>
        <v>15678000</v>
      </c>
      <c r="L42" s="132">
        <f>IFERROR(GETPIVOTDATA("Sum of Qty",[1]PF!$A$5,"ID Store",$C42),0)</f>
        <v>11</v>
      </c>
      <c r="M42" s="133">
        <f>IFERROR(GETPIVOTDATA("Sum of Qty",'[1]DEVICE &amp; VALUE'!$A$6,"ID Store",$C42,"Segment Price","3mio&gt;"),0)</f>
        <v>15</v>
      </c>
      <c r="N42" s="134">
        <f t="shared" si="23"/>
        <v>0.68181818181818177</v>
      </c>
      <c r="O42" s="135">
        <f>IFERROR(GETPIVOTDATA("Sum of Qty",[1]IQOO!$A$6,"ID Store",$C42),0)</f>
        <v>1</v>
      </c>
      <c r="P42" s="134">
        <f t="shared" si="24"/>
        <v>4.5454545454545456E-2</v>
      </c>
      <c r="Q42" s="136">
        <f t="shared" si="25"/>
        <v>0.68181818181818177</v>
      </c>
      <c r="R42" s="135">
        <f>IFERROR(GETPIVOTDATA("Sum of Qty",'[1]DEVICE &amp; VALUE'!$A$6,"ID Store",$C42),0)</f>
        <v>22</v>
      </c>
      <c r="S42" s="135">
        <f t="shared" si="26"/>
        <v>1.1000000000000001</v>
      </c>
      <c r="T42" s="135">
        <f t="shared" si="27"/>
        <v>2</v>
      </c>
      <c r="U42" s="165">
        <f t="shared" si="28"/>
        <v>102512142.85714287</v>
      </c>
      <c r="V42" s="163">
        <f t="shared" si="29"/>
        <v>1.2814017857142859</v>
      </c>
      <c r="W42" s="166">
        <f t="shared" si="30"/>
        <v>22512142.857142866</v>
      </c>
      <c r="X42" s="167">
        <f t="shared" si="0"/>
        <v>16.071428571428569</v>
      </c>
      <c r="Y42" s="168">
        <f t="shared" si="1"/>
        <v>-3.9285714285714306</v>
      </c>
      <c r="Z42" s="168">
        <f t="shared" si="31"/>
        <v>23.571428571428569</v>
      </c>
      <c r="AA42" s="168">
        <f t="shared" si="32"/>
        <v>3.5714285714285694</v>
      </c>
      <c r="AB42" s="168">
        <f t="shared" si="33"/>
        <v>1.1785714285714284</v>
      </c>
      <c r="AC42" s="238">
        <f t="shared" si="34"/>
        <v>-1</v>
      </c>
      <c r="AD42" s="141">
        <f t="shared" si="35"/>
        <v>-7839000</v>
      </c>
      <c r="AE42" s="169">
        <f>IFERROR(GETPIVOTDATA("Sum of Qty",'[1]DATA LAST MONTH IQOO'!$A$6,"ID Store",$C42),0)</f>
        <v>0</v>
      </c>
      <c r="AF42" s="170">
        <f>IFERROR(GETPIVOTDATA("Sum of Qty",[1]IQOO!$A$6,"ID Store",$C42),0)</f>
        <v>1</v>
      </c>
      <c r="AG42" s="171">
        <f t="shared" si="2"/>
        <v>1</v>
      </c>
      <c r="AH42" s="172">
        <f t="shared" si="3"/>
        <v>0</v>
      </c>
      <c r="AI42" s="173">
        <f>IFERROR(GETPIVOTDATA("Sum of Qty",'[1]DATA LAST MONTH DEVICE'!$A$6,"ID Store",$C42),0)</f>
        <v>15</v>
      </c>
      <c r="AJ42" s="146">
        <f t="shared" si="36"/>
        <v>22</v>
      </c>
      <c r="AK42" s="174">
        <f t="shared" si="4"/>
        <v>7</v>
      </c>
      <c r="AL42" s="175">
        <f t="shared" si="5"/>
        <v>0.46666666666666667</v>
      </c>
      <c r="AM42" s="176">
        <f>IFERROR(GETPIVOTDATA("Sum of Qty",'[1]Store 3mio+ last month'!$A$6,"ID Store",$C42),0)</f>
        <v>15</v>
      </c>
      <c r="AN42" s="144">
        <f t="shared" si="6"/>
        <v>23.571428571428569</v>
      </c>
      <c r="AO42" s="171">
        <f t="shared" si="7"/>
        <v>8.5714285714285694</v>
      </c>
      <c r="AP42" s="177">
        <f t="shared" si="8"/>
        <v>0.57142857142857129</v>
      </c>
      <c r="AQ42" s="176">
        <f>IFERROR(GETPIVOTDATA("Sum of Qty",'[1]DATA LAST MONTH DEVICE'!$A$6,"ID Store",$C42,"Segment Price","3mio&gt;"),0)</f>
        <v>3</v>
      </c>
      <c r="AR42" s="178">
        <f t="shared" si="9"/>
        <v>15</v>
      </c>
      <c r="AS42" s="178">
        <f t="shared" si="10"/>
        <v>12</v>
      </c>
      <c r="AT42" s="172">
        <f t="shared" si="11"/>
        <v>4</v>
      </c>
      <c r="AU42" s="179">
        <f>IFERROR(GETPIVOTDATA("Sum of SRP",'[1]DATA LAST MONTH DEVICE'!$A$6,"ID Store",$C42),0)</f>
        <v>48385000</v>
      </c>
      <c r="AV42" s="179">
        <f t="shared" si="37"/>
        <v>95678000</v>
      </c>
      <c r="AW42" s="180">
        <f t="shared" si="12"/>
        <v>47293000</v>
      </c>
      <c r="AX42" s="181">
        <f t="shared" si="13"/>
        <v>0.97743102201095378</v>
      </c>
      <c r="AY42" s="182">
        <f>IFERROR(VLOOKUP(C42,'[1]DATA SALES LAST MONTH'!A:E,5,0),0)</f>
        <v>0</v>
      </c>
      <c r="AZ42" s="152">
        <f t="shared" si="38"/>
        <v>4349000.0000000009</v>
      </c>
      <c r="BA42" s="183">
        <f t="shared" si="14"/>
        <v>4349000.0000000009</v>
      </c>
      <c r="BB42" s="172">
        <f t="shared" si="15"/>
        <v>0</v>
      </c>
      <c r="BC42" s="153">
        <f>_xlfn.XLOOKUP(D:D,'[1]Target store'!C:C,'[1]Target store'!J:J,0)</f>
        <v>2</v>
      </c>
      <c r="BD42" s="184">
        <f>IFERROR(GETPIVOTDATA("Sum of Qty",[1]ACC!$A$5,"ID Store",$C42),0)</f>
        <v>1</v>
      </c>
      <c r="BE42" s="177">
        <f t="shared" si="16"/>
        <v>0.5</v>
      </c>
      <c r="BF42" s="154">
        <f>_xlfn.XLOOKUP(D:D,'[1]Target store'!C:C,'[1]Target store'!K:K,0)</f>
        <v>360000</v>
      </c>
      <c r="BG42" s="185">
        <f>IFERROR(GETPIVOTDATA("Sum of SRP",'[1]Insurance by Store'!$A$5,"ID Store",$C42,"Product Type","Qoala"),0)</f>
        <v>159000</v>
      </c>
      <c r="BH42" s="177">
        <f t="shared" si="17"/>
        <v>0.44166666666666665</v>
      </c>
      <c r="BI42" s="154">
        <f>_xlfn.XLOOKUP(D:D,'[1]Target store'!C:C,'[1]Target store'!L:L,0)</f>
        <v>80000</v>
      </c>
      <c r="BJ42" s="185">
        <f>IFERROR(GETPIVOTDATA("Sum of SRP",'[1]Insurance by Store'!$A$5,"ID Store",$C42,"Product Type","Vivo Care"),0)</f>
        <v>0</v>
      </c>
      <c r="BK42" s="177">
        <f t="shared" si="18"/>
        <v>0</v>
      </c>
      <c r="BL42" s="144">
        <f>_xlfn.XLOOKUP(D:D,'[1]Target store'!C:C,'[1]Target store'!M:M,0)</f>
        <v>160000</v>
      </c>
      <c r="BM42" s="176">
        <f>IFERROR(GETPIVOTDATA("Sum of Qty",'[1]Operator by Store'!$A$5,"ID Store",$C42,"Product Type","Indosat"),0)</f>
        <v>0</v>
      </c>
      <c r="BN42" s="177">
        <f t="shared" si="19"/>
        <v>0</v>
      </c>
      <c r="BO42" s="144">
        <f>_xlfn.XLOOKUP(D:D,'[1]Target store'!C:C,'[1]Target store'!N:N,0)</f>
        <v>240000</v>
      </c>
      <c r="BP42" s="176">
        <f>IFERROR(GETPIVOTDATA("Sum of Qty",'[1]Operator by Store'!$A$5,"ID Store",$C42,"Product Type","Telkomsel"),0)</f>
        <v>0</v>
      </c>
      <c r="BQ42" s="186">
        <f t="shared" si="20"/>
        <v>0</v>
      </c>
    </row>
    <row r="43" spans="1:69" ht="17" thickBot="1" x14ac:dyDescent="0.25">
      <c r="A43" s="156">
        <v>39</v>
      </c>
      <c r="B43" s="157" t="s">
        <v>60</v>
      </c>
      <c r="C43" s="158">
        <v>6150702</v>
      </c>
      <c r="D43" s="188" t="str">
        <f>IFERROR(INDEX('[1]Target store'!$C$5:$C$47,MATCH($C43&amp;"-*",'[1]Target store'!$C$5:$C$47,0)),"NOT FOUND")</f>
        <v>6150702-GRANMALL SC GF-11</v>
      </c>
      <c r="E43" s="188" t="s">
        <v>61</v>
      </c>
      <c r="F43" s="160">
        <v>2</v>
      </c>
      <c r="G43" s="127">
        <f>_xlfn.XLOOKUP(D:D,'[1]Target store'!C:C,'[1]Target store'!F:F,0)</f>
        <v>20</v>
      </c>
      <c r="H43" s="161">
        <f>_xlfn.XLOOKUP(D:D,'[1]Target store'!C:C,'[1]Target store'!G:G,0)</f>
        <v>50000000</v>
      </c>
      <c r="I43" s="162">
        <f>IFERROR(GETPIVOTDATA("Sum of SRP",'[1]DEVICE &amp; VALUE'!$A$6,"ID Store",$C43),0)</f>
        <v>64889000</v>
      </c>
      <c r="J43" s="163">
        <f t="shared" si="21"/>
        <v>1.2977799999999999</v>
      </c>
      <c r="K43" s="164">
        <f t="shared" si="22"/>
        <v>14889000</v>
      </c>
      <c r="L43" s="132">
        <f>IFERROR(GETPIVOTDATA("Sum of Qty",[1]PF!$A$5,"ID Store",$C43),0)</f>
        <v>3</v>
      </c>
      <c r="M43" s="133">
        <f>IFERROR(GETPIVOTDATA("Sum of Qty",'[1]DEVICE &amp; VALUE'!$A$6,"ID Store",$C43,"Segment Price","3mio&gt;"),0)</f>
        <v>10</v>
      </c>
      <c r="N43" s="134">
        <f t="shared" si="23"/>
        <v>0.90909090909090906</v>
      </c>
      <c r="O43" s="135">
        <f>IFERROR(GETPIVOTDATA("Sum of Qty",[1]IQOO!$A$6,"ID Store",$C43),0)</f>
        <v>2</v>
      </c>
      <c r="P43" s="134">
        <f t="shared" si="24"/>
        <v>0.18181818181818182</v>
      </c>
      <c r="Q43" s="136">
        <f t="shared" si="25"/>
        <v>0.90909090909090906</v>
      </c>
      <c r="R43" s="135">
        <f>IFERROR(GETPIVOTDATA("Sum of Qty",'[1]DEVICE &amp; VALUE'!$A$6,"ID Store",$C43),0)</f>
        <v>11</v>
      </c>
      <c r="S43" s="135">
        <f t="shared" si="26"/>
        <v>0.55000000000000004</v>
      </c>
      <c r="T43" s="135">
        <f t="shared" si="27"/>
        <v>-9</v>
      </c>
      <c r="U43" s="165">
        <f t="shared" si="28"/>
        <v>69523928.571428582</v>
      </c>
      <c r="V43" s="163">
        <f t="shared" si="29"/>
        <v>1.3904785714285717</v>
      </c>
      <c r="W43" s="166">
        <f t="shared" si="30"/>
        <v>19523928.571428582</v>
      </c>
      <c r="X43" s="167">
        <f t="shared" si="0"/>
        <v>10.714285714285715</v>
      </c>
      <c r="Y43" s="168">
        <f t="shared" si="1"/>
        <v>-9.2857142857142847</v>
      </c>
      <c r="Z43" s="168">
        <f t="shared" si="31"/>
        <v>11.785714285714285</v>
      </c>
      <c r="AA43" s="168">
        <f t="shared" si="32"/>
        <v>-8.2142857142857153</v>
      </c>
      <c r="AB43" s="168">
        <f t="shared" si="33"/>
        <v>0.58928571428571419</v>
      </c>
      <c r="AC43" s="238">
        <f t="shared" si="34"/>
        <v>4.5</v>
      </c>
      <c r="AD43" s="141">
        <f t="shared" si="35"/>
        <v>-7444500</v>
      </c>
      <c r="AE43" s="169">
        <f>IFERROR(GETPIVOTDATA("Sum of Qty",'[1]DATA LAST MONTH IQOO'!$A$6,"ID Store",$C43),0)</f>
        <v>0</v>
      </c>
      <c r="AF43" s="170">
        <f>IFERROR(GETPIVOTDATA("Sum of Qty",[1]IQOO!$A$6,"ID Store",$C43),0)</f>
        <v>2</v>
      </c>
      <c r="AG43" s="171">
        <f t="shared" si="2"/>
        <v>2</v>
      </c>
      <c r="AH43" s="172">
        <f t="shared" si="3"/>
        <v>0</v>
      </c>
      <c r="AI43" s="173">
        <f>IFERROR(GETPIVOTDATA("Sum of Qty",'[1]DATA LAST MONTH DEVICE'!$A$6,"ID Store",$C43),0)</f>
        <v>7</v>
      </c>
      <c r="AJ43" s="146">
        <f t="shared" si="36"/>
        <v>11</v>
      </c>
      <c r="AK43" s="174">
        <f t="shared" si="4"/>
        <v>4</v>
      </c>
      <c r="AL43" s="175">
        <f t="shared" si="5"/>
        <v>0.5714285714285714</v>
      </c>
      <c r="AM43" s="176">
        <f>IFERROR(GETPIVOTDATA("Sum of Qty",'[1]Store 3mio+ last month'!$A$6,"ID Store",$C43),0)</f>
        <v>10</v>
      </c>
      <c r="AN43" s="144">
        <f t="shared" si="6"/>
        <v>11.785714285714285</v>
      </c>
      <c r="AO43" s="171">
        <f t="shared" si="7"/>
        <v>1.7857142857142847</v>
      </c>
      <c r="AP43" s="177">
        <f t="shared" si="8"/>
        <v>0.17857142857142846</v>
      </c>
      <c r="AQ43" s="176">
        <f>IFERROR(GETPIVOTDATA("Sum of Qty",'[1]DATA LAST MONTH DEVICE'!$A$6,"ID Store",$C43,"Segment Price","3mio&gt;"),0)</f>
        <v>6</v>
      </c>
      <c r="AR43" s="178">
        <f t="shared" si="9"/>
        <v>10</v>
      </c>
      <c r="AS43" s="178">
        <f t="shared" si="10"/>
        <v>4</v>
      </c>
      <c r="AT43" s="172">
        <f t="shared" si="11"/>
        <v>0.66666666666666663</v>
      </c>
      <c r="AU43" s="179">
        <f>IFERROR(GETPIVOTDATA("Sum of SRP",'[1]DATA LAST MONTH DEVICE'!$A$6,"ID Store",$C43),0)</f>
        <v>33293000</v>
      </c>
      <c r="AV43" s="179">
        <f t="shared" si="37"/>
        <v>64889000</v>
      </c>
      <c r="AW43" s="180">
        <f t="shared" si="12"/>
        <v>31596000</v>
      </c>
      <c r="AX43" s="181">
        <f t="shared" si="13"/>
        <v>0.94902832427236961</v>
      </c>
      <c r="AY43" s="182">
        <f>IFERROR(VLOOKUP(C43,'[1]DATA SALES LAST MONTH'!A:E,5,0),0)</f>
        <v>0</v>
      </c>
      <c r="AZ43" s="152">
        <f t="shared" si="38"/>
        <v>5899000.0000000019</v>
      </c>
      <c r="BA43" s="183">
        <f t="shared" si="14"/>
        <v>5899000.0000000019</v>
      </c>
      <c r="BB43" s="172">
        <f t="shared" si="15"/>
        <v>0</v>
      </c>
      <c r="BC43" s="153">
        <f>_xlfn.XLOOKUP(D:D,'[1]Target store'!C:C,'[1]Target store'!J:J,0)</f>
        <v>2</v>
      </c>
      <c r="BD43" s="184">
        <f>IFERROR(GETPIVOTDATA("Sum of Qty",[1]ACC!$A$5,"ID Store",$C43),0)</f>
        <v>0</v>
      </c>
      <c r="BE43" s="177">
        <f t="shared" si="16"/>
        <v>0</v>
      </c>
      <c r="BF43" s="154">
        <f>_xlfn.XLOOKUP(D:D,'[1]Target store'!C:C,'[1]Target store'!K:K,0)</f>
        <v>225000</v>
      </c>
      <c r="BG43" s="185">
        <f>IFERROR(GETPIVOTDATA("Sum of SRP",'[1]Insurance by Store'!$A$5,"ID Store",$C43,"Product Type","Qoala"),0)</f>
        <v>0</v>
      </c>
      <c r="BH43" s="177">
        <f t="shared" si="17"/>
        <v>0</v>
      </c>
      <c r="BI43" s="154">
        <f>_xlfn.XLOOKUP(D:D,'[1]Target store'!C:C,'[1]Target store'!L:L,0)</f>
        <v>50000</v>
      </c>
      <c r="BJ43" s="185">
        <f>IFERROR(GETPIVOTDATA("Sum of SRP",'[1]Insurance by Store'!$A$5,"ID Store",$C43,"Product Type","Vivo Care"),0)</f>
        <v>0</v>
      </c>
      <c r="BK43" s="177">
        <f t="shared" si="18"/>
        <v>0</v>
      </c>
      <c r="BL43" s="144">
        <f>_xlfn.XLOOKUP(D:D,'[1]Target store'!C:C,'[1]Target store'!M:M,0)</f>
        <v>100000</v>
      </c>
      <c r="BM43" s="176">
        <f>IFERROR(GETPIVOTDATA("Sum of Qty",'[1]Operator by Store'!$A$5,"ID Store",$C43,"Product Type","Indosat"),0)</f>
        <v>0</v>
      </c>
      <c r="BN43" s="177">
        <f t="shared" si="19"/>
        <v>0</v>
      </c>
      <c r="BO43" s="144">
        <f>_xlfn.XLOOKUP(D:D,'[1]Target store'!C:C,'[1]Target store'!N:N,0)</f>
        <v>150000</v>
      </c>
      <c r="BP43" s="176">
        <f>IFERROR(GETPIVOTDATA("Sum of Qty",'[1]Operator by Store'!$A$5,"ID Store",$C43,"Product Type","Telkomsel"),0)</f>
        <v>0</v>
      </c>
      <c r="BQ43" s="186">
        <f t="shared" si="20"/>
        <v>0</v>
      </c>
    </row>
    <row r="44" spans="1:69" ht="17" thickBot="1" x14ac:dyDescent="0.25">
      <c r="A44" s="156">
        <v>40</v>
      </c>
      <c r="B44" s="157" t="s">
        <v>62</v>
      </c>
      <c r="C44" s="158">
        <v>6130702</v>
      </c>
      <c r="D44" s="187" t="str">
        <f>IFERROR(INDEX('[1]Target store'!$C$5:$C$47,MATCH($C44&amp;"-*",'[1]Target store'!$C$5:$C$47,0)),"NOT FOUND")</f>
        <v>6130702-RITA SUPERMALL SF36-37</v>
      </c>
      <c r="E44" s="187" t="s">
        <v>63</v>
      </c>
      <c r="F44" s="160">
        <v>3</v>
      </c>
      <c r="G44" s="127">
        <f>_xlfn.XLOOKUP(D:D,'[1]Target store'!C:C,'[1]Target store'!F:F,0)</f>
        <v>60</v>
      </c>
      <c r="H44" s="161">
        <f>_xlfn.XLOOKUP(D:D,'[1]Target store'!C:C,'[1]Target store'!G:G,0)</f>
        <v>300000000</v>
      </c>
      <c r="I44" s="162">
        <f>IFERROR(GETPIVOTDATA("Sum of SRP",'[1]DEVICE &amp; VALUE'!$A$6,"ID Store",$C44),0)</f>
        <v>181658000</v>
      </c>
      <c r="J44" s="163">
        <f t="shared" si="21"/>
        <v>0.60552666666666666</v>
      </c>
      <c r="K44" s="164">
        <f t="shared" si="22"/>
        <v>-118342000</v>
      </c>
      <c r="L44" s="132">
        <f>IFERROR(GETPIVOTDATA("Sum of Qty",[1]PF!$A$5,"ID Store",$C44),0)</f>
        <v>4</v>
      </c>
      <c r="M44" s="133">
        <f>IFERROR(GETPIVOTDATA("Sum of Qty",'[1]DEVICE &amp; VALUE'!$A$6,"ID Store",$C44,"Segment Price","3mio&gt;"),0)</f>
        <v>22</v>
      </c>
      <c r="N44" s="134">
        <f t="shared" si="23"/>
        <v>0.52380952380952384</v>
      </c>
      <c r="O44" s="135">
        <f>IFERROR(GETPIVOTDATA("Sum of Qty",[1]IQOO!$A$6,"ID Store",$C44),0)</f>
        <v>2</v>
      </c>
      <c r="P44" s="134">
        <f t="shared" si="24"/>
        <v>4.7619047619047616E-2</v>
      </c>
      <c r="Q44" s="136">
        <f t="shared" si="25"/>
        <v>0.52380952380952384</v>
      </c>
      <c r="R44" s="135">
        <f>IFERROR(GETPIVOTDATA("Sum of Qty",'[1]DEVICE &amp; VALUE'!$A$6,"ID Store",$C44),0)</f>
        <v>42</v>
      </c>
      <c r="S44" s="135">
        <f t="shared" si="26"/>
        <v>0.7</v>
      </c>
      <c r="T44" s="135">
        <f t="shared" si="27"/>
        <v>-18</v>
      </c>
      <c r="U44" s="165">
        <f t="shared" si="28"/>
        <v>194633571.42857143</v>
      </c>
      <c r="V44" s="163">
        <f t="shared" si="29"/>
        <v>0.64877857142857143</v>
      </c>
      <c r="W44" s="166">
        <f t="shared" si="30"/>
        <v>-105366428.57142857</v>
      </c>
      <c r="X44" s="167">
        <f t="shared" si="0"/>
        <v>23.571428571428569</v>
      </c>
      <c r="Y44" s="168">
        <f t="shared" si="1"/>
        <v>-36.428571428571431</v>
      </c>
      <c r="Z44" s="168">
        <f t="shared" si="31"/>
        <v>45</v>
      </c>
      <c r="AA44" s="168">
        <f t="shared" si="32"/>
        <v>-15</v>
      </c>
      <c r="AB44" s="168">
        <f t="shared" si="33"/>
        <v>0.75</v>
      </c>
      <c r="AC44" s="238">
        <f t="shared" si="34"/>
        <v>9</v>
      </c>
      <c r="AD44" s="141">
        <f t="shared" si="35"/>
        <v>59171000</v>
      </c>
      <c r="AE44" s="169">
        <f>IFERROR(GETPIVOTDATA("Sum of Qty",'[1]DATA LAST MONTH IQOO'!$A$6,"ID Store",$C44),0)</f>
        <v>5</v>
      </c>
      <c r="AF44" s="170">
        <f>IFERROR(GETPIVOTDATA("Sum of Qty",[1]IQOO!$A$6,"ID Store",$C44),0)</f>
        <v>2</v>
      </c>
      <c r="AG44" s="171">
        <f t="shared" si="2"/>
        <v>-3</v>
      </c>
      <c r="AH44" s="172">
        <f t="shared" si="3"/>
        <v>-0.6</v>
      </c>
      <c r="AI44" s="173">
        <f>IFERROR(GETPIVOTDATA("Sum of Qty",'[1]DATA LAST MONTH DEVICE'!$A$6,"ID Store",$C44),0)</f>
        <v>57</v>
      </c>
      <c r="AJ44" s="146">
        <f t="shared" si="36"/>
        <v>42</v>
      </c>
      <c r="AK44" s="174">
        <f t="shared" si="4"/>
        <v>-15</v>
      </c>
      <c r="AL44" s="175">
        <f t="shared" si="5"/>
        <v>-0.26315789473684209</v>
      </c>
      <c r="AM44" s="176">
        <f>IFERROR(GETPIVOTDATA("Sum of Qty",'[1]Store 3mio+ last month'!$A$6,"ID Store",$C44),0)</f>
        <v>60</v>
      </c>
      <c r="AN44" s="144">
        <f t="shared" si="6"/>
        <v>45</v>
      </c>
      <c r="AO44" s="171">
        <f t="shared" si="7"/>
        <v>-15</v>
      </c>
      <c r="AP44" s="177">
        <f t="shared" si="8"/>
        <v>-0.25</v>
      </c>
      <c r="AQ44" s="176">
        <f>IFERROR(GETPIVOTDATA("Sum of Qty",'[1]DATA LAST MONTH DEVICE'!$A$6,"ID Store",$C44,"Segment Price","3mio&gt;"),0)</f>
        <v>28</v>
      </c>
      <c r="AR44" s="178">
        <f t="shared" si="9"/>
        <v>22</v>
      </c>
      <c r="AS44" s="178">
        <f t="shared" si="10"/>
        <v>-6</v>
      </c>
      <c r="AT44" s="172">
        <f t="shared" si="11"/>
        <v>-0.21428571428571427</v>
      </c>
      <c r="AU44" s="179">
        <f>IFERROR(GETPIVOTDATA("Sum of SRP",'[1]DATA LAST MONTH DEVICE'!$A$6,"ID Store",$C44),0)</f>
        <v>251243000</v>
      </c>
      <c r="AV44" s="179">
        <f t="shared" si="37"/>
        <v>181658000</v>
      </c>
      <c r="AW44" s="180">
        <f t="shared" si="12"/>
        <v>-69585000</v>
      </c>
      <c r="AX44" s="181">
        <f t="shared" si="13"/>
        <v>-0.27696294026102219</v>
      </c>
      <c r="AY44" s="182">
        <f>IFERROR(VLOOKUP(C44,'[1]DATA SALES LAST MONTH'!A:E,5,0),0)</f>
        <v>4407771.9298245618</v>
      </c>
      <c r="AZ44" s="152">
        <f t="shared" si="38"/>
        <v>4325190.4761904767</v>
      </c>
      <c r="BA44" s="183">
        <f t="shared" si="14"/>
        <v>-82581.453634085134</v>
      </c>
      <c r="BB44" s="172">
        <f t="shared" si="15"/>
        <v>-1.8735418925672962E-2</v>
      </c>
      <c r="BC44" s="153">
        <f>_xlfn.XLOOKUP(D:D,'[1]Target store'!C:C,'[1]Target store'!J:J,0)</f>
        <v>6</v>
      </c>
      <c r="BD44" s="184">
        <f>IFERROR(GETPIVOTDATA("Sum of Qty",[1]ACC!$A$5,"ID Store",$C44),0)</f>
        <v>5</v>
      </c>
      <c r="BE44" s="177">
        <f t="shared" si="16"/>
        <v>0.83333333333333337</v>
      </c>
      <c r="BF44" s="154">
        <f>_xlfn.XLOOKUP(D:D,'[1]Target store'!C:C,'[1]Target store'!K:K,0)</f>
        <v>1350000</v>
      </c>
      <c r="BG44" s="185">
        <f>IFERROR(GETPIVOTDATA("Sum of SRP",'[1]Insurance by Store'!$A$5,"ID Store",$C44,"Product Type","Qoala"),0)</f>
        <v>329000</v>
      </c>
      <c r="BH44" s="177">
        <f t="shared" si="17"/>
        <v>0.2437037037037037</v>
      </c>
      <c r="BI44" s="154">
        <f>_xlfn.XLOOKUP(D:D,'[1]Target store'!C:C,'[1]Target store'!L:L,0)</f>
        <v>300000</v>
      </c>
      <c r="BJ44" s="185">
        <f>IFERROR(GETPIVOTDATA("Sum of SRP",'[1]Insurance by Store'!$A$5,"ID Store",$C44,"Product Type","Vivo Care"),0)</f>
        <v>1000000</v>
      </c>
      <c r="BK44" s="177">
        <f t="shared" si="18"/>
        <v>3.3333333333333335</v>
      </c>
      <c r="BL44" s="144">
        <f>_xlfn.XLOOKUP(D:D,'[1]Target store'!C:C,'[1]Target store'!M:M,0)</f>
        <v>600000</v>
      </c>
      <c r="BM44" s="176">
        <f>IFERROR(GETPIVOTDATA("Sum of Qty",'[1]Operator by Store'!$A$5,"ID Store",$C44,"Product Type","Indosat"),0)</f>
        <v>1</v>
      </c>
      <c r="BN44" s="177">
        <f t="shared" si="19"/>
        <v>1.6666666666666667E-6</v>
      </c>
      <c r="BO44" s="144">
        <f>_xlfn.XLOOKUP(D:D,'[1]Target store'!C:C,'[1]Target store'!N:N,0)</f>
        <v>900000</v>
      </c>
      <c r="BP44" s="176">
        <f>IFERROR(GETPIVOTDATA("Sum of Qty",'[1]Operator by Store'!$A$5,"ID Store",$C44,"Product Type","Telkomsel"),0)</f>
        <v>0</v>
      </c>
      <c r="BQ44" s="186">
        <f t="shared" si="20"/>
        <v>0</v>
      </c>
    </row>
    <row r="45" spans="1:69" ht="17" thickBot="1" x14ac:dyDescent="0.25">
      <c r="A45" s="156">
        <v>41</v>
      </c>
      <c r="B45" s="157" t="s">
        <v>64</v>
      </c>
      <c r="C45" s="158">
        <v>6100702</v>
      </c>
      <c r="D45" s="188" t="str">
        <f>IFERROR(INDEX('[1]Target store'!$C$5:$C$47,MATCH($C45&amp;"-*",'[1]Target store'!$C$5:$C$47,0)),"NOT FOUND")</f>
        <v>6100702-Jogja City Mall VIVO STORE</v>
      </c>
      <c r="E45" s="188" t="s">
        <v>61</v>
      </c>
      <c r="F45" s="160">
        <v>1</v>
      </c>
      <c r="G45" s="127">
        <f>_xlfn.XLOOKUP(D:D,'[1]Target store'!C:C,'[1]Target store'!F:F,0)</f>
        <v>50</v>
      </c>
      <c r="H45" s="161">
        <f>_xlfn.XLOOKUP(D:D,'[1]Target store'!C:C,'[1]Target store'!G:G,0)</f>
        <v>300000000</v>
      </c>
      <c r="I45" s="162">
        <f>IFERROR(GETPIVOTDATA("Sum of SRP",'[1]DEVICE &amp; VALUE'!$A$6,"ID Store",$C45),0)</f>
        <v>115277000</v>
      </c>
      <c r="J45" s="163">
        <f t="shared" si="21"/>
        <v>0.38425666666666669</v>
      </c>
      <c r="K45" s="164">
        <f t="shared" si="22"/>
        <v>-184723000</v>
      </c>
      <c r="L45" s="132">
        <f>IFERROR(GETPIVOTDATA("Sum of Qty",[1]PF!$A$5,"ID Store",$C45),0)</f>
        <v>6</v>
      </c>
      <c r="M45" s="133">
        <f>IFERROR(GETPIVOTDATA("Sum of Qty",'[1]DEVICE &amp; VALUE'!$A$6,"ID Store",$C45,"Segment Price","3mio&gt;"),0)</f>
        <v>14</v>
      </c>
      <c r="N45" s="134">
        <f t="shared" si="23"/>
        <v>0.60869565217391308</v>
      </c>
      <c r="O45" s="135">
        <f>IFERROR(GETPIVOTDATA("Sum of Qty",[1]IQOO!$A$6,"ID Store",$C45),0)</f>
        <v>1</v>
      </c>
      <c r="P45" s="134">
        <f t="shared" si="24"/>
        <v>4.3478260869565216E-2</v>
      </c>
      <c r="Q45" s="136">
        <f t="shared" si="25"/>
        <v>0.60869565217391308</v>
      </c>
      <c r="R45" s="135">
        <f>IFERROR(GETPIVOTDATA("Sum of Qty",'[1]DEVICE &amp; VALUE'!$A$6,"ID Store",$C45),0)</f>
        <v>23</v>
      </c>
      <c r="S45" s="135">
        <f t="shared" si="26"/>
        <v>0.46</v>
      </c>
      <c r="T45" s="135">
        <f t="shared" si="27"/>
        <v>-27</v>
      </c>
      <c r="U45" s="165">
        <f t="shared" si="28"/>
        <v>123511071.42857142</v>
      </c>
      <c r="V45" s="163">
        <f t="shared" si="29"/>
        <v>0.41170357142857139</v>
      </c>
      <c r="W45" s="166">
        <f t="shared" si="30"/>
        <v>-176488928.5714286</v>
      </c>
      <c r="X45" s="167">
        <f t="shared" si="0"/>
        <v>15</v>
      </c>
      <c r="Y45" s="168">
        <f t="shared" si="1"/>
        <v>-35</v>
      </c>
      <c r="Z45" s="168">
        <f t="shared" si="31"/>
        <v>24.642857142857142</v>
      </c>
      <c r="AA45" s="168">
        <f t="shared" si="32"/>
        <v>-25.357142857142858</v>
      </c>
      <c r="AB45" s="168">
        <f t="shared" si="33"/>
        <v>0.49285714285714283</v>
      </c>
      <c r="AC45" s="238">
        <f t="shared" si="34"/>
        <v>13.5</v>
      </c>
      <c r="AD45" s="141">
        <f t="shared" si="35"/>
        <v>92361500</v>
      </c>
      <c r="AE45" s="169">
        <f>IFERROR(GETPIVOTDATA("Sum of Qty",'[1]DATA LAST MONTH IQOO'!$A$6,"ID Store",$C45),0)</f>
        <v>2</v>
      </c>
      <c r="AF45" s="170">
        <f>IFERROR(GETPIVOTDATA("Sum of Qty",[1]IQOO!$A$6,"ID Store",$C45),0)</f>
        <v>1</v>
      </c>
      <c r="AG45" s="171">
        <f t="shared" si="2"/>
        <v>-1</v>
      </c>
      <c r="AH45" s="172">
        <f t="shared" si="3"/>
        <v>-0.5</v>
      </c>
      <c r="AI45" s="173">
        <f>IFERROR(GETPIVOTDATA("Sum of Qty",'[1]DATA LAST MONTH DEVICE'!$A$6,"ID Store",$C45),0)</f>
        <v>24</v>
      </c>
      <c r="AJ45" s="146">
        <f t="shared" si="36"/>
        <v>23</v>
      </c>
      <c r="AK45" s="174">
        <f t="shared" si="4"/>
        <v>-1</v>
      </c>
      <c r="AL45" s="175">
        <f t="shared" si="5"/>
        <v>-4.1666666666666664E-2</v>
      </c>
      <c r="AM45" s="176">
        <f>IFERROR(GETPIVOTDATA("Sum of Qty",'[1]Store 3mio+ last month'!$A$6,"ID Store",$C45),0)</f>
        <v>28</v>
      </c>
      <c r="AN45" s="144">
        <f t="shared" si="6"/>
        <v>24.642857142857142</v>
      </c>
      <c r="AO45" s="171">
        <f t="shared" si="7"/>
        <v>-3.3571428571428577</v>
      </c>
      <c r="AP45" s="177">
        <f t="shared" si="8"/>
        <v>-0.11989795918367349</v>
      </c>
      <c r="AQ45" s="176">
        <f>IFERROR(GETPIVOTDATA("Sum of Qty",'[1]DATA LAST MONTH DEVICE'!$A$6,"ID Store",$C45,"Segment Price","3mio&gt;"),0)</f>
        <v>15</v>
      </c>
      <c r="AR45" s="178">
        <f t="shared" si="9"/>
        <v>14</v>
      </c>
      <c r="AS45" s="178">
        <f t="shared" si="10"/>
        <v>-1</v>
      </c>
      <c r="AT45" s="172">
        <f t="shared" si="11"/>
        <v>-6.6666666666666666E-2</v>
      </c>
      <c r="AU45" s="179">
        <f>IFERROR(GETPIVOTDATA("Sum of SRP",'[1]DATA LAST MONTH DEVICE'!$A$6,"ID Store",$C45),0)</f>
        <v>127376000</v>
      </c>
      <c r="AV45" s="179">
        <f t="shared" si="37"/>
        <v>115277000</v>
      </c>
      <c r="AW45" s="180">
        <f t="shared" si="12"/>
        <v>-12099000</v>
      </c>
      <c r="AX45" s="181">
        <f t="shared" si="13"/>
        <v>-9.4986496671272458E-2</v>
      </c>
      <c r="AY45" s="182">
        <f>IFERROR(VLOOKUP(C45,'[1]DATA SALES LAST MONTH'!A:E,5,0),0)</f>
        <v>5307333.333333333</v>
      </c>
      <c r="AZ45" s="152">
        <f t="shared" si="38"/>
        <v>5012043.4782608692</v>
      </c>
      <c r="BA45" s="183">
        <f t="shared" si="14"/>
        <v>-295289.85507246386</v>
      </c>
      <c r="BB45" s="172">
        <f t="shared" si="15"/>
        <v>-5.5638083483066932E-2</v>
      </c>
      <c r="BC45" s="153">
        <f>_xlfn.XLOOKUP(D:D,'[1]Target store'!C:C,'[1]Target store'!J:J,0)</f>
        <v>5</v>
      </c>
      <c r="BD45" s="184">
        <f>IFERROR(GETPIVOTDATA("Sum of Qty",[1]ACC!$A$5,"ID Store",$C45),0)</f>
        <v>5</v>
      </c>
      <c r="BE45" s="177">
        <f t="shared" si="16"/>
        <v>1</v>
      </c>
      <c r="BF45" s="154">
        <f>_xlfn.XLOOKUP(D:D,'[1]Target store'!C:C,'[1]Target store'!K:K,0)</f>
        <v>1350000</v>
      </c>
      <c r="BG45" s="185">
        <f>IFERROR(GETPIVOTDATA("Sum of SRP",'[1]Insurance by Store'!$A$5,"ID Store",$C45,"Product Type","Qoala"),0)</f>
        <v>159000</v>
      </c>
      <c r="BH45" s="177">
        <f t="shared" si="17"/>
        <v>0.11777777777777777</v>
      </c>
      <c r="BI45" s="154">
        <f>_xlfn.XLOOKUP(D:D,'[1]Target store'!C:C,'[1]Target store'!L:L,0)</f>
        <v>300000</v>
      </c>
      <c r="BJ45" s="185">
        <f>IFERROR(GETPIVOTDATA("Sum of SRP",'[1]Insurance by Store'!$A$5,"ID Store",$C45,"Product Type","Vivo Care"),0)</f>
        <v>0</v>
      </c>
      <c r="BK45" s="177">
        <f t="shared" si="18"/>
        <v>0</v>
      </c>
      <c r="BL45" s="144">
        <f>_xlfn.XLOOKUP(D:D,'[1]Target store'!C:C,'[1]Target store'!M:M,0)</f>
        <v>600000</v>
      </c>
      <c r="BM45" s="176">
        <f>IFERROR(GETPIVOTDATA("Sum of Qty",'[1]Operator by Store'!$A$5,"ID Store",$C45,"Product Type","Indosat"),0)</f>
        <v>2</v>
      </c>
      <c r="BN45" s="177">
        <f t="shared" si="19"/>
        <v>3.3333333333333333E-6</v>
      </c>
      <c r="BO45" s="144">
        <f>_xlfn.XLOOKUP(D:D,'[1]Target store'!C:C,'[1]Target store'!N:N,0)</f>
        <v>900000</v>
      </c>
      <c r="BP45" s="176">
        <f>IFERROR(GETPIVOTDATA("Sum of Qty",'[1]Operator by Store'!$A$5,"ID Store",$C45,"Product Type","Telkomsel"),0)</f>
        <v>0</v>
      </c>
      <c r="BQ45" s="186">
        <f t="shared" si="20"/>
        <v>0</v>
      </c>
    </row>
    <row r="46" spans="1:69" ht="17" thickBot="1" x14ac:dyDescent="0.25">
      <c r="A46" s="156">
        <v>42</v>
      </c>
      <c r="B46" s="157" t="s">
        <v>64</v>
      </c>
      <c r="C46" s="158">
        <v>6140706</v>
      </c>
      <c r="D46" s="187" t="str">
        <f>IFERROR(INDEX('[1]Target store'!$C$5:$C$47,MATCH($C46&amp;"-*",'[1]Target store'!$C$5:$C$47,0)),"NOT FOUND")</f>
        <v>6140706-23 SEMARANG MALL 1F065-66</v>
      </c>
      <c r="E46" s="187" t="s">
        <v>65</v>
      </c>
      <c r="F46" s="160">
        <v>3</v>
      </c>
      <c r="G46" s="127">
        <f>_xlfn.XLOOKUP(D:D,'[1]Target store'!C:C,'[1]Target store'!F:F,0)</f>
        <v>50</v>
      </c>
      <c r="H46" s="161">
        <f>_xlfn.XLOOKUP(D:D,'[1]Target store'!C:C,'[1]Target store'!G:G,0)</f>
        <v>200000000</v>
      </c>
      <c r="I46" s="162">
        <f>IFERROR(GETPIVOTDATA("Sum of SRP",'[1]DEVICE &amp; VALUE'!$A$6,"ID Store",$C46),0)</f>
        <v>84784000</v>
      </c>
      <c r="J46" s="163">
        <f t="shared" si="21"/>
        <v>0.42392000000000002</v>
      </c>
      <c r="K46" s="164">
        <f t="shared" si="22"/>
        <v>-115216000</v>
      </c>
      <c r="L46" s="132">
        <f>IFERROR(GETPIVOTDATA("Sum of Qty",[1]PF!$A$5,"ID Store",$C46),0)</f>
        <v>2</v>
      </c>
      <c r="M46" s="133">
        <f>IFERROR(GETPIVOTDATA("Sum of Qty",'[1]DEVICE &amp; VALUE'!$A$6,"ID Store",$C46,"Segment Price","3mio&gt;"),0)</f>
        <v>11</v>
      </c>
      <c r="N46" s="134">
        <f t="shared" si="23"/>
        <v>0.6875</v>
      </c>
      <c r="O46" s="135">
        <f>IFERROR(GETPIVOTDATA("Sum of Qty",[1]IQOO!$A$6,"ID Store",$C46),0)</f>
        <v>0</v>
      </c>
      <c r="P46" s="134">
        <f t="shared" si="24"/>
        <v>0</v>
      </c>
      <c r="Q46" s="136">
        <f t="shared" si="25"/>
        <v>0.6875</v>
      </c>
      <c r="R46" s="135">
        <f>IFERROR(GETPIVOTDATA("Sum of Qty",'[1]DEVICE &amp; VALUE'!$A$6,"ID Store",$C46),0)</f>
        <v>16</v>
      </c>
      <c r="S46" s="135">
        <f t="shared" si="26"/>
        <v>0.32</v>
      </c>
      <c r="T46" s="135">
        <f t="shared" si="27"/>
        <v>-34</v>
      </c>
      <c r="U46" s="165">
        <f t="shared" si="28"/>
        <v>90840000</v>
      </c>
      <c r="V46" s="163">
        <f t="shared" si="29"/>
        <v>0.45419999999999999</v>
      </c>
      <c r="W46" s="166">
        <f t="shared" si="30"/>
        <v>-109160000</v>
      </c>
      <c r="X46" s="167">
        <f t="shared" si="0"/>
        <v>11.785714285714285</v>
      </c>
      <c r="Y46" s="168">
        <f t="shared" si="1"/>
        <v>-38.214285714285715</v>
      </c>
      <c r="Z46" s="168">
        <f t="shared" si="31"/>
        <v>17.142857142857142</v>
      </c>
      <c r="AA46" s="168">
        <f t="shared" si="32"/>
        <v>-32.857142857142861</v>
      </c>
      <c r="AB46" s="168">
        <f t="shared" si="33"/>
        <v>0.34285714285714286</v>
      </c>
      <c r="AC46" s="238">
        <f t="shared" si="34"/>
        <v>17</v>
      </c>
      <c r="AD46" s="141">
        <f t="shared" si="35"/>
        <v>57608000</v>
      </c>
      <c r="AE46" s="169">
        <f>IFERROR(GETPIVOTDATA("Sum of Qty",'[1]DATA LAST MONTH IQOO'!$A$6,"ID Store",$C46),0)</f>
        <v>5</v>
      </c>
      <c r="AF46" s="170">
        <f>IFERROR(GETPIVOTDATA("Sum of Qty",[1]IQOO!$A$6,"ID Store",$C46),0)</f>
        <v>0</v>
      </c>
      <c r="AG46" s="171">
        <f t="shared" si="2"/>
        <v>-5</v>
      </c>
      <c r="AH46" s="172">
        <f t="shared" si="3"/>
        <v>-1</v>
      </c>
      <c r="AI46" s="173">
        <f>IFERROR(GETPIVOTDATA("Sum of Qty",'[1]DATA LAST MONTH DEVICE'!$A$6,"ID Store",$C46),0)</f>
        <v>25</v>
      </c>
      <c r="AJ46" s="146">
        <f t="shared" si="36"/>
        <v>16</v>
      </c>
      <c r="AK46" s="174">
        <f t="shared" si="4"/>
        <v>-9</v>
      </c>
      <c r="AL46" s="175">
        <f t="shared" si="5"/>
        <v>-0.36</v>
      </c>
      <c r="AM46" s="176">
        <f>IFERROR(GETPIVOTDATA("Sum of Qty",'[1]Store 3mio+ last month'!$A$6,"ID Store",$C46),0)</f>
        <v>30</v>
      </c>
      <c r="AN46" s="144">
        <f t="shared" si="6"/>
        <v>17.142857142857142</v>
      </c>
      <c r="AO46" s="171">
        <f t="shared" si="7"/>
        <v>-12.857142857142858</v>
      </c>
      <c r="AP46" s="177">
        <f t="shared" si="8"/>
        <v>-0.4285714285714286</v>
      </c>
      <c r="AQ46" s="176">
        <f>IFERROR(GETPIVOTDATA("Sum of Qty",'[1]DATA LAST MONTH DEVICE'!$A$6,"ID Store",$C46,"Segment Price","3mio&gt;"),0)</f>
        <v>14</v>
      </c>
      <c r="AR46" s="178">
        <f t="shared" si="9"/>
        <v>11</v>
      </c>
      <c r="AS46" s="178">
        <f t="shared" si="10"/>
        <v>-3</v>
      </c>
      <c r="AT46" s="172">
        <f t="shared" si="11"/>
        <v>-0.21428571428571427</v>
      </c>
      <c r="AU46" s="179">
        <f>IFERROR(GETPIVOTDATA("Sum of SRP",'[1]DATA LAST MONTH DEVICE'!$A$6,"ID Store",$C46),0)</f>
        <v>159975000</v>
      </c>
      <c r="AV46" s="179">
        <f t="shared" si="37"/>
        <v>84784000</v>
      </c>
      <c r="AW46" s="180">
        <f t="shared" si="12"/>
        <v>-75191000</v>
      </c>
      <c r="AX46" s="181">
        <f t="shared" si="13"/>
        <v>-0.47001719018596655</v>
      </c>
      <c r="AY46" s="182">
        <f>IFERROR(VLOOKUP(C46,'[1]DATA SALES LAST MONTH'!A:E,5,0),0)</f>
        <v>0</v>
      </c>
      <c r="AZ46" s="152">
        <f t="shared" si="38"/>
        <v>5299000</v>
      </c>
      <c r="BA46" s="183">
        <f t="shared" si="14"/>
        <v>5299000</v>
      </c>
      <c r="BB46" s="172">
        <f t="shared" si="15"/>
        <v>0</v>
      </c>
      <c r="BC46" s="153">
        <f>_xlfn.XLOOKUP(D:D,'[1]Target store'!C:C,'[1]Target store'!J:J,0)</f>
        <v>5</v>
      </c>
      <c r="BD46" s="184">
        <f>IFERROR(GETPIVOTDATA("Sum of Qty",[1]ACC!$A$5,"ID Store",$C46),0)</f>
        <v>3</v>
      </c>
      <c r="BE46" s="177">
        <f t="shared" si="16"/>
        <v>0.6</v>
      </c>
      <c r="BF46" s="154">
        <f>_xlfn.XLOOKUP(D:D,'[1]Target store'!C:C,'[1]Target store'!K:K,0)</f>
        <v>900000</v>
      </c>
      <c r="BG46" s="185">
        <f>IFERROR(GETPIVOTDATA("Sum of SRP",'[1]Insurance by Store'!$A$5,"ID Store",$C46,"Product Type","Qoala"),0)</f>
        <v>0</v>
      </c>
      <c r="BH46" s="177">
        <f t="shared" si="17"/>
        <v>0</v>
      </c>
      <c r="BI46" s="154">
        <f>_xlfn.XLOOKUP(D:D,'[1]Target store'!C:C,'[1]Target store'!L:L,0)</f>
        <v>200000</v>
      </c>
      <c r="BJ46" s="185">
        <f>IFERROR(GETPIVOTDATA("Sum of SRP",'[1]Insurance by Store'!$A$5,"ID Store",$C46,"Product Type","Vivo Care"),0)</f>
        <v>0</v>
      </c>
      <c r="BK46" s="177">
        <f t="shared" si="18"/>
        <v>0</v>
      </c>
      <c r="BL46" s="144">
        <f>_xlfn.XLOOKUP(D:D,'[1]Target store'!C:C,'[1]Target store'!M:M,0)</f>
        <v>400000</v>
      </c>
      <c r="BM46" s="176">
        <f>IFERROR(GETPIVOTDATA("Sum of Qty",'[1]Operator by Store'!$A$5,"ID Store",$C46,"Product Type","Indosat"),0)</f>
        <v>1</v>
      </c>
      <c r="BN46" s="177">
        <f t="shared" si="19"/>
        <v>2.5000000000000002E-6</v>
      </c>
      <c r="BO46" s="144">
        <f>_xlfn.XLOOKUP(D:D,'[1]Target store'!C:C,'[1]Target store'!N:N,0)</f>
        <v>600000</v>
      </c>
      <c r="BP46" s="176">
        <f>IFERROR(GETPIVOTDATA("Sum of Qty",'[1]Operator by Store'!$A$5,"ID Store",$C46,"Product Type","Telkomsel"),0)</f>
        <v>0</v>
      </c>
      <c r="BQ46" s="186">
        <f t="shared" si="20"/>
        <v>0</v>
      </c>
    </row>
    <row r="47" spans="1:69" ht="17" thickBot="1" x14ac:dyDescent="0.25">
      <c r="A47" s="189">
        <v>43</v>
      </c>
      <c r="B47" s="157" t="s">
        <v>64</v>
      </c>
      <c r="C47" s="191">
        <v>6140705</v>
      </c>
      <c r="D47" s="192" t="str">
        <f>IFERROR(INDEX('[1]Target store'!$C$5:$C$47,MATCH($C47&amp;"-*",'[1]Target store'!$C$5:$C$47,0)),"NOT FOUND")</f>
        <v>6140705-QUEENCITY 2F027</v>
      </c>
      <c r="E47" s="187" t="s">
        <v>65</v>
      </c>
      <c r="F47" s="193">
        <v>3</v>
      </c>
      <c r="G47" s="127">
        <f>_xlfn.XLOOKUP(D:D,'[1]Target store'!C:C,'[1]Target store'!F:F,0)</f>
        <v>60</v>
      </c>
      <c r="H47" s="161">
        <f>_xlfn.XLOOKUP(D:D,'[1]Target store'!C:C,'[1]Target store'!G:G,0)</f>
        <v>350000000</v>
      </c>
      <c r="I47" s="162">
        <f>IFERROR(GETPIVOTDATA("Sum of SRP",'[1]DEVICE &amp; VALUE'!$A$6,"ID Store",$C47),0)</f>
        <v>401047000</v>
      </c>
      <c r="J47" s="163">
        <f t="shared" si="21"/>
        <v>1.1458485714285713</v>
      </c>
      <c r="K47" s="164">
        <f t="shared" si="22"/>
        <v>51047000</v>
      </c>
      <c r="L47" s="132">
        <f>IFERROR(GETPIVOTDATA("Sum of Qty",[1]PF!$A$5,"ID Store",$C47),0)</f>
        <v>2</v>
      </c>
      <c r="M47" s="133">
        <f>IFERROR(GETPIVOTDATA("Sum of Qty",'[1]DEVICE &amp; VALUE'!$A$6,"ID Store",$C47,"Segment Price","3mio&gt;"),0)</f>
        <v>49</v>
      </c>
      <c r="N47" s="134">
        <f t="shared" si="23"/>
        <v>0.92452830188679247</v>
      </c>
      <c r="O47" s="135">
        <f>IFERROR(GETPIVOTDATA("Sum of Qty",[1]IQOO!$A$6,"ID Store",$C47),0)</f>
        <v>3</v>
      </c>
      <c r="P47" s="134">
        <f t="shared" si="24"/>
        <v>5.6603773584905662E-2</v>
      </c>
      <c r="Q47" s="136">
        <f t="shared" si="25"/>
        <v>0.92452830188679247</v>
      </c>
      <c r="R47" s="135">
        <f>IFERROR(GETPIVOTDATA("Sum of Qty",'[1]DEVICE &amp; VALUE'!$A$6,"ID Store",$C47),0)</f>
        <v>53</v>
      </c>
      <c r="S47" s="135">
        <f t="shared" si="26"/>
        <v>0.8833333333333333</v>
      </c>
      <c r="T47" s="135">
        <f t="shared" si="27"/>
        <v>-7</v>
      </c>
      <c r="U47" s="165">
        <f t="shared" si="28"/>
        <v>429693214.28571433</v>
      </c>
      <c r="V47" s="163">
        <f t="shared" si="29"/>
        <v>1.2276948979591837</v>
      </c>
      <c r="W47" s="166">
        <f t="shared" si="30"/>
        <v>79693214.285714328</v>
      </c>
      <c r="X47" s="194">
        <f t="shared" si="0"/>
        <v>52.5</v>
      </c>
      <c r="Y47" s="195">
        <f t="shared" si="1"/>
        <v>-7.5</v>
      </c>
      <c r="Z47" s="195">
        <f t="shared" si="31"/>
        <v>56.785714285714285</v>
      </c>
      <c r="AA47" s="195">
        <f t="shared" si="32"/>
        <v>-3.2142857142857153</v>
      </c>
      <c r="AB47" s="195">
        <f t="shared" si="33"/>
        <v>0.9464285714285714</v>
      </c>
      <c r="AC47" s="238">
        <f t="shared" si="34"/>
        <v>3.5</v>
      </c>
      <c r="AD47" s="141">
        <f t="shared" si="35"/>
        <v>-25523500</v>
      </c>
      <c r="AE47" s="196">
        <f>IFERROR(GETPIVOTDATA("Sum of Qty",'[1]DATA LAST MONTH IQOO'!$A$6,"ID Store",$C47),0)</f>
        <v>9</v>
      </c>
      <c r="AF47" s="197">
        <f>IFERROR(GETPIVOTDATA("Sum of Qty",[1]IQOO!$A$6,"ID Store",$C47),0)</f>
        <v>3</v>
      </c>
      <c r="AG47" s="198">
        <f t="shared" si="2"/>
        <v>-6</v>
      </c>
      <c r="AH47" s="199">
        <f t="shared" si="3"/>
        <v>-0.66666666666666663</v>
      </c>
      <c r="AI47" s="200">
        <f>IFERROR(GETPIVOTDATA("Sum of Qty",'[1]DATA LAST MONTH DEVICE'!$A$6,"ID Store",$C47),0)</f>
        <v>42</v>
      </c>
      <c r="AJ47" s="146">
        <f t="shared" si="36"/>
        <v>53</v>
      </c>
      <c r="AK47" s="201">
        <f t="shared" si="4"/>
        <v>11</v>
      </c>
      <c r="AL47" s="202">
        <f t="shared" si="5"/>
        <v>0.26190476190476192</v>
      </c>
      <c r="AM47" s="203">
        <f>IFERROR(GETPIVOTDATA("Sum of Qty",'[1]Store 3mio+ last month'!$A$6,"ID Store",$C47),0)</f>
        <v>45</v>
      </c>
      <c r="AN47" s="144">
        <f t="shared" si="6"/>
        <v>56.785714285714285</v>
      </c>
      <c r="AO47" s="198">
        <f t="shared" si="7"/>
        <v>11.785714285714285</v>
      </c>
      <c r="AP47" s="204">
        <f t="shared" si="8"/>
        <v>0.26190476190476186</v>
      </c>
      <c r="AQ47" s="203">
        <f>IFERROR(GETPIVOTDATA("Sum of Qty",'[1]DATA LAST MONTH DEVICE'!$A$6,"ID Store",$C47,"Segment Price","3mio&gt;"),0)</f>
        <v>30</v>
      </c>
      <c r="AR47" s="205">
        <f t="shared" si="9"/>
        <v>49</v>
      </c>
      <c r="AS47" s="205">
        <f t="shared" si="10"/>
        <v>19</v>
      </c>
      <c r="AT47" s="199">
        <f t="shared" si="11"/>
        <v>0.6333333333333333</v>
      </c>
      <c r="AU47" s="206">
        <f>IFERROR(GETPIVOTDATA("Sum of SRP",'[1]DATA LAST MONTH DEVICE'!$A$6,"ID Store",$C47),0)</f>
        <v>239458000</v>
      </c>
      <c r="AV47" s="206">
        <f t="shared" si="37"/>
        <v>401047000</v>
      </c>
      <c r="AW47" s="207">
        <f t="shared" si="12"/>
        <v>161589000</v>
      </c>
      <c r="AX47" s="208">
        <f t="shared" si="13"/>
        <v>0.67481144918941949</v>
      </c>
      <c r="AY47" s="209">
        <f>IFERROR(VLOOKUP(C47,'[1]DATA SALES LAST MONTH'!A:E,5,0),0)</f>
        <v>5701380.9523809524</v>
      </c>
      <c r="AZ47" s="152">
        <f t="shared" si="38"/>
        <v>7566924.5283018872</v>
      </c>
      <c r="BA47" s="210">
        <f t="shared" si="14"/>
        <v>1865543.5759209348</v>
      </c>
      <c r="BB47" s="199">
        <f t="shared" si="15"/>
        <v>0.32720907294255885</v>
      </c>
      <c r="BC47" s="153">
        <f>_xlfn.XLOOKUP(D:D,'[1]Target store'!C:C,'[1]Target store'!J:J,0)</f>
        <v>6</v>
      </c>
      <c r="BD47" s="211">
        <f>IFERROR(GETPIVOTDATA("Sum of Qty",[1]ACC!$A$5,"ID Store",$C47),0)</f>
        <v>7</v>
      </c>
      <c r="BE47" s="204">
        <f t="shared" si="16"/>
        <v>1.1666666666666667</v>
      </c>
      <c r="BF47" s="154">
        <f>_xlfn.XLOOKUP(D:D,'[1]Target store'!C:C,'[1]Target store'!K:K,0)</f>
        <v>1575000</v>
      </c>
      <c r="BG47" s="212">
        <f>IFERROR(GETPIVOTDATA("Sum of SRP",'[1]Insurance by Store'!$A$5,"ID Store",$C47,"Product Type","Qoala"),0)</f>
        <v>329000</v>
      </c>
      <c r="BH47" s="204">
        <f t="shared" si="17"/>
        <v>0.2088888888888889</v>
      </c>
      <c r="BI47" s="154">
        <f>_xlfn.XLOOKUP(D:D,'[1]Target store'!C:C,'[1]Target store'!L:L,0)</f>
        <v>350000</v>
      </c>
      <c r="BJ47" s="212">
        <f>IFERROR(GETPIVOTDATA("Sum of SRP",'[1]Insurance by Store'!$A$5,"ID Store",$C47,"Product Type","Vivo Care"),0)</f>
        <v>0</v>
      </c>
      <c r="BK47" s="204">
        <f t="shared" si="18"/>
        <v>0</v>
      </c>
      <c r="BL47" s="144">
        <f>_xlfn.XLOOKUP(D:D,'[1]Target store'!C:C,'[1]Target store'!M:M,0)</f>
        <v>700000</v>
      </c>
      <c r="BM47" s="203">
        <f>IFERROR(GETPIVOTDATA("Sum of Qty",'[1]Operator by Store'!$A$5,"ID Store",$C47,"Product Type","Indosat"),0)</f>
        <v>0</v>
      </c>
      <c r="BN47" s="204">
        <f t="shared" si="19"/>
        <v>0</v>
      </c>
      <c r="BO47" s="144">
        <f>_xlfn.XLOOKUP(D:D,'[1]Target store'!C:C,'[1]Target store'!N:N,0)</f>
        <v>1050000</v>
      </c>
      <c r="BP47" s="203">
        <f>IFERROR(GETPIVOTDATA("Sum of Qty",'[1]Operator by Store'!$A$5,"ID Store",$C47,"Product Type","Telkomsel"),0)</f>
        <v>0</v>
      </c>
      <c r="BQ47" s="213">
        <f t="shared" si="20"/>
        <v>0</v>
      </c>
    </row>
    <row r="48" spans="1:69" ht="17" thickBot="1" x14ac:dyDescent="0.25">
      <c r="A48" s="189">
        <v>44</v>
      </c>
      <c r="B48" s="157" t="s">
        <v>64</v>
      </c>
      <c r="C48" s="191">
        <v>6140703</v>
      </c>
      <c r="D48" s="192" t="s">
        <v>362</v>
      </c>
      <c r="E48" s="187" t="s">
        <v>363</v>
      </c>
      <c r="F48" s="193">
        <v>1</v>
      </c>
      <c r="G48" s="127">
        <f>_xlfn.XLOOKUP(D:D,'[1]Target store'!C:C,'[1]Target store'!F:F,0)</f>
        <v>0</v>
      </c>
      <c r="H48" s="161">
        <f>_xlfn.XLOOKUP(D:D,'[1]Target store'!C:C,'[1]Target store'!G:G,0)</f>
        <v>0</v>
      </c>
      <c r="I48" s="162">
        <f>IFERROR(GETPIVOTDATA("Sum of SRP",'[1]DEVICE &amp; VALUE'!$A$6,"ID Store",$C48),0)</f>
        <v>47387000</v>
      </c>
      <c r="J48" s="163">
        <f t="shared" si="21"/>
        <v>0</v>
      </c>
      <c r="K48" s="164">
        <f t="shared" si="22"/>
        <v>47387000</v>
      </c>
      <c r="L48" s="132">
        <f>IFERROR(GETPIVOTDATA("Sum of Qty",[1]PF!$A$5,"ID Store",$C48),0)</f>
        <v>2</v>
      </c>
      <c r="M48" s="133">
        <f>IFERROR(GETPIVOTDATA("Sum of Qty",'[1]DEVICE &amp; VALUE'!$A$6,"ID Store",$C48,"Segment Price","3mio&gt;"),0)</f>
        <v>6</v>
      </c>
      <c r="N48" s="134">
        <f t="shared" si="23"/>
        <v>0.46153846153846156</v>
      </c>
      <c r="O48" s="135">
        <f>IFERROR(GETPIVOTDATA("Sum of Qty",[1]IQOO!$A$6,"ID Store",$C48),0)</f>
        <v>0</v>
      </c>
      <c r="P48" s="134">
        <f t="shared" si="24"/>
        <v>0</v>
      </c>
      <c r="Q48" s="136">
        <f t="shared" si="25"/>
        <v>0.46153846153846156</v>
      </c>
      <c r="R48" s="135">
        <f>IFERROR(GETPIVOTDATA("Sum of Qty",'[1]DEVICE &amp; VALUE'!$A$6,"ID Store",$C48),0)</f>
        <v>13</v>
      </c>
      <c r="S48" s="135" t="e">
        <f t="shared" si="26"/>
        <v>#DIV/0!</v>
      </c>
      <c r="T48" s="135">
        <f t="shared" si="27"/>
        <v>13</v>
      </c>
      <c r="U48" s="165">
        <f t="shared" si="28"/>
        <v>50771785.714285709</v>
      </c>
      <c r="V48" s="163">
        <f t="shared" si="29"/>
        <v>0</v>
      </c>
      <c r="W48" s="166">
        <f t="shared" si="30"/>
        <v>50771785.714285709</v>
      </c>
      <c r="X48" s="194">
        <f t="shared" si="0"/>
        <v>6.4285714285714279</v>
      </c>
      <c r="Y48" s="195">
        <f t="shared" si="1"/>
        <v>6.4285714285714279</v>
      </c>
      <c r="Z48" s="195">
        <f t="shared" si="31"/>
        <v>13.928571428571429</v>
      </c>
      <c r="AA48" s="195">
        <f t="shared" si="32"/>
        <v>13.928571428571429</v>
      </c>
      <c r="AB48" s="195">
        <f t="shared" si="33"/>
        <v>0</v>
      </c>
      <c r="AC48" s="238">
        <f t="shared" si="34"/>
        <v>-6.5</v>
      </c>
      <c r="AD48" s="141">
        <f t="shared" si="35"/>
        <v>-23693500</v>
      </c>
      <c r="AE48" s="196">
        <f>IFERROR(GETPIVOTDATA("Sum of Qty",'[1]DATA LAST MONTH IQOO'!$A$6,"ID Store",$C48),0)</f>
        <v>0</v>
      </c>
      <c r="AF48" s="197">
        <f>IFERROR(GETPIVOTDATA("Sum of Qty",[1]IQOO!$A$6,"ID Store",$C48),0)</f>
        <v>0</v>
      </c>
      <c r="AG48" s="198">
        <f t="shared" si="2"/>
        <v>0</v>
      </c>
      <c r="AH48" s="199">
        <f t="shared" si="3"/>
        <v>0</v>
      </c>
      <c r="AI48" s="200">
        <f>IFERROR(GETPIVOTDATA("Sum of Qty",'[1]DATA LAST MONTH DEVICE'!$A$6,"ID Store",$C48),0)</f>
        <v>0</v>
      </c>
      <c r="AJ48" s="146">
        <f t="shared" si="36"/>
        <v>13</v>
      </c>
      <c r="AK48" s="201">
        <f t="shared" si="4"/>
        <v>13</v>
      </c>
      <c r="AL48" s="202">
        <f t="shared" si="5"/>
        <v>0</v>
      </c>
      <c r="AM48" s="203">
        <f>IFERROR(GETPIVOTDATA("Sum of Qty",'[1]Store 3mio+ last month'!$A$6,"ID Store",$C48),0)</f>
        <v>0</v>
      </c>
      <c r="AN48" s="144">
        <f t="shared" si="6"/>
        <v>13.928571428571429</v>
      </c>
      <c r="AO48" s="198">
        <f t="shared" si="7"/>
        <v>13.928571428571429</v>
      </c>
      <c r="AP48" s="204">
        <f t="shared" si="8"/>
        <v>0</v>
      </c>
      <c r="AQ48" s="203">
        <f>IFERROR(GETPIVOTDATA("Sum of Qty",'[1]DATA LAST MONTH DEVICE'!$A$6,"ID Store",$C48,"Segment Price","3mio&gt;"),0)</f>
        <v>0</v>
      </c>
      <c r="AR48" s="205">
        <f t="shared" si="9"/>
        <v>6</v>
      </c>
      <c r="AS48" s="205">
        <f t="shared" si="10"/>
        <v>6</v>
      </c>
      <c r="AT48" s="199">
        <f t="shared" si="11"/>
        <v>0</v>
      </c>
      <c r="AU48" s="206">
        <f>IFERROR(GETPIVOTDATA("Sum of SRP",'[1]DATA LAST MONTH DEVICE'!$A$6,"ID Store",$C48),0)</f>
        <v>0</v>
      </c>
      <c r="AV48" s="206">
        <f t="shared" si="37"/>
        <v>47387000</v>
      </c>
      <c r="AW48" s="207">
        <f t="shared" si="12"/>
        <v>47387000</v>
      </c>
      <c r="AX48" s="208">
        <f t="shared" si="13"/>
        <v>0</v>
      </c>
      <c r="AY48" s="209">
        <f>IFERROR(VLOOKUP(C48,'[1]DATA SALES LAST MONTH'!A:E,5,0),0)</f>
        <v>0</v>
      </c>
      <c r="AZ48" s="152">
        <f t="shared" si="38"/>
        <v>3645153.8461538455</v>
      </c>
      <c r="BA48" s="210">
        <f t="shared" si="14"/>
        <v>3645153.8461538455</v>
      </c>
      <c r="BB48" s="199">
        <f t="shared" si="15"/>
        <v>0</v>
      </c>
      <c r="BC48" s="153">
        <f>_xlfn.XLOOKUP(D:D,'[1]Target store'!C:C,'[1]Target store'!J:J,0)</f>
        <v>0</v>
      </c>
      <c r="BD48" s="211">
        <f>IFERROR(GETPIVOTDATA("Sum of Qty",[1]ACC!$A$5,"ID Store",$C48),0)</f>
        <v>0</v>
      </c>
      <c r="BE48" s="204">
        <f t="shared" si="16"/>
        <v>0</v>
      </c>
      <c r="BF48" s="154">
        <f>_xlfn.XLOOKUP(D:D,'[1]Target store'!C:C,'[1]Target store'!K:K,0)</f>
        <v>0</v>
      </c>
      <c r="BG48" s="212">
        <f>IFERROR(GETPIVOTDATA("Sum of SRP",'[1]Insurance by Store'!$A$5,"ID Store",$C48,"Product Type","Qoala"),0)</f>
        <v>329000</v>
      </c>
      <c r="BH48" s="204">
        <f t="shared" si="17"/>
        <v>0</v>
      </c>
      <c r="BI48" s="154">
        <f>_xlfn.XLOOKUP(D:D,'[1]Target store'!C:C,'[1]Target store'!L:L,0)</f>
        <v>0</v>
      </c>
      <c r="BJ48" s="212">
        <f>IFERROR(GETPIVOTDATA("Sum of SRP",'[1]Insurance by Store'!$A$5,"ID Store",$C48,"Product Type","Vivo Care"),0)</f>
        <v>0</v>
      </c>
      <c r="BK48" s="204">
        <f t="shared" si="18"/>
        <v>0</v>
      </c>
      <c r="BL48" s="144">
        <f>_xlfn.XLOOKUP(D:D,'[1]Target store'!C:C,'[1]Target store'!M:M,0)</f>
        <v>0</v>
      </c>
      <c r="BM48" s="203">
        <f>IFERROR(GETPIVOTDATA("Sum of Qty",'[1]Operator by Store'!$A$5,"ID Store",$C48,"Product Type","Indosat"),0)</f>
        <v>0</v>
      </c>
      <c r="BN48" s="204">
        <f t="shared" si="19"/>
        <v>0</v>
      </c>
      <c r="BO48" s="144">
        <f>_xlfn.XLOOKUP(D:D,'[1]Target store'!C:C,'[1]Target store'!N:N,0)</f>
        <v>0</v>
      </c>
      <c r="BP48" s="203">
        <f>IFERROR(GETPIVOTDATA("Sum of Qty",'[1]Operator by Store'!$A$5,"ID Store",$C48,"Product Type","Telkomsel"),0)</f>
        <v>0</v>
      </c>
      <c r="BQ48" s="213">
        <f t="shared" si="20"/>
        <v>0</v>
      </c>
    </row>
    <row r="49" spans="1:69" ht="17" thickBot="1" x14ac:dyDescent="0.25">
      <c r="A49" s="189">
        <v>45</v>
      </c>
      <c r="B49" s="190" t="s">
        <v>364</v>
      </c>
      <c r="C49" s="191">
        <v>6130703</v>
      </c>
      <c r="D49" s="192" t="s">
        <v>365</v>
      </c>
      <c r="E49" s="187" t="s">
        <v>63</v>
      </c>
      <c r="F49" s="193">
        <v>2</v>
      </c>
      <c r="G49" s="127">
        <f>_xlfn.XLOOKUP(D:D,'[1]Target store'!C:C,'[1]Target store'!F:F,0)</f>
        <v>0</v>
      </c>
      <c r="H49" s="161">
        <f>_xlfn.XLOOKUP(D:D,'[1]Target store'!C:C,'[1]Target store'!G:G,0)</f>
        <v>0</v>
      </c>
      <c r="I49" s="162">
        <f>IFERROR(GETPIVOTDATA("Sum of SRP",'[1]DEVICE &amp; VALUE'!$A$6,"ID Store",$C49),0)</f>
        <v>29491000</v>
      </c>
      <c r="J49" s="163">
        <f t="shared" si="21"/>
        <v>0</v>
      </c>
      <c r="K49" s="164">
        <f t="shared" si="22"/>
        <v>29491000</v>
      </c>
      <c r="L49" s="132">
        <f>IFERROR(GETPIVOTDATA("Sum of Qty",[1]PF!$A$5,"ID Store",$C49),0)</f>
        <v>0</v>
      </c>
      <c r="M49" s="133">
        <f>IFERROR(GETPIVOTDATA("Sum of Qty",'[1]DEVICE &amp; VALUE'!$A$6,"ID Store",$C49,"Segment Price","3mio&gt;"),0)</f>
        <v>3</v>
      </c>
      <c r="N49" s="134">
        <f t="shared" si="23"/>
        <v>0.33333333333333331</v>
      </c>
      <c r="O49" s="135">
        <f>IFERROR(GETPIVOTDATA("Sum of Qty",[1]IQOO!$A$6,"ID Store",$C49),0)</f>
        <v>0</v>
      </c>
      <c r="P49" s="134">
        <f t="shared" si="24"/>
        <v>0</v>
      </c>
      <c r="Q49" s="136">
        <f t="shared" si="25"/>
        <v>0.33333333333333331</v>
      </c>
      <c r="R49" s="135">
        <f>IFERROR(GETPIVOTDATA("Sum of Qty",'[1]DEVICE &amp; VALUE'!$A$6,"ID Store",$C49),0)</f>
        <v>9</v>
      </c>
      <c r="S49" s="135" t="e">
        <f t="shared" si="26"/>
        <v>#DIV/0!</v>
      </c>
      <c r="T49" s="135">
        <f t="shared" si="27"/>
        <v>9</v>
      </c>
      <c r="U49" s="165">
        <f t="shared" si="28"/>
        <v>31597500</v>
      </c>
      <c r="V49" s="163">
        <f t="shared" si="29"/>
        <v>0</v>
      </c>
      <c r="W49" s="166">
        <f t="shared" si="30"/>
        <v>31597500</v>
      </c>
      <c r="X49" s="194">
        <f t="shared" si="0"/>
        <v>3.214285714285714</v>
      </c>
      <c r="Y49" s="195">
        <f t="shared" si="1"/>
        <v>3.214285714285714</v>
      </c>
      <c r="Z49" s="195">
        <f t="shared" si="31"/>
        <v>9.6428571428571441</v>
      </c>
      <c r="AA49" s="195">
        <f t="shared" si="32"/>
        <v>9.6428571428571441</v>
      </c>
      <c r="AB49" s="195">
        <f t="shared" si="33"/>
        <v>0</v>
      </c>
      <c r="AC49" s="238">
        <f t="shared" si="34"/>
        <v>-4.5</v>
      </c>
      <c r="AD49" s="141">
        <f t="shared" si="35"/>
        <v>-14745500</v>
      </c>
      <c r="AE49" s="196">
        <f>IFERROR(GETPIVOTDATA("Sum of Qty",'[1]DATA LAST MONTH IQOO'!$A$6,"ID Store",$C49),0)</f>
        <v>0</v>
      </c>
      <c r="AF49" s="197">
        <f>IFERROR(GETPIVOTDATA("Sum of Qty",[1]IQOO!$A$6,"ID Store",$C49),0)</f>
        <v>0</v>
      </c>
      <c r="AG49" s="198">
        <f t="shared" si="2"/>
        <v>0</v>
      </c>
      <c r="AH49" s="199">
        <f t="shared" si="3"/>
        <v>0</v>
      </c>
      <c r="AI49" s="200">
        <f>IFERROR(GETPIVOTDATA("Sum of Qty",'[1]DATA LAST MONTH DEVICE'!$A$6,"ID Store",$C49),0)</f>
        <v>0</v>
      </c>
      <c r="AJ49" s="146">
        <f t="shared" si="36"/>
        <v>9</v>
      </c>
      <c r="AK49" s="201">
        <f t="shared" si="4"/>
        <v>9</v>
      </c>
      <c r="AL49" s="202">
        <f t="shared" si="5"/>
        <v>0</v>
      </c>
      <c r="AM49" s="203">
        <f>IFERROR(GETPIVOTDATA("Sum of Qty",'[1]Store 3mio+ last month'!$A$6,"ID Store",$C49),0)</f>
        <v>0</v>
      </c>
      <c r="AN49" s="144">
        <f t="shared" si="6"/>
        <v>9.6428571428571441</v>
      </c>
      <c r="AO49" s="198">
        <f t="shared" si="7"/>
        <v>9.6428571428571441</v>
      </c>
      <c r="AP49" s="204">
        <f t="shared" si="8"/>
        <v>0</v>
      </c>
      <c r="AQ49" s="203">
        <f>IFERROR(GETPIVOTDATA("Sum of Qty",'[1]DATA LAST MONTH DEVICE'!$A$6,"ID Store",$C49,"Segment Price","3mio&gt;"),0)</f>
        <v>0</v>
      </c>
      <c r="AR49" s="205">
        <f t="shared" si="9"/>
        <v>3</v>
      </c>
      <c r="AS49" s="205">
        <f t="shared" si="10"/>
        <v>3</v>
      </c>
      <c r="AT49" s="199">
        <f t="shared" si="11"/>
        <v>0</v>
      </c>
      <c r="AU49" s="206">
        <f>IFERROR(GETPIVOTDATA("Sum of SRP",'[1]DATA LAST MONTH DEVICE'!$A$6,"ID Store",$C49),0)</f>
        <v>0</v>
      </c>
      <c r="AV49" s="206">
        <f t="shared" si="37"/>
        <v>29491000</v>
      </c>
      <c r="AW49" s="207">
        <f t="shared" si="12"/>
        <v>29491000</v>
      </c>
      <c r="AX49" s="208">
        <f t="shared" si="13"/>
        <v>0</v>
      </c>
      <c r="AY49" s="209">
        <f>IFERROR(VLOOKUP(C49,'[1]DATA SALES LAST MONTH'!A:E,5,0),0)</f>
        <v>0</v>
      </c>
      <c r="AZ49" s="152">
        <f t="shared" si="38"/>
        <v>3276777.7777777775</v>
      </c>
      <c r="BA49" s="210">
        <f t="shared" si="14"/>
        <v>3276777.7777777775</v>
      </c>
      <c r="BB49" s="199">
        <f t="shared" si="15"/>
        <v>0</v>
      </c>
      <c r="BC49" s="153">
        <f>_xlfn.XLOOKUP(D:D,'[1]Target store'!C:C,'[1]Target store'!J:J,0)</f>
        <v>0</v>
      </c>
      <c r="BD49" s="211">
        <f>IFERROR(GETPIVOTDATA("Sum of Qty",[1]ACC!$A$5,"ID Store",$C49),0)</f>
        <v>0</v>
      </c>
      <c r="BE49" s="204">
        <f t="shared" si="16"/>
        <v>0</v>
      </c>
      <c r="BF49" s="154">
        <f>_xlfn.XLOOKUP(D:D,'[1]Target store'!C:C,'[1]Target store'!K:K,0)</f>
        <v>0</v>
      </c>
      <c r="BG49" s="212">
        <f>IFERROR(GETPIVOTDATA("Sum of SRP",'[1]Insurance by Store'!$A$5,"ID Store",$C49,"Product Type","Qoala"),0)</f>
        <v>0</v>
      </c>
      <c r="BH49" s="204">
        <f t="shared" si="17"/>
        <v>0</v>
      </c>
      <c r="BI49" s="154">
        <f>_xlfn.XLOOKUP(D:D,'[1]Target store'!C:C,'[1]Target store'!L:L,0)</f>
        <v>0</v>
      </c>
      <c r="BJ49" s="212">
        <f>IFERROR(GETPIVOTDATA("Sum of SRP",'[1]Insurance by Store'!$A$5,"ID Store",$C49,"Product Type","Vivo Care"),0)</f>
        <v>0</v>
      </c>
      <c r="BK49" s="204">
        <f t="shared" si="18"/>
        <v>0</v>
      </c>
      <c r="BL49" s="144">
        <f>_xlfn.XLOOKUP(D:D,'[1]Target store'!C:C,'[1]Target store'!M:M,0)</f>
        <v>0</v>
      </c>
      <c r="BM49" s="203">
        <f>IFERROR(GETPIVOTDATA("Sum of Qty",'[1]Operator by Store'!$A$5,"ID Store",$C49,"Product Type","Indosat"),0)</f>
        <v>0</v>
      </c>
      <c r="BN49" s="204">
        <f t="shared" si="19"/>
        <v>0</v>
      </c>
      <c r="BO49" s="144">
        <f>_xlfn.XLOOKUP(D:D,'[1]Target store'!C:C,'[1]Target store'!N:N,0)</f>
        <v>0</v>
      </c>
      <c r="BP49" s="203">
        <f>IFERROR(GETPIVOTDATA("Sum of Qty",'[1]Operator by Store'!$A$5,"ID Store",$C49,"Product Type","Telkomsel"),0)</f>
        <v>0</v>
      </c>
      <c r="BQ49" s="213">
        <f t="shared" si="20"/>
        <v>0</v>
      </c>
    </row>
    <row r="50" spans="1:69" ht="17" thickBot="1" x14ac:dyDescent="0.25">
      <c r="A50" s="266" t="s">
        <v>67</v>
      </c>
      <c r="B50" s="267"/>
      <c r="C50" s="267"/>
      <c r="D50" s="267"/>
      <c r="E50" s="267"/>
      <c r="F50" s="38">
        <f>SUM(F5:F49)</f>
        <v>122</v>
      </c>
      <c r="G50" s="39">
        <f>SUM(G5:G49)</f>
        <v>3400</v>
      </c>
      <c r="H50" s="40">
        <f>SUM(H5:H49)</f>
        <v>14520000000</v>
      </c>
      <c r="I50" s="41">
        <f>SUM(I5:I49)</f>
        <v>11461507000</v>
      </c>
      <c r="J50" s="42">
        <f>I50/H50</f>
        <v>0.78935998622589532</v>
      </c>
      <c r="K50" s="43">
        <f>I50-H50</f>
        <v>-3058493000</v>
      </c>
      <c r="L50" s="44">
        <f>SUM(L5:L49)</f>
        <v>370</v>
      </c>
      <c r="M50" s="37">
        <f>SUM(M5:M49)</f>
        <v>1332</v>
      </c>
      <c r="N50" s="45">
        <f>M50/R50</f>
        <v>0.47690655209452204</v>
      </c>
      <c r="O50" s="46">
        <f>SUM(O5:O49)</f>
        <v>42</v>
      </c>
      <c r="P50" s="45">
        <f>O50/R50</f>
        <v>1.5037593984962405E-2</v>
      </c>
      <c r="Q50" s="47">
        <f>M50/R50</f>
        <v>0.47690655209452204</v>
      </c>
      <c r="R50" s="49">
        <f>SUM(R5:R49)</f>
        <v>2793</v>
      </c>
      <c r="S50" s="49">
        <f>R50/G50</f>
        <v>0.82147058823529406</v>
      </c>
      <c r="T50" s="49">
        <f>R50-G50</f>
        <v>-607</v>
      </c>
      <c r="U50" s="41">
        <f>SUM(U5:U49)</f>
        <v>12280186071.42857</v>
      </c>
      <c r="V50" s="42">
        <f>U50/H50</f>
        <v>0.84574284238488773</v>
      </c>
      <c r="W50" s="43">
        <f>U50-H50</f>
        <v>-2239813928.5714302</v>
      </c>
      <c r="X50" s="48">
        <f>SUM(X5:X49)</f>
        <v>1427.1428571428571</v>
      </c>
      <c r="Y50" s="49">
        <f>X50-G50</f>
        <v>-1972.8571428571429</v>
      </c>
      <c r="Z50" s="49">
        <f>SUM(Z5:Z49)</f>
        <v>2992.5000000000014</v>
      </c>
      <c r="AA50" s="49">
        <f>Z50-G50</f>
        <v>-407.49999999999864</v>
      </c>
      <c r="AB50" s="49">
        <f>Z50/G50</f>
        <v>0.88014705882352984</v>
      </c>
      <c r="AC50" s="239">
        <f>SUM(AC5:AC49)</f>
        <v>303.5</v>
      </c>
      <c r="AD50" s="50">
        <f>SUM(AD5:AD49)</f>
        <v>1529246500</v>
      </c>
      <c r="AE50" s="48">
        <f>SUM(AE5:AE49)</f>
        <v>102</v>
      </c>
      <c r="AF50" s="48">
        <f>SUM(AF5:AF49)</f>
        <v>42</v>
      </c>
      <c r="AG50" s="46">
        <f>AF50-AE50</f>
        <v>-60</v>
      </c>
      <c r="AH50" s="47">
        <f>AG50/AE50</f>
        <v>-0.58823529411764708</v>
      </c>
      <c r="AI50" s="51">
        <f>SUM(AI5:AI49)</f>
        <v>2869</v>
      </c>
      <c r="AJ50" s="52">
        <f>SUM(AJ5:AJ49)</f>
        <v>2793</v>
      </c>
      <c r="AK50" s="53">
        <f>AJ50-AI50</f>
        <v>-76</v>
      </c>
      <c r="AL50" s="54">
        <f>AK50/AI50</f>
        <v>-2.6490066225165563E-2</v>
      </c>
      <c r="AM50" s="37">
        <f>SUM(AM5:AM49)</f>
        <v>3260</v>
      </c>
      <c r="AN50" s="46">
        <f>SUM(AN5:AN49)</f>
        <v>2992.5000000000014</v>
      </c>
      <c r="AO50" s="46">
        <f>AN50-AM50</f>
        <v>-267.49999999999864</v>
      </c>
      <c r="AP50" s="45">
        <f>AO50/AM50</f>
        <v>-8.2055214723925962E-2</v>
      </c>
      <c r="AQ50" s="37">
        <f>SUM(AQ5:AQ49)</f>
        <v>1104</v>
      </c>
      <c r="AR50" s="46">
        <f>SUM(AR5:AR49)</f>
        <v>1332</v>
      </c>
      <c r="AS50" s="46">
        <f>AR50-AQ50</f>
        <v>228</v>
      </c>
      <c r="AT50" s="47">
        <f>AS50/AQ50</f>
        <v>0.20652173913043478</v>
      </c>
      <c r="AU50" s="41">
        <f>SUM(AU5:AU49)</f>
        <v>10917231000</v>
      </c>
      <c r="AV50" s="41">
        <f>SUM(AV5:AV49)</f>
        <v>11461507000</v>
      </c>
      <c r="AW50" s="55">
        <f>AV50-AU50</f>
        <v>544276000</v>
      </c>
      <c r="AX50" s="56">
        <f>AW50/AU50</f>
        <v>4.9854766286432886E-2</v>
      </c>
      <c r="AY50" s="57">
        <f>AU50/AI50</f>
        <v>3805239.1077030324</v>
      </c>
      <c r="AZ50" s="58">
        <f>U50/Z50</f>
        <v>4103654.4933762955</v>
      </c>
      <c r="BA50" s="58">
        <f>AZ50-AY50</f>
        <v>298415.38567326311</v>
      </c>
      <c r="BB50" s="47">
        <f>BA50/AY50</f>
        <v>7.8422242920076699E-2</v>
      </c>
      <c r="BC50" s="59">
        <f>SUM(BC5:BC49)</f>
        <v>340</v>
      </c>
      <c r="BD50" s="44">
        <f>SUM(BD5:BD49)</f>
        <v>609</v>
      </c>
      <c r="BE50" s="45">
        <f>BD50/BC50</f>
        <v>1.7911764705882354</v>
      </c>
      <c r="BF50" s="58">
        <f>SUM(BF5:BF49)</f>
        <v>63615000</v>
      </c>
      <c r="BG50" s="58">
        <f>SUM(BG5:BG49)</f>
        <v>34111000</v>
      </c>
      <c r="BH50" s="45">
        <f>BG50/BF50</f>
        <v>0.53621001336162855</v>
      </c>
      <c r="BI50" s="58">
        <f>SUM(BI5:BI49)</f>
        <v>14370000</v>
      </c>
      <c r="BJ50" s="58">
        <f>SUM(BJ5:BJ49)</f>
        <v>5000000</v>
      </c>
      <c r="BK50" s="45">
        <f>BJ50/BI50</f>
        <v>0.34794711203897005</v>
      </c>
      <c r="BL50" s="46">
        <f>SUM(BL5:BL49)</f>
        <v>29040000</v>
      </c>
      <c r="BM50" s="37">
        <f>SUM(BM5:BM49)</f>
        <v>57</v>
      </c>
      <c r="BN50" s="45">
        <f>BM50/BL50</f>
        <v>1.9628099173553718E-6</v>
      </c>
      <c r="BO50" s="46">
        <f>SUM(BO5:BO49)</f>
        <v>43560000</v>
      </c>
      <c r="BP50" s="37">
        <f>SUM(BP5:BP49)</f>
        <v>0</v>
      </c>
      <c r="BQ50" s="60">
        <f>BP50/BO50</f>
        <v>0</v>
      </c>
    </row>
  </sheetData>
  <mergeCells count="40">
    <mergeCell ref="A50:E50"/>
    <mergeCell ref="BQ3:BQ4"/>
    <mergeCell ref="A1:C2"/>
    <mergeCell ref="G1:H3"/>
    <mergeCell ref="AC1:AD3"/>
    <mergeCell ref="I1:T3"/>
    <mergeCell ref="U1:AB3"/>
    <mergeCell ref="AE1:AH3"/>
    <mergeCell ref="AI1:BB2"/>
    <mergeCell ref="BL3:BL4"/>
    <mergeCell ref="BM3:BM4"/>
    <mergeCell ref="BN3:BN4"/>
    <mergeCell ref="BO3:BO4"/>
    <mergeCell ref="BP3:BP4"/>
    <mergeCell ref="BG3:BG4"/>
    <mergeCell ref="BH3:BH4"/>
    <mergeCell ref="BI3:BI4"/>
    <mergeCell ref="BJ3:BJ4"/>
    <mergeCell ref="BK3:BK4"/>
    <mergeCell ref="F3:F4"/>
    <mergeCell ref="BC3:BC4"/>
    <mergeCell ref="BD3:BD4"/>
    <mergeCell ref="BE3:BE4"/>
    <mergeCell ref="BF3:BF4"/>
    <mergeCell ref="AI3:AL3"/>
    <mergeCell ref="AM3:AP3"/>
    <mergeCell ref="AQ3:AT3"/>
    <mergeCell ref="AU3:AX3"/>
    <mergeCell ref="AY3:BB3"/>
    <mergeCell ref="A3:A4"/>
    <mergeCell ref="B3:B4"/>
    <mergeCell ref="C3:C4"/>
    <mergeCell ref="D3:D4"/>
    <mergeCell ref="E3:E4"/>
    <mergeCell ref="BC1:BQ1"/>
    <mergeCell ref="BC2:BE2"/>
    <mergeCell ref="BF2:BH2"/>
    <mergeCell ref="BI2:BK2"/>
    <mergeCell ref="BL2:BN2"/>
    <mergeCell ref="BO2:BQ2"/>
  </mergeCells>
  <conditionalFormatting sqref="A5 C5:D5 A7 A9 A11 A13 A15 A17 A19 A21:A23 A25 A27 A29 A31 A33 A35 A37 A39:A41 A43 A45 A47:A49">
    <cfRule type="duplicateValues" dxfId="51" priority="51"/>
  </conditionalFormatting>
  <conditionalFormatting sqref="A6 A8 A10 A12 A14 A16 A18 A20 A24 A26 A28 A30 A32 A34 A36 A38 A42 A44 A46">
    <cfRule type="duplicateValues" dxfId="50" priority="9"/>
  </conditionalFormatting>
  <conditionalFormatting sqref="B5:B49">
    <cfRule type="expression" dxfId="49" priority="52" stopIfTrue="1">
      <formula>AND(ROW()&gt;5,$B5=$B4)</formula>
    </cfRule>
  </conditionalFormatting>
  <conditionalFormatting sqref="B6:C6">
    <cfRule type="duplicateValues" dxfId="48" priority="50"/>
  </conditionalFormatting>
  <conditionalFormatting sqref="B7:C7">
    <cfRule type="duplicateValues" dxfId="47" priority="49"/>
  </conditionalFormatting>
  <conditionalFormatting sqref="B8:C8">
    <cfRule type="duplicateValues" dxfId="46" priority="48"/>
  </conditionalFormatting>
  <conditionalFormatting sqref="B9:C9">
    <cfRule type="duplicateValues" dxfId="45" priority="47"/>
  </conditionalFormatting>
  <conditionalFormatting sqref="B10:C10">
    <cfRule type="duplicateValues" dxfId="44" priority="46"/>
  </conditionalFormatting>
  <conditionalFormatting sqref="B11:C11">
    <cfRule type="duplicateValues" dxfId="43" priority="45"/>
  </conditionalFormatting>
  <conditionalFormatting sqref="B12:C12">
    <cfRule type="duplicateValues" dxfId="42" priority="44"/>
  </conditionalFormatting>
  <conditionalFormatting sqref="B13:C13">
    <cfRule type="duplicateValues" dxfId="41" priority="43"/>
  </conditionalFormatting>
  <conditionalFormatting sqref="B14:C14">
    <cfRule type="duplicateValues" dxfId="40" priority="42"/>
  </conditionalFormatting>
  <conditionalFormatting sqref="B15:C15">
    <cfRule type="duplicateValues" dxfId="39" priority="41"/>
  </conditionalFormatting>
  <conditionalFormatting sqref="B16:C16">
    <cfRule type="duplicateValues" dxfId="38" priority="40"/>
  </conditionalFormatting>
  <conditionalFormatting sqref="B17:C17">
    <cfRule type="duplicateValues" dxfId="37" priority="39"/>
  </conditionalFormatting>
  <conditionalFormatting sqref="B18:C18">
    <cfRule type="duplicateValues" dxfId="36" priority="38"/>
  </conditionalFormatting>
  <conditionalFormatting sqref="B19:C19">
    <cfRule type="duplicateValues" dxfId="35" priority="37"/>
  </conditionalFormatting>
  <conditionalFormatting sqref="B20:C20">
    <cfRule type="duplicateValues" dxfId="34" priority="36"/>
  </conditionalFormatting>
  <conditionalFormatting sqref="B21:C21">
    <cfRule type="duplicateValues" dxfId="33" priority="35"/>
  </conditionalFormatting>
  <conditionalFormatting sqref="B22:C22">
    <cfRule type="duplicateValues" dxfId="32" priority="34"/>
  </conditionalFormatting>
  <conditionalFormatting sqref="B23:C23">
    <cfRule type="duplicateValues" dxfId="31" priority="33"/>
  </conditionalFormatting>
  <conditionalFormatting sqref="B24:C24">
    <cfRule type="duplicateValues" dxfId="30" priority="32"/>
  </conditionalFormatting>
  <conditionalFormatting sqref="B25:C25">
    <cfRule type="duplicateValues" dxfId="29" priority="31"/>
  </conditionalFormatting>
  <conditionalFormatting sqref="B26:C26">
    <cfRule type="duplicateValues" dxfId="28" priority="30"/>
  </conditionalFormatting>
  <conditionalFormatting sqref="B27:C27">
    <cfRule type="duplicateValues" dxfId="27" priority="29"/>
  </conditionalFormatting>
  <conditionalFormatting sqref="B28:C28">
    <cfRule type="duplicateValues" dxfId="26" priority="28"/>
  </conditionalFormatting>
  <conditionalFormatting sqref="B29:C29">
    <cfRule type="duplicateValues" dxfId="25" priority="27"/>
  </conditionalFormatting>
  <conditionalFormatting sqref="B30:C30">
    <cfRule type="duplicateValues" dxfId="24" priority="26"/>
  </conditionalFormatting>
  <conditionalFormatting sqref="B31:C31">
    <cfRule type="duplicateValues" dxfId="23" priority="25"/>
  </conditionalFormatting>
  <conditionalFormatting sqref="B32:C32">
    <cfRule type="duplicateValues" dxfId="22" priority="24"/>
  </conditionalFormatting>
  <conditionalFormatting sqref="B33:C33">
    <cfRule type="duplicateValues" dxfId="21" priority="23"/>
  </conditionalFormatting>
  <conditionalFormatting sqref="B34:C34">
    <cfRule type="duplicateValues" dxfId="20" priority="22"/>
  </conditionalFormatting>
  <conditionalFormatting sqref="B35:C35">
    <cfRule type="duplicateValues" dxfId="19" priority="21"/>
  </conditionalFormatting>
  <conditionalFormatting sqref="B36:C36">
    <cfRule type="duplicateValues" dxfId="18" priority="20"/>
  </conditionalFormatting>
  <conditionalFormatting sqref="B37:C37">
    <cfRule type="duplicateValues" dxfId="17" priority="19"/>
  </conditionalFormatting>
  <conditionalFormatting sqref="B38:C38">
    <cfRule type="duplicateValues" dxfId="16" priority="18"/>
  </conditionalFormatting>
  <conditionalFormatting sqref="B39:C39">
    <cfRule type="duplicateValues" dxfId="15" priority="17"/>
  </conditionalFormatting>
  <conditionalFormatting sqref="B40:C40">
    <cfRule type="duplicateValues" dxfId="14" priority="16"/>
  </conditionalFormatting>
  <conditionalFormatting sqref="B41:C41">
    <cfRule type="duplicateValues" dxfId="13" priority="15"/>
  </conditionalFormatting>
  <conditionalFormatting sqref="B42:C42">
    <cfRule type="duplicateValues" dxfId="12" priority="14"/>
  </conditionalFormatting>
  <conditionalFormatting sqref="B43:C43">
    <cfRule type="duplicateValues" dxfId="11" priority="13"/>
  </conditionalFormatting>
  <conditionalFormatting sqref="B44:C44">
    <cfRule type="duplicateValues" dxfId="10" priority="12"/>
  </conditionalFormatting>
  <conditionalFormatting sqref="B45:C45">
    <cfRule type="duplicateValues" dxfId="9" priority="11"/>
  </conditionalFormatting>
  <conditionalFormatting sqref="B46:C46">
    <cfRule type="duplicateValues" dxfId="8" priority="10"/>
  </conditionalFormatting>
  <conditionalFormatting sqref="D6:D49">
    <cfRule type="duplicateValues" dxfId="7" priority="1"/>
  </conditionalFormatting>
  <conditionalFormatting sqref="J5:J49">
    <cfRule type="cellIs" dxfId="6" priority="8" operator="lessThan">
      <formula>$F$2</formula>
    </cfRule>
  </conditionalFormatting>
  <conditionalFormatting sqref="K5:K49">
    <cfRule type="cellIs" dxfId="5" priority="5" operator="lessThan">
      <formula>0</formula>
    </cfRule>
  </conditionalFormatting>
  <conditionalFormatting sqref="AL5:AL49">
    <cfRule type="cellIs" dxfId="4" priority="7" operator="lessThan">
      <formula>0</formula>
    </cfRule>
  </conditionalFormatting>
  <conditionalFormatting sqref="AX5:AX49">
    <cfRule type="cellIs" dxfId="3" priority="6" operator="lessThan">
      <formula>0</formula>
    </cfRule>
  </conditionalFormatting>
  <conditionalFormatting sqref="BE5:BE49">
    <cfRule type="cellIs" dxfId="2" priority="4" operator="lessThan">
      <formula>$F$2</formula>
    </cfRule>
  </conditionalFormatting>
  <conditionalFormatting sqref="BH5:BH49">
    <cfRule type="cellIs" dxfId="1" priority="3" operator="lessThan">
      <formula>$F$2</formula>
    </cfRule>
  </conditionalFormatting>
  <conditionalFormatting sqref="BN5:BN49">
    <cfRule type="cellIs" dxfId="0" priority="2" operator="lessThan">
      <formula>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60"/>
  <sheetViews>
    <sheetView topLeftCell="DS4" zoomScale="75" zoomScaleNormal="75" workbookViewId="0">
      <selection activeCell="EI21" sqref="A1:XFD1048576"/>
    </sheetView>
  </sheetViews>
  <sheetFormatPr baseColWidth="10" defaultColWidth="10.83203125" defaultRowHeight="13" x14ac:dyDescent="0.15"/>
  <cols>
    <col min="1" max="1" width="27.83203125" style="26" customWidth="1"/>
    <col min="2" max="2" width="20.1640625" style="26" customWidth="1"/>
    <col min="3" max="3" width="9.1640625" style="26" customWidth="1"/>
    <col min="4" max="4" width="42.83203125" style="26" customWidth="1"/>
    <col min="5" max="5" width="20" style="26" customWidth="1"/>
    <col min="6" max="6" width="8" style="26" customWidth="1"/>
    <col min="7" max="7" width="7.5" style="26" customWidth="1"/>
    <col min="8" max="8" width="10.1640625" style="26" customWidth="1"/>
    <col min="9" max="9" width="11.1640625" style="26" customWidth="1"/>
    <col min="10" max="10" width="12.6640625" style="26" customWidth="1"/>
    <col min="11" max="11" width="12.1640625" style="26" customWidth="1"/>
    <col min="12" max="12" width="8" style="26" customWidth="1"/>
    <col min="13" max="13" width="7.5" style="26" customWidth="1"/>
    <col min="14" max="14" width="10.1640625" style="26" customWidth="1"/>
    <col min="15" max="17" width="11.1640625" style="26" customWidth="1"/>
    <col min="18" max="18" width="10.33203125" style="26" customWidth="1"/>
    <col min="19" max="19" width="7.5" style="26" customWidth="1"/>
    <col min="20" max="20" width="10.1640625" style="26" customWidth="1"/>
    <col min="21" max="21" width="9.1640625" style="26" customWidth="1"/>
    <col min="22" max="22" width="9.33203125" style="26" customWidth="1"/>
    <col min="23" max="23" width="10.1640625" style="26" customWidth="1"/>
    <col min="24" max="24" width="8" style="26" customWidth="1"/>
    <col min="25" max="25" width="7.5" style="26" customWidth="1"/>
    <col min="26" max="26" width="10.1640625" style="26" customWidth="1"/>
    <col min="27" max="28" width="11.1640625" style="26" customWidth="1"/>
    <col min="29" max="29" width="12.1640625" style="26" customWidth="1"/>
    <col min="30" max="30" width="8" style="26" customWidth="1"/>
    <col min="31" max="31" width="7.5" style="26" customWidth="1"/>
    <col min="32" max="32" width="10.1640625" style="26" customWidth="1"/>
    <col min="33" max="35" width="11.1640625" style="26" customWidth="1"/>
    <col min="36" max="36" width="8.6640625" style="26" customWidth="1"/>
    <col min="37" max="37" width="7.5" style="26" customWidth="1"/>
    <col min="38" max="38" width="10.1640625" style="26" customWidth="1"/>
    <col min="39" max="39" width="11.1640625" style="26" customWidth="1"/>
    <col min="40" max="40" width="10.1640625" style="26" customWidth="1"/>
    <col min="41" max="41" width="11.1640625" style="26" customWidth="1"/>
    <col min="42" max="42" width="8" style="26" customWidth="1"/>
    <col min="43" max="43" width="7.5" style="26" customWidth="1"/>
    <col min="44" max="46" width="10.1640625" style="26" customWidth="1"/>
    <col min="47" max="47" width="11.1640625" style="26" customWidth="1"/>
    <col min="48" max="48" width="8.83203125" style="26" customWidth="1"/>
    <col min="49" max="49" width="7.5" style="26" customWidth="1"/>
    <col min="50" max="51" width="10.1640625" style="26" customWidth="1"/>
    <col min="52" max="52" width="11.1640625" style="26" customWidth="1"/>
    <col min="53" max="53" width="12.1640625" style="26" customWidth="1"/>
    <col min="54" max="54" width="8" style="26" customWidth="1"/>
    <col min="55" max="55" width="7.5" style="26" customWidth="1"/>
    <col min="56" max="56" width="10.1640625" style="26" customWidth="1"/>
    <col min="57" max="59" width="11.1640625" style="26" customWidth="1"/>
    <col min="60" max="60" width="8.83203125" style="26" customWidth="1"/>
    <col min="61" max="61" width="7.5" style="26" customWidth="1"/>
    <col min="62" max="63" width="10.1640625" style="26" customWidth="1"/>
    <col min="64" max="64" width="11.1640625" style="26" customWidth="1"/>
    <col min="65" max="65" width="12.1640625" style="26" customWidth="1"/>
    <col min="66" max="66" width="8" style="26" customWidth="1"/>
    <col min="67" max="67" width="7.5" style="26" customWidth="1"/>
    <col min="68" max="68" width="10.1640625" style="26" customWidth="1"/>
    <col min="69" max="71" width="11.1640625" style="26" customWidth="1"/>
    <col min="72" max="72" width="9.33203125" style="26" customWidth="1"/>
    <col min="73" max="73" width="7.5" style="26" customWidth="1"/>
    <col min="74" max="75" width="10.1640625" style="26" customWidth="1"/>
    <col min="76" max="76" width="11.1640625" style="26" customWidth="1"/>
    <col min="77" max="77" width="12.1640625" style="26" customWidth="1"/>
    <col min="78" max="78" width="8" style="26" customWidth="1"/>
    <col min="79" max="79" width="7.5" style="26" customWidth="1"/>
    <col min="80" max="80" width="10.1640625" style="26" customWidth="1"/>
    <col min="81" max="81" width="11.1640625" style="26" customWidth="1"/>
    <col min="82" max="82" width="10.1640625" style="26" customWidth="1"/>
    <col min="83" max="83" width="11.1640625" style="26" customWidth="1"/>
    <col min="84" max="84" width="9.6640625" style="26" customWidth="1"/>
    <col min="85" max="85" width="7.5" style="26" customWidth="1"/>
    <col min="86" max="86" width="10.1640625" style="26" customWidth="1"/>
    <col min="87" max="87" width="11.1640625" style="26" customWidth="1"/>
    <col min="88" max="88" width="10.1640625" style="26" customWidth="1"/>
    <col min="89" max="89" width="11.1640625" style="26" customWidth="1"/>
    <col min="90" max="90" width="8.1640625" style="26" customWidth="1"/>
    <col min="91" max="91" width="7.5" style="26" customWidth="1"/>
    <col min="92" max="93" width="10.1640625" style="26" customWidth="1"/>
    <col min="94" max="94" width="11.1640625" style="26" customWidth="1"/>
    <col min="95" max="95" width="12.1640625" style="26" customWidth="1"/>
    <col min="96" max="96" width="10.1640625" style="26" customWidth="1"/>
    <col min="97" max="97" width="7.5" style="26" customWidth="1"/>
    <col min="98" max="99" width="10.1640625" style="26" customWidth="1"/>
    <col min="100" max="100" width="11.1640625" style="26" customWidth="1"/>
    <col min="101" max="101" width="12.1640625" style="26" customWidth="1"/>
    <col min="102" max="102" width="9.1640625" style="26" customWidth="1"/>
    <col min="103" max="103" width="7.5" style="26" customWidth="1"/>
    <col min="104" max="104" width="10.1640625" style="26" customWidth="1"/>
    <col min="105" max="107" width="11.1640625" style="26" customWidth="1"/>
    <col min="108" max="108" width="10.1640625" style="26" customWidth="1"/>
    <col min="109" max="109" width="7.5" style="26" customWidth="1"/>
    <col min="110" max="110" width="10.1640625" style="26" customWidth="1"/>
    <col min="111" max="111" width="8" style="26" customWidth="1"/>
    <col min="112" max="112" width="9.33203125" style="26" customWidth="1"/>
    <col min="113" max="114" width="10.1640625" style="26" customWidth="1"/>
    <col min="115" max="115" width="7.5" style="26" customWidth="1"/>
    <col min="116" max="116" width="10.1640625" style="26" customWidth="1"/>
    <col min="117" max="117" width="8" style="26" customWidth="1"/>
    <col min="118" max="118" width="10.1640625" style="26" customWidth="1"/>
    <col min="119" max="119" width="11.1640625" style="26" customWidth="1"/>
    <col min="120" max="120" width="10.1640625" style="26" customWidth="1"/>
    <col min="121" max="121" width="7.5" style="26" customWidth="1"/>
    <col min="122" max="122" width="10.1640625" style="26" customWidth="1"/>
    <col min="123" max="123" width="8" style="26" customWidth="1"/>
    <col min="124" max="124" width="12.6640625" style="26" customWidth="1"/>
    <col min="125" max="125" width="13.6640625" style="26" customWidth="1"/>
    <col min="126" max="126" width="10.1640625" style="26" customWidth="1"/>
    <col min="127" max="127" width="7.5" style="26" customWidth="1"/>
    <col min="128" max="128" width="10.1640625" style="26" customWidth="1"/>
    <col min="129" max="129" width="10.1640625" style="26" bestFit="1" customWidth="1"/>
    <col min="130" max="130" width="9.33203125" style="26" customWidth="1"/>
    <col min="131" max="131" width="6.83203125" style="26" customWidth="1"/>
    <col min="132" max="132" width="8" style="26" customWidth="1"/>
    <col min="133" max="133" width="7.5" style="26" customWidth="1"/>
    <col min="134" max="134" width="10.1640625" style="26" customWidth="1"/>
    <col min="135" max="135" width="12.6640625" style="26" customWidth="1"/>
    <col min="136" max="137" width="13.6640625" style="26" customWidth="1"/>
    <col min="138" max="16384" width="10.83203125" style="26"/>
  </cols>
  <sheetData>
    <row r="1" spans="1:184" ht="16" x14ac:dyDescent="0.2">
      <c r="A1" s="287" t="s">
        <v>68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7"/>
      <c r="DQ1" s="287"/>
      <c r="DR1" s="287"/>
      <c r="DS1" s="287"/>
      <c r="DT1" s="287"/>
      <c r="DU1" s="287"/>
      <c r="DV1" s="287"/>
      <c r="DW1" s="287"/>
      <c r="DX1" s="287"/>
      <c r="DY1" s="287"/>
      <c r="DZ1" s="287"/>
      <c r="EA1" s="287"/>
      <c r="EB1" s="287"/>
      <c r="EC1" s="287"/>
      <c r="ED1" s="287"/>
      <c r="EE1" s="287"/>
      <c r="EF1" s="287"/>
      <c r="EG1" s="287"/>
      <c r="EH1"/>
      <c r="EI1" t="s">
        <v>69</v>
      </c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</row>
    <row r="2" spans="1:184" ht="43" x14ac:dyDescent="0.2">
      <c r="A2" s="27" t="s">
        <v>70</v>
      </c>
      <c r="B2" s="28" t="s">
        <v>71</v>
      </c>
      <c r="F2" s="29" t="s">
        <v>72</v>
      </c>
      <c r="G2" s="29"/>
      <c r="H2" s="29"/>
      <c r="I2" s="29"/>
      <c r="J2" s="29"/>
      <c r="K2" s="29"/>
      <c r="L2" s="29" t="s">
        <v>72</v>
      </c>
      <c r="M2" s="29"/>
      <c r="N2" s="29"/>
      <c r="O2" s="29"/>
      <c r="P2" s="29"/>
      <c r="Q2" s="29"/>
      <c r="R2" s="29" t="s">
        <v>72</v>
      </c>
      <c r="S2" s="29"/>
      <c r="T2" s="29"/>
      <c r="U2" s="29"/>
      <c r="V2" s="29"/>
      <c r="W2" s="29"/>
      <c r="X2" s="29" t="s">
        <v>72</v>
      </c>
      <c r="Y2" s="29"/>
      <c r="Z2" s="29"/>
      <c r="AA2" s="29"/>
      <c r="AB2" s="29"/>
      <c r="AC2" s="29"/>
      <c r="AD2" s="29" t="s">
        <v>73</v>
      </c>
      <c r="AE2" s="29"/>
      <c r="AF2" s="29"/>
      <c r="AG2" s="29"/>
      <c r="AH2" s="29"/>
      <c r="AI2" s="29"/>
      <c r="AJ2" s="29" t="s">
        <v>73</v>
      </c>
      <c r="AK2" s="29"/>
      <c r="AL2" s="29"/>
      <c r="AM2" s="29"/>
      <c r="AN2" s="29"/>
      <c r="AO2" s="29"/>
      <c r="AP2" s="29" t="s">
        <v>73</v>
      </c>
      <c r="AQ2" s="29"/>
      <c r="AR2" s="29"/>
      <c r="AS2" s="29"/>
      <c r="AT2" s="29"/>
      <c r="AU2" s="29"/>
      <c r="AV2" s="29" t="s">
        <v>73</v>
      </c>
      <c r="AW2" s="29"/>
      <c r="AX2" s="29"/>
      <c r="AY2" s="29"/>
      <c r="AZ2" s="29"/>
      <c r="BA2" s="29"/>
      <c r="BB2" s="29" t="s">
        <v>73</v>
      </c>
      <c r="BC2" s="29"/>
      <c r="BD2" s="29"/>
      <c r="BE2" s="29"/>
      <c r="BF2" s="29"/>
      <c r="BG2" s="29"/>
      <c r="BH2" s="29" t="s">
        <v>73</v>
      </c>
      <c r="BI2" s="29"/>
      <c r="BJ2" s="29"/>
      <c r="BK2" s="29"/>
      <c r="BL2" s="29"/>
      <c r="BM2" s="29"/>
      <c r="BN2" s="29" t="s">
        <v>73</v>
      </c>
      <c r="BO2" s="29"/>
      <c r="BP2" s="29"/>
      <c r="BQ2" s="29"/>
      <c r="BR2" s="29"/>
      <c r="BS2" s="29"/>
      <c r="BT2" s="29" t="s">
        <v>73</v>
      </c>
      <c r="BU2" s="29"/>
      <c r="BV2" s="29"/>
      <c r="BW2" s="29"/>
      <c r="BX2" s="29"/>
      <c r="BY2" s="29"/>
      <c r="BZ2" s="29" t="s">
        <v>73</v>
      </c>
      <c r="CA2" s="29"/>
      <c r="CB2" s="29"/>
      <c r="CC2" s="29"/>
      <c r="CD2" s="29"/>
      <c r="CE2" s="29"/>
      <c r="CF2" s="29" t="s">
        <v>73</v>
      </c>
      <c r="CG2" s="29"/>
      <c r="CH2" s="29"/>
      <c r="CI2" s="29"/>
      <c r="CJ2" s="29"/>
      <c r="CK2" s="29"/>
      <c r="CL2" s="29" t="s">
        <v>73</v>
      </c>
      <c r="CM2" s="29"/>
      <c r="CN2" s="29"/>
      <c r="CO2" s="29"/>
      <c r="CP2" s="29"/>
      <c r="CQ2" s="29"/>
      <c r="CR2" s="29" t="s">
        <v>73</v>
      </c>
      <c r="CS2" s="29"/>
      <c r="CT2" s="29"/>
      <c r="CU2" s="29"/>
      <c r="CV2" s="29"/>
      <c r="CW2" s="29"/>
      <c r="CX2" s="29" t="s">
        <v>73</v>
      </c>
      <c r="CY2" s="29"/>
      <c r="CZ2" s="29"/>
      <c r="DA2" s="29"/>
      <c r="DB2" s="29"/>
      <c r="DC2" s="29"/>
      <c r="DD2" s="29" t="s">
        <v>74</v>
      </c>
      <c r="DE2" s="29"/>
      <c r="DF2" s="29"/>
      <c r="DG2" s="29"/>
      <c r="DH2" s="29"/>
      <c r="DI2" s="29"/>
      <c r="DJ2" s="29" t="s">
        <v>75</v>
      </c>
      <c r="DK2" s="29"/>
      <c r="DL2" s="29"/>
      <c r="DM2" s="29"/>
      <c r="DN2" s="29"/>
      <c r="DO2" s="29"/>
      <c r="DP2" s="29" t="s">
        <v>75</v>
      </c>
      <c r="DQ2" s="29"/>
      <c r="DR2" s="29"/>
      <c r="DS2" s="29"/>
      <c r="DT2" s="29"/>
      <c r="DU2" s="29"/>
      <c r="DV2" s="29" t="s">
        <v>75</v>
      </c>
      <c r="DW2" s="29"/>
      <c r="DX2" s="29"/>
      <c r="DY2" s="29"/>
      <c r="DZ2" s="29"/>
      <c r="EA2" s="29"/>
      <c r="EB2" s="29" t="s">
        <v>67</v>
      </c>
      <c r="EC2" s="29"/>
      <c r="ED2" s="29"/>
      <c r="EE2" s="29"/>
      <c r="EF2" s="29"/>
      <c r="EG2" s="29"/>
      <c r="EH2"/>
      <c r="EI2">
        <f>MATCH("Y11d",INDEX('[1]Sales per type Agustus'!$D$8:$BA$8,1,MATCH("3mio&gt;",'[1]Sales per type Agustus'!$D$7:$BA$7,0)):INDEX('[1]Sales per type Agustus'!$D$8:$BA$8,1,COLUMNS('[1]Sales per type Agustus'!$D$8:$BA$8)),0)+MATCH("3mio&gt;",'[1]Sales per type Agustus'!$D$7:$BA$7,0)-1</f>
        <v>13</v>
      </c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30" customHeight="1" x14ac:dyDescent="0.2">
      <c r="A3" s="291" t="s">
        <v>16</v>
      </c>
      <c r="B3" s="291" t="s">
        <v>17</v>
      </c>
      <c r="C3" s="291" t="s">
        <v>76</v>
      </c>
      <c r="D3" s="291" t="s">
        <v>19</v>
      </c>
      <c r="E3" s="291" t="s">
        <v>77</v>
      </c>
      <c r="F3" s="288" t="s">
        <v>78</v>
      </c>
      <c r="G3" s="289"/>
      <c r="H3" s="289"/>
      <c r="I3" s="289"/>
      <c r="J3" s="289"/>
      <c r="K3" s="290"/>
      <c r="L3" s="288" t="s">
        <v>79</v>
      </c>
      <c r="M3" s="289"/>
      <c r="N3" s="289"/>
      <c r="O3" s="289"/>
      <c r="P3" s="289"/>
      <c r="Q3" s="290"/>
      <c r="R3" s="288" t="s">
        <v>80</v>
      </c>
      <c r="S3" s="289"/>
      <c r="T3" s="289"/>
      <c r="U3" s="289"/>
      <c r="V3" s="289"/>
      <c r="W3" s="290"/>
      <c r="X3" s="288" t="s">
        <v>81</v>
      </c>
      <c r="Y3" s="289"/>
      <c r="Z3" s="289"/>
      <c r="AA3" s="289"/>
      <c r="AB3" s="289"/>
      <c r="AC3" s="290"/>
      <c r="AD3" s="288" t="s">
        <v>82</v>
      </c>
      <c r="AE3" s="289"/>
      <c r="AF3" s="289"/>
      <c r="AG3" s="289"/>
      <c r="AH3" s="289"/>
      <c r="AI3" s="290"/>
      <c r="AJ3" s="288" t="s">
        <v>83</v>
      </c>
      <c r="AK3" s="289"/>
      <c r="AL3" s="289"/>
      <c r="AM3" s="289"/>
      <c r="AN3" s="289"/>
      <c r="AO3" s="290"/>
      <c r="AP3" s="288" t="s">
        <v>84</v>
      </c>
      <c r="AQ3" s="289"/>
      <c r="AR3" s="289"/>
      <c r="AS3" s="289"/>
      <c r="AT3" s="289"/>
      <c r="AU3" s="290"/>
      <c r="AV3" s="288" t="s">
        <v>85</v>
      </c>
      <c r="AW3" s="289"/>
      <c r="AX3" s="289"/>
      <c r="AY3" s="289"/>
      <c r="AZ3" s="289"/>
      <c r="BA3" s="290"/>
      <c r="BB3" s="288" t="s">
        <v>86</v>
      </c>
      <c r="BC3" s="289"/>
      <c r="BD3" s="289"/>
      <c r="BE3" s="289"/>
      <c r="BF3" s="289"/>
      <c r="BG3" s="290"/>
      <c r="BH3" s="288" t="s">
        <v>87</v>
      </c>
      <c r="BI3" s="289"/>
      <c r="BJ3" s="289"/>
      <c r="BK3" s="289"/>
      <c r="BL3" s="289"/>
      <c r="BM3" s="290"/>
      <c r="BN3" s="288" t="s">
        <v>88</v>
      </c>
      <c r="BO3" s="289"/>
      <c r="BP3" s="289"/>
      <c r="BQ3" s="289"/>
      <c r="BR3" s="289"/>
      <c r="BS3" s="290"/>
      <c r="BT3" s="288" t="s">
        <v>89</v>
      </c>
      <c r="BU3" s="289"/>
      <c r="BV3" s="289"/>
      <c r="BW3" s="289"/>
      <c r="BX3" s="289"/>
      <c r="BY3" s="290"/>
      <c r="BZ3" s="288" t="s">
        <v>90</v>
      </c>
      <c r="CA3" s="289"/>
      <c r="CB3" s="289"/>
      <c r="CC3" s="289"/>
      <c r="CD3" s="289"/>
      <c r="CE3" s="290"/>
      <c r="CF3" s="288" t="s">
        <v>91</v>
      </c>
      <c r="CG3" s="289"/>
      <c r="CH3" s="289"/>
      <c r="CI3" s="289"/>
      <c r="CJ3" s="289"/>
      <c r="CK3" s="290"/>
      <c r="CL3" s="288" t="s">
        <v>92</v>
      </c>
      <c r="CM3" s="289"/>
      <c r="CN3" s="289"/>
      <c r="CO3" s="289"/>
      <c r="CP3" s="289"/>
      <c r="CQ3" s="290"/>
      <c r="CR3" s="288" t="s">
        <v>93</v>
      </c>
      <c r="CS3" s="289"/>
      <c r="CT3" s="289"/>
      <c r="CU3" s="289"/>
      <c r="CV3" s="289"/>
      <c r="CW3" s="290"/>
      <c r="CX3" s="288" t="s">
        <v>94</v>
      </c>
      <c r="CY3" s="289"/>
      <c r="CZ3" s="289"/>
      <c r="DA3" s="289"/>
      <c r="DB3" s="289"/>
      <c r="DC3" s="290"/>
      <c r="DD3" s="288" t="s">
        <v>95</v>
      </c>
      <c r="DE3" s="289"/>
      <c r="DF3" s="289"/>
      <c r="DG3" s="289"/>
      <c r="DH3" s="289"/>
      <c r="DI3" s="290"/>
      <c r="DJ3" s="288" t="s">
        <v>96</v>
      </c>
      <c r="DK3" s="289"/>
      <c r="DL3" s="289"/>
      <c r="DM3" s="289"/>
      <c r="DN3" s="289"/>
      <c r="DO3" s="290"/>
      <c r="DP3" s="288" t="s">
        <v>97</v>
      </c>
      <c r="DQ3" s="289"/>
      <c r="DR3" s="289"/>
      <c r="DS3" s="289"/>
      <c r="DT3" s="289"/>
      <c r="DU3" s="290"/>
      <c r="DV3" s="288" t="s">
        <v>98</v>
      </c>
      <c r="DW3" s="289"/>
      <c r="DX3" s="289"/>
      <c r="DY3" s="289"/>
      <c r="DZ3" s="289"/>
      <c r="EA3" s="290"/>
      <c r="EB3" s="288" t="s">
        <v>67</v>
      </c>
      <c r="EC3" s="289"/>
      <c r="ED3" s="289"/>
      <c r="EE3" s="289"/>
      <c r="EF3" s="289"/>
      <c r="EG3" s="290"/>
      <c r="EH3"/>
      <c r="EI3">
        <f>MATCH("Y11d",INDEX('[1]SALES PERTYPE'!$D$8:$BA$8,1,MATCH("3mio&gt;",'[1]SALES PERTYPE'!$D$7:$BA$7,0)):INDEX('[1]SALES PERTYPE'!$D$8:$BA$8,1,COLUMNS('[1]SALES PERTYPE'!$D$8:$BA$8)),0)+MATCH("3mio&gt;",'[1]SALES PERTYPE'!$D$7:$BA$7,0)-1</f>
        <v>13</v>
      </c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</row>
    <row r="4" spans="1:184" ht="43" x14ac:dyDescent="0.2">
      <c r="A4" s="291"/>
      <c r="B4" s="291"/>
      <c r="C4" s="291"/>
      <c r="D4" s="291"/>
      <c r="E4" s="291"/>
      <c r="F4" s="30" t="s">
        <v>99</v>
      </c>
      <c r="G4" s="30" t="s">
        <v>100</v>
      </c>
      <c r="H4" s="30" t="s">
        <v>101</v>
      </c>
      <c r="I4" s="30" t="s">
        <v>102</v>
      </c>
      <c r="J4" s="30" t="s">
        <v>103</v>
      </c>
      <c r="K4" s="30" t="s">
        <v>104</v>
      </c>
      <c r="L4" s="30" t="s">
        <v>99</v>
      </c>
      <c r="M4" s="30" t="s">
        <v>100</v>
      </c>
      <c r="N4" s="30" t="s">
        <v>101</v>
      </c>
      <c r="O4" s="30" t="s">
        <v>102</v>
      </c>
      <c r="P4" s="30" t="s">
        <v>103</v>
      </c>
      <c r="Q4" s="30" t="s">
        <v>104</v>
      </c>
      <c r="R4" s="30" t="s">
        <v>99</v>
      </c>
      <c r="S4" s="30" t="s">
        <v>100</v>
      </c>
      <c r="T4" s="30" t="s">
        <v>101</v>
      </c>
      <c r="U4" s="30" t="s">
        <v>102</v>
      </c>
      <c r="V4" s="30" t="s">
        <v>103</v>
      </c>
      <c r="W4" s="30" t="s">
        <v>104</v>
      </c>
      <c r="X4" s="30" t="s">
        <v>99</v>
      </c>
      <c r="Y4" s="30" t="s">
        <v>100</v>
      </c>
      <c r="Z4" s="30" t="s">
        <v>101</v>
      </c>
      <c r="AA4" s="30" t="s">
        <v>102</v>
      </c>
      <c r="AB4" s="30" t="s">
        <v>103</v>
      </c>
      <c r="AC4" s="30" t="s">
        <v>104</v>
      </c>
      <c r="AD4" s="30" t="s">
        <v>99</v>
      </c>
      <c r="AE4" s="30" t="s">
        <v>100</v>
      </c>
      <c r="AF4" s="30" t="s">
        <v>101</v>
      </c>
      <c r="AG4" s="30" t="s">
        <v>102</v>
      </c>
      <c r="AH4" s="30" t="s">
        <v>103</v>
      </c>
      <c r="AI4" s="30" t="s">
        <v>104</v>
      </c>
      <c r="AJ4" s="30" t="s">
        <v>99</v>
      </c>
      <c r="AK4" s="30" t="s">
        <v>100</v>
      </c>
      <c r="AL4" s="30" t="s">
        <v>101</v>
      </c>
      <c r="AM4" s="30" t="s">
        <v>102</v>
      </c>
      <c r="AN4" s="30" t="s">
        <v>103</v>
      </c>
      <c r="AO4" s="30" t="s">
        <v>104</v>
      </c>
      <c r="AP4" s="30" t="s">
        <v>99</v>
      </c>
      <c r="AQ4" s="30" t="s">
        <v>100</v>
      </c>
      <c r="AR4" s="30" t="s">
        <v>101</v>
      </c>
      <c r="AS4" s="30" t="s">
        <v>102</v>
      </c>
      <c r="AT4" s="30" t="s">
        <v>103</v>
      </c>
      <c r="AU4" s="30" t="s">
        <v>104</v>
      </c>
      <c r="AV4" s="30" t="s">
        <v>99</v>
      </c>
      <c r="AW4" s="30" t="s">
        <v>100</v>
      </c>
      <c r="AX4" s="30" t="s">
        <v>101</v>
      </c>
      <c r="AY4" s="30" t="s">
        <v>102</v>
      </c>
      <c r="AZ4" s="30" t="s">
        <v>103</v>
      </c>
      <c r="BA4" s="30" t="s">
        <v>104</v>
      </c>
      <c r="BB4" s="30" t="s">
        <v>99</v>
      </c>
      <c r="BC4" s="30" t="s">
        <v>100</v>
      </c>
      <c r="BD4" s="30" t="s">
        <v>101</v>
      </c>
      <c r="BE4" s="30" t="s">
        <v>102</v>
      </c>
      <c r="BF4" s="30" t="s">
        <v>103</v>
      </c>
      <c r="BG4" s="30" t="s">
        <v>104</v>
      </c>
      <c r="BH4" s="30" t="s">
        <v>99</v>
      </c>
      <c r="BI4" s="30" t="s">
        <v>100</v>
      </c>
      <c r="BJ4" s="30" t="s">
        <v>101</v>
      </c>
      <c r="BK4" s="30" t="s">
        <v>102</v>
      </c>
      <c r="BL4" s="30" t="s">
        <v>103</v>
      </c>
      <c r="BM4" s="30" t="s">
        <v>104</v>
      </c>
      <c r="BN4" s="30" t="s">
        <v>99</v>
      </c>
      <c r="BO4" s="30" t="s">
        <v>100</v>
      </c>
      <c r="BP4" s="30" t="s">
        <v>101</v>
      </c>
      <c r="BQ4" s="30" t="s">
        <v>102</v>
      </c>
      <c r="BR4" s="30" t="s">
        <v>103</v>
      </c>
      <c r="BS4" s="30" t="s">
        <v>104</v>
      </c>
      <c r="BT4" s="30" t="s">
        <v>99</v>
      </c>
      <c r="BU4" s="30" t="s">
        <v>100</v>
      </c>
      <c r="BV4" s="30" t="s">
        <v>101</v>
      </c>
      <c r="BW4" s="30" t="s">
        <v>102</v>
      </c>
      <c r="BX4" s="30" t="s">
        <v>103</v>
      </c>
      <c r="BY4" s="30" t="s">
        <v>104</v>
      </c>
      <c r="BZ4" s="30" t="s">
        <v>99</v>
      </c>
      <c r="CA4" s="30" t="s">
        <v>100</v>
      </c>
      <c r="CB4" s="30" t="s">
        <v>101</v>
      </c>
      <c r="CC4" s="30" t="s">
        <v>102</v>
      </c>
      <c r="CD4" s="30" t="s">
        <v>103</v>
      </c>
      <c r="CE4" s="30" t="s">
        <v>104</v>
      </c>
      <c r="CF4" s="30" t="s">
        <v>99</v>
      </c>
      <c r="CG4" s="30" t="s">
        <v>100</v>
      </c>
      <c r="CH4" s="30" t="s">
        <v>101</v>
      </c>
      <c r="CI4" s="30" t="s">
        <v>102</v>
      </c>
      <c r="CJ4" s="30" t="s">
        <v>103</v>
      </c>
      <c r="CK4" s="30" t="s">
        <v>104</v>
      </c>
      <c r="CL4" s="30" t="s">
        <v>99</v>
      </c>
      <c r="CM4" s="30" t="s">
        <v>100</v>
      </c>
      <c r="CN4" s="30" t="s">
        <v>101</v>
      </c>
      <c r="CO4" s="30" t="s">
        <v>102</v>
      </c>
      <c r="CP4" s="30" t="s">
        <v>103</v>
      </c>
      <c r="CQ4" s="30" t="s">
        <v>104</v>
      </c>
      <c r="CR4" s="30" t="s">
        <v>99</v>
      </c>
      <c r="CS4" s="30" t="s">
        <v>100</v>
      </c>
      <c r="CT4" s="30" t="s">
        <v>101</v>
      </c>
      <c r="CU4" s="30" t="s">
        <v>102</v>
      </c>
      <c r="CV4" s="30" t="s">
        <v>103</v>
      </c>
      <c r="CW4" s="30" t="s">
        <v>104</v>
      </c>
      <c r="CX4" s="30" t="s">
        <v>99</v>
      </c>
      <c r="CY4" s="30" t="s">
        <v>100</v>
      </c>
      <c r="CZ4" s="30" t="s">
        <v>101</v>
      </c>
      <c r="DA4" s="30" t="s">
        <v>102</v>
      </c>
      <c r="DB4" s="30" t="s">
        <v>103</v>
      </c>
      <c r="DC4" s="30" t="s">
        <v>104</v>
      </c>
      <c r="DD4" s="30" t="s">
        <v>99</v>
      </c>
      <c r="DE4" s="30" t="s">
        <v>100</v>
      </c>
      <c r="DF4" s="30" t="s">
        <v>101</v>
      </c>
      <c r="DG4" s="30" t="s">
        <v>102</v>
      </c>
      <c r="DH4" s="30" t="s">
        <v>103</v>
      </c>
      <c r="DI4" s="30" t="s">
        <v>104</v>
      </c>
      <c r="DJ4" s="30" t="s">
        <v>99</v>
      </c>
      <c r="DK4" s="30" t="s">
        <v>100</v>
      </c>
      <c r="DL4" s="30" t="s">
        <v>101</v>
      </c>
      <c r="DM4" s="30" t="s">
        <v>102</v>
      </c>
      <c r="DN4" s="30" t="s">
        <v>103</v>
      </c>
      <c r="DO4" s="30" t="s">
        <v>104</v>
      </c>
      <c r="DP4" s="30" t="s">
        <v>99</v>
      </c>
      <c r="DQ4" s="30" t="s">
        <v>100</v>
      </c>
      <c r="DR4" s="30" t="s">
        <v>101</v>
      </c>
      <c r="DS4" s="30" t="s">
        <v>102</v>
      </c>
      <c r="DT4" s="30" t="s">
        <v>103</v>
      </c>
      <c r="DU4" s="30" t="s">
        <v>104</v>
      </c>
      <c r="DV4" s="30" t="s">
        <v>99</v>
      </c>
      <c r="DW4" s="30" t="s">
        <v>100</v>
      </c>
      <c r="DX4" s="30" t="s">
        <v>101</v>
      </c>
      <c r="DY4" s="30" t="s">
        <v>102</v>
      </c>
      <c r="DZ4" s="30" t="s">
        <v>103</v>
      </c>
      <c r="EA4" s="30" t="s">
        <v>104</v>
      </c>
      <c r="EB4" s="30" t="s">
        <v>99</v>
      </c>
      <c r="EC4" s="30" t="s">
        <v>100</v>
      </c>
      <c r="ED4" s="30" t="s">
        <v>101</v>
      </c>
      <c r="EE4" s="30" t="s">
        <v>102</v>
      </c>
      <c r="EF4" s="30" t="s">
        <v>103</v>
      </c>
      <c r="EG4" s="30" t="s">
        <v>104</v>
      </c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</row>
    <row r="5" spans="1:184" ht="16" x14ac:dyDescent="0.2">
      <c r="A5" s="31">
        <f>'[1]ACHIEVEMENT STORE'!A5</f>
        <v>1</v>
      </c>
      <c r="B5" s="32" t="str">
        <f>'[1]ACHIEVEMENT STORE'!B5</f>
        <v>601 雅加达西北 JKT BU</v>
      </c>
      <c r="C5" s="31">
        <f>'[1]ACHIEVEMENT STORE'!C5</f>
        <v>6010708</v>
      </c>
      <c r="D5" s="32" t="str">
        <f>'[1]ACHIEVEMENT STORE'!D5</f>
        <v>6010708-CENTRAL PARK SHOWROOM</v>
      </c>
      <c r="E5" s="32" t="str">
        <f>'[1]ACHIEVEMENT STORE'!E5</f>
        <v>NANDI FEBRIANA</v>
      </c>
      <c r="F5" s="33">
        <f>IFERROR(INDEX('[1]SALES PERTYPE'!$D$10:$BA$53,MATCH($C5,'[1]SALES PERTYPE'!$B$10:$B$53,0),MATCH("Y05",'[1]SALES PERTYPE'!$D$8:$BA$8,0)),0)</f>
        <v>8</v>
      </c>
      <c r="G5" s="33">
        <f>IFERROR(INDEX('[1]Sales per type Agustus'!$D$10:$BA$52,MATCH($C5,'[1]Sales per type Agustus'!$B$10:$B$52,0),MATCH("Y05",'[1]Sales per type Agustus'!$D$8:$BA$8,0)),0)</f>
        <v>11</v>
      </c>
      <c r="H5" s="33">
        <f t="shared" ref="H5:H48" si="0">F5-G5</f>
        <v>-3</v>
      </c>
      <c r="I5" s="33" cm="1">
        <f t="array" ref="I5">IFERROR(INDEX('[1]SALES PERTYPE'!$D$10:$BA$53,MATCH($C5,'[1]SALES PERTYPE'!$B$10:$B$53,0),MATCH("Y05",'[1]SALES PERTYPE'!$D$8:$BA$8,0)+1),0)</f>
        <v>19592000</v>
      </c>
      <c r="J5" s="33" cm="1">
        <f t="array" ref="J5">IFERROR(INDEX('[1]Sales per type Agustus'!$D$10:$BA$52,MATCH($C5,'[1]Sales per type Agustus'!$B$10:$B$52,0),MATCH("Y05",'[1]Sales per type Agustus'!$D$8:$BA$8,0)+1),0)</f>
        <v>28289000</v>
      </c>
      <c r="K5" s="33">
        <f t="shared" ref="K5:K48" si="1">I5-J5</f>
        <v>-8697000</v>
      </c>
      <c r="L5" s="33">
        <f>IFERROR(INDEX('[1]SALES PERTYPE'!$D$10:$BA$53,MATCH($C5,'[1]SALES PERTYPE'!$B$10:$B$53,0),MATCH("Y11d",'[1]SALES PERTYPE'!$D$8:$BA$8,0)),0)</f>
        <v>12</v>
      </c>
      <c r="M5" s="33">
        <f>IFERROR(INDEX('[1]Sales per type Agustus'!$D$10:$BA$52,MATCH($C5,'[1]Sales per type Agustus'!$B$10:$B$52,0),MATCH("Y11d",'[1]Sales per type Agustus'!$D$8:$BA$8,0)),0)</f>
        <v>8</v>
      </c>
      <c r="N5" s="33">
        <f t="shared" ref="N5:N48" si="2">L5-M5</f>
        <v>4</v>
      </c>
      <c r="O5" s="33" cm="1">
        <f t="array" ref="O5">IFERROR(INDEX('[1]SALES PERTYPE'!$D$10:$BA$53,MATCH($C5,'[1]SALES PERTYPE'!$B$10:$B$53,0),MATCH("Y11d",'[1]SALES PERTYPE'!$D$8:$BA$8,0)+1),0)</f>
        <v>30388000</v>
      </c>
      <c r="P5" s="33" cm="1">
        <f t="array" ref="P5">IFERROR(INDEX('[1]Sales per type Agustus'!$D$10:$BA$52,MATCH($C5,'[1]Sales per type Agustus'!$B$10:$B$52,0),MATCH("Y11d",'[1]Sales per type Agustus'!$D$8:$BA$8,0)+1),0)</f>
        <v>21192000</v>
      </c>
      <c r="Q5" s="33">
        <f t="shared" ref="Q5:Q48" si="3">O5-P5</f>
        <v>9196000</v>
      </c>
      <c r="R5" s="33">
        <f>IFERROR(INDEX('[1]SALES PERTYPE'!$D$10:$BA$53,MATCH($C5,'[1]SALES PERTYPE'!$B$10:$B$53,0),MATCH("Watch GT 2",'[1]SALES PERTYPE'!$D$8:$BA$8,0)),0)</f>
        <v>0</v>
      </c>
      <c r="S5" s="33">
        <f>IFERROR(INDEX('[1]Sales per type Agustus'!$D$10:$BA$52,MATCH($C5,'[1]Sales per type Agustus'!$B$10:$B$52,0),MATCH("Watch GT 2",'[1]Sales per type Agustus'!$D$8:$BA$8,0)),0)</f>
        <v>0</v>
      </c>
      <c r="T5" s="33">
        <f t="shared" ref="T5:T48" si="4">R5-S5</f>
        <v>0</v>
      </c>
      <c r="U5" s="33" cm="1">
        <f t="array" ref="U5">IFERROR(INDEX('[1]SALES PERTYPE'!$D$10:$BA$53,MATCH($C5,'[1]SALES PERTYPE'!$B$10:$B$53,0),MATCH("Watch GT 2",'[1]SALES PERTYPE'!$D$8:$BA$8,0)+1),0)</f>
        <v>0</v>
      </c>
      <c r="V5" s="33" cm="1">
        <f t="array" ref="V5">IFERROR(INDEX('[1]Sales per type Agustus'!$D$10:$BA$52,MATCH($C5,'[1]Sales per type Agustus'!$B$10:$B$52,0),MATCH("Watch GT 2",'[1]Sales per type Agustus'!$D$8:$BA$8,0)+1),0)</f>
        <v>0</v>
      </c>
      <c r="W5" s="33">
        <f t="shared" ref="W5:W48" si="5">U5-V5</f>
        <v>0</v>
      </c>
      <c r="X5" s="33">
        <f>IFERROR(INDEX('[1]SALES PERTYPE'!$D$10:$BA$53,MATCH($C5,'[1]SALES PERTYPE'!$B$10:$B$53,0),MATCH("Y05e",'[1]SALES PERTYPE'!$D$8:$BA$8,0)),0)</f>
        <v>15</v>
      </c>
      <c r="Y5" s="33">
        <f>IFERROR(INDEX('[1]Sales per type Agustus'!$D$10:$BA$52,MATCH($C5,'[1]Sales per type Agustus'!$B$10:$B$52,0),MATCH("Y05e",'[1]Sales per type Agustus'!$D$8:$BA$8,0)),0)</f>
        <v>12</v>
      </c>
      <c r="Z5" s="33">
        <f t="shared" ref="Z5:Z48" si="6">X5-Y5</f>
        <v>3</v>
      </c>
      <c r="AA5" s="33" cm="1">
        <f t="array" ref="AA5">IFERROR(INDEX('[1]SALES PERTYPE'!$D$10:$BA$53,MATCH($C5,'[1]SALES PERTYPE'!$B$10:$B$53,0),MATCH("Y05e",'[1]SALES PERTYPE'!$D$8:$BA$8,0)+1),0)</f>
        <v>32285000</v>
      </c>
      <c r="AB5" s="33" cm="1">
        <f t="array" ref="AB5">IFERROR(INDEX('[1]Sales per type Agustus'!$D$10:$BA$52,MATCH($C5,'[1]Sales per type Agustus'!$B$10:$B$52,0),MATCH("Y05e",'[1]Sales per type Agustus'!$D$8:$BA$8,0)+1),0)</f>
        <v>25188000</v>
      </c>
      <c r="AC5" s="33">
        <f t="shared" ref="AC5:AC48" si="7">AA5-AB5</f>
        <v>7097000</v>
      </c>
      <c r="AD5" s="33">
        <f>IFERROR(INDEX('[1]SALES PERTYPE'!$D$10:$BA$53,MATCH($C5,'[1]SALES PERTYPE'!$B$10:$B$53,0),MATCH("V70",'[1]SALES PERTYPE'!$D$8:$BA$8,0)),0)</f>
        <v>8</v>
      </c>
      <c r="AE5" s="33">
        <f>IFERROR(INDEX('[1]Sales per type Agustus'!$D$10:$BA$52,MATCH($C5,'[1]Sales per type Agustus'!$B$10:$B$52,0),MATCH("V70",'[1]Sales per type Agustus'!$D$8:$BA$8,0)),0)</f>
        <v>2</v>
      </c>
      <c r="AF5" s="33">
        <f t="shared" ref="AF5:AF48" si="8">AD5-AE5</f>
        <v>6</v>
      </c>
      <c r="AG5" s="33" cm="1">
        <f t="array" ref="AG5">IFERROR(INDEX('[1]SALES PERTYPE'!$D$10:$BA$53,MATCH($C5,'[1]SALES PERTYPE'!$B$10:$B$53,0),MATCH("V70",'[1]SALES PERTYPE'!$D$8:$BA$8,0)+1),0)</f>
        <v>79992000</v>
      </c>
      <c r="AH5" s="33" cm="1">
        <f t="array" ref="AH5">IFERROR(INDEX('[1]Sales per type Agustus'!$D$10:$BA$52,MATCH($C5,'[1]Sales per type Agustus'!$B$10:$B$52,0),MATCH("V70",'[1]Sales per type Agustus'!$D$8:$BA$8,0)+1),0)</f>
        <v>19998000</v>
      </c>
      <c r="AI5" s="33">
        <f t="shared" ref="AI5:AI48" si="9">AG5-AH5</f>
        <v>59994000</v>
      </c>
      <c r="AJ5" s="33">
        <f>IFERROR(INDEX('[1]SALES PERTYPE'!$D$10:$BA$53,MATCH($C5,'[1]SALES PERTYPE'!$B$10:$B$53,0),MATCH("Y31d Pro",'[1]SALES PERTYPE'!$D$8:$BA$8,0)),0)</f>
        <v>3</v>
      </c>
      <c r="AK5" s="33">
        <f>IFERROR(INDEX('[1]Sales per type Agustus'!$D$10:$BA$52,MATCH($C5,'[1]Sales per type Agustus'!$B$10:$B$52,0),MATCH("Y31d Pro",'[1]Sales per type Agustus'!$D$8:$BA$8,0)),0)</f>
        <v>9</v>
      </c>
      <c r="AL5" s="33">
        <f t="shared" ref="AL5:AL48" si="10">AJ5-AK5</f>
        <v>-6</v>
      </c>
      <c r="AM5" s="33" cm="1">
        <f t="array" ref="AM5">IFERROR(INDEX('[1]SALES PERTYPE'!$D$10:$BA$53,MATCH($C5,'[1]SALES PERTYPE'!$B$10:$B$53,0),MATCH("Y31d Pro",'[1]SALES PERTYPE'!$D$8:$BA$8,0)+1),0)</f>
        <v>13297000</v>
      </c>
      <c r="AN5" s="33" cm="1">
        <f t="array" ref="AN5">IFERROR(INDEX('[1]Sales per type Agustus'!$D$10:$BA$52,MATCH($C5,'[1]Sales per type Agustus'!$B$10:$B$52,0),MATCH("Y31d Pro",'[1]Sales per type Agustus'!$D$8:$BA$8,0)+1),0)</f>
        <v>41291000</v>
      </c>
      <c r="AO5" s="33">
        <f t="shared" ref="AO5:AO48" si="11">AM5-AN5</f>
        <v>-27994000</v>
      </c>
      <c r="AP5" s="33" cm="1">
        <f t="array" ref="AP5">IFERROR(INDEX('[1]SALES PERTYPE'!$D$10:$BA$53,MATCH($C5,'[1]SALES PERTYPE'!$B$10:$B$53,0),$EI$3),0)</f>
        <v>4</v>
      </c>
      <c r="AQ5" s="33" cm="1">
        <f t="array" ref="AQ5">IFERROR(INDEX('[1]Sales per type Agustus'!$D$10:$BA$52,MATCH($C5,'[1]Sales per type Agustus'!$B$10:$B$52,0),$EI$2),0)</f>
        <v>0</v>
      </c>
      <c r="AR5" s="33">
        <f t="shared" ref="AR5:AR48" si="12">AP5-AQ5</f>
        <v>4</v>
      </c>
      <c r="AS5" s="33" cm="1">
        <f t="array" ref="AS5">IFERROR(INDEX('[1]SALES PERTYPE'!$D$10:$BA$53,MATCH($C5,'[1]SALES PERTYPE'!$B$10:$B$53,0),$EI$3+1),0)</f>
        <v>13496000</v>
      </c>
      <c r="AT5" s="33" cm="1">
        <f t="array" ref="AT5">IFERROR(INDEX('[1]Sales per type Agustus'!$D$10:$BA$52,MATCH($C5,'[1]Sales per type Agustus'!$B$10:$B$52,0),$EI$2+1),0)</f>
        <v>0</v>
      </c>
      <c r="AU5" s="33">
        <f t="shared" ref="AU5:AU48" si="13">AS5-AT5</f>
        <v>13496000</v>
      </c>
      <c r="AV5" s="33">
        <f>IFERROR(INDEX('[1]SALES PERTYPE'!$D$10:$BA$53,MATCH($C5,'[1]SALES PERTYPE'!$B$10:$B$53,0),MATCH("Y31d ",'[1]SALES PERTYPE'!$D$8:$BA$8,0)),0)</f>
        <v>3</v>
      </c>
      <c r="AW5" s="33">
        <f>IFERROR(INDEX('[1]Sales per type Agustus'!$D$10:$BA$52,MATCH($C5,'[1]Sales per type Agustus'!$B$10:$B$52,0),MATCH("Y31d ",'[1]Sales per type Agustus'!$D$8:$BA$8,0)),0)</f>
        <v>0</v>
      </c>
      <c r="AX5" s="33">
        <f t="shared" ref="AX5:AX48" si="14">AV5-AW5</f>
        <v>3</v>
      </c>
      <c r="AY5" s="33" cm="1">
        <f t="array" ref="AY5">IFERROR(INDEX('[1]SALES PERTYPE'!$D$10:$BA$53,MATCH($C5,'[1]SALES PERTYPE'!$B$10:$B$53,0),MATCH("Y31d ",'[1]SALES PERTYPE'!$D$8:$BA$8,0)+1),0)</f>
        <v>10797000</v>
      </c>
      <c r="AZ5" s="33" cm="1">
        <f t="array" ref="AZ5">IFERROR(INDEX('[1]Sales per type Agustus'!$D$10:$BA$52,MATCH($C5,'[1]Sales per type Agustus'!$B$10:$B$52,0),MATCH("Y31d ",'[1]Sales per type Agustus'!$D$8:$BA$8,0)+1),0)</f>
        <v>0</v>
      </c>
      <c r="BA5" s="33">
        <f t="shared" ref="BA5:BA48" si="15">AY5-AZ5</f>
        <v>10797000</v>
      </c>
      <c r="BB5" s="33">
        <f>IFERROR(INDEX('[1]SALES PERTYPE'!$D$10:$BA$53,MATCH($C5,'[1]SALES PERTYPE'!$B$10:$B$53,0),MATCH("V70 FE",'[1]SALES PERTYPE'!$D$8:$BA$8,0)),0)</f>
        <v>4</v>
      </c>
      <c r="BC5" s="33">
        <f>IFERROR(INDEX('[1]Sales per type Agustus'!$D$10:$BA$52,MATCH($C5,'[1]Sales per type Agustus'!$B$10:$B$52,0),MATCH("V70 FE",'[1]Sales per type Agustus'!$D$8:$BA$8,0)),0)</f>
        <v>6</v>
      </c>
      <c r="BD5" s="33">
        <f t="shared" ref="BD5:BD48" si="16">BB5-BC5</f>
        <v>-2</v>
      </c>
      <c r="BE5" s="33" cm="1">
        <f t="array" ref="BE5">IFERROR(INDEX('[1]SALES PERTYPE'!$D$10:$BA$53,MATCH($C5,'[1]SALES PERTYPE'!$B$10:$B$53,0),MATCH("V70 FE",'[1]SALES PERTYPE'!$D$8:$BA$8,0)+1),0)</f>
        <v>28996000</v>
      </c>
      <c r="BF5" s="33" cm="1">
        <f t="array" ref="BF5">IFERROR(INDEX('[1]Sales per type Agustus'!$D$10:$BA$52,MATCH($C5,'[1]Sales per type Agustus'!$B$10:$B$52,0),MATCH("V70 FE",'[1]Sales per type Agustus'!$D$8:$BA$8,0)+1),0)</f>
        <v>47994000</v>
      </c>
      <c r="BG5" s="33">
        <f t="shared" ref="BG5:BG48" si="17">BE5-BF5</f>
        <v>-18998000</v>
      </c>
      <c r="BH5" s="33">
        <f>IFERROR(INDEX('[1]SALES PERTYPE'!$D$10:$BA$53,MATCH($C5,'[1]SALES PERTYPE'!$B$10:$B$53,0),MATCH("Y31d",'[1]SALES PERTYPE'!$D$8:$BA$8,0)),0)</f>
        <v>1</v>
      </c>
      <c r="BI5" s="33">
        <f>IFERROR(INDEX('[1]Sales per type Agustus'!$D$10:$BA$52,MATCH($C5,'[1]Sales per type Agustus'!$B$10:$B$52,0),MATCH("Y31d",'[1]Sales per type Agustus'!$D$8:$BA$8,0)),0)</f>
        <v>1</v>
      </c>
      <c r="BJ5" s="33">
        <f t="shared" ref="BJ5:BJ48" si="18">BH5-BI5</f>
        <v>0</v>
      </c>
      <c r="BK5" s="33" cm="1">
        <f t="array" ref="BK5">IFERROR(INDEX('[1]SALES PERTYPE'!$D$10:$BA$53,MATCH($C5,'[1]SALES PERTYPE'!$B$10:$B$53,0),MATCH("Y31d",'[1]SALES PERTYPE'!$D$8:$BA$8,0)+1),0)</f>
        <v>3599000</v>
      </c>
      <c r="BL5" s="33" cm="1">
        <f t="array" ref="BL5">IFERROR(INDEX('[1]Sales per type Agustus'!$D$10:$BA$52,MATCH($C5,'[1]Sales per type Agustus'!$B$10:$B$52,0),MATCH("Y31d",'[1]Sales per type Agustus'!$D$8:$BA$8,0)+1),0)</f>
        <v>3599000</v>
      </c>
      <c r="BM5" s="33">
        <f t="shared" ref="BM5:BM48" si="19">BK5-BL5</f>
        <v>0</v>
      </c>
      <c r="BN5" s="33">
        <f>IFERROR(INDEX('[1]SALES PERTYPE'!$D$10:$BA$53,MATCH($C5,'[1]SALES PERTYPE'!$B$10:$B$53,0),MATCH("Y500",'[1]SALES PERTYPE'!$D$8:$BA$8,0)),0)</f>
        <v>0</v>
      </c>
      <c r="BO5" s="33">
        <f>IFERROR(INDEX('[1]Sales per type Agustus'!$D$10:$BA$52,MATCH($C5,'[1]Sales per type Agustus'!$B$10:$B$52,0),MATCH("Y500",'[1]Sales per type Agustus'!$D$8:$BA$8,0)),0)</f>
        <v>1</v>
      </c>
      <c r="BP5" s="33">
        <f t="shared" ref="BP5:BP48" si="20">BN5-BO5</f>
        <v>-1</v>
      </c>
      <c r="BQ5" s="33" cm="1">
        <f t="array" ref="BQ5">IFERROR(INDEX('[1]SALES PERTYPE'!$D$10:$BA$53,MATCH($C5,'[1]SALES PERTYPE'!$B$10:$B$53,0),MATCH("Y500",'[1]SALES PERTYPE'!$D$8:$BA$8,0)+1),0)</f>
        <v>0</v>
      </c>
      <c r="BR5" s="33" cm="1">
        <f t="array" ref="BR5">IFERROR(INDEX('[1]Sales per type Agustus'!$D$10:$BA$52,MATCH($C5,'[1]Sales per type Agustus'!$B$10:$B$52,0),MATCH("Y500",'[1]Sales per type Agustus'!$D$8:$BA$8,0)+1),0)</f>
        <v>5499000</v>
      </c>
      <c r="BS5" s="33">
        <f t="shared" ref="BS5:BS48" si="21">BQ5-BR5</f>
        <v>-5499000</v>
      </c>
      <c r="BT5" s="33">
        <f>IFERROR(INDEX('[1]SALES PERTYPE'!$D$10:$BA$53,MATCH($C5,'[1]SALES PERTYPE'!$B$10:$B$53,0),MATCH("IQOO 15R",'[1]SALES PERTYPE'!$D$8:$BA$8,0)),0)</f>
        <v>1</v>
      </c>
      <c r="BU5" s="33">
        <f>IFERROR(INDEX('[1]Sales per type Agustus'!$D$10:$BA$52,MATCH($C5,'[1]Sales per type Agustus'!$B$10:$B$52,0),MATCH("IQOO 15R",'[1]Sales per type Agustus'!$D$8:$BA$8,0)),0)</f>
        <v>0</v>
      </c>
      <c r="BV5" s="33">
        <f t="shared" ref="BV5:BV48" si="22">BT5-BU5</f>
        <v>1</v>
      </c>
      <c r="BW5" s="33" cm="1">
        <f t="array" ref="BW5">IFERROR(INDEX('[1]SALES PERTYPE'!$D$10:$BA$53,MATCH($C5,'[1]SALES PERTYPE'!$B$10:$B$53,0),MATCH("IQOO 15R",'[1]SALES PERTYPE'!$D$8:$BA$8,0)+1),0)</f>
        <v>11999000</v>
      </c>
      <c r="BX5" s="33" cm="1">
        <f t="array" ref="BX5">IFERROR(INDEX('[1]Sales per type Agustus'!$D$10:$BA$52,MATCH($C5,'[1]Sales per type Agustus'!$B$10:$B$52,0),MATCH("IQOO 15R",'[1]Sales per type Agustus'!$D$8:$BA$8,0)+1),0)</f>
        <v>0</v>
      </c>
      <c r="BY5" s="33">
        <f t="shared" ref="BY5:BY48" si="23">BW5-BX5</f>
        <v>11999000</v>
      </c>
      <c r="BZ5" s="33">
        <f>IFERROR(INDEX('[1]SALES PERTYPE'!$D$10:$BA$53,MATCH($C5,'[1]SALES PERTYPE'!$B$10:$B$53,0),MATCH("V60 Lite",'[1]SALES PERTYPE'!$D$8:$BA$8,0)),0)</f>
        <v>8</v>
      </c>
      <c r="CA5" s="33">
        <f>IFERROR(INDEX('[1]Sales per type Agustus'!$D$10:$BA$52,MATCH($C5,'[1]Sales per type Agustus'!$B$10:$B$52,0),MATCH("V60 Lite",'[1]Sales per type Agustus'!$D$8:$BA$8,0)),0)</f>
        <v>7</v>
      </c>
      <c r="CB5" s="33">
        <f t="shared" ref="CB5:CB48" si="24">BZ5-CA5</f>
        <v>1</v>
      </c>
      <c r="CC5" s="33" cm="1">
        <f t="array" ref="CC5">IFERROR(INDEX('[1]SALES PERTYPE'!$D$10:$BA$53,MATCH($C5,'[1]SALES PERTYPE'!$B$10:$B$53,0),MATCH("V60 Lite",'[1]SALES PERTYPE'!$D$8:$BA$8,0)+1),0)</f>
        <v>48992000</v>
      </c>
      <c r="CD5" s="33" cm="1">
        <f t="array" ref="CD5">IFERROR(INDEX('[1]Sales per type Agustus'!$D$10:$BA$52,MATCH($C5,'[1]Sales per type Agustus'!$B$10:$B$52,0),MATCH("V60 Lite",'[1]Sales per type Agustus'!$D$8:$BA$8,0)+1),0)</f>
        <v>41293000</v>
      </c>
      <c r="CE5" s="33">
        <f t="shared" ref="CE5:CE48" si="25">CC5-CD5</f>
        <v>7699000</v>
      </c>
      <c r="CF5" s="33">
        <f>IFERROR(INDEX('[1]SALES PERTYPE'!$D$10:$BA$53,MATCH($C5,'[1]SALES PERTYPE'!$B$10:$B$53,0),MATCH("X300 Ultra",'[1]SALES PERTYPE'!$D$8:$BA$8,0)),0)</f>
        <v>4</v>
      </c>
      <c r="CG5" s="33">
        <f>IFERROR(INDEX('[1]Sales per type Agustus'!$D$10:$BA$52,MATCH($C5,'[1]Sales per type Agustus'!$B$10:$B$52,0),MATCH("X300 Ultra",'[1]Sales per type Agustus'!$D$8:$BA$8,0)),0)</f>
        <v>2</v>
      </c>
      <c r="CH5" s="33">
        <f t="shared" ref="CH5:CH48" si="26">CF5-CG5</f>
        <v>2</v>
      </c>
      <c r="CI5" s="33" cm="1">
        <f t="array" ref="CI5">IFERROR(INDEX('[1]SALES PERTYPE'!$D$10:$BA$53,MATCH($C5,'[1]SALES PERTYPE'!$B$10:$B$53,0),MATCH("X300 Ultra",'[1]SALES PERTYPE'!$D$8:$BA$8,0)+1),0)</f>
        <v>107996000</v>
      </c>
      <c r="CJ5" s="33" cm="1">
        <f t="array" ref="CJ5">IFERROR(INDEX('[1]Sales per type Agustus'!$D$10:$BA$52,MATCH($C5,'[1]Sales per type Agustus'!$B$10:$B$52,0),MATCH("X300 Ultra",'[1]Sales per type Agustus'!$D$8:$BA$8,0)+1),0)</f>
        <v>51998000</v>
      </c>
      <c r="CK5" s="33">
        <f t="shared" ref="CK5:CK48" si="27">CI5-CJ5</f>
        <v>55998000</v>
      </c>
      <c r="CL5" s="33">
        <f>IFERROR(INDEX('[1]SALES PERTYPE'!$D$10:$BA$53,MATCH($C5,'[1]SALES PERTYPE'!$B$10:$B$53,0),MATCH("IQOO 15",'[1]SALES PERTYPE'!$D$8:$BA$8,0)),0)</f>
        <v>0</v>
      </c>
      <c r="CM5" s="33">
        <f>IFERROR(INDEX('[1]Sales per type Agustus'!$D$10:$BA$52,MATCH($C5,'[1]Sales per type Agustus'!$B$10:$B$52,0),MATCH("IQOO 15",'[1]Sales per type Agustus'!$D$8:$BA$8,0)),0)</f>
        <v>0</v>
      </c>
      <c r="CN5" s="33">
        <f t="shared" ref="CN5:CN48" si="28">CL5-CM5</f>
        <v>0</v>
      </c>
      <c r="CO5" s="33" cm="1">
        <f t="array" ref="CO5">IFERROR(INDEX('[1]SALES PERTYPE'!$D$10:$BA$53,MATCH($C5,'[1]SALES PERTYPE'!$B$10:$B$53,0),MATCH("IQOO 15",'[1]SALES PERTYPE'!$D$8:$BA$8,0)+1),0)</f>
        <v>0</v>
      </c>
      <c r="CP5" s="33" cm="1">
        <f t="array" ref="CP5">IFERROR(INDEX('[1]Sales per type Agustus'!$D$10:$BA$52,MATCH($C5,'[1]Sales per type Agustus'!$B$10:$B$52,0),MATCH("IQOO 15",'[1]Sales per type Agustus'!$D$8:$BA$8,0)+1),0)</f>
        <v>0</v>
      </c>
      <c r="CQ5" s="33">
        <f t="shared" ref="CQ5:CQ48" si="29">CO5-CP5</f>
        <v>0</v>
      </c>
      <c r="CR5" s="33">
        <f>IFERROR(INDEX('[1]SALES PERTYPE'!$D$10:$BA$53,MATCH($C5,'[1]SALES PERTYPE'!$B$10:$B$53,0),MATCH("IQOO Z11x",'[1]SALES PERTYPE'!$D$8:$BA$8,0)),0)</f>
        <v>0</v>
      </c>
      <c r="CS5" s="33">
        <f>IFERROR(INDEX('[1]Sales per type Agustus'!$D$10:$BA$52,MATCH($C5,'[1]Sales per type Agustus'!$B$10:$B$52,0),MATCH("IQOO Z11x",'[1]Sales per type Agustus'!$D$8:$BA$8,0)),0)</f>
        <v>1</v>
      </c>
      <c r="CT5" s="33">
        <f t="shared" ref="CT5:CT48" si="30">CR5-CS5</f>
        <v>-1</v>
      </c>
      <c r="CU5" s="33" cm="1">
        <f t="array" ref="CU5">IFERROR(INDEX('[1]SALES PERTYPE'!$D$10:$BA$53,MATCH($C5,'[1]SALES PERTYPE'!$B$10:$B$53,0),MATCH("IQOO Z11x",'[1]SALES PERTYPE'!$D$8:$BA$8,0)+1),0)</f>
        <v>0</v>
      </c>
      <c r="CV5" s="33" cm="1">
        <f t="array" ref="CV5">IFERROR(INDEX('[1]Sales per type Agustus'!$D$10:$BA$52,MATCH($C5,'[1]Sales per type Agustus'!$B$10:$B$52,0),MATCH("IQOO Z11x",'[1]Sales per type Agustus'!$D$8:$BA$8,0)+1),0)</f>
        <v>5699000</v>
      </c>
      <c r="CW5" s="33">
        <f t="shared" ref="CW5:CW48" si="31">CU5-CV5</f>
        <v>-5699000</v>
      </c>
      <c r="CX5" s="33">
        <f>IFERROR(INDEX('[1]SALES PERTYPE'!$D$10:$BA$53,MATCH($C5,'[1]SALES PERTYPE'!$B$10:$B$53,0),MATCH("IQOO Z11",'[1]SALES PERTYPE'!$D$8:$BA$8,0)),0)</f>
        <v>3</v>
      </c>
      <c r="CY5" s="33">
        <f>IFERROR(INDEX('[1]Sales per type Agustus'!$D$10:$BA$52,MATCH($C5,'[1]Sales per type Agustus'!$B$10:$B$52,0),MATCH("IQOO Z11",'[1]Sales per type Agustus'!$D$8:$BA$8,0)),0)</f>
        <v>1</v>
      </c>
      <c r="CZ5" s="33">
        <f t="shared" ref="CZ5:CZ48" si="32">CX5-CY5</f>
        <v>2</v>
      </c>
      <c r="DA5" s="33" cm="1">
        <f t="array" ref="DA5">IFERROR(INDEX('[1]SALES PERTYPE'!$D$10:$BA$53,MATCH($C5,'[1]SALES PERTYPE'!$B$10:$B$53,0),MATCH("IQOO Z11",'[1]SALES PERTYPE'!$D$8:$BA$8,0)+1),0)</f>
        <v>20697000</v>
      </c>
      <c r="DB5" s="33" cm="1">
        <f t="array" ref="DB5">IFERROR(INDEX('[1]Sales per type Agustus'!$D$10:$BA$52,MATCH($C5,'[1]Sales per type Agustus'!$B$10:$B$52,0),MATCH("IQOO Z11",'[1]Sales per type Agustus'!$D$8:$BA$8,0)+1),0)</f>
        <v>8399000</v>
      </c>
      <c r="DC5" s="33">
        <f t="shared" ref="DC5:DC48" si="33">DA5-DB5</f>
        <v>12298000</v>
      </c>
      <c r="DD5" s="33">
        <f>IFERROR(INDEX('[1]SALES PERTYPE'!$D$10:$BA$53,MATCH($C5,'[1]SALES PERTYPE'!$B$10:$B$53,0),MATCH("WATCH 3",'[1]SALES PERTYPE'!$D$8:$BA$8,0)),0)</f>
        <v>0</v>
      </c>
      <c r="DE5" s="33">
        <f>IFERROR(INDEX('[1]Sales per type Agustus'!$D$10:$BA$52,MATCH($C5,'[1]Sales per type Agustus'!$B$10:$B$52,0),MATCH("WATCH 3",'[1]Sales per type Agustus'!$D$8:$BA$8,0)),0)</f>
        <v>0</v>
      </c>
      <c r="DF5" s="33">
        <f t="shared" ref="DF5:DF48" si="34">DD5-DE5</f>
        <v>0</v>
      </c>
      <c r="DG5" s="33" cm="1">
        <f t="array" ref="DG5">IFERROR(INDEX('[1]SALES PERTYPE'!$D$10:$BA$53,MATCH($C5,'[1]SALES PERTYPE'!$B$10:$B$53,0),MATCH("WATCH 3",'[1]SALES PERTYPE'!$D$8:$BA$8,0)+1),0)</f>
        <v>0</v>
      </c>
      <c r="DH5" s="33" cm="1">
        <f t="array" ref="DH5">IFERROR(INDEX('[1]Sales per type Agustus'!$D$10:$BA$52,MATCH($C5,'[1]Sales per type Agustus'!$B$10:$B$52,0),MATCH("WATCH 3",'[1]Sales per type Agustus'!$D$8:$BA$8,0)+1),0)</f>
        <v>0</v>
      </c>
      <c r="DI5" s="33">
        <f t="shared" ref="DI5:DI48" si="35">DG5-DH5</f>
        <v>0</v>
      </c>
      <c r="DJ5" s="33">
        <f>IFERROR(INDEX('[1]SALES PERTYPE'!$D$10:$BA$53,MATCH($C5,'[1]SALES PERTYPE'!$B$10:$B$53,0),MATCH("X Fold5",'[1]SALES PERTYPE'!$D$8:$BA$8,0)),0)</f>
        <v>0</v>
      </c>
      <c r="DK5" s="33">
        <f>IFERROR(INDEX('[1]Sales per type Agustus'!$D$10:$BA$52,MATCH($C5,'[1]Sales per type Agustus'!$B$10:$B$52,0),MATCH("X Fold5",'[1]Sales per type Agustus'!$D$8:$BA$8,0)),0)</f>
        <v>0</v>
      </c>
      <c r="DL5" s="33">
        <f t="shared" ref="DL5:DL48" si="36">DJ5-DK5</f>
        <v>0</v>
      </c>
      <c r="DM5" s="33" cm="1">
        <f t="array" ref="DM5">IFERROR(INDEX('[1]SALES PERTYPE'!$D$10:$BA$53,MATCH($C5,'[1]SALES PERTYPE'!$B$10:$B$53,0),MATCH("X Fold5",'[1]SALES PERTYPE'!$D$8:$BA$8,0)+1),0)</f>
        <v>0</v>
      </c>
      <c r="DN5" s="33" cm="1">
        <f t="array" ref="DN5">IFERROR(INDEX('[1]Sales per type Agustus'!$D$10:$BA$52,MATCH($C5,'[1]Sales per type Agustus'!$B$10:$B$52,0),MATCH("X Fold5",'[1]Sales per type Agustus'!$D$8:$BA$8,0)+1),0)</f>
        <v>0</v>
      </c>
      <c r="DO5" s="33">
        <f t="shared" ref="DO5:DO48" si="37">DM5-DN5</f>
        <v>0</v>
      </c>
      <c r="DP5" s="33">
        <f>IFERROR(INDEX('[1]SALES PERTYPE'!$D$10:$BA$53,MATCH($C5,'[1]SALES PERTYPE'!$B$10:$B$53,0),MATCH("X300 PRO",'[1]SALES PERTYPE'!$D$8:$BA$8,0)),0)</f>
        <v>0</v>
      </c>
      <c r="DQ5" s="33">
        <f>IFERROR(INDEX('[1]Sales per type Agustus'!$D$10:$BA$52,MATCH($C5,'[1]Sales per type Agustus'!$B$10:$B$52,0),MATCH("X300 PRO",'[1]Sales per type Agustus'!$D$8:$BA$8,0)),0)</f>
        <v>0</v>
      </c>
      <c r="DR5" s="33">
        <f t="shared" ref="DR5:DR48" si="38">DP5-DQ5</f>
        <v>0</v>
      </c>
      <c r="DS5" s="33" cm="1">
        <f t="array" ref="DS5">IFERROR(INDEX('[1]SALES PERTYPE'!$D$10:$BA$53,MATCH($C5,'[1]SALES PERTYPE'!$B$10:$B$53,0),MATCH("X300 PRO",'[1]SALES PERTYPE'!$D$8:$BA$8,0)+1),0)</f>
        <v>0</v>
      </c>
      <c r="DT5" s="33" cm="1">
        <f t="array" ref="DT5">IFERROR(INDEX('[1]Sales per type Agustus'!$D$10:$BA$52,MATCH($C5,'[1]Sales per type Agustus'!$B$10:$B$52,0),MATCH("X300 PRO",'[1]Sales per type Agustus'!$D$8:$BA$8,0)+1),0)</f>
        <v>0</v>
      </c>
      <c r="DU5" s="33">
        <f t="shared" ref="DU5:DU48" si="39">DS5-DT5</f>
        <v>0</v>
      </c>
      <c r="DV5" s="33">
        <f>IFERROR(INDEX('[1]SALES PERTYPE'!$D$10:$BA$53,MATCH($C5,'[1]SALES PERTYPE'!$B$10:$B$53,0),MATCH("X300 ",'[1]SALES PERTYPE'!$D$8:$BA$8,0)),0)</f>
        <v>2</v>
      </c>
      <c r="DW5" s="33">
        <f>IFERROR(INDEX('[1]Sales per type Agustus'!$D$10:$BA$52,MATCH($C5,'[1]Sales per type Agustus'!$B$10:$B$52,0),MATCH("X300 ",'[1]Sales per type Agustus'!$D$8:$BA$8,0)),0)</f>
        <v>0</v>
      </c>
      <c r="DX5" s="33">
        <f t="shared" ref="DX5:DX48" si="40">DV5-DW5</f>
        <v>2</v>
      </c>
      <c r="DY5" s="33" cm="1">
        <f t="array" ref="DY5">IFERROR(INDEX('[1]SALES PERTYPE'!$D$10:$BA$53,MATCH($C5,'[1]SALES PERTYPE'!$B$10:$B$53,0),MATCH("X300 ",'[1]SALES PERTYPE'!$D$8:$BA$8,0)+1),0)</f>
        <v>31998000</v>
      </c>
      <c r="DZ5" s="33" cm="1">
        <f t="array" ref="DZ5">IFERROR(INDEX('[1]Sales per type Agustus'!$D$10:$BA$52,MATCH($C5,'[1]Sales per type Agustus'!$B$10:$B$52,0),MATCH("X300 ",'[1]Sales per type Agustus'!$D$8:$BA$8,0)+1),0)</f>
        <v>0</v>
      </c>
      <c r="EA5" s="33">
        <f t="shared" ref="EA5:EA48" si="41">DY5-DZ5</f>
        <v>31998000</v>
      </c>
      <c r="EB5" s="33">
        <f t="shared" ref="EB5:EC47" si="42">F5+L5+R5+X5+AD5+AJ5+AP5+AV5+BB5+BH5+BN5+BT5+BZ5+CF5+CL5+CR5+CX5+DD5+DJ5+DP5+DV5</f>
        <v>76</v>
      </c>
      <c r="EC5" s="33">
        <f t="shared" si="42"/>
        <v>61</v>
      </c>
      <c r="ED5" s="33">
        <f t="shared" ref="ED5:ED48" si="43">EB5-EC5</f>
        <v>15</v>
      </c>
      <c r="EE5" s="33">
        <f t="shared" ref="EE5:EF47" si="44">I5+O5+U5+AA5+AG5+AM5+AS5+AY5+BE5+BK5+BQ5+BW5+CC5+CI5+CO5+CU5+DA5+DG5+DM5+DS5+DY5</f>
        <v>454124000</v>
      </c>
      <c r="EF5" s="33">
        <f t="shared" si="44"/>
        <v>300439000</v>
      </c>
      <c r="EG5" s="33">
        <f t="shared" ref="EG5:EG48" si="45">EE5-EF5</f>
        <v>153685000</v>
      </c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</row>
    <row r="6" spans="1:184" ht="16" x14ac:dyDescent="0.2">
      <c r="A6" s="214">
        <f>'[1]ACHIEVEMENT STORE'!A6</f>
        <v>2</v>
      </c>
      <c r="B6" s="215" t="str">
        <f>'[1]ACHIEVEMENT STORE'!B6</f>
        <v>601 雅加达西北 JKT BU</v>
      </c>
      <c r="C6" s="214">
        <f>'[1]ACHIEVEMENT STORE'!C6</f>
        <v>6010701</v>
      </c>
      <c r="D6" s="215" t="str">
        <f>'[1]ACHIEVEMENT STORE'!D6</f>
        <v>6010701-ROXY SHOWROOM 21</v>
      </c>
      <c r="E6" s="215" t="str">
        <f>'[1]ACHIEVEMENT STORE'!E6</f>
        <v>ANGGARIA</v>
      </c>
      <c r="F6" s="33">
        <f>IFERROR(INDEX('[1]SALES PERTYPE'!$D$10:$BA$53,MATCH($C6,'[1]SALES PERTYPE'!$B$10:$B$53,0),MATCH("Y05",'[1]SALES PERTYPE'!$D$8:$BA$8,0)),0)</f>
        <v>55</v>
      </c>
      <c r="G6" s="33">
        <f>IFERROR(INDEX('[1]Sales per type Agustus'!$D$10:$BA$52,MATCH($C6,'[1]Sales per type Agustus'!$B$10:$B$52,0),MATCH("Y05",'[1]Sales per type Agustus'!$D$8:$BA$8,0)),0)</f>
        <v>44</v>
      </c>
      <c r="H6" s="33">
        <f t="shared" si="0"/>
        <v>11</v>
      </c>
      <c r="I6" s="33" cm="1">
        <f t="array" ref="I6">IFERROR(INDEX('[1]SALES PERTYPE'!$D$10:$BA$53,MATCH($C6,'[1]SALES PERTYPE'!$B$10:$B$53,0),MATCH("Y05",'[1]SALES PERTYPE'!$D$8:$BA$8,0)+1),0)</f>
        <v>133945000</v>
      </c>
      <c r="J6" s="33" cm="1">
        <f t="array" ref="J6">IFERROR(INDEX('[1]Sales per type Agustus'!$D$10:$BA$52,MATCH($C6,'[1]Sales per type Agustus'!$B$10:$B$52,0),MATCH("Y05",'[1]Sales per type Agustus'!$D$8:$BA$8,0)+1),0)</f>
        <v>106556000</v>
      </c>
      <c r="K6" s="33">
        <f t="shared" si="1"/>
        <v>27389000</v>
      </c>
      <c r="L6" s="33">
        <f>IFERROR(INDEX('[1]SALES PERTYPE'!$D$10:$BA$53,MATCH($C6,'[1]SALES PERTYPE'!$B$10:$B$53,0),MATCH("Y11d",'[1]SALES PERTYPE'!$D$8:$BA$8,0)),0)</f>
        <v>36</v>
      </c>
      <c r="M6" s="33">
        <f>IFERROR(INDEX('[1]Sales per type Agustus'!$D$10:$BA$52,MATCH($C6,'[1]Sales per type Agustus'!$B$10:$B$52,0),MATCH("Y11d",'[1]Sales per type Agustus'!$D$8:$BA$8,0)),0)</f>
        <v>53</v>
      </c>
      <c r="N6" s="33">
        <f t="shared" si="2"/>
        <v>-17</v>
      </c>
      <c r="O6" s="33" cm="1">
        <f t="array" ref="O6">IFERROR(INDEX('[1]SALES PERTYPE'!$D$10:$BA$53,MATCH($C6,'[1]SALES PERTYPE'!$B$10:$B$53,0),MATCH("Y11d",'[1]SALES PERTYPE'!$D$8:$BA$8,0)+1),0)</f>
        <v>96764000</v>
      </c>
      <c r="P6" s="33" cm="1">
        <f t="array" ref="P6">IFERROR(INDEX('[1]Sales per type Agustus'!$D$10:$BA$52,MATCH($C6,'[1]Sales per type Agustus'!$B$10:$B$52,0),MATCH("Y11d",'[1]Sales per type Agustus'!$D$8:$BA$8,0)+1),0)</f>
        <v>139947000</v>
      </c>
      <c r="Q6" s="33">
        <f t="shared" si="3"/>
        <v>-43183000</v>
      </c>
      <c r="R6" s="33">
        <f>IFERROR(INDEX('[1]SALES PERTYPE'!$D$10:$BA$53,MATCH($C6,'[1]SALES PERTYPE'!$B$10:$B$53,0),MATCH("Watch GT 2",'[1]SALES PERTYPE'!$D$8:$BA$8,0)),0)</f>
        <v>0</v>
      </c>
      <c r="S6" s="33">
        <f>IFERROR(INDEX('[1]Sales per type Agustus'!$D$10:$BA$52,MATCH($C6,'[1]Sales per type Agustus'!$B$10:$B$52,0),MATCH("Watch GT 2",'[1]Sales per type Agustus'!$D$8:$BA$8,0)),0)</f>
        <v>0</v>
      </c>
      <c r="T6" s="33">
        <f t="shared" si="4"/>
        <v>0</v>
      </c>
      <c r="U6" s="33" cm="1">
        <f t="array" ref="U6">IFERROR(INDEX('[1]SALES PERTYPE'!$D$10:$BA$53,MATCH($C6,'[1]SALES PERTYPE'!$B$10:$B$53,0),MATCH("Watch GT 2",'[1]SALES PERTYPE'!$D$8:$BA$8,0)+1),0)</f>
        <v>0</v>
      </c>
      <c r="V6" s="33" cm="1">
        <f t="array" ref="V6">IFERROR(INDEX('[1]Sales per type Agustus'!$D$10:$BA$52,MATCH($C6,'[1]Sales per type Agustus'!$B$10:$B$52,0),MATCH("Watch GT 2",'[1]Sales per type Agustus'!$D$8:$BA$8,0)+1),0)</f>
        <v>0</v>
      </c>
      <c r="W6" s="33">
        <f t="shared" si="5"/>
        <v>0</v>
      </c>
      <c r="X6" s="33">
        <f>IFERROR(INDEX('[1]SALES PERTYPE'!$D$10:$BA$53,MATCH($C6,'[1]SALES PERTYPE'!$B$10:$B$53,0),MATCH("Y05e",'[1]SALES PERTYPE'!$D$8:$BA$8,0)),0)</f>
        <v>33</v>
      </c>
      <c r="Y6" s="33">
        <f>IFERROR(INDEX('[1]Sales per type Agustus'!$D$10:$BA$52,MATCH($C6,'[1]Sales per type Agustus'!$B$10:$B$52,0),MATCH("Y05e",'[1]Sales per type Agustus'!$D$8:$BA$8,0)),0)</f>
        <v>40</v>
      </c>
      <c r="Z6" s="33">
        <f t="shared" si="6"/>
        <v>-7</v>
      </c>
      <c r="AA6" s="33" cm="1">
        <f t="array" ref="AA6">IFERROR(INDEX('[1]SALES PERTYPE'!$D$10:$BA$53,MATCH($C6,'[1]SALES PERTYPE'!$B$10:$B$53,0),MATCH("Y05e",'[1]SALES PERTYPE'!$D$8:$BA$8,0)+1),0)</f>
        <v>71867000</v>
      </c>
      <c r="AB6" s="33" cm="1">
        <f t="array" ref="AB6">IFERROR(INDEX('[1]Sales per type Agustus'!$D$10:$BA$52,MATCH($C6,'[1]Sales per type Agustus'!$B$10:$B$52,0),MATCH("Y05e",'[1]Sales per type Agustus'!$D$8:$BA$8,0)+1),0)</f>
        <v>83960000</v>
      </c>
      <c r="AC6" s="33">
        <f t="shared" si="7"/>
        <v>-12093000</v>
      </c>
      <c r="AD6" s="33">
        <f>IFERROR(INDEX('[1]SALES PERTYPE'!$D$10:$BA$53,MATCH($C6,'[1]SALES PERTYPE'!$B$10:$B$53,0),MATCH("V70",'[1]SALES PERTYPE'!$D$8:$BA$8,0)),0)</f>
        <v>10</v>
      </c>
      <c r="AE6" s="33">
        <f>IFERROR(INDEX('[1]Sales per type Agustus'!$D$10:$BA$52,MATCH($C6,'[1]Sales per type Agustus'!$B$10:$B$52,0),MATCH("V70",'[1]Sales per type Agustus'!$D$8:$BA$8,0)),0)</f>
        <v>2</v>
      </c>
      <c r="AF6" s="33">
        <f t="shared" si="8"/>
        <v>8</v>
      </c>
      <c r="AG6" s="33" cm="1">
        <f t="array" ref="AG6">IFERROR(INDEX('[1]SALES PERTYPE'!$D$10:$BA$53,MATCH($C6,'[1]SALES PERTYPE'!$B$10:$B$53,0),MATCH("V70",'[1]SALES PERTYPE'!$D$8:$BA$8,0)+1),0)</f>
        <v>99990000</v>
      </c>
      <c r="AH6" s="33" cm="1">
        <f t="array" ref="AH6">IFERROR(INDEX('[1]Sales per type Agustus'!$D$10:$BA$52,MATCH($C6,'[1]Sales per type Agustus'!$B$10:$B$52,0),MATCH("V70",'[1]Sales per type Agustus'!$D$8:$BA$8,0)+1),0)</f>
        <v>19998000</v>
      </c>
      <c r="AI6" s="33">
        <f t="shared" si="9"/>
        <v>79992000</v>
      </c>
      <c r="AJ6" s="33">
        <f>IFERROR(INDEX('[1]SALES PERTYPE'!$D$10:$BA$53,MATCH($C6,'[1]SALES PERTYPE'!$B$10:$B$53,0),MATCH("Y31d Pro",'[1]SALES PERTYPE'!$D$8:$BA$8,0)),0)</f>
        <v>33</v>
      </c>
      <c r="AK6" s="33">
        <f>IFERROR(INDEX('[1]Sales per type Agustus'!$D$10:$BA$52,MATCH($C6,'[1]Sales per type Agustus'!$B$10:$B$52,0),MATCH("Y31d Pro",'[1]Sales per type Agustus'!$D$8:$BA$8,0)),0)</f>
        <v>47</v>
      </c>
      <c r="AL6" s="33">
        <f t="shared" si="10"/>
        <v>-14</v>
      </c>
      <c r="AM6" s="33" cm="1">
        <f t="array" ref="AM6">IFERROR(INDEX('[1]SALES PERTYPE'!$D$10:$BA$53,MATCH($C6,'[1]SALES PERTYPE'!$B$10:$B$53,0),MATCH("Y31d Pro",'[1]SALES PERTYPE'!$D$8:$BA$8,0)+1),0)</f>
        <v>139467000</v>
      </c>
      <c r="AN6" s="33" cm="1">
        <f t="array" ref="AN6">IFERROR(INDEX('[1]Sales per type Agustus'!$D$10:$BA$52,MATCH($C6,'[1]Sales per type Agustus'!$B$10:$B$52,0),MATCH("Y31d Pro",'[1]Sales per type Agustus'!$D$8:$BA$8,0)+1),0)</f>
        <v>219053000</v>
      </c>
      <c r="AO6" s="33">
        <f t="shared" si="11"/>
        <v>-79586000</v>
      </c>
      <c r="AP6" s="33" cm="1">
        <f t="array" ref="AP6">IFERROR(INDEX('[1]SALES PERTYPE'!$D$10:$BA$53,MATCH($C6,'[1]SALES PERTYPE'!$B$10:$B$53,0),$EI$3),0)</f>
        <v>17</v>
      </c>
      <c r="AQ6" s="33" cm="1">
        <f t="array" ref="AQ6">IFERROR(INDEX('[1]Sales per type Agustus'!$D$10:$BA$52,MATCH($C6,'[1]Sales per type Agustus'!$B$10:$B$52,0),$EI$2),0)</f>
        <v>5</v>
      </c>
      <c r="AR6" s="33">
        <f t="shared" si="12"/>
        <v>12</v>
      </c>
      <c r="AS6" s="33" cm="1">
        <f t="array" ref="AS6">IFERROR(INDEX('[1]SALES PERTYPE'!$D$10:$BA$53,MATCH($C6,'[1]SALES PERTYPE'!$B$10:$B$53,0),$EI$3+1),0)</f>
        <v>56083000</v>
      </c>
      <c r="AT6" s="33" cm="1">
        <f t="array" ref="AT6">IFERROR(INDEX('[1]Sales per type Agustus'!$D$10:$BA$52,MATCH($C6,'[1]Sales per type Agustus'!$B$10:$B$52,0),$EI$2+1),0)</f>
        <v>17995000</v>
      </c>
      <c r="AU6" s="33">
        <f t="shared" si="13"/>
        <v>38088000</v>
      </c>
      <c r="AV6" s="33">
        <f>IFERROR(INDEX('[1]SALES PERTYPE'!$D$10:$BA$53,MATCH($C6,'[1]SALES PERTYPE'!$B$10:$B$53,0),MATCH("Y31d ",'[1]SALES PERTYPE'!$D$8:$BA$8,0)),0)</f>
        <v>3</v>
      </c>
      <c r="AW6" s="33">
        <f>IFERROR(INDEX('[1]Sales per type Agustus'!$D$10:$BA$52,MATCH($C6,'[1]Sales per type Agustus'!$B$10:$B$52,0),MATCH("Y31d ",'[1]Sales per type Agustus'!$D$8:$BA$8,0)),0)</f>
        <v>12</v>
      </c>
      <c r="AX6" s="33">
        <f t="shared" si="14"/>
        <v>-9</v>
      </c>
      <c r="AY6" s="33" cm="1">
        <f t="array" ref="AY6">IFERROR(INDEX('[1]SALES PERTYPE'!$D$10:$BA$53,MATCH($C6,'[1]SALES PERTYPE'!$B$10:$B$53,0),MATCH("Y31d ",'[1]SALES PERTYPE'!$D$8:$BA$8,0)+1),0)</f>
        <v>10797000</v>
      </c>
      <c r="AZ6" s="33" cm="1">
        <f t="array" ref="AZ6">IFERROR(INDEX('[1]Sales per type Agustus'!$D$10:$BA$52,MATCH($C6,'[1]Sales per type Agustus'!$B$10:$B$52,0),MATCH("Y31d ",'[1]Sales per type Agustus'!$D$8:$BA$8,0)+1),0)</f>
        <v>43188000</v>
      </c>
      <c r="BA6" s="33">
        <f t="shared" si="15"/>
        <v>-32391000</v>
      </c>
      <c r="BB6" s="33">
        <f>IFERROR(INDEX('[1]SALES PERTYPE'!$D$10:$BA$53,MATCH($C6,'[1]SALES PERTYPE'!$B$10:$B$53,0),MATCH("V70 FE",'[1]SALES PERTYPE'!$D$8:$BA$8,0)),0)</f>
        <v>6</v>
      </c>
      <c r="BC6" s="33">
        <f>IFERROR(INDEX('[1]Sales per type Agustus'!$D$10:$BA$52,MATCH($C6,'[1]Sales per type Agustus'!$B$10:$B$52,0),MATCH("V70 FE",'[1]Sales per type Agustus'!$D$8:$BA$8,0)),0)</f>
        <v>9</v>
      </c>
      <c r="BD6" s="33">
        <f t="shared" si="16"/>
        <v>-3</v>
      </c>
      <c r="BE6" s="33" cm="1">
        <f t="array" ref="BE6">IFERROR(INDEX('[1]SALES PERTYPE'!$D$10:$BA$53,MATCH($C6,'[1]SALES PERTYPE'!$B$10:$B$53,0),MATCH("V70 FE",'[1]SALES PERTYPE'!$D$8:$BA$8,0)+1),0)</f>
        <v>42994000</v>
      </c>
      <c r="BF6" s="33" cm="1">
        <f t="array" ref="BF6">IFERROR(INDEX('[1]Sales per type Agustus'!$D$10:$BA$52,MATCH($C6,'[1]Sales per type Agustus'!$B$10:$B$52,0),MATCH("V70 FE",'[1]Sales per type Agustus'!$D$8:$BA$8,0)+1),0)</f>
        <v>71991000</v>
      </c>
      <c r="BG6" s="33">
        <f t="shared" si="17"/>
        <v>-28997000</v>
      </c>
      <c r="BH6" s="33">
        <f>IFERROR(INDEX('[1]SALES PERTYPE'!$D$10:$BA$53,MATCH($C6,'[1]SALES PERTYPE'!$B$10:$B$53,0),MATCH("Y31d",'[1]SALES PERTYPE'!$D$8:$BA$8,0)),0)</f>
        <v>3</v>
      </c>
      <c r="BI6" s="33">
        <f>IFERROR(INDEX('[1]Sales per type Agustus'!$D$10:$BA$52,MATCH($C6,'[1]Sales per type Agustus'!$B$10:$B$52,0),MATCH("Y31d",'[1]Sales per type Agustus'!$D$8:$BA$8,0)),0)</f>
        <v>6</v>
      </c>
      <c r="BJ6" s="33">
        <f t="shared" si="18"/>
        <v>-3</v>
      </c>
      <c r="BK6" s="33" cm="1">
        <f t="array" ref="BK6">IFERROR(INDEX('[1]SALES PERTYPE'!$D$10:$BA$53,MATCH($C6,'[1]SALES PERTYPE'!$B$10:$B$53,0),MATCH("Y31d",'[1]SALES PERTYPE'!$D$8:$BA$8,0)+1),0)</f>
        <v>10797000</v>
      </c>
      <c r="BL6" s="33" cm="1">
        <f t="array" ref="BL6">IFERROR(INDEX('[1]Sales per type Agustus'!$D$10:$BA$52,MATCH($C6,'[1]Sales per type Agustus'!$B$10:$B$52,0),MATCH("Y31d",'[1]Sales per type Agustus'!$D$8:$BA$8,0)+1),0)</f>
        <v>21594000</v>
      </c>
      <c r="BM6" s="33">
        <f t="shared" si="19"/>
        <v>-10797000</v>
      </c>
      <c r="BN6" s="33">
        <f>IFERROR(INDEX('[1]SALES PERTYPE'!$D$10:$BA$53,MATCH($C6,'[1]SALES PERTYPE'!$B$10:$B$53,0),MATCH("Y500",'[1]SALES PERTYPE'!$D$8:$BA$8,0)),0)</f>
        <v>4</v>
      </c>
      <c r="BO6" s="33">
        <f>IFERROR(INDEX('[1]Sales per type Agustus'!$D$10:$BA$52,MATCH($C6,'[1]Sales per type Agustus'!$B$10:$B$52,0),MATCH("Y500",'[1]Sales per type Agustus'!$D$8:$BA$8,0)),0)</f>
        <v>10</v>
      </c>
      <c r="BP6" s="33">
        <f t="shared" si="20"/>
        <v>-6</v>
      </c>
      <c r="BQ6" s="33" cm="1">
        <f t="array" ref="BQ6">IFERROR(INDEX('[1]SALES PERTYPE'!$D$10:$BA$53,MATCH($C6,'[1]SALES PERTYPE'!$B$10:$B$53,0),MATCH("Y500",'[1]SALES PERTYPE'!$D$8:$BA$8,0)+1),0)</f>
        <v>24396000</v>
      </c>
      <c r="BR6" s="33" cm="1">
        <f t="array" ref="BR6">IFERROR(INDEX('[1]Sales per type Agustus'!$D$10:$BA$52,MATCH($C6,'[1]Sales per type Agustus'!$B$10:$B$52,0),MATCH("Y500",'[1]Sales per type Agustus'!$D$8:$BA$8,0)+1),0)</f>
        <v>58990000</v>
      </c>
      <c r="BS6" s="33">
        <f t="shared" si="21"/>
        <v>-34594000</v>
      </c>
      <c r="BT6" s="33">
        <f>IFERROR(INDEX('[1]SALES PERTYPE'!$D$10:$BA$53,MATCH($C6,'[1]SALES PERTYPE'!$B$10:$B$53,0),MATCH("IQOO 15R",'[1]SALES PERTYPE'!$D$8:$BA$8,0)),0)</f>
        <v>0</v>
      </c>
      <c r="BU6" s="33">
        <f>IFERROR(INDEX('[1]Sales per type Agustus'!$D$10:$BA$52,MATCH($C6,'[1]Sales per type Agustus'!$B$10:$B$52,0),MATCH("IQOO 15R",'[1]Sales per type Agustus'!$D$8:$BA$8,0)),0)</f>
        <v>0</v>
      </c>
      <c r="BV6" s="33">
        <f t="shared" si="22"/>
        <v>0</v>
      </c>
      <c r="BW6" s="33" cm="1">
        <f t="array" ref="BW6">IFERROR(INDEX('[1]SALES PERTYPE'!$D$10:$BA$53,MATCH($C6,'[1]SALES PERTYPE'!$B$10:$B$53,0),MATCH("IQOO 15R",'[1]SALES PERTYPE'!$D$8:$BA$8,0)+1),0)</f>
        <v>0</v>
      </c>
      <c r="BX6" s="33" cm="1">
        <f t="array" ref="BX6">IFERROR(INDEX('[1]Sales per type Agustus'!$D$10:$BA$52,MATCH($C6,'[1]Sales per type Agustus'!$B$10:$B$52,0),MATCH("IQOO 15R",'[1]Sales per type Agustus'!$D$8:$BA$8,0)+1),0)</f>
        <v>0</v>
      </c>
      <c r="BY6" s="33">
        <f t="shared" si="23"/>
        <v>0</v>
      </c>
      <c r="BZ6" s="33">
        <f>IFERROR(INDEX('[1]SALES PERTYPE'!$D$10:$BA$53,MATCH($C6,'[1]SALES PERTYPE'!$B$10:$B$53,0),MATCH("V60 Lite",'[1]SALES PERTYPE'!$D$8:$BA$8,0)),0)</f>
        <v>8</v>
      </c>
      <c r="CA6" s="33">
        <f>IFERROR(INDEX('[1]Sales per type Agustus'!$D$10:$BA$52,MATCH($C6,'[1]Sales per type Agustus'!$B$10:$B$52,0),MATCH("V60 Lite",'[1]Sales per type Agustus'!$D$8:$BA$8,0)),0)</f>
        <v>2</v>
      </c>
      <c r="CB6" s="33">
        <f t="shared" si="24"/>
        <v>6</v>
      </c>
      <c r="CC6" s="33" cm="1">
        <f t="array" ref="CC6">IFERROR(INDEX('[1]SALES PERTYPE'!$D$10:$BA$53,MATCH($C6,'[1]SALES PERTYPE'!$B$10:$B$53,0),MATCH("V60 Lite",'[1]SALES PERTYPE'!$D$8:$BA$8,0)+1),0)</f>
        <v>47792000</v>
      </c>
      <c r="CD6" s="33" cm="1">
        <f t="array" ref="CD6">IFERROR(INDEX('[1]Sales per type Agustus'!$D$10:$BA$52,MATCH($C6,'[1]Sales per type Agustus'!$B$10:$B$52,0),MATCH("V60 Lite",'[1]Sales per type Agustus'!$D$8:$BA$8,0)+1),0)</f>
        <v>11798000</v>
      </c>
      <c r="CE6" s="33">
        <f t="shared" si="25"/>
        <v>35994000</v>
      </c>
      <c r="CF6" s="33">
        <f>IFERROR(INDEX('[1]SALES PERTYPE'!$D$10:$BA$53,MATCH($C6,'[1]SALES PERTYPE'!$B$10:$B$53,0),MATCH("X300 Ultra",'[1]SALES PERTYPE'!$D$8:$BA$8,0)),0)</f>
        <v>1</v>
      </c>
      <c r="CG6" s="33">
        <f>IFERROR(INDEX('[1]Sales per type Agustus'!$D$10:$BA$52,MATCH($C6,'[1]Sales per type Agustus'!$B$10:$B$52,0),MATCH("X300 Ultra",'[1]Sales per type Agustus'!$D$8:$BA$8,0)),0)</f>
        <v>1</v>
      </c>
      <c r="CH6" s="33">
        <f t="shared" si="26"/>
        <v>0</v>
      </c>
      <c r="CI6" s="33" cm="1">
        <f t="array" ref="CI6">IFERROR(INDEX('[1]SALES PERTYPE'!$D$10:$BA$53,MATCH($C6,'[1]SALES PERTYPE'!$B$10:$B$53,0),MATCH("X300 Ultra",'[1]SALES PERTYPE'!$D$8:$BA$8,0)+1),0)</f>
        <v>29999000</v>
      </c>
      <c r="CJ6" s="33" cm="1">
        <f t="array" ref="CJ6">IFERROR(INDEX('[1]Sales per type Agustus'!$D$10:$BA$52,MATCH($C6,'[1]Sales per type Agustus'!$B$10:$B$52,0),MATCH("X300 Ultra",'[1]Sales per type Agustus'!$D$8:$BA$8,0)+1),0)</f>
        <v>25999000</v>
      </c>
      <c r="CK6" s="33">
        <f t="shared" si="27"/>
        <v>4000000</v>
      </c>
      <c r="CL6" s="33">
        <f>IFERROR(INDEX('[1]SALES PERTYPE'!$D$10:$BA$53,MATCH($C6,'[1]SALES PERTYPE'!$B$10:$B$53,0),MATCH("IQOO 15",'[1]SALES PERTYPE'!$D$8:$BA$8,0)),0)</f>
        <v>0</v>
      </c>
      <c r="CM6" s="33">
        <f>IFERROR(INDEX('[1]Sales per type Agustus'!$D$10:$BA$52,MATCH($C6,'[1]Sales per type Agustus'!$B$10:$B$52,0),MATCH("IQOO 15",'[1]Sales per type Agustus'!$D$8:$BA$8,0)),0)</f>
        <v>0</v>
      </c>
      <c r="CN6" s="33">
        <f t="shared" si="28"/>
        <v>0</v>
      </c>
      <c r="CO6" s="33" cm="1">
        <f t="array" ref="CO6">IFERROR(INDEX('[1]SALES PERTYPE'!$D$10:$BA$53,MATCH($C6,'[1]SALES PERTYPE'!$B$10:$B$53,0),MATCH("IQOO 15",'[1]SALES PERTYPE'!$D$8:$BA$8,0)+1),0)</f>
        <v>0</v>
      </c>
      <c r="CP6" s="33" cm="1">
        <f t="array" ref="CP6">IFERROR(INDEX('[1]Sales per type Agustus'!$D$10:$BA$52,MATCH($C6,'[1]Sales per type Agustus'!$B$10:$B$52,0),MATCH("IQOO 15",'[1]Sales per type Agustus'!$D$8:$BA$8,0)+1),0)</f>
        <v>0</v>
      </c>
      <c r="CQ6" s="33">
        <f t="shared" si="29"/>
        <v>0</v>
      </c>
      <c r="CR6" s="33">
        <f>IFERROR(INDEX('[1]SALES PERTYPE'!$D$10:$BA$53,MATCH($C6,'[1]SALES PERTYPE'!$B$10:$B$53,0),MATCH("IQOO Z11x",'[1]SALES PERTYPE'!$D$8:$BA$8,0)),0)</f>
        <v>1</v>
      </c>
      <c r="CS6" s="33">
        <f>IFERROR(INDEX('[1]Sales per type Agustus'!$D$10:$BA$52,MATCH($C6,'[1]Sales per type Agustus'!$B$10:$B$52,0),MATCH("IQOO Z11x",'[1]Sales per type Agustus'!$D$8:$BA$8,0)),0)</f>
        <v>1</v>
      </c>
      <c r="CT6" s="33">
        <f t="shared" si="30"/>
        <v>0</v>
      </c>
      <c r="CU6" s="33" cm="1">
        <f t="array" ref="CU6">IFERROR(INDEX('[1]SALES PERTYPE'!$D$10:$BA$53,MATCH($C6,'[1]SALES PERTYPE'!$B$10:$B$53,0),MATCH("IQOO Z11x",'[1]SALES PERTYPE'!$D$8:$BA$8,0)+1),0)</f>
        <v>4799000</v>
      </c>
      <c r="CV6" s="33" cm="1">
        <f t="array" ref="CV6">IFERROR(INDEX('[1]Sales per type Agustus'!$D$10:$BA$52,MATCH($C6,'[1]Sales per type Agustus'!$B$10:$B$52,0),MATCH("IQOO Z11x",'[1]Sales per type Agustus'!$D$8:$BA$8,0)+1),0)</f>
        <v>5699000</v>
      </c>
      <c r="CW6" s="33">
        <f t="shared" si="31"/>
        <v>-900000</v>
      </c>
      <c r="CX6" s="33">
        <f>IFERROR(INDEX('[1]SALES PERTYPE'!$D$10:$BA$53,MATCH($C6,'[1]SALES PERTYPE'!$B$10:$B$53,0),MATCH("IQOO Z11",'[1]SALES PERTYPE'!$D$8:$BA$8,0)),0)</f>
        <v>6</v>
      </c>
      <c r="CY6" s="33">
        <f>IFERROR(INDEX('[1]Sales per type Agustus'!$D$10:$BA$52,MATCH($C6,'[1]Sales per type Agustus'!$B$10:$B$52,0),MATCH("IQOO Z11",'[1]Sales per type Agustus'!$D$8:$BA$8,0)),0)</f>
        <v>5</v>
      </c>
      <c r="CZ6" s="33">
        <f t="shared" si="32"/>
        <v>1</v>
      </c>
      <c r="DA6" s="33" cm="1">
        <f t="array" ref="DA6">IFERROR(INDEX('[1]SALES PERTYPE'!$D$10:$BA$53,MATCH($C6,'[1]SALES PERTYPE'!$B$10:$B$53,0),MATCH("IQOO Z11",'[1]SALES PERTYPE'!$D$8:$BA$8,0)+1),0)</f>
        <v>41394000</v>
      </c>
      <c r="DB6" s="33" cm="1">
        <f t="array" ref="DB6">IFERROR(INDEX('[1]Sales per type Agustus'!$D$10:$BA$52,MATCH($C6,'[1]Sales per type Agustus'!$B$10:$B$52,0),MATCH("IQOO Z11",'[1]Sales per type Agustus'!$D$8:$BA$8,0)+1),0)</f>
        <v>35995000</v>
      </c>
      <c r="DC6" s="33">
        <f t="shared" si="33"/>
        <v>5399000</v>
      </c>
      <c r="DD6" s="33">
        <f>IFERROR(INDEX('[1]SALES PERTYPE'!$D$10:$BA$53,MATCH($C6,'[1]SALES PERTYPE'!$B$10:$B$53,0),MATCH("WATCH 3",'[1]SALES PERTYPE'!$D$8:$BA$8,0)),0)</f>
        <v>0</v>
      </c>
      <c r="DE6" s="33">
        <f>IFERROR(INDEX('[1]Sales per type Agustus'!$D$10:$BA$52,MATCH($C6,'[1]Sales per type Agustus'!$B$10:$B$52,0),MATCH("WATCH 3",'[1]Sales per type Agustus'!$D$8:$BA$8,0)),0)</f>
        <v>0</v>
      </c>
      <c r="DF6" s="33">
        <f t="shared" si="34"/>
        <v>0</v>
      </c>
      <c r="DG6" s="33" cm="1">
        <f t="array" ref="DG6">IFERROR(INDEX('[1]SALES PERTYPE'!$D$10:$BA$53,MATCH($C6,'[1]SALES PERTYPE'!$B$10:$B$53,0),MATCH("WATCH 3",'[1]SALES PERTYPE'!$D$8:$BA$8,0)+1),0)</f>
        <v>0</v>
      </c>
      <c r="DH6" s="33" cm="1">
        <f t="array" ref="DH6">IFERROR(INDEX('[1]Sales per type Agustus'!$D$10:$BA$52,MATCH($C6,'[1]Sales per type Agustus'!$B$10:$B$52,0),MATCH("WATCH 3",'[1]Sales per type Agustus'!$D$8:$BA$8,0)+1),0)</f>
        <v>0</v>
      </c>
      <c r="DI6" s="33">
        <f t="shared" si="35"/>
        <v>0</v>
      </c>
      <c r="DJ6" s="33">
        <f>IFERROR(INDEX('[1]SALES PERTYPE'!$D$10:$BA$53,MATCH($C6,'[1]SALES PERTYPE'!$B$10:$B$53,0),MATCH("X Fold5",'[1]SALES PERTYPE'!$D$8:$BA$8,0)),0)</f>
        <v>0</v>
      </c>
      <c r="DK6" s="33">
        <f>IFERROR(INDEX('[1]Sales per type Agustus'!$D$10:$BA$52,MATCH($C6,'[1]Sales per type Agustus'!$B$10:$B$52,0),MATCH("X Fold5",'[1]Sales per type Agustus'!$D$8:$BA$8,0)),0)</f>
        <v>0</v>
      </c>
      <c r="DL6" s="33">
        <f t="shared" si="36"/>
        <v>0</v>
      </c>
      <c r="DM6" s="33" cm="1">
        <f t="array" ref="DM6">IFERROR(INDEX('[1]SALES PERTYPE'!$D$10:$BA$53,MATCH($C6,'[1]SALES PERTYPE'!$B$10:$B$53,0),MATCH("X Fold5",'[1]SALES PERTYPE'!$D$8:$BA$8,0)+1),0)</f>
        <v>0</v>
      </c>
      <c r="DN6" s="33" cm="1">
        <f t="array" ref="DN6">IFERROR(INDEX('[1]Sales per type Agustus'!$D$10:$BA$52,MATCH($C6,'[1]Sales per type Agustus'!$B$10:$B$52,0),MATCH("X Fold5",'[1]Sales per type Agustus'!$D$8:$BA$8,0)+1),0)</f>
        <v>0</v>
      </c>
      <c r="DO6" s="33">
        <f t="shared" si="37"/>
        <v>0</v>
      </c>
      <c r="DP6" s="33">
        <f>IFERROR(INDEX('[1]SALES PERTYPE'!$D$10:$BA$53,MATCH($C6,'[1]SALES PERTYPE'!$B$10:$B$53,0),MATCH("X300 PRO",'[1]SALES PERTYPE'!$D$8:$BA$8,0)),0)</f>
        <v>0</v>
      </c>
      <c r="DQ6" s="33">
        <f>IFERROR(INDEX('[1]Sales per type Agustus'!$D$10:$BA$52,MATCH($C6,'[1]Sales per type Agustus'!$B$10:$B$52,0),MATCH("X300 PRO",'[1]Sales per type Agustus'!$D$8:$BA$8,0)),0)</f>
        <v>0</v>
      </c>
      <c r="DR6" s="33">
        <f t="shared" si="38"/>
        <v>0</v>
      </c>
      <c r="DS6" s="33" cm="1">
        <f t="array" ref="DS6">IFERROR(INDEX('[1]SALES PERTYPE'!$D$10:$BA$53,MATCH($C6,'[1]SALES PERTYPE'!$B$10:$B$53,0),MATCH("X300 PRO",'[1]SALES PERTYPE'!$D$8:$BA$8,0)+1),0)</f>
        <v>0</v>
      </c>
      <c r="DT6" s="33" cm="1">
        <f t="array" ref="DT6">IFERROR(INDEX('[1]Sales per type Agustus'!$D$10:$BA$52,MATCH($C6,'[1]Sales per type Agustus'!$B$10:$B$52,0),MATCH("X300 PRO",'[1]Sales per type Agustus'!$D$8:$BA$8,0)+1),0)</f>
        <v>0</v>
      </c>
      <c r="DU6" s="33">
        <f t="shared" si="39"/>
        <v>0</v>
      </c>
      <c r="DV6" s="33">
        <f>IFERROR(INDEX('[1]SALES PERTYPE'!$D$10:$BA$53,MATCH($C6,'[1]SALES PERTYPE'!$B$10:$B$53,0),MATCH("X300 ",'[1]SALES PERTYPE'!$D$8:$BA$8,0)),0)</f>
        <v>0</v>
      </c>
      <c r="DW6" s="33">
        <f>IFERROR(INDEX('[1]Sales per type Agustus'!$D$10:$BA$52,MATCH($C6,'[1]Sales per type Agustus'!$B$10:$B$52,0),MATCH("X300 ",'[1]Sales per type Agustus'!$D$8:$BA$8,0)),0)</f>
        <v>0</v>
      </c>
      <c r="DX6" s="33">
        <f t="shared" si="40"/>
        <v>0</v>
      </c>
      <c r="DY6" s="33" cm="1">
        <f t="array" ref="DY6">IFERROR(INDEX('[1]SALES PERTYPE'!$D$10:$BA$53,MATCH($C6,'[1]SALES PERTYPE'!$B$10:$B$53,0),MATCH("X300 ",'[1]SALES PERTYPE'!$D$8:$BA$8,0)+1),0)</f>
        <v>0</v>
      </c>
      <c r="DZ6" s="33" cm="1">
        <f t="array" ref="DZ6">IFERROR(INDEX('[1]Sales per type Agustus'!$D$10:$BA$52,MATCH($C6,'[1]Sales per type Agustus'!$B$10:$B$52,0),MATCH("X300 ",'[1]Sales per type Agustus'!$D$8:$BA$8,0)+1),0)</f>
        <v>0</v>
      </c>
      <c r="EA6" s="33">
        <f t="shared" si="41"/>
        <v>0</v>
      </c>
      <c r="EB6" s="33">
        <f t="shared" si="42"/>
        <v>216</v>
      </c>
      <c r="EC6" s="33">
        <f t="shared" si="42"/>
        <v>237</v>
      </c>
      <c r="ED6" s="33">
        <f t="shared" si="43"/>
        <v>-21</v>
      </c>
      <c r="EE6" s="33">
        <f t="shared" si="44"/>
        <v>811084000</v>
      </c>
      <c r="EF6" s="33">
        <f t="shared" si="44"/>
        <v>862763000</v>
      </c>
      <c r="EG6" s="33">
        <f t="shared" si="45"/>
        <v>-51679000</v>
      </c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</row>
    <row r="7" spans="1:184" ht="16" x14ac:dyDescent="0.2">
      <c r="A7" s="31">
        <f>'[1]ACHIEVEMENT STORE'!A7</f>
        <v>3</v>
      </c>
      <c r="B7" s="32" t="str">
        <f>'[1]ACHIEVEMENT STORE'!B7</f>
        <v>601 雅加达西北 JKT BU</v>
      </c>
      <c r="C7" s="31">
        <f>'[1]ACHIEVEMENT STORE'!C7</f>
        <v>6010702</v>
      </c>
      <c r="D7" s="32" t="str">
        <f>'[1]ACHIEVEMENT STORE'!D7</f>
        <v>6010702-ROXY PAMERAN TIMUR</v>
      </c>
      <c r="E7" s="32" t="str">
        <f>'[1]ACHIEVEMENT STORE'!E7</f>
        <v>ANGGARIA</v>
      </c>
      <c r="F7" s="33">
        <f>IFERROR(INDEX('[1]SALES PERTYPE'!$D$10:$BA$53,MATCH($C7,'[1]SALES PERTYPE'!$B$10:$B$53,0),MATCH("Y05",'[1]SALES PERTYPE'!$D$8:$BA$8,0)),0)</f>
        <v>67</v>
      </c>
      <c r="G7" s="33">
        <f>IFERROR(INDEX('[1]Sales per type Agustus'!$D$10:$BA$52,MATCH($C7,'[1]Sales per type Agustus'!$B$10:$B$52,0),MATCH("Y05",'[1]Sales per type Agustus'!$D$8:$BA$8,0)),0)</f>
        <v>47</v>
      </c>
      <c r="H7" s="33">
        <f t="shared" si="0"/>
        <v>20</v>
      </c>
      <c r="I7" s="33" cm="1">
        <f t="array" ref="I7">IFERROR(INDEX('[1]SALES PERTYPE'!$D$10:$BA$53,MATCH($C7,'[1]SALES PERTYPE'!$B$10:$B$53,0),MATCH("Y05",'[1]SALES PERTYPE'!$D$8:$BA$8,0)+1),0)</f>
        <v>160633000</v>
      </c>
      <c r="J7" s="33" cm="1">
        <f t="array" ref="J7">IFERROR(INDEX('[1]Sales per type Agustus'!$D$10:$BA$52,MATCH($C7,'[1]Sales per type Agustus'!$B$10:$B$52,0),MATCH("Y05",'[1]Sales per type Agustus'!$D$8:$BA$8,0)+1),0)</f>
        <v>114053000</v>
      </c>
      <c r="K7" s="33">
        <f t="shared" si="1"/>
        <v>46580000</v>
      </c>
      <c r="L7" s="33">
        <f>IFERROR(INDEX('[1]SALES PERTYPE'!$D$10:$BA$53,MATCH($C7,'[1]SALES PERTYPE'!$B$10:$B$53,0),MATCH("Y11d",'[1]SALES PERTYPE'!$D$8:$BA$8,0)),0)</f>
        <v>33</v>
      </c>
      <c r="M7" s="33">
        <f>IFERROR(INDEX('[1]Sales per type Agustus'!$D$10:$BA$52,MATCH($C7,'[1]Sales per type Agustus'!$B$10:$B$52,0),MATCH("Y11d",'[1]Sales per type Agustus'!$D$8:$BA$8,0)),0)</f>
        <v>49</v>
      </c>
      <c r="N7" s="33">
        <f t="shared" si="2"/>
        <v>-16</v>
      </c>
      <c r="O7" s="33" cm="1">
        <f t="array" ref="O7">IFERROR(INDEX('[1]SALES PERTYPE'!$D$10:$BA$53,MATCH($C7,'[1]SALES PERTYPE'!$B$10:$B$53,0),MATCH("Y11d",'[1]SALES PERTYPE'!$D$8:$BA$8,0)+1),0)</f>
        <v>89167000</v>
      </c>
      <c r="P7" s="33" cm="1">
        <f t="array" ref="P7">IFERROR(INDEX('[1]Sales per type Agustus'!$D$10:$BA$52,MATCH($C7,'[1]Sales per type Agustus'!$B$10:$B$52,0),MATCH("Y11d",'[1]Sales per type Agustus'!$D$8:$BA$8,0)+1),0)</f>
        <v>130751000</v>
      </c>
      <c r="Q7" s="33">
        <f t="shared" si="3"/>
        <v>-41584000</v>
      </c>
      <c r="R7" s="33">
        <f>IFERROR(INDEX('[1]SALES PERTYPE'!$D$10:$BA$53,MATCH($C7,'[1]SALES PERTYPE'!$B$10:$B$53,0),MATCH("Watch GT 2",'[1]SALES PERTYPE'!$D$8:$BA$8,0)),0)</f>
        <v>0</v>
      </c>
      <c r="S7" s="33">
        <f>IFERROR(INDEX('[1]Sales per type Agustus'!$D$10:$BA$52,MATCH($C7,'[1]Sales per type Agustus'!$B$10:$B$52,0),MATCH("Watch GT 2",'[1]Sales per type Agustus'!$D$8:$BA$8,0)),0)</f>
        <v>0</v>
      </c>
      <c r="T7" s="33">
        <f t="shared" si="4"/>
        <v>0</v>
      </c>
      <c r="U7" s="33" cm="1">
        <f t="array" ref="U7">IFERROR(INDEX('[1]SALES PERTYPE'!$D$10:$BA$53,MATCH($C7,'[1]SALES PERTYPE'!$B$10:$B$53,0),MATCH("Watch GT 2",'[1]SALES PERTYPE'!$D$8:$BA$8,0)+1),0)</f>
        <v>0</v>
      </c>
      <c r="V7" s="33" cm="1">
        <f t="array" ref="V7">IFERROR(INDEX('[1]Sales per type Agustus'!$D$10:$BA$52,MATCH($C7,'[1]Sales per type Agustus'!$B$10:$B$52,0),MATCH("Watch GT 2",'[1]Sales per type Agustus'!$D$8:$BA$8,0)+1),0)</f>
        <v>0</v>
      </c>
      <c r="W7" s="33">
        <f t="shared" si="5"/>
        <v>0</v>
      </c>
      <c r="X7" s="33">
        <f>IFERROR(INDEX('[1]SALES PERTYPE'!$D$10:$BA$53,MATCH($C7,'[1]SALES PERTYPE'!$B$10:$B$53,0),MATCH("Y05e",'[1]SALES PERTYPE'!$D$8:$BA$8,0)),0)</f>
        <v>44</v>
      </c>
      <c r="Y7" s="33">
        <f>IFERROR(INDEX('[1]Sales per type Agustus'!$D$10:$BA$52,MATCH($C7,'[1]Sales per type Agustus'!$B$10:$B$52,0),MATCH("Y05e",'[1]Sales per type Agustus'!$D$8:$BA$8,0)),0)</f>
        <v>95</v>
      </c>
      <c r="Z7" s="33">
        <f t="shared" si="6"/>
        <v>-51</v>
      </c>
      <c r="AA7" s="33" cm="1">
        <f t="array" ref="AA7">IFERROR(INDEX('[1]SALES PERTYPE'!$D$10:$BA$53,MATCH($C7,'[1]SALES PERTYPE'!$B$10:$B$53,0),MATCH("Y05e",'[1]SALES PERTYPE'!$D$8:$BA$8,0)+1),0)</f>
        <v>95156000</v>
      </c>
      <c r="AB7" s="33" cm="1">
        <f t="array" ref="AB7">IFERROR(INDEX('[1]Sales per type Agustus'!$D$10:$BA$52,MATCH($C7,'[1]Sales per type Agustus'!$B$10:$B$52,0),MATCH("Y05e",'[1]Sales per type Agustus'!$D$8:$BA$8,0)+1),0)</f>
        <v>199405000</v>
      </c>
      <c r="AC7" s="33">
        <f t="shared" si="7"/>
        <v>-104249000</v>
      </c>
      <c r="AD7" s="33">
        <f>IFERROR(INDEX('[1]SALES PERTYPE'!$D$10:$BA$53,MATCH($C7,'[1]SALES PERTYPE'!$B$10:$B$53,0),MATCH("V70",'[1]SALES PERTYPE'!$D$8:$BA$8,0)),0)</f>
        <v>8</v>
      </c>
      <c r="AE7" s="33">
        <f>IFERROR(INDEX('[1]Sales per type Agustus'!$D$10:$BA$52,MATCH($C7,'[1]Sales per type Agustus'!$B$10:$B$52,0),MATCH("V70",'[1]Sales per type Agustus'!$D$8:$BA$8,0)),0)</f>
        <v>3</v>
      </c>
      <c r="AF7" s="33">
        <f t="shared" si="8"/>
        <v>5</v>
      </c>
      <c r="AG7" s="33" cm="1">
        <f t="array" ref="AG7">IFERROR(INDEX('[1]SALES PERTYPE'!$D$10:$BA$53,MATCH($C7,'[1]SALES PERTYPE'!$B$10:$B$53,0),MATCH("V70",'[1]SALES PERTYPE'!$D$8:$BA$8,0)+1),0)</f>
        <v>79992000</v>
      </c>
      <c r="AH7" s="33" cm="1">
        <f t="array" ref="AH7">IFERROR(INDEX('[1]Sales per type Agustus'!$D$10:$BA$52,MATCH($C7,'[1]Sales per type Agustus'!$B$10:$B$52,0),MATCH("V70",'[1]Sales per type Agustus'!$D$8:$BA$8,0)+1),0)</f>
        <v>29997000</v>
      </c>
      <c r="AI7" s="33">
        <f t="shared" si="9"/>
        <v>49995000</v>
      </c>
      <c r="AJ7" s="33">
        <f>IFERROR(INDEX('[1]SALES PERTYPE'!$D$10:$BA$53,MATCH($C7,'[1]SALES PERTYPE'!$B$10:$B$53,0),MATCH("Y31d Pro",'[1]SALES PERTYPE'!$D$8:$BA$8,0)),0)</f>
        <v>37</v>
      </c>
      <c r="AK7" s="33">
        <f>IFERROR(INDEX('[1]Sales per type Agustus'!$D$10:$BA$52,MATCH($C7,'[1]Sales per type Agustus'!$B$10:$B$52,0),MATCH("Y31d Pro",'[1]Sales per type Agustus'!$D$8:$BA$8,0)),0)</f>
        <v>45</v>
      </c>
      <c r="AL7" s="33">
        <f t="shared" si="10"/>
        <v>-8</v>
      </c>
      <c r="AM7" s="33" cm="1">
        <f t="array" ref="AM7">IFERROR(INDEX('[1]SALES PERTYPE'!$D$10:$BA$53,MATCH($C7,'[1]SALES PERTYPE'!$B$10:$B$53,0),MATCH("Y31d Pro",'[1]SALES PERTYPE'!$D$8:$BA$8,0)+1),0)</f>
        <v>158063000</v>
      </c>
      <c r="AN7" s="33" cm="1">
        <f t="array" ref="AN7">IFERROR(INDEX('[1]Sales per type Agustus'!$D$10:$BA$52,MATCH($C7,'[1]Sales per type Agustus'!$B$10:$B$52,0),MATCH("Y31d Pro",'[1]Sales per type Agustus'!$D$8:$BA$8,0)+1),0)</f>
        <v>201255000</v>
      </c>
      <c r="AO7" s="33">
        <f t="shared" si="11"/>
        <v>-43192000</v>
      </c>
      <c r="AP7" s="33" cm="1">
        <f t="array" ref="AP7">IFERROR(INDEX('[1]SALES PERTYPE'!$D$10:$BA$53,MATCH($C7,'[1]SALES PERTYPE'!$B$10:$B$53,0),$EI$3),0)</f>
        <v>9</v>
      </c>
      <c r="AQ7" s="33" cm="1">
        <f t="array" ref="AQ7">IFERROR(INDEX('[1]Sales per type Agustus'!$D$10:$BA$52,MATCH($C7,'[1]Sales per type Agustus'!$B$10:$B$52,0),$EI$2),0)</f>
        <v>3</v>
      </c>
      <c r="AR7" s="33">
        <f t="shared" si="12"/>
        <v>6</v>
      </c>
      <c r="AS7" s="33" cm="1">
        <f t="array" ref="AS7">IFERROR(INDEX('[1]SALES PERTYPE'!$D$10:$BA$53,MATCH($C7,'[1]SALES PERTYPE'!$B$10:$B$53,0),$EI$3+1),0)</f>
        <v>29691000</v>
      </c>
      <c r="AT7" s="33" cm="1">
        <f t="array" ref="AT7">IFERROR(INDEX('[1]Sales per type Agustus'!$D$10:$BA$52,MATCH($C7,'[1]Sales per type Agustus'!$B$10:$B$52,0),$EI$2+1),0)</f>
        <v>10797000</v>
      </c>
      <c r="AU7" s="33">
        <f t="shared" si="13"/>
        <v>18894000</v>
      </c>
      <c r="AV7" s="33">
        <f>IFERROR(INDEX('[1]SALES PERTYPE'!$D$10:$BA$53,MATCH($C7,'[1]SALES PERTYPE'!$B$10:$B$53,0),MATCH("Y31d ",'[1]SALES PERTYPE'!$D$8:$BA$8,0)),0)</f>
        <v>0</v>
      </c>
      <c r="AW7" s="33">
        <f>IFERROR(INDEX('[1]Sales per type Agustus'!$D$10:$BA$52,MATCH($C7,'[1]Sales per type Agustus'!$B$10:$B$52,0),MATCH("Y31d ",'[1]Sales per type Agustus'!$D$8:$BA$8,0)),0)</f>
        <v>1</v>
      </c>
      <c r="AX7" s="33">
        <f t="shared" si="14"/>
        <v>-1</v>
      </c>
      <c r="AY7" s="33" cm="1">
        <f t="array" ref="AY7">IFERROR(INDEX('[1]SALES PERTYPE'!$D$10:$BA$53,MATCH($C7,'[1]SALES PERTYPE'!$B$10:$B$53,0),MATCH("Y31d ",'[1]SALES PERTYPE'!$D$8:$BA$8,0)+1),0)</f>
        <v>0</v>
      </c>
      <c r="AZ7" s="33" cm="1">
        <f t="array" ref="AZ7">IFERROR(INDEX('[1]Sales per type Agustus'!$D$10:$BA$52,MATCH($C7,'[1]Sales per type Agustus'!$B$10:$B$52,0),MATCH("Y31d ",'[1]Sales per type Agustus'!$D$8:$BA$8,0)+1),0)</f>
        <v>3599000</v>
      </c>
      <c r="BA7" s="33">
        <f t="shared" si="15"/>
        <v>-3599000</v>
      </c>
      <c r="BB7" s="33">
        <f>IFERROR(INDEX('[1]SALES PERTYPE'!$D$10:$BA$53,MATCH($C7,'[1]SALES PERTYPE'!$B$10:$B$53,0),MATCH("V70 FE",'[1]SALES PERTYPE'!$D$8:$BA$8,0)),0)</f>
        <v>6</v>
      </c>
      <c r="BC7" s="33">
        <f>IFERROR(INDEX('[1]Sales per type Agustus'!$D$10:$BA$52,MATCH($C7,'[1]Sales per type Agustus'!$B$10:$B$52,0),MATCH("V70 FE",'[1]Sales per type Agustus'!$D$8:$BA$8,0)),0)</f>
        <v>3</v>
      </c>
      <c r="BD7" s="33">
        <f t="shared" si="16"/>
        <v>3</v>
      </c>
      <c r="BE7" s="33" cm="1">
        <f t="array" ref="BE7">IFERROR(INDEX('[1]SALES PERTYPE'!$D$10:$BA$53,MATCH($C7,'[1]SALES PERTYPE'!$B$10:$B$53,0),MATCH("V70 FE",'[1]SALES PERTYPE'!$D$8:$BA$8,0)+1),0)</f>
        <v>43994000</v>
      </c>
      <c r="BF7" s="33" cm="1">
        <f t="array" ref="BF7">IFERROR(INDEX('[1]Sales per type Agustus'!$D$10:$BA$52,MATCH($C7,'[1]Sales per type Agustus'!$B$10:$B$52,0),MATCH("V70 FE",'[1]Sales per type Agustus'!$D$8:$BA$8,0)+1),0)</f>
        <v>23997000</v>
      </c>
      <c r="BG7" s="33">
        <f t="shared" si="17"/>
        <v>19997000</v>
      </c>
      <c r="BH7" s="33">
        <f>IFERROR(INDEX('[1]SALES PERTYPE'!$D$10:$BA$53,MATCH($C7,'[1]SALES PERTYPE'!$B$10:$B$53,0),MATCH("Y31d",'[1]SALES PERTYPE'!$D$8:$BA$8,0)),0)</f>
        <v>1</v>
      </c>
      <c r="BI7" s="33">
        <f>IFERROR(INDEX('[1]Sales per type Agustus'!$D$10:$BA$52,MATCH($C7,'[1]Sales per type Agustus'!$B$10:$B$52,0),MATCH("Y31d",'[1]Sales per type Agustus'!$D$8:$BA$8,0)),0)</f>
        <v>2</v>
      </c>
      <c r="BJ7" s="33">
        <f t="shared" si="18"/>
        <v>-1</v>
      </c>
      <c r="BK7" s="33" cm="1">
        <f t="array" ref="BK7">IFERROR(INDEX('[1]SALES PERTYPE'!$D$10:$BA$53,MATCH($C7,'[1]SALES PERTYPE'!$B$10:$B$53,0),MATCH("Y31d",'[1]SALES PERTYPE'!$D$8:$BA$8,0)+1),0)</f>
        <v>3599000</v>
      </c>
      <c r="BL7" s="33" cm="1">
        <f t="array" ref="BL7">IFERROR(INDEX('[1]Sales per type Agustus'!$D$10:$BA$52,MATCH($C7,'[1]Sales per type Agustus'!$B$10:$B$52,0),MATCH("Y31d",'[1]Sales per type Agustus'!$D$8:$BA$8,0)+1),0)</f>
        <v>7198000</v>
      </c>
      <c r="BM7" s="33">
        <f t="shared" si="19"/>
        <v>-3599000</v>
      </c>
      <c r="BN7" s="33">
        <f>IFERROR(INDEX('[1]SALES PERTYPE'!$D$10:$BA$53,MATCH($C7,'[1]SALES PERTYPE'!$B$10:$B$53,0),MATCH("Y500",'[1]SALES PERTYPE'!$D$8:$BA$8,0)),0)</f>
        <v>3</v>
      </c>
      <c r="BO7" s="33">
        <f>IFERROR(INDEX('[1]Sales per type Agustus'!$D$10:$BA$52,MATCH($C7,'[1]Sales per type Agustus'!$B$10:$B$52,0),MATCH("Y500",'[1]Sales per type Agustus'!$D$8:$BA$8,0)),0)</f>
        <v>5</v>
      </c>
      <c r="BP7" s="33">
        <f t="shared" si="20"/>
        <v>-2</v>
      </c>
      <c r="BQ7" s="33" cm="1">
        <f t="array" ref="BQ7">IFERROR(INDEX('[1]SALES PERTYPE'!$D$10:$BA$53,MATCH($C7,'[1]SALES PERTYPE'!$B$10:$B$53,0),MATCH("Y500",'[1]SALES PERTYPE'!$D$8:$BA$8,0)+1),0)</f>
        <v>17297000</v>
      </c>
      <c r="BR7" s="33" cm="1">
        <f t="array" ref="BR7">IFERROR(INDEX('[1]Sales per type Agustus'!$D$10:$BA$52,MATCH($C7,'[1]Sales per type Agustus'!$B$10:$B$52,0),MATCH("Y500",'[1]Sales per type Agustus'!$D$8:$BA$8,0)+1),0)</f>
        <v>28295000</v>
      </c>
      <c r="BS7" s="33">
        <f t="shared" si="21"/>
        <v>-10998000</v>
      </c>
      <c r="BT7" s="33">
        <f>IFERROR(INDEX('[1]SALES PERTYPE'!$D$10:$BA$53,MATCH($C7,'[1]SALES PERTYPE'!$B$10:$B$53,0),MATCH("IQOO 15R",'[1]SALES PERTYPE'!$D$8:$BA$8,0)),0)</f>
        <v>0</v>
      </c>
      <c r="BU7" s="33">
        <f>IFERROR(INDEX('[1]Sales per type Agustus'!$D$10:$BA$52,MATCH($C7,'[1]Sales per type Agustus'!$B$10:$B$52,0),MATCH("IQOO 15R",'[1]Sales per type Agustus'!$D$8:$BA$8,0)),0)</f>
        <v>0</v>
      </c>
      <c r="BV7" s="33">
        <f t="shared" si="22"/>
        <v>0</v>
      </c>
      <c r="BW7" s="33" cm="1">
        <f t="array" ref="BW7">IFERROR(INDEX('[1]SALES PERTYPE'!$D$10:$BA$53,MATCH($C7,'[1]SALES PERTYPE'!$B$10:$B$53,0),MATCH("IQOO 15R",'[1]SALES PERTYPE'!$D$8:$BA$8,0)+1),0)</f>
        <v>0</v>
      </c>
      <c r="BX7" s="33" cm="1">
        <f t="array" ref="BX7">IFERROR(INDEX('[1]Sales per type Agustus'!$D$10:$BA$52,MATCH($C7,'[1]Sales per type Agustus'!$B$10:$B$52,0),MATCH("IQOO 15R",'[1]Sales per type Agustus'!$D$8:$BA$8,0)+1),0)</f>
        <v>0</v>
      </c>
      <c r="BY7" s="33">
        <f t="shared" si="23"/>
        <v>0</v>
      </c>
      <c r="BZ7" s="33">
        <f>IFERROR(INDEX('[1]SALES PERTYPE'!$D$10:$BA$53,MATCH($C7,'[1]SALES PERTYPE'!$B$10:$B$53,0),MATCH("V60 Lite",'[1]SALES PERTYPE'!$D$8:$BA$8,0)),0)</f>
        <v>4</v>
      </c>
      <c r="CA7" s="33">
        <f>IFERROR(INDEX('[1]Sales per type Agustus'!$D$10:$BA$52,MATCH($C7,'[1]Sales per type Agustus'!$B$10:$B$52,0),MATCH("V60 Lite",'[1]Sales per type Agustus'!$D$8:$BA$8,0)),0)</f>
        <v>1</v>
      </c>
      <c r="CB7" s="33">
        <f t="shared" si="24"/>
        <v>3</v>
      </c>
      <c r="CC7" s="33" cm="1">
        <f t="array" ref="CC7">IFERROR(INDEX('[1]SALES PERTYPE'!$D$10:$BA$53,MATCH($C7,'[1]SALES PERTYPE'!$B$10:$B$53,0),MATCH("V60 Lite",'[1]SALES PERTYPE'!$D$8:$BA$8,0)+1),0)</f>
        <v>23596000</v>
      </c>
      <c r="CD7" s="33" cm="1">
        <f t="array" ref="CD7">IFERROR(INDEX('[1]Sales per type Agustus'!$D$10:$BA$52,MATCH($C7,'[1]Sales per type Agustus'!$B$10:$B$52,0),MATCH("V60 Lite",'[1]Sales per type Agustus'!$D$8:$BA$8,0)+1),0)</f>
        <v>5299000</v>
      </c>
      <c r="CE7" s="33">
        <f t="shared" si="25"/>
        <v>18297000</v>
      </c>
      <c r="CF7" s="33">
        <f>IFERROR(INDEX('[1]SALES PERTYPE'!$D$10:$BA$53,MATCH($C7,'[1]SALES PERTYPE'!$B$10:$B$53,0),MATCH("X300 Ultra",'[1]SALES PERTYPE'!$D$8:$BA$8,0)),0)</f>
        <v>2</v>
      </c>
      <c r="CG7" s="33">
        <f>IFERROR(INDEX('[1]Sales per type Agustus'!$D$10:$BA$52,MATCH($C7,'[1]Sales per type Agustus'!$B$10:$B$52,0),MATCH("X300 Ultra",'[1]Sales per type Agustus'!$D$8:$BA$8,0)),0)</f>
        <v>0</v>
      </c>
      <c r="CH7" s="33">
        <f t="shared" si="26"/>
        <v>2</v>
      </c>
      <c r="CI7" s="33" cm="1">
        <f t="array" ref="CI7">IFERROR(INDEX('[1]SALES PERTYPE'!$D$10:$BA$53,MATCH($C7,'[1]SALES PERTYPE'!$B$10:$B$53,0),MATCH("X300 Ultra",'[1]SALES PERTYPE'!$D$8:$BA$8,0)+1),0)</f>
        <v>51998000</v>
      </c>
      <c r="CJ7" s="33" cm="1">
        <f t="array" ref="CJ7">IFERROR(INDEX('[1]Sales per type Agustus'!$D$10:$BA$52,MATCH($C7,'[1]Sales per type Agustus'!$B$10:$B$52,0),MATCH("X300 Ultra",'[1]Sales per type Agustus'!$D$8:$BA$8,0)+1),0)</f>
        <v>0</v>
      </c>
      <c r="CK7" s="33">
        <f t="shared" si="27"/>
        <v>51998000</v>
      </c>
      <c r="CL7" s="33">
        <f>IFERROR(INDEX('[1]SALES PERTYPE'!$D$10:$BA$53,MATCH($C7,'[1]SALES PERTYPE'!$B$10:$B$53,0),MATCH("IQOO 15",'[1]SALES PERTYPE'!$D$8:$BA$8,0)),0)</f>
        <v>0</v>
      </c>
      <c r="CM7" s="33">
        <f>IFERROR(INDEX('[1]Sales per type Agustus'!$D$10:$BA$52,MATCH($C7,'[1]Sales per type Agustus'!$B$10:$B$52,0),MATCH("IQOO 15",'[1]Sales per type Agustus'!$D$8:$BA$8,0)),0)</f>
        <v>0</v>
      </c>
      <c r="CN7" s="33">
        <f t="shared" si="28"/>
        <v>0</v>
      </c>
      <c r="CO7" s="33" cm="1">
        <f t="array" ref="CO7">IFERROR(INDEX('[1]SALES PERTYPE'!$D$10:$BA$53,MATCH($C7,'[1]SALES PERTYPE'!$B$10:$B$53,0),MATCH("IQOO 15",'[1]SALES PERTYPE'!$D$8:$BA$8,0)+1),0)</f>
        <v>0</v>
      </c>
      <c r="CP7" s="33" cm="1">
        <f t="array" ref="CP7">IFERROR(INDEX('[1]Sales per type Agustus'!$D$10:$BA$52,MATCH($C7,'[1]Sales per type Agustus'!$B$10:$B$52,0),MATCH("IQOO 15",'[1]Sales per type Agustus'!$D$8:$BA$8,0)+1),0)</f>
        <v>0</v>
      </c>
      <c r="CQ7" s="33">
        <f t="shared" si="29"/>
        <v>0</v>
      </c>
      <c r="CR7" s="33">
        <f>IFERROR(INDEX('[1]SALES PERTYPE'!$D$10:$BA$53,MATCH($C7,'[1]SALES PERTYPE'!$B$10:$B$53,0),MATCH("IQOO Z11x",'[1]SALES PERTYPE'!$D$8:$BA$8,0)),0)</f>
        <v>1</v>
      </c>
      <c r="CS7" s="33">
        <f>IFERROR(INDEX('[1]Sales per type Agustus'!$D$10:$BA$52,MATCH($C7,'[1]Sales per type Agustus'!$B$10:$B$52,0),MATCH("IQOO Z11x",'[1]Sales per type Agustus'!$D$8:$BA$8,0)),0)</f>
        <v>1</v>
      </c>
      <c r="CT7" s="33">
        <f t="shared" si="30"/>
        <v>0</v>
      </c>
      <c r="CU7" s="33" cm="1">
        <f t="array" ref="CU7">IFERROR(INDEX('[1]SALES PERTYPE'!$D$10:$BA$53,MATCH($C7,'[1]SALES PERTYPE'!$B$10:$B$53,0),MATCH("IQOO Z11x",'[1]SALES PERTYPE'!$D$8:$BA$8,0)+1),0)</f>
        <v>4799000</v>
      </c>
      <c r="CV7" s="33" cm="1">
        <f t="array" ref="CV7">IFERROR(INDEX('[1]Sales per type Agustus'!$D$10:$BA$52,MATCH($C7,'[1]Sales per type Agustus'!$B$10:$B$52,0),MATCH("IQOO Z11x",'[1]Sales per type Agustus'!$D$8:$BA$8,0)+1),0)</f>
        <v>5599000</v>
      </c>
      <c r="CW7" s="33">
        <f t="shared" si="31"/>
        <v>-800000</v>
      </c>
      <c r="CX7" s="33">
        <f>IFERROR(INDEX('[1]SALES PERTYPE'!$D$10:$BA$53,MATCH($C7,'[1]SALES PERTYPE'!$B$10:$B$53,0),MATCH("IQOO Z11",'[1]SALES PERTYPE'!$D$8:$BA$8,0)),0)</f>
        <v>5</v>
      </c>
      <c r="CY7" s="33">
        <f>IFERROR(INDEX('[1]Sales per type Agustus'!$D$10:$BA$52,MATCH($C7,'[1]Sales per type Agustus'!$B$10:$B$52,0),MATCH("IQOO Z11",'[1]Sales per type Agustus'!$D$8:$BA$8,0)),0)</f>
        <v>3</v>
      </c>
      <c r="CZ7" s="33">
        <f t="shared" si="32"/>
        <v>2</v>
      </c>
      <c r="DA7" s="33" cm="1">
        <f t="array" ref="DA7">IFERROR(INDEX('[1]SALES PERTYPE'!$D$10:$BA$53,MATCH($C7,'[1]SALES PERTYPE'!$B$10:$B$53,0),MATCH("IQOO Z11",'[1]SALES PERTYPE'!$D$8:$BA$8,0)+1),0)</f>
        <v>34495000</v>
      </c>
      <c r="DB7" s="33" cm="1">
        <f t="array" ref="DB7">IFERROR(INDEX('[1]Sales per type Agustus'!$D$10:$BA$52,MATCH($C7,'[1]Sales per type Agustus'!$B$10:$B$52,0),MATCH("IQOO Z11",'[1]Sales per type Agustus'!$D$8:$BA$8,0)+1),0)</f>
        <v>21997000</v>
      </c>
      <c r="DC7" s="33">
        <f t="shared" si="33"/>
        <v>12498000</v>
      </c>
      <c r="DD7" s="33">
        <f>IFERROR(INDEX('[1]SALES PERTYPE'!$D$10:$BA$53,MATCH($C7,'[1]SALES PERTYPE'!$B$10:$B$53,0),MATCH("WATCH 3",'[1]SALES PERTYPE'!$D$8:$BA$8,0)),0)</f>
        <v>0</v>
      </c>
      <c r="DE7" s="33">
        <f>IFERROR(INDEX('[1]Sales per type Agustus'!$D$10:$BA$52,MATCH($C7,'[1]Sales per type Agustus'!$B$10:$B$52,0),MATCH("WATCH 3",'[1]Sales per type Agustus'!$D$8:$BA$8,0)),0)</f>
        <v>0</v>
      </c>
      <c r="DF7" s="33">
        <f t="shared" si="34"/>
        <v>0</v>
      </c>
      <c r="DG7" s="33" cm="1">
        <f t="array" ref="DG7">IFERROR(INDEX('[1]SALES PERTYPE'!$D$10:$BA$53,MATCH($C7,'[1]SALES PERTYPE'!$B$10:$B$53,0),MATCH("WATCH 3",'[1]SALES PERTYPE'!$D$8:$BA$8,0)+1),0)</f>
        <v>0</v>
      </c>
      <c r="DH7" s="33" cm="1">
        <f t="array" ref="DH7">IFERROR(INDEX('[1]Sales per type Agustus'!$D$10:$BA$52,MATCH($C7,'[1]Sales per type Agustus'!$B$10:$B$52,0),MATCH("WATCH 3",'[1]Sales per type Agustus'!$D$8:$BA$8,0)+1),0)</f>
        <v>0</v>
      </c>
      <c r="DI7" s="33">
        <f t="shared" si="35"/>
        <v>0</v>
      </c>
      <c r="DJ7" s="33">
        <f>IFERROR(INDEX('[1]SALES PERTYPE'!$D$10:$BA$53,MATCH($C7,'[1]SALES PERTYPE'!$B$10:$B$53,0),MATCH("X Fold5",'[1]SALES PERTYPE'!$D$8:$BA$8,0)),0)</f>
        <v>0</v>
      </c>
      <c r="DK7" s="33">
        <f>IFERROR(INDEX('[1]Sales per type Agustus'!$D$10:$BA$52,MATCH($C7,'[1]Sales per type Agustus'!$B$10:$B$52,0),MATCH("X Fold5",'[1]Sales per type Agustus'!$D$8:$BA$8,0)),0)</f>
        <v>0</v>
      </c>
      <c r="DL7" s="33">
        <f t="shared" si="36"/>
        <v>0</v>
      </c>
      <c r="DM7" s="33" cm="1">
        <f t="array" ref="DM7">IFERROR(INDEX('[1]SALES PERTYPE'!$D$10:$BA$53,MATCH($C7,'[1]SALES PERTYPE'!$B$10:$B$53,0),MATCH("X Fold5",'[1]SALES PERTYPE'!$D$8:$BA$8,0)+1),0)</f>
        <v>0</v>
      </c>
      <c r="DN7" s="33" cm="1">
        <f t="array" ref="DN7">IFERROR(INDEX('[1]Sales per type Agustus'!$D$10:$BA$52,MATCH($C7,'[1]Sales per type Agustus'!$B$10:$B$52,0),MATCH("X Fold5",'[1]Sales per type Agustus'!$D$8:$BA$8,0)+1),0)</f>
        <v>0</v>
      </c>
      <c r="DO7" s="33">
        <f t="shared" si="37"/>
        <v>0</v>
      </c>
      <c r="DP7" s="33">
        <f>IFERROR(INDEX('[1]SALES PERTYPE'!$D$10:$BA$53,MATCH($C7,'[1]SALES PERTYPE'!$B$10:$B$53,0),MATCH("X300 PRO",'[1]SALES PERTYPE'!$D$8:$BA$8,0)),0)</f>
        <v>0</v>
      </c>
      <c r="DQ7" s="33">
        <f>IFERROR(INDEX('[1]Sales per type Agustus'!$D$10:$BA$52,MATCH($C7,'[1]Sales per type Agustus'!$B$10:$B$52,0),MATCH("X300 PRO",'[1]Sales per type Agustus'!$D$8:$BA$8,0)),0)</f>
        <v>0</v>
      </c>
      <c r="DR7" s="33">
        <f t="shared" si="38"/>
        <v>0</v>
      </c>
      <c r="DS7" s="33" cm="1">
        <f t="array" ref="DS7">IFERROR(INDEX('[1]SALES PERTYPE'!$D$10:$BA$53,MATCH($C7,'[1]SALES PERTYPE'!$B$10:$B$53,0),MATCH("X300 PRO",'[1]SALES PERTYPE'!$D$8:$BA$8,0)+1),0)</f>
        <v>0</v>
      </c>
      <c r="DT7" s="33" cm="1">
        <f t="array" ref="DT7">IFERROR(INDEX('[1]Sales per type Agustus'!$D$10:$BA$52,MATCH($C7,'[1]Sales per type Agustus'!$B$10:$B$52,0),MATCH("X300 PRO",'[1]Sales per type Agustus'!$D$8:$BA$8,0)+1),0)</f>
        <v>0</v>
      </c>
      <c r="DU7" s="33">
        <f t="shared" si="39"/>
        <v>0</v>
      </c>
      <c r="DV7" s="33">
        <f>IFERROR(INDEX('[1]SALES PERTYPE'!$D$10:$BA$53,MATCH($C7,'[1]SALES PERTYPE'!$B$10:$B$53,0),MATCH("X300 ",'[1]SALES PERTYPE'!$D$8:$BA$8,0)),0)</f>
        <v>0</v>
      </c>
      <c r="DW7" s="33">
        <f>IFERROR(INDEX('[1]Sales per type Agustus'!$D$10:$BA$52,MATCH($C7,'[1]Sales per type Agustus'!$B$10:$B$52,0),MATCH("X300 ",'[1]Sales per type Agustus'!$D$8:$BA$8,0)),0)</f>
        <v>0</v>
      </c>
      <c r="DX7" s="33">
        <f t="shared" si="40"/>
        <v>0</v>
      </c>
      <c r="DY7" s="33" cm="1">
        <f t="array" ref="DY7">IFERROR(INDEX('[1]SALES PERTYPE'!$D$10:$BA$53,MATCH($C7,'[1]SALES PERTYPE'!$B$10:$B$53,0),MATCH("X300 ",'[1]SALES PERTYPE'!$D$8:$BA$8,0)+1),0)</f>
        <v>0</v>
      </c>
      <c r="DZ7" s="33" cm="1">
        <f t="array" ref="DZ7">IFERROR(INDEX('[1]Sales per type Agustus'!$D$10:$BA$52,MATCH($C7,'[1]Sales per type Agustus'!$B$10:$B$52,0),MATCH("X300 ",'[1]Sales per type Agustus'!$D$8:$BA$8,0)+1),0)</f>
        <v>0</v>
      </c>
      <c r="EA7" s="33">
        <f t="shared" si="41"/>
        <v>0</v>
      </c>
      <c r="EB7" s="33">
        <f t="shared" si="42"/>
        <v>220</v>
      </c>
      <c r="EC7" s="33">
        <f t="shared" si="42"/>
        <v>258</v>
      </c>
      <c r="ED7" s="33">
        <f t="shared" si="43"/>
        <v>-38</v>
      </c>
      <c r="EE7" s="33">
        <f t="shared" si="44"/>
        <v>792480000</v>
      </c>
      <c r="EF7" s="33">
        <f t="shared" si="44"/>
        <v>782242000</v>
      </c>
      <c r="EG7" s="33">
        <f t="shared" si="45"/>
        <v>10238000</v>
      </c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</row>
    <row r="8" spans="1:184" ht="16" x14ac:dyDescent="0.2">
      <c r="A8" s="214">
        <f>'[1]ACHIEVEMENT STORE'!A8</f>
        <v>4</v>
      </c>
      <c r="B8" s="215" t="str">
        <f>'[1]ACHIEVEMENT STORE'!B8</f>
        <v>601 雅加达西北 JKT BU</v>
      </c>
      <c r="C8" s="214">
        <f>'[1]ACHIEVEMENT STORE'!C8</f>
        <v>6010703</v>
      </c>
      <c r="D8" s="215" t="str">
        <f>'[1]ACHIEVEMENT STORE'!D8</f>
        <v>6010703-ROXY VS WINSHOP</v>
      </c>
      <c r="E8" s="215" t="str">
        <f>'[1]ACHIEVEMENT STORE'!E8</f>
        <v>NUR IRAWATI</v>
      </c>
      <c r="F8" s="33">
        <f>IFERROR(INDEX('[1]SALES PERTYPE'!$D$10:$BA$53,MATCH($C8,'[1]SALES PERTYPE'!$B$10:$B$53,0),MATCH("Y05",'[1]SALES PERTYPE'!$D$8:$BA$8,0)),0)</f>
        <v>15</v>
      </c>
      <c r="G8" s="33">
        <f>IFERROR(INDEX('[1]Sales per type Agustus'!$D$10:$BA$52,MATCH($C8,'[1]Sales per type Agustus'!$B$10:$B$52,0),MATCH("Y05",'[1]Sales per type Agustus'!$D$8:$BA$8,0)),0)</f>
        <v>7</v>
      </c>
      <c r="H8" s="33">
        <f t="shared" si="0"/>
        <v>8</v>
      </c>
      <c r="I8" s="33" cm="1">
        <f t="array" ref="I8">IFERROR(INDEX('[1]SALES PERTYPE'!$D$10:$BA$53,MATCH($C8,'[1]SALES PERTYPE'!$B$10:$B$53,0),MATCH("Y05",'[1]SALES PERTYPE'!$D$8:$BA$8,0)+1),0)</f>
        <v>35685000</v>
      </c>
      <c r="J8" s="33" cm="1">
        <f t="array" ref="J8">IFERROR(INDEX('[1]Sales per type Agustus'!$D$10:$BA$52,MATCH($C8,'[1]Sales per type Agustus'!$B$10:$B$52,0),MATCH("Y05",'[1]Sales per type Agustus'!$D$8:$BA$8,0)+1),0)</f>
        <v>16393000</v>
      </c>
      <c r="K8" s="33">
        <f t="shared" si="1"/>
        <v>19292000</v>
      </c>
      <c r="L8" s="33">
        <f>IFERROR(INDEX('[1]SALES PERTYPE'!$D$10:$BA$53,MATCH($C8,'[1]SALES PERTYPE'!$B$10:$B$53,0),MATCH("Y11d",'[1]SALES PERTYPE'!$D$8:$BA$8,0)),0)</f>
        <v>14</v>
      </c>
      <c r="M8" s="33">
        <f>IFERROR(INDEX('[1]Sales per type Agustus'!$D$10:$BA$52,MATCH($C8,'[1]Sales per type Agustus'!$B$10:$B$52,0),MATCH("Y11d",'[1]Sales per type Agustus'!$D$8:$BA$8,0)),0)</f>
        <v>20</v>
      </c>
      <c r="N8" s="33">
        <f t="shared" si="2"/>
        <v>-6</v>
      </c>
      <c r="O8" s="33" cm="1">
        <f t="array" ref="O8">IFERROR(INDEX('[1]SALES PERTYPE'!$D$10:$BA$53,MATCH($C8,'[1]SALES PERTYPE'!$B$10:$B$53,0),MATCH("Y11d",'[1]SALES PERTYPE'!$D$8:$BA$8,0)+1),0)</f>
        <v>36386000</v>
      </c>
      <c r="P8" s="33" cm="1">
        <f t="array" ref="P8">IFERROR(INDEX('[1]Sales per type Agustus'!$D$10:$BA$52,MATCH($C8,'[1]Sales per type Agustus'!$B$10:$B$52,0),MATCH("Y11d",'[1]Sales per type Agustus'!$D$8:$BA$8,0)+1),0)</f>
        <v>52380000</v>
      </c>
      <c r="Q8" s="33">
        <f t="shared" si="3"/>
        <v>-15994000</v>
      </c>
      <c r="R8" s="33">
        <f>IFERROR(INDEX('[1]SALES PERTYPE'!$D$10:$BA$53,MATCH($C8,'[1]SALES PERTYPE'!$B$10:$B$53,0),MATCH("Watch GT 2",'[1]SALES PERTYPE'!$D$8:$BA$8,0)),0)</f>
        <v>0</v>
      </c>
      <c r="S8" s="33">
        <f>IFERROR(INDEX('[1]Sales per type Agustus'!$D$10:$BA$52,MATCH($C8,'[1]Sales per type Agustus'!$B$10:$B$52,0),MATCH("Watch GT 2",'[1]Sales per type Agustus'!$D$8:$BA$8,0)),0)</f>
        <v>0</v>
      </c>
      <c r="T8" s="33">
        <f t="shared" si="4"/>
        <v>0</v>
      </c>
      <c r="U8" s="33" cm="1">
        <f t="array" ref="U8">IFERROR(INDEX('[1]SALES PERTYPE'!$D$10:$BA$53,MATCH($C8,'[1]SALES PERTYPE'!$B$10:$B$53,0),MATCH("Watch GT 2",'[1]SALES PERTYPE'!$D$8:$BA$8,0)+1),0)</f>
        <v>0</v>
      </c>
      <c r="V8" s="33" cm="1">
        <f t="array" ref="V8">IFERROR(INDEX('[1]Sales per type Agustus'!$D$10:$BA$52,MATCH($C8,'[1]Sales per type Agustus'!$B$10:$B$52,0),MATCH("Watch GT 2",'[1]Sales per type Agustus'!$D$8:$BA$8,0)+1),0)</f>
        <v>0</v>
      </c>
      <c r="W8" s="33">
        <f t="shared" si="5"/>
        <v>0</v>
      </c>
      <c r="X8" s="33">
        <f>IFERROR(INDEX('[1]SALES PERTYPE'!$D$10:$BA$53,MATCH($C8,'[1]SALES PERTYPE'!$B$10:$B$53,0),MATCH("Y05e",'[1]SALES PERTYPE'!$D$8:$BA$8,0)),0)</f>
        <v>48</v>
      </c>
      <c r="Y8" s="33">
        <f>IFERROR(INDEX('[1]Sales per type Agustus'!$D$10:$BA$52,MATCH($C8,'[1]Sales per type Agustus'!$B$10:$B$52,0),MATCH("Y05e",'[1]Sales per type Agustus'!$D$8:$BA$8,0)),0)</f>
        <v>76</v>
      </c>
      <c r="Z8" s="33">
        <f t="shared" si="6"/>
        <v>-28</v>
      </c>
      <c r="AA8" s="33" cm="1">
        <f t="array" ref="AA8">IFERROR(INDEX('[1]SALES PERTYPE'!$D$10:$BA$53,MATCH($C8,'[1]SALES PERTYPE'!$B$10:$B$53,0),MATCH("Y05e",'[1]SALES PERTYPE'!$D$8:$BA$8,0)+1),0)</f>
        <v>105552000</v>
      </c>
      <c r="AB8" s="33" cm="1">
        <f t="array" ref="AB8">IFERROR(INDEX('[1]Sales per type Agustus'!$D$10:$BA$52,MATCH($C8,'[1]Sales per type Agustus'!$B$10:$B$52,0),MATCH("Y05e",'[1]Sales per type Agustus'!$D$8:$BA$8,0)+1),0)</f>
        <v>159524000</v>
      </c>
      <c r="AC8" s="33">
        <f t="shared" si="7"/>
        <v>-53972000</v>
      </c>
      <c r="AD8" s="33">
        <f>IFERROR(INDEX('[1]SALES PERTYPE'!$D$10:$BA$53,MATCH($C8,'[1]SALES PERTYPE'!$B$10:$B$53,0),MATCH("V70",'[1]SALES PERTYPE'!$D$8:$BA$8,0)),0)</f>
        <v>3</v>
      </c>
      <c r="AE8" s="33">
        <f>IFERROR(INDEX('[1]Sales per type Agustus'!$D$10:$BA$52,MATCH($C8,'[1]Sales per type Agustus'!$B$10:$B$52,0),MATCH("V70",'[1]Sales per type Agustus'!$D$8:$BA$8,0)),0)</f>
        <v>0</v>
      </c>
      <c r="AF8" s="33">
        <f t="shared" si="8"/>
        <v>3</v>
      </c>
      <c r="AG8" s="33" cm="1">
        <f t="array" ref="AG8">IFERROR(INDEX('[1]SALES PERTYPE'!$D$10:$BA$53,MATCH($C8,'[1]SALES PERTYPE'!$B$10:$B$53,0),MATCH("V70",'[1]SALES PERTYPE'!$D$8:$BA$8,0)+1),0)</f>
        <v>29997000</v>
      </c>
      <c r="AH8" s="33" cm="1">
        <f t="array" ref="AH8">IFERROR(INDEX('[1]Sales per type Agustus'!$D$10:$BA$52,MATCH($C8,'[1]Sales per type Agustus'!$B$10:$B$52,0),MATCH("V70",'[1]Sales per type Agustus'!$D$8:$BA$8,0)+1),0)</f>
        <v>0</v>
      </c>
      <c r="AI8" s="33">
        <f t="shared" si="9"/>
        <v>29997000</v>
      </c>
      <c r="AJ8" s="33">
        <f>IFERROR(INDEX('[1]SALES PERTYPE'!$D$10:$BA$53,MATCH($C8,'[1]SALES PERTYPE'!$B$10:$B$53,0),MATCH("Y31d Pro",'[1]SALES PERTYPE'!$D$8:$BA$8,0)),0)</f>
        <v>13</v>
      </c>
      <c r="AK8" s="33">
        <f>IFERROR(INDEX('[1]Sales per type Agustus'!$D$10:$BA$52,MATCH($C8,'[1]Sales per type Agustus'!$B$10:$B$52,0),MATCH("Y31d Pro",'[1]Sales per type Agustus'!$D$8:$BA$8,0)),0)</f>
        <v>10</v>
      </c>
      <c r="AL8" s="33">
        <f t="shared" si="10"/>
        <v>3</v>
      </c>
      <c r="AM8" s="33" cm="1">
        <f t="array" ref="AM8">IFERROR(INDEX('[1]SALES PERTYPE'!$D$10:$BA$53,MATCH($C8,'[1]SALES PERTYPE'!$B$10:$B$53,0),MATCH("Y31d Pro",'[1]SALES PERTYPE'!$D$8:$BA$8,0)+1),0)</f>
        <v>55087000</v>
      </c>
      <c r="AN8" s="33" cm="1">
        <f t="array" ref="AN8">IFERROR(INDEX('[1]Sales per type Agustus'!$D$10:$BA$52,MATCH($C8,'[1]Sales per type Agustus'!$B$10:$B$52,0),MATCH("Y31d Pro",'[1]Sales per type Agustus'!$D$8:$BA$8,0)+1),0)</f>
        <v>42790000</v>
      </c>
      <c r="AO8" s="33">
        <f t="shared" si="11"/>
        <v>12297000</v>
      </c>
      <c r="AP8" s="33" cm="1">
        <f t="array" ref="AP8">IFERROR(INDEX('[1]SALES PERTYPE'!$D$10:$BA$53,MATCH($C8,'[1]SALES PERTYPE'!$B$10:$B$53,0),$EI$3),0)</f>
        <v>2</v>
      </c>
      <c r="AQ8" s="33" cm="1">
        <f t="array" ref="AQ8">IFERROR(INDEX('[1]Sales per type Agustus'!$D$10:$BA$52,MATCH($C8,'[1]Sales per type Agustus'!$B$10:$B$52,0),$EI$2),0)</f>
        <v>1</v>
      </c>
      <c r="AR8" s="33">
        <f t="shared" si="12"/>
        <v>1</v>
      </c>
      <c r="AS8" s="33" cm="1">
        <f t="array" ref="AS8">IFERROR(INDEX('[1]SALES PERTYPE'!$D$10:$BA$53,MATCH($C8,'[1]SALES PERTYPE'!$B$10:$B$53,0),$EI$3+1),0)</f>
        <v>6598000</v>
      </c>
      <c r="AT8" s="33" cm="1">
        <f t="array" ref="AT8">IFERROR(INDEX('[1]Sales per type Agustus'!$D$10:$BA$52,MATCH($C8,'[1]Sales per type Agustus'!$B$10:$B$52,0),$EI$2+1),0)</f>
        <v>3599000</v>
      </c>
      <c r="AU8" s="33">
        <f t="shared" si="13"/>
        <v>2999000</v>
      </c>
      <c r="AV8" s="33">
        <f>IFERROR(INDEX('[1]SALES PERTYPE'!$D$10:$BA$53,MATCH($C8,'[1]SALES PERTYPE'!$B$10:$B$53,0),MATCH("Y31d ",'[1]SALES PERTYPE'!$D$8:$BA$8,0)),0)</f>
        <v>1</v>
      </c>
      <c r="AW8" s="33">
        <f>IFERROR(INDEX('[1]Sales per type Agustus'!$D$10:$BA$52,MATCH($C8,'[1]Sales per type Agustus'!$B$10:$B$52,0),MATCH("Y31d ",'[1]Sales per type Agustus'!$D$8:$BA$8,0)),0)</f>
        <v>2</v>
      </c>
      <c r="AX8" s="33">
        <f t="shared" si="14"/>
        <v>-1</v>
      </c>
      <c r="AY8" s="33" cm="1">
        <f t="array" ref="AY8">IFERROR(INDEX('[1]SALES PERTYPE'!$D$10:$BA$53,MATCH($C8,'[1]SALES PERTYPE'!$B$10:$B$53,0),MATCH("Y31d ",'[1]SALES PERTYPE'!$D$8:$BA$8,0)+1),0)</f>
        <v>3599000</v>
      </c>
      <c r="AZ8" s="33" cm="1">
        <f t="array" ref="AZ8">IFERROR(INDEX('[1]Sales per type Agustus'!$D$10:$BA$52,MATCH($C8,'[1]Sales per type Agustus'!$B$10:$B$52,0),MATCH("Y31d ",'[1]Sales per type Agustus'!$D$8:$BA$8,0)+1),0)</f>
        <v>7198000</v>
      </c>
      <c r="BA8" s="33">
        <f t="shared" si="15"/>
        <v>-3599000</v>
      </c>
      <c r="BB8" s="33">
        <f>IFERROR(INDEX('[1]SALES PERTYPE'!$D$10:$BA$53,MATCH($C8,'[1]SALES PERTYPE'!$B$10:$B$53,0),MATCH("V70 FE",'[1]SALES PERTYPE'!$D$8:$BA$8,0)),0)</f>
        <v>0</v>
      </c>
      <c r="BC8" s="33">
        <f>IFERROR(INDEX('[1]Sales per type Agustus'!$D$10:$BA$52,MATCH($C8,'[1]Sales per type Agustus'!$B$10:$B$52,0),MATCH("V70 FE",'[1]Sales per type Agustus'!$D$8:$BA$8,0)),0)</f>
        <v>1</v>
      </c>
      <c r="BD8" s="33">
        <f t="shared" si="16"/>
        <v>-1</v>
      </c>
      <c r="BE8" s="33" cm="1">
        <f t="array" ref="BE8">IFERROR(INDEX('[1]SALES PERTYPE'!$D$10:$BA$53,MATCH($C8,'[1]SALES PERTYPE'!$B$10:$B$53,0),MATCH("V70 FE",'[1]SALES PERTYPE'!$D$8:$BA$8,0)+1),0)</f>
        <v>0</v>
      </c>
      <c r="BF8" s="33" cm="1">
        <f t="array" ref="BF8">IFERROR(INDEX('[1]Sales per type Agustus'!$D$10:$BA$52,MATCH($C8,'[1]Sales per type Agustus'!$B$10:$B$52,0),MATCH("V70 FE",'[1]Sales per type Agustus'!$D$8:$BA$8,0)+1),0)</f>
        <v>7999000</v>
      </c>
      <c r="BG8" s="33">
        <f t="shared" si="17"/>
        <v>-7999000</v>
      </c>
      <c r="BH8" s="33">
        <f>IFERROR(INDEX('[1]SALES PERTYPE'!$D$10:$BA$53,MATCH($C8,'[1]SALES PERTYPE'!$B$10:$B$53,0),MATCH("Y31d",'[1]SALES PERTYPE'!$D$8:$BA$8,0)),0)</f>
        <v>1</v>
      </c>
      <c r="BI8" s="33">
        <f>IFERROR(INDEX('[1]Sales per type Agustus'!$D$10:$BA$52,MATCH($C8,'[1]Sales per type Agustus'!$B$10:$B$52,0),MATCH("Y31d",'[1]Sales per type Agustus'!$D$8:$BA$8,0)),0)</f>
        <v>1</v>
      </c>
      <c r="BJ8" s="33">
        <f t="shared" si="18"/>
        <v>0</v>
      </c>
      <c r="BK8" s="33" cm="1">
        <f t="array" ref="BK8">IFERROR(INDEX('[1]SALES PERTYPE'!$D$10:$BA$53,MATCH($C8,'[1]SALES PERTYPE'!$B$10:$B$53,0),MATCH("Y31d",'[1]SALES PERTYPE'!$D$8:$BA$8,0)+1),0)</f>
        <v>3599000</v>
      </c>
      <c r="BL8" s="33" cm="1">
        <f t="array" ref="BL8">IFERROR(INDEX('[1]Sales per type Agustus'!$D$10:$BA$52,MATCH($C8,'[1]Sales per type Agustus'!$B$10:$B$52,0),MATCH("Y31d",'[1]Sales per type Agustus'!$D$8:$BA$8,0)+1),0)</f>
        <v>3599000</v>
      </c>
      <c r="BM8" s="33">
        <f t="shared" si="19"/>
        <v>0</v>
      </c>
      <c r="BN8" s="33">
        <f>IFERROR(INDEX('[1]SALES PERTYPE'!$D$10:$BA$53,MATCH($C8,'[1]SALES PERTYPE'!$B$10:$B$53,0),MATCH("Y500",'[1]SALES PERTYPE'!$D$8:$BA$8,0)),0)</f>
        <v>3</v>
      </c>
      <c r="BO8" s="33">
        <f>IFERROR(INDEX('[1]Sales per type Agustus'!$D$10:$BA$52,MATCH($C8,'[1]Sales per type Agustus'!$B$10:$B$52,0),MATCH("Y500",'[1]Sales per type Agustus'!$D$8:$BA$8,0)),0)</f>
        <v>2</v>
      </c>
      <c r="BP8" s="33">
        <f t="shared" si="20"/>
        <v>1</v>
      </c>
      <c r="BQ8" s="33" cm="1">
        <f t="array" ref="BQ8">IFERROR(INDEX('[1]SALES PERTYPE'!$D$10:$BA$53,MATCH($C8,'[1]SALES PERTYPE'!$B$10:$B$53,0),MATCH("Y500",'[1]SALES PERTYPE'!$D$8:$BA$8,0)+1),0)</f>
        <v>18897000</v>
      </c>
      <c r="BR8" s="33" cm="1">
        <f t="array" ref="BR8">IFERROR(INDEX('[1]Sales per type Agustus'!$D$10:$BA$52,MATCH($C8,'[1]Sales per type Agustus'!$B$10:$B$52,0),MATCH("Y500",'[1]Sales per type Agustus'!$D$8:$BA$8,0)+1),0)</f>
        <v>11798000</v>
      </c>
      <c r="BS8" s="33">
        <f t="shared" si="21"/>
        <v>7099000</v>
      </c>
      <c r="BT8" s="33">
        <f>IFERROR(INDEX('[1]SALES PERTYPE'!$D$10:$BA$53,MATCH($C8,'[1]SALES PERTYPE'!$B$10:$B$53,0),MATCH("IQOO 15R",'[1]SALES PERTYPE'!$D$8:$BA$8,0)),0)</f>
        <v>0</v>
      </c>
      <c r="BU8" s="33">
        <f>IFERROR(INDEX('[1]Sales per type Agustus'!$D$10:$BA$52,MATCH($C8,'[1]Sales per type Agustus'!$B$10:$B$52,0),MATCH("IQOO 15R",'[1]Sales per type Agustus'!$D$8:$BA$8,0)),0)</f>
        <v>0</v>
      </c>
      <c r="BV8" s="33">
        <f t="shared" si="22"/>
        <v>0</v>
      </c>
      <c r="BW8" s="33" cm="1">
        <f t="array" ref="BW8">IFERROR(INDEX('[1]SALES PERTYPE'!$D$10:$BA$53,MATCH($C8,'[1]SALES PERTYPE'!$B$10:$B$53,0),MATCH("IQOO 15R",'[1]SALES PERTYPE'!$D$8:$BA$8,0)+1),0)</f>
        <v>0</v>
      </c>
      <c r="BX8" s="33" cm="1">
        <f t="array" ref="BX8">IFERROR(INDEX('[1]Sales per type Agustus'!$D$10:$BA$52,MATCH($C8,'[1]Sales per type Agustus'!$B$10:$B$52,0),MATCH("IQOO 15R",'[1]Sales per type Agustus'!$D$8:$BA$8,0)+1),0)</f>
        <v>0</v>
      </c>
      <c r="BY8" s="33">
        <f t="shared" si="23"/>
        <v>0</v>
      </c>
      <c r="BZ8" s="33">
        <f>IFERROR(INDEX('[1]SALES PERTYPE'!$D$10:$BA$53,MATCH($C8,'[1]SALES PERTYPE'!$B$10:$B$53,0),MATCH("V60 Lite",'[1]SALES PERTYPE'!$D$8:$BA$8,0)),0)</f>
        <v>2</v>
      </c>
      <c r="CA8" s="33">
        <f>IFERROR(INDEX('[1]Sales per type Agustus'!$D$10:$BA$52,MATCH($C8,'[1]Sales per type Agustus'!$B$10:$B$52,0),MATCH("V60 Lite",'[1]Sales per type Agustus'!$D$8:$BA$8,0)),0)</f>
        <v>0</v>
      </c>
      <c r="CB8" s="33">
        <f t="shared" si="24"/>
        <v>2</v>
      </c>
      <c r="CC8" s="33" cm="1">
        <f t="array" ref="CC8">IFERROR(INDEX('[1]SALES PERTYPE'!$D$10:$BA$53,MATCH($C8,'[1]SALES PERTYPE'!$B$10:$B$53,0),MATCH("V60 Lite",'[1]SALES PERTYPE'!$D$8:$BA$8,0)+1),0)</f>
        <v>11798000</v>
      </c>
      <c r="CD8" s="33" cm="1">
        <f t="array" ref="CD8">IFERROR(INDEX('[1]Sales per type Agustus'!$D$10:$BA$52,MATCH($C8,'[1]Sales per type Agustus'!$B$10:$B$52,0),MATCH("V60 Lite",'[1]Sales per type Agustus'!$D$8:$BA$8,0)+1),0)</f>
        <v>0</v>
      </c>
      <c r="CE8" s="33">
        <f t="shared" si="25"/>
        <v>11798000</v>
      </c>
      <c r="CF8" s="33">
        <f>IFERROR(INDEX('[1]SALES PERTYPE'!$D$10:$BA$53,MATCH($C8,'[1]SALES PERTYPE'!$B$10:$B$53,0),MATCH("X300 Ultra",'[1]SALES PERTYPE'!$D$8:$BA$8,0)),0)</f>
        <v>0</v>
      </c>
      <c r="CG8" s="33">
        <f>IFERROR(INDEX('[1]Sales per type Agustus'!$D$10:$BA$52,MATCH($C8,'[1]Sales per type Agustus'!$B$10:$B$52,0),MATCH("X300 Ultra",'[1]Sales per type Agustus'!$D$8:$BA$8,0)),0)</f>
        <v>0</v>
      </c>
      <c r="CH8" s="33">
        <f t="shared" si="26"/>
        <v>0</v>
      </c>
      <c r="CI8" s="33" cm="1">
        <f t="array" ref="CI8">IFERROR(INDEX('[1]SALES PERTYPE'!$D$10:$BA$53,MATCH($C8,'[1]SALES PERTYPE'!$B$10:$B$53,0),MATCH("X300 Ultra",'[1]SALES PERTYPE'!$D$8:$BA$8,0)+1),0)</f>
        <v>0</v>
      </c>
      <c r="CJ8" s="33" cm="1">
        <f t="array" ref="CJ8">IFERROR(INDEX('[1]Sales per type Agustus'!$D$10:$BA$52,MATCH($C8,'[1]Sales per type Agustus'!$B$10:$B$52,0),MATCH("X300 Ultra",'[1]Sales per type Agustus'!$D$8:$BA$8,0)+1),0)</f>
        <v>0</v>
      </c>
      <c r="CK8" s="33">
        <f t="shared" si="27"/>
        <v>0</v>
      </c>
      <c r="CL8" s="33">
        <f>IFERROR(INDEX('[1]SALES PERTYPE'!$D$10:$BA$53,MATCH($C8,'[1]SALES PERTYPE'!$B$10:$B$53,0),MATCH("IQOO 15",'[1]SALES PERTYPE'!$D$8:$BA$8,0)),0)</f>
        <v>0</v>
      </c>
      <c r="CM8" s="33">
        <f>IFERROR(INDEX('[1]Sales per type Agustus'!$D$10:$BA$52,MATCH($C8,'[1]Sales per type Agustus'!$B$10:$B$52,0),MATCH("IQOO 15",'[1]Sales per type Agustus'!$D$8:$BA$8,0)),0)</f>
        <v>0</v>
      </c>
      <c r="CN8" s="33">
        <f t="shared" si="28"/>
        <v>0</v>
      </c>
      <c r="CO8" s="33" cm="1">
        <f t="array" ref="CO8">IFERROR(INDEX('[1]SALES PERTYPE'!$D$10:$BA$53,MATCH($C8,'[1]SALES PERTYPE'!$B$10:$B$53,0),MATCH("IQOO 15",'[1]SALES PERTYPE'!$D$8:$BA$8,0)+1),0)</f>
        <v>0</v>
      </c>
      <c r="CP8" s="33" cm="1">
        <f t="array" ref="CP8">IFERROR(INDEX('[1]Sales per type Agustus'!$D$10:$BA$52,MATCH($C8,'[1]Sales per type Agustus'!$B$10:$B$52,0),MATCH("IQOO 15",'[1]Sales per type Agustus'!$D$8:$BA$8,0)+1),0)</f>
        <v>0</v>
      </c>
      <c r="CQ8" s="33">
        <f t="shared" si="29"/>
        <v>0</v>
      </c>
      <c r="CR8" s="33">
        <f>IFERROR(INDEX('[1]SALES PERTYPE'!$D$10:$BA$53,MATCH($C8,'[1]SALES PERTYPE'!$B$10:$B$53,0),MATCH("IQOO Z11x",'[1]SALES PERTYPE'!$D$8:$BA$8,0)),0)</f>
        <v>0</v>
      </c>
      <c r="CS8" s="33">
        <f>IFERROR(INDEX('[1]Sales per type Agustus'!$D$10:$BA$52,MATCH($C8,'[1]Sales per type Agustus'!$B$10:$B$52,0),MATCH("IQOO Z11x",'[1]Sales per type Agustus'!$D$8:$BA$8,0)),0)</f>
        <v>1</v>
      </c>
      <c r="CT8" s="33">
        <f t="shared" si="30"/>
        <v>-1</v>
      </c>
      <c r="CU8" s="33" cm="1">
        <f t="array" ref="CU8">IFERROR(INDEX('[1]SALES PERTYPE'!$D$10:$BA$53,MATCH($C8,'[1]SALES PERTYPE'!$B$10:$B$53,0),MATCH("IQOO Z11x",'[1]SALES PERTYPE'!$D$8:$BA$8,0)+1),0)</f>
        <v>0</v>
      </c>
      <c r="CV8" s="33" cm="1">
        <f t="array" ref="CV8">IFERROR(INDEX('[1]Sales per type Agustus'!$D$10:$BA$52,MATCH($C8,'[1]Sales per type Agustus'!$B$10:$B$52,0),MATCH("IQOO Z11x",'[1]Sales per type Agustus'!$D$8:$BA$8,0)+1),0)</f>
        <v>5699000</v>
      </c>
      <c r="CW8" s="33">
        <f t="shared" si="31"/>
        <v>-5699000</v>
      </c>
      <c r="CX8" s="33">
        <f>IFERROR(INDEX('[1]SALES PERTYPE'!$D$10:$BA$53,MATCH($C8,'[1]SALES PERTYPE'!$B$10:$B$53,0),MATCH("IQOO Z11",'[1]SALES PERTYPE'!$D$8:$BA$8,0)),0)</f>
        <v>1</v>
      </c>
      <c r="CY8" s="33">
        <f>IFERROR(INDEX('[1]Sales per type Agustus'!$D$10:$BA$52,MATCH($C8,'[1]Sales per type Agustus'!$B$10:$B$52,0),MATCH("IQOO Z11",'[1]Sales per type Agustus'!$D$8:$BA$8,0)),0)</f>
        <v>1</v>
      </c>
      <c r="CZ8" s="33">
        <f t="shared" si="32"/>
        <v>0</v>
      </c>
      <c r="DA8" s="33" cm="1">
        <f t="array" ref="DA8">IFERROR(INDEX('[1]SALES PERTYPE'!$D$10:$BA$53,MATCH($C8,'[1]SALES PERTYPE'!$B$10:$B$53,0),MATCH("IQOO Z11",'[1]SALES PERTYPE'!$D$8:$BA$8,0)+1),0)</f>
        <v>6899000</v>
      </c>
      <c r="DB8" s="33" cm="1">
        <f t="array" ref="DB8">IFERROR(INDEX('[1]Sales per type Agustus'!$D$10:$BA$52,MATCH($C8,'[1]Sales per type Agustus'!$B$10:$B$52,0),MATCH("IQOO Z11",'[1]Sales per type Agustus'!$D$8:$BA$8,0)+1),0)</f>
        <v>6899000</v>
      </c>
      <c r="DC8" s="33">
        <f t="shared" si="33"/>
        <v>0</v>
      </c>
      <c r="DD8" s="33">
        <f>IFERROR(INDEX('[1]SALES PERTYPE'!$D$10:$BA$53,MATCH($C8,'[1]SALES PERTYPE'!$B$10:$B$53,0),MATCH("WATCH 3",'[1]SALES PERTYPE'!$D$8:$BA$8,0)),0)</f>
        <v>0</v>
      </c>
      <c r="DE8" s="33">
        <f>IFERROR(INDEX('[1]Sales per type Agustus'!$D$10:$BA$52,MATCH($C8,'[1]Sales per type Agustus'!$B$10:$B$52,0),MATCH("WATCH 3",'[1]Sales per type Agustus'!$D$8:$BA$8,0)),0)</f>
        <v>0</v>
      </c>
      <c r="DF8" s="33">
        <f t="shared" si="34"/>
        <v>0</v>
      </c>
      <c r="DG8" s="33" cm="1">
        <f t="array" ref="DG8">IFERROR(INDEX('[1]SALES PERTYPE'!$D$10:$BA$53,MATCH($C8,'[1]SALES PERTYPE'!$B$10:$B$53,0),MATCH("WATCH 3",'[1]SALES PERTYPE'!$D$8:$BA$8,0)+1),0)</f>
        <v>0</v>
      </c>
      <c r="DH8" s="33" cm="1">
        <f t="array" ref="DH8">IFERROR(INDEX('[1]Sales per type Agustus'!$D$10:$BA$52,MATCH($C8,'[1]Sales per type Agustus'!$B$10:$B$52,0),MATCH("WATCH 3",'[1]Sales per type Agustus'!$D$8:$BA$8,0)+1),0)</f>
        <v>0</v>
      </c>
      <c r="DI8" s="33">
        <f t="shared" si="35"/>
        <v>0</v>
      </c>
      <c r="DJ8" s="33">
        <f>IFERROR(INDEX('[1]SALES PERTYPE'!$D$10:$BA$53,MATCH($C8,'[1]SALES PERTYPE'!$B$10:$B$53,0),MATCH("X Fold5",'[1]SALES PERTYPE'!$D$8:$BA$8,0)),0)</f>
        <v>0</v>
      </c>
      <c r="DK8" s="33">
        <f>IFERROR(INDEX('[1]Sales per type Agustus'!$D$10:$BA$52,MATCH($C8,'[1]Sales per type Agustus'!$B$10:$B$52,0),MATCH("X Fold5",'[1]Sales per type Agustus'!$D$8:$BA$8,0)),0)</f>
        <v>0</v>
      </c>
      <c r="DL8" s="33">
        <f t="shared" si="36"/>
        <v>0</v>
      </c>
      <c r="DM8" s="33" cm="1">
        <f t="array" ref="DM8">IFERROR(INDEX('[1]SALES PERTYPE'!$D$10:$BA$53,MATCH($C8,'[1]SALES PERTYPE'!$B$10:$B$53,0),MATCH("X Fold5",'[1]SALES PERTYPE'!$D$8:$BA$8,0)+1),0)</f>
        <v>0</v>
      </c>
      <c r="DN8" s="33" cm="1">
        <f t="array" ref="DN8">IFERROR(INDEX('[1]Sales per type Agustus'!$D$10:$BA$52,MATCH($C8,'[1]Sales per type Agustus'!$B$10:$B$52,0),MATCH("X Fold5",'[1]Sales per type Agustus'!$D$8:$BA$8,0)+1),0)</f>
        <v>0</v>
      </c>
      <c r="DO8" s="33">
        <f t="shared" si="37"/>
        <v>0</v>
      </c>
      <c r="DP8" s="33">
        <f>IFERROR(INDEX('[1]SALES PERTYPE'!$D$10:$BA$53,MATCH($C8,'[1]SALES PERTYPE'!$B$10:$B$53,0),MATCH("X300 PRO",'[1]SALES PERTYPE'!$D$8:$BA$8,0)),0)</f>
        <v>0</v>
      </c>
      <c r="DQ8" s="33">
        <f>IFERROR(INDEX('[1]Sales per type Agustus'!$D$10:$BA$52,MATCH($C8,'[1]Sales per type Agustus'!$B$10:$B$52,0),MATCH("X300 PRO",'[1]Sales per type Agustus'!$D$8:$BA$8,0)),0)</f>
        <v>0</v>
      </c>
      <c r="DR8" s="33">
        <f t="shared" si="38"/>
        <v>0</v>
      </c>
      <c r="DS8" s="33" cm="1">
        <f t="array" ref="DS8">IFERROR(INDEX('[1]SALES PERTYPE'!$D$10:$BA$53,MATCH($C8,'[1]SALES PERTYPE'!$B$10:$B$53,0),MATCH("X300 PRO",'[1]SALES PERTYPE'!$D$8:$BA$8,0)+1),0)</f>
        <v>0</v>
      </c>
      <c r="DT8" s="33" cm="1">
        <f t="array" ref="DT8">IFERROR(INDEX('[1]Sales per type Agustus'!$D$10:$BA$52,MATCH($C8,'[1]Sales per type Agustus'!$B$10:$B$52,0),MATCH("X300 PRO",'[1]Sales per type Agustus'!$D$8:$BA$8,0)+1),0)</f>
        <v>0</v>
      </c>
      <c r="DU8" s="33">
        <f t="shared" si="39"/>
        <v>0</v>
      </c>
      <c r="DV8" s="33">
        <f>IFERROR(INDEX('[1]SALES PERTYPE'!$D$10:$BA$53,MATCH($C8,'[1]SALES PERTYPE'!$B$10:$B$53,0),MATCH("X300 ",'[1]SALES PERTYPE'!$D$8:$BA$8,0)),0)</f>
        <v>0</v>
      </c>
      <c r="DW8" s="33">
        <f>IFERROR(INDEX('[1]Sales per type Agustus'!$D$10:$BA$52,MATCH($C8,'[1]Sales per type Agustus'!$B$10:$B$52,0),MATCH("X300 ",'[1]Sales per type Agustus'!$D$8:$BA$8,0)),0)</f>
        <v>0</v>
      </c>
      <c r="DX8" s="33">
        <f t="shared" si="40"/>
        <v>0</v>
      </c>
      <c r="DY8" s="33" cm="1">
        <f t="array" ref="DY8">IFERROR(INDEX('[1]SALES PERTYPE'!$D$10:$BA$53,MATCH($C8,'[1]SALES PERTYPE'!$B$10:$B$53,0),MATCH("X300 ",'[1]SALES PERTYPE'!$D$8:$BA$8,0)+1),0)</f>
        <v>0</v>
      </c>
      <c r="DZ8" s="33" cm="1">
        <f t="array" ref="DZ8">IFERROR(INDEX('[1]Sales per type Agustus'!$D$10:$BA$52,MATCH($C8,'[1]Sales per type Agustus'!$B$10:$B$52,0),MATCH("X300 ",'[1]Sales per type Agustus'!$D$8:$BA$8,0)+1),0)</f>
        <v>0</v>
      </c>
      <c r="EA8" s="33">
        <f t="shared" si="41"/>
        <v>0</v>
      </c>
      <c r="EB8" s="33">
        <f t="shared" si="42"/>
        <v>103</v>
      </c>
      <c r="EC8" s="33">
        <f t="shared" si="42"/>
        <v>122</v>
      </c>
      <c r="ED8" s="33">
        <f t="shared" si="43"/>
        <v>-19</v>
      </c>
      <c r="EE8" s="33">
        <f t="shared" si="44"/>
        <v>314097000</v>
      </c>
      <c r="EF8" s="33">
        <f t="shared" si="44"/>
        <v>317878000</v>
      </c>
      <c r="EG8" s="33">
        <f t="shared" si="45"/>
        <v>-3781000</v>
      </c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</row>
    <row r="9" spans="1:184" ht="16" x14ac:dyDescent="0.2">
      <c r="A9" s="31">
        <f>'[1]ACHIEVEMENT STORE'!A9</f>
        <v>5</v>
      </c>
      <c r="B9" s="32" t="str">
        <f>'[1]ACHIEVEMENT STORE'!B9</f>
        <v>601 雅加达西北 JKT BU</v>
      </c>
      <c r="C9" s="31">
        <f>'[1]ACHIEVEMENT STORE'!C9</f>
        <v>6010709</v>
      </c>
      <c r="D9" s="32" t="str">
        <f>'[1]ACHIEVEMENT STORE'!D9</f>
        <v>6010709-ROXY PAMERAN UTARA</v>
      </c>
      <c r="E9" s="32" t="str">
        <f>'[1]ACHIEVEMENT STORE'!E9</f>
        <v>NUR IRAWATI</v>
      </c>
      <c r="F9" s="33">
        <f>IFERROR(INDEX('[1]SALES PERTYPE'!$D$10:$BA$53,MATCH($C9,'[1]SALES PERTYPE'!$B$10:$B$53,0),MATCH("Y05",'[1]SALES PERTYPE'!$D$8:$BA$8,0)),0)</f>
        <v>75</v>
      </c>
      <c r="G9" s="33">
        <f>IFERROR(INDEX('[1]Sales per type Agustus'!$D$10:$BA$52,MATCH($C9,'[1]Sales per type Agustus'!$B$10:$B$52,0),MATCH("Y05",'[1]Sales per type Agustus'!$D$8:$BA$8,0)),0)</f>
        <v>60</v>
      </c>
      <c r="H9" s="33">
        <f t="shared" si="0"/>
        <v>15</v>
      </c>
      <c r="I9" s="33" cm="1">
        <f t="array" ref="I9">IFERROR(INDEX('[1]SALES PERTYPE'!$D$10:$BA$53,MATCH($C9,'[1]SALES PERTYPE'!$B$10:$B$53,0),MATCH("Y05",'[1]SALES PERTYPE'!$D$8:$BA$8,0)+1),0)</f>
        <v>181425000</v>
      </c>
      <c r="J9" s="33" cm="1">
        <f t="array" ref="J9">IFERROR(INDEX('[1]Sales per type Agustus'!$D$10:$BA$52,MATCH($C9,'[1]Sales per type Agustus'!$B$10:$B$52,0),MATCH("Y05",'[1]Sales per type Agustus'!$D$8:$BA$8,0)+1),0)</f>
        <v>142740000</v>
      </c>
      <c r="K9" s="33">
        <f t="shared" si="1"/>
        <v>38685000</v>
      </c>
      <c r="L9" s="33">
        <f>IFERROR(INDEX('[1]SALES PERTYPE'!$D$10:$BA$53,MATCH($C9,'[1]SALES PERTYPE'!$B$10:$B$53,0),MATCH("Y11d",'[1]SALES PERTYPE'!$D$8:$BA$8,0)),0)</f>
        <v>30</v>
      </c>
      <c r="M9" s="33">
        <f>IFERROR(INDEX('[1]Sales per type Agustus'!$D$10:$BA$52,MATCH($C9,'[1]Sales per type Agustus'!$B$10:$B$52,0),MATCH("Y11d",'[1]Sales per type Agustus'!$D$8:$BA$8,0)),0)</f>
        <v>59</v>
      </c>
      <c r="N9" s="33">
        <f t="shared" si="2"/>
        <v>-29</v>
      </c>
      <c r="O9" s="33" cm="1">
        <f t="array" ref="O9">IFERROR(INDEX('[1]SALES PERTYPE'!$D$10:$BA$53,MATCH($C9,'[1]SALES PERTYPE'!$B$10:$B$53,0),MATCH("Y11d",'[1]SALES PERTYPE'!$D$8:$BA$8,0)+1),0)</f>
        <v>81170000</v>
      </c>
      <c r="P9" s="33" cm="1">
        <f t="array" ref="P9">IFERROR(INDEX('[1]Sales per type Agustus'!$D$10:$BA$52,MATCH($C9,'[1]Sales per type Agustus'!$B$10:$B$52,0),MATCH("Y11d",'[1]Sales per type Agustus'!$D$8:$BA$8,0)+1),0)</f>
        <v>153941000</v>
      </c>
      <c r="Q9" s="33">
        <f t="shared" si="3"/>
        <v>-72771000</v>
      </c>
      <c r="R9" s="33">
        <f>IFERROR(INDEX('[1]SALES PERTYPE'!$D$10:$BA$53,MATCH($C9,'[1]SALES PERTYPE'!$B$10:$B$53,0),MATCH("Watch GT 2",'[1]SALES PERTYPE'!$D$8:$BA$8,0)),0)</f>
        <v>0</v>
      </c>
      <c r="S9" s="33">
        <f>IFERROR(INDEX('[1]Sales per type Agustus'!$D$10:$BA$52,MATCH($C9,'[1]Sales per type Agustus'!$B$10:$B$52,0),MATCH("Watch GT 2",'[1]Sales per type Agustus'!$D$8:$BA$8,0)),0)</f>
        <v>1</v>
      </c>
      <c r="T9" s="33">
        <f t="shared" si="4"/>
        <v>-1</v>
      </c>
      <c r="U9" s="33" cm="1">
        <f t="array" ref="U9">IFERROR(INDEX('[1]SALES PERTYPE'!$D$10:$BA$53,MATCH($C9,'[1]SALES PERTYPE'!$B$10:$B$53,0),MATCH("Watch GT 2",'[1]SALES PERTYPE'!$D$8:$BA$8,0)+1),0)</f>
        <v>0</v>
      </c>
      <c r="V9" s="33" cm="1">
        <f t="array" ref="V9">IFERROR(INDEX('[1]Sales per type Agustus'!$D$10:$BA$52,MATCH($C9,'[1]Sales per type Agustus'!$B$10:$B$52,0),MATCH("Watch GT 2",'[1]Sales per type Agustus'!$D$8:$BA$8,0)+1),0)</f>
        <v>1799000</v>
      </c>
      <c r="W9" s="33">
        <f t="shared" si="5"/>
        <v>-1799000</v>
      </c>
      <c r="X9" s="33">
        <f>IFERROR(INDEX('[1]SALES PERTYPE'!$D$10:$BA$53,MATCH($C9,'[1]SALES PERTYPE'!$B$10:$B$53,0),MATCH("Y05e",'[1]SALES PERTYPE'!$D$8:$BA$8,0)),0)</f>
        <v>102</v>
      </c>
      <c r="Y9" s="33">
        <f>IFERROR(INDEX('[1]Sales per type Agustus'!$D$10:$BA$52,MATCH($C9,'[1]Sales per type Agustus'!$B$10:$B$52,0),MATCH("Y05e",'[1]Sales per type Agustus'!$D$8:$BA$8,0)),0)</f>
        <v>122</v>
      </c>
      <c r="Z9" s="33">
        <f t="shared" si="6"/>
        <v>-20</v>
      </c>
      <c r="AA9" s="33" cm="1">
        <f t="array" ref="AA9">IFERROR(INDEX('[1]SALES PERTYPE'!$D$10:$BA$53,MATCH($C9,'[1]SALES PERTYPE'!$B$10:$B$53,0),MATCH("Y05e",'[1]SALES PERTYPE'!$D$8:$BA$8,0)+1),0)</f>
        <v>225098000</v>
      </c>
      <c r="AB9" s="33" cm="1">
        <f t="array" ref="AB9">IFERROR(INDEX('[1]Sales per type Agustus'!$D$10:$BA$52,MATCH($C9,'[1]Sales per type Agustus'!$B$10:$B$52,0),MATCH("Y05e",'[1]Sales per type Agustus'!$D$8:$BA$8,0)+1),0)</f>
        <v>256078000</v>
      </c>
      <c r="AC9" s="33">
        <f t="shared" si="7"/>
        <v>-30980000</v>
      </c>
      <c r="AD9" s="33">
        <f>IFERROR(INDEX('[1]SALES PERTYPE'!$D$10:$BA$53,MATCH($C9,'[1]SALES PERTYPE'!$B$10:$B$53,0),MATCH("V70",'[1]SALES PERTYPE'!$D$8:$BA$8,0)),0)</f>
        <v>5</v>
      </c>
      <c r="AE9" s="33">
        <f>IFERROR(INDEX('[1]Sales per type Agustus'!$D$10:$BA$52,MATCH($C9,'[1]Sales per type Agustus'!$B$10:$B$52,0),MATCH("V70",'[1]Sales per type Agustus'!$D$8:$BA$8,0)),0)</f>
        <v>2</v>
      </c>
      <c r="AF9" s="33">
        <f t="shared" si="8"/>
        <v>3</v>
      </c>
      <c r="AG9" s="33" cm="1">
        <f t="array" ref="AG9">IFERROR(INDEX('[1]SALES PERTYPE'!$D$10:$BA$53,MATCH($C9,'[1]SALES PERTYPE'!$B$10:$B$53,0),MATCH("V70",'[1]SALES PERTYPE'!$D$8:$BA$8,0)+1),0)</f>
        <v>49995000</v>
      </c>
      <c r="AH9" s="33" cm="1">
        <f t="array" ref="AH9">IFERROR(INDEX('[1]Sales per type Agustus'!$D$10:$BA$52,MATCH($C9,'[1]Sales per type Agustus'!$B$10:$B$52,0),MATCH("V70",'[1]Sales per type Agustus'!$D$8:$BA$8,0)+1),0)</f>
        <v>18998000</v>
      </c>
      <c r="AI9" s="33">
        <f t="shared" si="9"/>
        <v>30997000</v>
      </c>
      <c r="AJ9" s="33">
        <f>IFERROR(INDEX('[1]SALES PERTYPE'!$D$10:$BA$53,MATCH($C9,'[1]SALES PERTYPE'!$B$10:$B$53,0),MATCH("Y31d Pro",'[1]SALES PERTYPE'!$D$8:$BA$8,0)),0)</f>
        <v>50</v>
      </c>
      <c r="AK9" s="33">
        <f>IFERROR(INDEX('[1]Sales per type Agustus'!$D$10:$BA$52,MATCH($C9,'[1]Sales per type Agustus'!$B$10:$B$52,0),MATCH("Y31d Pro",'[1]Sales per type Agustus'!$D$8:$BA$8,0)),0)</f>
        <v>25</v>
      </c>
      <c r="AL9" s="33">
        <f t="shared" si="10"/>
        <v>25</v>
      </c>
      <c r="AM9" s="33" cm="1">
        <f t="array" ref="AM9">IFERROR(INDEX('[1]SALES PERTYPE'!$D$10:$BA$53,MATCH($C9,'[1]SALES PERTYPE'!$B$10:$B$53,0),MATCH("Y31d Pro",'[1]SALES PERTYPE'!$D$8:$BA$8,0)+1),0)</f>
        <v>219550000</v>
      </c>
      <c r="AN9" s="33" cm="1">
        <f t="array" ref="AN9">IFERROR(INDEX('[1]Sales per type Agustus'!$D$10:$BA$52,MATCH($C9,'[1]Sales per type Agustus'!$B$10:$B$52,0),MATCH("Y31d Pro",'[1]Sales per type Agustus'!$D$8:$BA$8,0)+1),0)</f>
        <v>109275000</v>
      </c>
      <c r="AO9" s="33">
        <f t="shared" si="11"/>
        <v>110275000</v>
      </c>
      <c r="AP9" s="33" cm="1">
        <f t="array" ref="AP9">IFERROR(INDEX('[1]SALES PERTYPE'!$D$10:$BA$53,MATCH($C9,'[1]SALES PERTYPE'!$B$10:$B$53,0),$EI$3),0)</f>
        <v>9</v>
      </c>
      <c r="AQ9" s="33" cm="1">
        <f t="array" ref="AQ9">IFERROR(INDEX('[1]Sales per type Agustus'!$D$10:$BA$52,MATCH($C9,'[1]Sales per type Agustus'!$B$10:$B$52,0),$EI$2),0)</f>
        <v>3</v>
      </c>
      <c r="AR9" s="33">
        <f t="shared" si="12"/>
        <v>6</v>
      </c>
      <c r="AS9" s="33" cm="1">
        <f t="array" ref="AS9">IFERROR(INDEX('[1]SALES PERTYPE'!$D$10:$BA$53,MATCH($C9,'[1]SALES PERTYPE'!$B$10:$B$53,0),$EI$3+1),0)</f>
        <v>29691000</v>
      </c>
      <c r="AT9" s="33" cm="1">
        <f t="array" ref="AT9">IFERROR(INDEX('[1]Sales per type Agustus'!$D$10:$BA$52,MATCH($C9,'[1]Sales per type Agustus'!$B$10:$B$52,0),$EI$2+1),0)</f>
        <v>10797000</v>
      </c>
      <c r="AU9" s="33">
        <f t="shared" si="13"/>
        <v>18894000</v>
      </c>
      <c r="AV9" s="33">
        <f>IFERROR(INDEX('[1]SALES PERTYPE'!$D$10:$BA$53,MATCH($C9,'[1]SALES PERTYPE'!$B$10:$B$53,0),MATCH("Y31d ",'[1]SALES PERTYPE'!$D$8:$BA$8,0)),0)</f>
        <v>4</v>
      </c>
      <c r="AW9" s="33">
        <f>IFERROR(INDEX('[1]Sales per type Agustus'!$D$10:$BA$52,MATCH($C9,'[1]Sales per type Agustus'!$B$10:$B$52,0),MATCH("Y31d ",'[1]Sales per type Agustus'!$D$8:$BA$8,0)),0)</f>
        <v>11</v>
      </c>
      <c r="AX9" s="33">
        <f t="shared" si="14"/>
        <v>-7</v>
      </c>
      <c r="AY9" s="33" cm="1">
        <f t="array" ref="AY9">IFERROR(INDEX('[1]SALES PERTYPE'!$D$10:$BA$53,MATCH($C9,'[1]SALES PERTYPE'!$B$10:$B$53,0),MATCH("Y31d ",'[1]SALES PERTYPE'!$D$8:$BA$8,0)+1),0)</f>
        <v>14396000</v>
      </c>
      <c r="AZ9" s="33" cm="1">
        <f t="array" ref="AZ9">IFERROR(INDEX('[1]Sales per type Agustus'!$D$10:$BA$52,MATCH($C9,'[1]Sales per type Agustus'!$B$10:$B$52,0),MATCH("Y31d ",'[1]Sales per type Agustus'!$D$8:$BA$8,0)+1),0)</f>
        <v>39589000</v>
      </c>
      <c r="BA9" s="33">
        <f t="shared" si="15"/>
        <v>-25193000</v>
      </c>
      <c r="BB9" s="33">
        <f>IFERROR(INDEX('[1]SALES PERTYPE'!$D$10:$BA$53,MATCH($C9,'[1]SALES PERTYPE'!$B$10:$B$53,0),MATCH("V70 FE",'[1]SALES PERTYPE'!$D$8:$BA$8,0)),0)</f>
        <v>2</v>
      </c>
      <c r="BC9" s="33">
        <f>IFERROR(INDEX('[1]Sales per type Agustus'!$D$10:$BA$52,MATCH($C9,'[1]Sales per type Agustus'!$B$10:$B$52,0),MATCH("V70 FE",'[1]Sales per type Agustus'!$D$8:$BA$8,0)),0)</f>
        <v>4</v>
      </c>
      <c r="BD9" s="33">
        <f t="shared" si="16"/>
        <v>-2</v>
      </c>
      <c r="BE9" s="33" cm="1">
        <f t="array" ref="BE9">IFERROR(INDEX('[1]SALES PERTYPE'!$D$10:$BA$53,MATCH($C9,'[1]SALES PERTYPE'!$B$10:$B$53,0),MATCH("V70 FE",'[1]SALES PERTYPE'!$D$8:$BA$8,0)+1),0)</f>
        <v>15998000</v>
      </c>
      <c r="BF9" s="33" cm="1">
        <f t="array" ref="BF9">IFERROR(INDEX('[1]Sales per type Agustus'!$D$10:$BA$52,MATCH($C9,'[1]Sales per type Agustus'!$B$10:$B$52,0),MATCH("V70 FE",'[1]Sales per type Agustus'!$D$8:$BA$8,0)+1),0)</f>
        <v>30496000</v>
      </c>
      <c r="BG9" s="33">
        <f t="shared" si="17"/>
        <v>-14498000</v>
      </c>
      <c r="BH9" s="33">
        <f>IFERROR(INDEX('[1]SALES PERTYPE'!$D$10:$BA$53,MATCH($C9,'[1]SALES PERTYPE'!$B$10:$B$53,0),MATCH("Y31d",'[1]SALES PERTYPE'!$D$8:$BA$8,0)),0)</f>
        <v>6</v>
      </c>
      <c r="BI9" s="33">
        <f>IFERROR(INDEX('[1]Sales per type Agustus'!$D$10:$BA$52,MATCH($C9,'[1]Sales per type Agustus'!$B$10:$B$52,0),MATCH("Y31d",'[1]Sales per type Agustus'!$D$8:$BA$8,0)),0)</f>
        <v>13</v>
      </c>
      <c r="BJ9" s="33">
        <f t="shared" si="18"/>
        <v>-7</v>
      </c>
      <c r="BK9" s="33" cm="1">
        <f t="array" ref="BK9">IFERROR(INDEX('[1]SALES PERTYPE'!$D$10:$BA$53,MATCH($C9,'[1]SALES PERTYPE'!$B$10:$B$53,0),MATCH("Y31d",'[1]SALES PERTYPE'!$D$8:$BA$8,0)+1),0)</f>
        <v>21594000</v>
      </c>
      <c r="BL9" s="33" cm="1">
        <f t="array" ref="BL9">IFERROR(INDEX('[1]Sales per type Agustus'!$D$10:$BA$52,MATCH($C9,'[1]Sales per type Agustus'!$B$10:$B$52,0),MATCH("Y31d",'[1]Sales per type Agustus'!$D$8:$BA$8,0)+1),0)</f>
        <v>46787000</v>
      </c>
      <c r="BM9" s="33">
        <f t="shared" si="19"/>
        <v>-25193000</v>
      </c>
      <c r="BN9" s="33">
        <f>IFERROR(INDEX('[1]SALES PERTYPE'!$D$10:$BA$53,MATCH($C9,'[1]SALES PERTYPE'!$B$10:$B$53,0),MATCH("Y500",'[1]SALES PERTYPE'!$D$8:$BA$8,0)),0)</f>
        <v>7</v>
      </c>
      <c r="BO9" s="33">
        <f>IFERROR(INDEX('[1]Sales per type Agustus'!$D$10:$BA$52,MATCH($C9,'[1]Sales per type Agustus'!$B$10:$B$52,0),MATCH("Y500",'[1]Sales per type Agustus'!$D$8:$BA$8,0)),0)</f>
        <v>3</v>
      </c>
      <c r="BP9" s="33">
        <f t="shared" si="20"/>
        <v>4</v>
      </c>
      <c r="BQ9" s="33" cm="1">
        <f t="array" ref="BQ9">IFERROR(INDEX('[1]SALES PERTYPE'!$D$10:$BA$53,MATCH($C9,'[1]SALES PERTYPE'!$B$10:$B$53,0),MATCH("Y500",'[1]SALES PERTYPE'!$D$8:$BA$8,0)+1),0)</f>
        <v>41693000</v>
      </c>
      <c r="BR9" s="33" cm="1">
        <f t="array" ref="BR9">IFERROR(INDEX('[1]Sales per type Agustus'!$D$10:$BA$52,MATCH($C9,'[1]Sales per type Agustus'!$B$10:$B$52,0),MATCH("Y500",'[1]Sales per type Agustus'!$D$8:$BA$8,0)+1),0)</f>
        <v>16497000</v>
      </c>
      <c r="BS9" s="33">
        <f t="shared" si="21"/>
        <v>25196000</v>
      </c>
      <c r="BT9" s="33">
        <f>IFERROR(INDEX('[1]SALES PERTYPE'!$D$10:$BA$53,MATCH($C9,'[1]SALES PERTYPE'!$B$10:$B$53,0),MATCH("IQOO 15R",'[1]SALES PERTYPE'!$D$8:$BA$8,0)),0)</f>
        <v>0</v>
      </c>
      <c r="BU9" s="33">
        <f>IFERROR(INDEX('[1]Sales per type Agustus'!$D$10:$BA$52,MATCH($C9,'[1]Sales per type Agustus'!$B$10:$B$52,0),MATCH("IQOO 15R",'[1]Sales per type Agustus'!$D$8:$BA$8,0)),0)</f>
        <v>0</v>
      </c>
      <c r="BV9" s="33">
        <f t="shared" si="22"/>
        <v>0</v>
      </c>
      <c r="BW9" s="33" cm="1">
        <f t="array" ref="BW9">IFERROR(INDEX('[1]SALES PERTYPE'!$D$10:$BA$53,MATCH($C9,'[1]SALES PERTYPE'!$B$10:$B$53,0),MATCH("IQOO 15R",'[1]SALES PERTYPE'!$D$8:$BA$8,0)+1),0)</f>
        <v>0</v>
      </c>
      <c r="BX9" s="33" cm="1">
        <f t="array" ref="BX9">IFERROR(INDEX('[1]Sales per type Agustus'!$D$10:$BA$52,MATCH($C9,'[1]Sales per type Agustus'!$B$10:$B$52,0),MATCH("IQOO 15R",'[1]Sales per type Agustus'!$D$8:$BA$8,0)+1),0)</f>
        <v>0</v>
      </c>
      <c r="BY9" s="33">
        <f t="shared" si="23"/>
        <v>0</v>
      </c>
      <c r="BZ9" s="33">
        <f>IFERROR(INDEX('[1]SALES PERTYPE'!$D$10:$BA$53,MATCH($C9,'[1]SALES PERTYPE'!$B$10:$B$53,0),MATCH("V60 Lite",'[1]SALES PERTYPE'!$D$8:$BA$8,0)),0)</f>
        <v>14</v>
      </c>
      <c r="CA9" s="33">
        <f>IFERROR(INDEX('[1]Sales per type Agustus'!$D$10:$BA$52,MATCH($C9,'[1]Sales per type Agustus'!$B$10:$B$52,0),MATCH("V60 Lite",'[1]Sales per type Agustus'!$D$8:$BA$8,0)),0)</f>
        <v>9</v>
      </c>
      <c r="CB9" s="33">
        <f t="shared" si="24"/>
        <v>5</v>
      </c>
      <c r="CC9" s="33" cm="1">
        <f t="array" ref="CC9">IFERROR(INDEX('[1]SALES PERTYPE'!$D$10:$BA$53,MATCH($C9,'[1]SALES PERTYPE'!$B$10:$B$53,0),MATCH("V60 Lite",'[1]SALES PERTYPE'!$D$8:$BA$8,0)+1),0)</f>
        <v>83186000</v>
      </c>
      <c r="CD9" s="33" cm="1">
        <f t="array" ref="CD9">IFERROR(INDEX('[1]Sales per type Agustus'!$D$10:$BA$52,MATCH($C9,'[1]Sales per type Agustus'!$B$10:$B$52,0),MATCH("V60 Lite",'[1]Sales per type Agustus'!$D$8:$BA$8,0)+1),0)</f>
        <v>52491000</v>
      </c>
      <c r="CE9" s="33">
        <f t="shared" si="25"/>
        <v>30695000</v>
      </c>
      <c r="CF9" s="33">
        <f>IFERROR(INDEX('[1]SALES PERTYPE'!$D$10:$BA$53,MATCH($C9,'[1]SALES PERTYPE'!$B$10:$B$53,0),MATCH("X300 Ultra",'[1]SALES PERTYPE'!$D$8:$BA$8,0)),0)</f>
        <v>0</v>
      </c>
      <c r="CG9" s="33">
        <f>IFERROR(INDEX('[1]Sales per type Agustus'!$D$10:$BA$52,MATCH($C9,'[1]Sales per type Agustus'!$B$10:$B$52,0),MATCH("X300 Ultra",'[1]Sales per type Agustus'!$D$8:$BA$8,0)),0)</f>
        <v>0</v>
      </c>
      <c r="CH9" s="33">
        <f t="shared" si="26"/>
        <v>0</v>
      </c>
      <c r="CI9" s="33" cm="1">
        <f t="array" ref="CI9">IFERROR(INDEX('[1]SALES PERTYPE'!$D$10:$BA$53,MATCH($C9,'[1]SALES PERTYPE'!$B$10:$B$53,0),MATCH("X300 Ultra",'[1]SALES PERTYPE'!$D$8:$BA$8,0)+1),0)</f>
        <v>0</v>
      </c>
      <c r="CJ9" s="33" cm="1">
        <f t="array" ref="CJ9">IFERROR(INDEX('[1]Sales per type Agustus'!$D$10:$BA$52,MATCH($C9,'[1]Sales per type Agustus'!$B$10:$B$52,0),MATCH("X300 Ultra",'[1]Sales per type Agustus'!$D$8:$BA$8,0)+1),0)</f>
        <v>0</v>
      </c>
      <c r="CK9" s="33">
        <f t="shared" si="27"/>
        <v>0</v>
      </c>
      <c r="CL9" s="33">
        <f>IFERROR(INDEX('[1]SALES PERTYPE'!$D$10:$BA$53,MATCH($C9,'[1]SALES PERTYPE'!$B$10:$B$53,0),MATCH("IQOO 15",'[1]SALES PERTYPE'!$D$8:$BA$8,0)),0)</f>
        <v>0</v>
      </c>
      <c r="CM9" s="33">
        <f>IFERROR(INDEX('[1]Sales per type Agustus'!$D$10:$BA$52,MATCH($C9,'[1]Sales per type Agustus'!$B$10:$B$52,0),MATCH("IQOO 15",'[1]Sales per type Agustus'!$D$8:$BA$8,0)),0)</f>
        <v>0</v>
      </c>
      <c r="CN9" s="33">
        <f t="shared" si="28"/>
        <v>0</v>
      </c>
      <c r="CO9" s="33" cm="1">
        <f t="array" ref="CO9">IFERROR(INDEX('[1]SALES PERTYPE'!$D$10:$BA$53,MATCH($C9,'[1]SALES PERTYPE'!$B$10:$B$53,0),MATCH("IQOO 15",'[1]SALES PERTYPE'!$D$8:$BA$8,0)+1),0)</f>
        <v>0</v>
      </c>
      <c r="CP9" s="33" cm="1">
        <f t="array" ref="CP9">IFERROR(INDEX('[1]Sales per type Agustus'!$D$10:$BA$52,MATCH($C9,'[1]Sales per type Agustus'!$B$10:$B$52,0),MATCH("IQOO 15",'[1]Sales per type Agustus'!$D$8:$BA$8,0)+1),0)</f>
        <v>0</v>
      </c>
      <c r="CQ9" s="33">
        <f t="shared" si="29"/>
        <v>0</v>
      </c>
      <c r="CR9" s="33">
        <f>IFERROR(INDEX('[1]SALES PERTYPE'!$D$10:$BA$53,MATCH($C9,'[1]SALES PERTYPE'!$B$10:$B$53,0),MATCH("IQOO Z11x",'[1]SALES PERTYPE'!$D$8:$BA$8,0)),0)</f>
        <v>5</v>
      </c>
      <c r="CS9" s="33">
        <f>IFERROR(INDEX('[1]Sales per type Agustus'!$D$10:$BA$52,MATCH($C9,'[1]Sales per type Agustus'!$B$10:$B$52,0),MATCH("IQOO Z11x",'[1]Sales per type Agustus'!$D$8:$BA$8,0)),0)</f>
        <v>1</v>
      </c>
      <c r="CT9" s="33">
        <f t="shared" si="30"/>
        <v>4</v>
      </c>
      <c r="CU9" s="33" cm="1">
        <f t="array" ref="CU9">IFERROR(INDEX('[1]SALES PERTYPE'!$D$10:$BA$53,MATCH($C9,'[1]SALES PERTYPE'!$B$10:$B$53,0),MATCH("IQOO Z11x",'[1]SALES PERTYPE'!$D$8:$BA$8,0)+1),0)</f>
        <v>23995000</v>
      </c>
      <c r="CV9" s="33" cm="1">
        <f t="array" ref="CV9">IFERROR(INDEX('[1]Sales per type Agustus'!$D$10:$BA$52,MATCH($C9,'[1]Sales per type Agustus'!$B$10:$B$52,0),MATCH("IQOO Z11x",'[1]Sales per type Agustus'!$D$8:$BA$8,0)+1),0)</f>
        <v>5699000</v>
      </c>
      <c r="CW9" s="33">
        <f t="shared" si="31"/>
        <v>18296000</v>
      </c>
      <c r="CX9" s="33">
        <f>IFERROR(INDEX('[1]SALES PERTYPE'!$D$10:$BA$53,MATCH($C9,'[1]SALES PERTYPE'!$B$10:$B$53,0),MATCH("IQOO Z11",'[1]SALES PERTYPE'!$D$8:$BA$8,0)),0)</f>
        <v>7</v>
      </c>
      <c r="CY9" s="33">
        <f>IFERROR(INDEX('[1]Sales per type Agustus'!$D$10:$BA$52,MATCH($C9,'[1]Sales per type Agustus'!$B$10:$B$52,0),MATCH("IQOO Z11",'[1]Sales per type Agustus'!$D$8:$BA$8,0)),0)</f>
        <v>2</v>
      </c>
      <c r="CZ9" s="33">
        <f t="shared" si="32"/>
        <v>5</v>
      </c>
      <c r="DA9" s="33" cm="1">
        <f t="array" ref="DA9">IFERROR(INDEX('[1]SALES PERTYPE'!$D$10:$BA$53,MATCH($C9,'[1]SALES PERTYPE'!$B$10:$B$53,0),MATCH("IQOO Z11",'[1]SALES PERTYPE'!$D$8:$BA$8,0)+1),0)</f>
        <v>48293000</v>
      </c>
      <c r="DB9" s="33" cm="1">
        <f t="array" ref="DB9">IFERROR(INDEX('[1]Sales per type Agustus'!$D$10:$BA$52,MATCH($C9,'[1]Sales per type Agustus'!$B$10:$B$52,0),MATCH("IQOO Z11",'[1]Sales per type Agustus'!$D$8:$BA$8,0)+1),0)</f>
        <v>13798000</v>
      </c>
      <c r="DC9" s="33">
        <f t="shared" si="33"/>
        <v>34495000</v>
      </c>
      <c r="DD9" s="33">
        <f>IFERROR(INDEX('[1]SALES PERTYPE'!$D$10:$BA$53,MATCH($C9,'[1]SALES PERTYPE'!$B$10:$B$53,0),MATCH("WATCH 3",'[1]SALES PERTYPE'!$D$8:$BA$8,0)),0)</f>
        <v>0</v>
      </c>
      <c r="DE9" s="33">
        <f>IFERROR(INDEX('[1]Sales per type Agustus'!$D$10:$BA$52,MATCH($C9,'[1]Sales per type Agustus'!$B$10:$B$52,0),MATCH("WATCH 3",'[1]Sales per type Agustus'!$D$8:$BA$8,0)),0)</f>
        <v>0</v>
      </c>
      <c r="DF9" s="33">
        <f t="shared" si="34"/>
        <v>0</v>
      </c>
      <c r="DG9" s="33" cm="1">
        <f t="array" ref="DG9">IFERROR(INDEX('[1]SALES PERTYPE'!$D$10:$BA$53,MATCH($C9,'[1]SALES PERTYPE'!$B$10:$B$53,0),MATCH("WATCH 3",'[1]SALES PERTYPE'!$D$8:$BA$8,0)+1),0)</f>
        <v>0</v>
      </c>
      <c r="DH9" s="33" cm="1">
        <f t="array" ref="DH9">IFERROR(INDEX('[1]Sales per type Agustus'!$D$10:$BA$52,MATCH($C9,'[1]Sales per type Agustus'!$B$10:$B$52,0),MATCH("WATCH 3",'[1]Sales per type Agustus'!$D$8:$BA$8,0)+1),0)</f>
        <v>0</v>
      </c>
      <c r="DI9" s="33">
        <f t="shared" si="35"/>
        <v>0</v>
      </c>
      <c r="DJ9" s="33">
        <f>IFERROR(INDEX('[1]SALES PERTYPE'!$D$10:$BA$53,MATCH($C9,'[1]SALES PERTYPE'!$B$10:$B$53,0),MATCH("X Fold5",'[1]SALES PERTYPE'!$D$8:$BA$8,0)),0)</f>
        <v>0</v>
      </c>
      <c r="DK9" s="33">
        <f>IFERROR(INDEX('[1]Sales per type Agustus'!$D$10:$BA$52,MATCH($C9,'[1]Sales per type Agustus'!$B$10:$B$52,0),MATCH("X Fold5",'[1]Sales per type Agustus'!$D$8:$BA$8,0)),0)</f>
        <v>0</v>
      </c>
      <c r="DL9" s="33">
        <f t="shared" si="36"/>
        <v>0</v>
      </c>
      <c r="DM9" s="33" cm="1">
        <f t="array" ref="DM9">IFERROR(INDEX('[1]SALES PERTYPE'!$D$10:$BA$53,MATCH($C9,'[1]SALES PERTYPE'!$B$10:$B$53,0),MATCH("X Fold5",'[1]SALES PERTYPE'!$D$8:$BA$8,0)+1),0)</f>
        <v>0</v>
      </c>
      <c r="DN9" s="33" cm="1">
        <f t="array" ref="DN9">IFERROR(INDEX('[1]Sales per type Agustus'!$D$10:$BA$52,MATCH($C9,'[1]Sales per type Agustus'!$B$10:$B$52,0),MATCH("X Fold5",'[1]Sales per type Agustus'!$D$8:$BA$8,0)+1),0)</f>
        <v>0</v>
      </c>
      <c r="DO9" s="33">
        <f t="shared" si="37"/>
        <v>0</v>
      </c>
      <c r="DP9" s="33">
        <f>IFERROR(INDEX('[1]SALES PERTYPE'!$D$10:$BA$53,MATCH($C9,'[1]SALES PERTYPE'!$B$10:$B$53,0),MATCH("X300 PRO",'[1]SALES PERTYPE'!$D$8:$BA$8,0)),0)</f>
        <v>0</v>
      </c>
      <c r="DQ9" s="33">
        <f>IFERROR(INDEX('[1]Sales per type Agustus'!$D$10:$BA$52,MATCH($C9,'[1]Sales per type Agustus'!$B$10:$B$52,0),MATCH("X300 PRO",'[1]Sales per type Agustus'!$D$8:$BA$8,0)),0)</f>
        <v>0</v>
      </c>
      <c r="DR9" s="33">
        <f t="shared" si="38"/>
        <v>0</v>
      </c>
      <c r="DS9" s="33" cm="1">
        <f t="array" ref="DS9">IFERROR(INDEX('[1]SALES PERTYPE'!$D$10:$BA$53,MATCH($C9,'[1]SALES PERTYPE'!$B$10:$B$53,0),MATCH("X300 PRO",'[1]SALES PERTYPE'!$D$8:$BA$8,0)+1),0)</f>
        <v>0</v>
      </c>
      <c r="DT9" s="33" cm="1">
        <f t="array" ref="DT9">IFERROR(INDEX('[1]Sales per type Agustus'!$D$10:$BA$52,MATCH($C9,'[1]Sales per type Agustus'!$B$10:$B$52,0),MATCH("X300 PRO",'[1]Sales per type Agustus'!$D$8:$BA$8,0)+1),0)</f>
        <v>0</v>
      </c>
      <c r="DU9" s="33">
        <f t="shared" si="39"/>
        <v>0</v>
      </c>
      <c r="DV9" s="33">
        <f>IFERROR(INDEX('[1]SALES PERTYPE'!$D$10:$BA$53,MATCH($C9,'[1]SALES PERTYPE'!$B$10:$B$53,0),MATCH("X300 ",'[1]SALES PERTYPE'!$D$8:$BA$8,0)),0)</f>
        <v>0</v>
      </c>
      <c r="DW9" s="33">
        <f>IFERROR(INDEX('[1]Sales per type Agustus'!$D$10:$BA$52,MATCH($C9,'[1]Sales per type Agustus'!$B$10:$B$52,0),MATCH("X300 ",'[1]Sales per type Agustus'!$D$8:$BA$8,0)),0)</f>
        <v>0</v>
      </c>
      <c r="DX9" s="33">
        <f t="shared" si="40"/>
        <v>0</v>
      </c>
      <c r="DY9" s="33" cm="1">
        <f t="array" ref="DY9">IFERROR(INDEX('[1]SALES PERTYPE'!$D$10:$BA$53,MATCH($C9,'[1]SALES PERTYPE'!$B$10:$B$53,0),MATCH("X300 ",'[1]SALES PERTYPE'!$D$8:$BA$8,0)+1),0)</f>
        <v>0</v>
      </c>
      <c r="DZ9" s="33" cm="1">
        <f t="array" ref="DZ9">IFERROR(INDEX('[1]Sales per type Agustus'!$D$10:$BA$52,MATCH($C9,'[1]Sales per type Agustus'!$B$10:$B$52,0),MATCH("X300 ",'[1]Sales per type Agustus'!$D$8:$BA$8,0)+1),0)</f>
        <v>0</v>
      </c>
      <c r="EA9" s="33">
        <f t="shared" si="41"/>
        <v>0</v>
      </c>
      <c r="EB9" s="33">
        <f t="shared" si="42"/>
        <v>316</v>
      </c>
      <c r="EC9" s="33">
        <f t="shared" si="42"/>
        <v>315</v>
      </c>
      <c r="ED9" s="33">
        <f t="shared" si="43"/>
        <v>1</v>
      </c>
      <c r="EE9" s="33">
        <f t="shared" si="44"/>
        <v>1036084000</v>
      </c>
      <c r="EF9" s="33">
        <f t="shared" si="44"/>
        <v>898985000</v>
      </c>
      <c r="EG9" s="33">
        <f t="shared" si="45"/>
        <v>137099000</v>
      </c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</row>
    <row r="10" spans="1:184" ht="16" x14ac:dyDescent="0.2">
      <c r="A10" s="214">
        <f>'[1]ACHIEVEMENT STORE'!A10</f>
        <v>6</v>
      </c>
      <c r="B10" s="215" t="str">
        <f>'[1]ACHIEVEMENT STORE'!B10</f>
        <v>601 雅加达西北 JKT BU</v>
      </c>
      <c r="C10" s="214">
        <f>'[1]ACHIEVEMENT STORE'!C10</f>
        <v>6010710</v>
      </c>
      <c r="D10" s="215" t="str">
        <f>'[1]ACHIEVEMENT STORE'!D10</f>
        <v>6010710-ROXY PAMERAN SELATAN</v>
      </c>
      <c r="E10" s="215" t="str">
        <f>'[1]ACHIEVEMENT STORE'!E10</f>
        <v>NUR IRAWATI</v>
      </c>
      <c r="F10" s="33">
        <f>IFERROR(INDEX('[1]SALES PERTYPE'!$D$10:$BA$53,MATCH($C10,'[1]SALES PERTYPE'!$B$10:$B$53,0),MATCH("Y05",'[1]SALES PERTYPE'!$D$8:$BA$8,0)),0)</f>
        <v>25</v>
      </c>
      <c r="G10" s="33">
        <f>IFERROR(INDEX('[1]Sales per type Agustus'!$D$10:$BA$52,MATCH($C10,'[1]Sales per type Agustus'!$B$10:$B$52,0),MATCH("Y05",'[1]Sales per type Agustus'!$D$8:$BA$8,0)),0)</f>
        <v>15</v>
      </c>
      <c r="H10" s="33">
        <f t="shared" si="0"/>
        <v>10</v>
      </c>
      <c r="I10" s="33" cm="1">
        <f t="array" ref="I10">IFERROR(INDEX('[1]SALES PERTYPE'!$D$10:$BA$53,MATCH($C10,'[1]SALES PERTYPE'!$B$10:$B$53,0),MATCH("Y05",'[1]SALES PERTYPE'!$D$8:$BA$8,0)+1),0)</f>
        <v>61675000</v>
      </c>
      <c r="J10" s="33" cm="1">
        <f t="array" ref="J10">IFERROR(INDEX('[1]Sales per type Agustus'!$D$10:$BA$52,MATCH($C10,'[1]Sales per type Agustus'!$B$10:$B$52,0),MATCH("Y05",'[1]Sales per type Agustus'!$D$8:$BA$8,0)+1),0)</f>
        <v>37485000</v>
      </c>
      <c r="K10" s="33">
        <f t="shared" si="1"/>
        <v>24190000</v>
      </c>
      <c r="L10" s="33">
        <f>IFERROR(INDEX('[1]SALES PERTYPE'!$D$10:$BA$53,MATCH($C10,'[1]SALES PERTYPE'!$B$10:$B$53,0),MATCH("Y11d",'[1]SALES PERTYPE'!$D$8:$BA$8,0)),0)</f>
        <v>15</v>
      </c>
      <c r="M10" s="33">
        <f>IFERROR(INDEX('[1]Sales per type Agustus'!$D$10:$BA$52,MATCH($C10,'[1]Sales per type Agustus'!$B$10:$B$52,0),MATCH("Y11d",'[1]Sales per type Agustus'!$D$8:$BA$8,0)),0)</f>
        <v>18</v>
      </c>
      <c r="N10" s="33">
        <f t="shared" si="2"/>
        <v>-3</v>
      </c>
      <c r="O10" s="33" cm="1">
        <f t="array" ref="O10">IFERROR(INDEX('[1]SALES PERTYPE'!$D$10:$BA$53,MATCH($C10,'[1]SALES PERTYPE'!$B$10:$B$53,0),MATCH("Y11d",'[1]SALES PERTYPE'!$D$8:$BA$8,0)+1),0)</f>
        <v>38385000</v>
      </c>
      <c r="P10" s="33" cm="1">
        <f t="array" ref="P10">IFERROR(INDEX('[1]Sales per type Agustus'!$D$10:$BA$52,MATCH($C10,'[1]Sales per type Agustus'!$B$10:$B$52,0),MATCH("Y11d",'[1]Sales per type Agustus'!$D$8:$BA$8,0)+1),0)</f>
        <v>46782000</v>
      </c>
      <c r="Q10" s="33">
        <f t="shared" si="3"/>
        <v>-8397000</v>
      </c>
      <c r="R10" s="33">
        <f>IFERROR(INDEX('[1]SALES PERTYPE'!$D$10:$BA$53,MATCH($C10,'[1]SALES PERTYPE'!$B$10:$B$53,0),MATCH("Watch GT 2",'[1]SALES PERTYPE'!$D$8:$BA$8,0)),0)</f>
        <v>0</v>
      </c>
      <c r="S10" s="33">
        <f>IFERROR(INDEX('[1]Sales per type Agustus'!$D$10:$BA$52,MATCH($C10,'[1]Sales per type Agustus'!$B$10:$B$52,0),MATCH("Watch GT 2",'[1]Sales per type Agustus'!$D$8:$BA$8,0)),0)</f>
        <v>0</v>
      </c>
      <c r="T10" s="33">
        <f t="shared" si="4"/>
        <v>0</v>
      </c>
      <c r="U10" s="33" cm="1">
        <f t="array" ref="U10">IFERROR(INDEX('[1]SALES PERTYPE'!$D$10:$BA$53,MATCH($C10,'[1]SALES PERTYPE'!$B$10:$B$53,0),MATCH("Watch GT 2",'[1]SALES PERTYPE'!$D$8:$BA$8,0)+1),0)</f>
        <v>0</v>
      </c>
      <c r="V10" s="33" cm="1">
        <f t="array" ref="V10">IFERROR(INDEX('[1]Sales per type Agustus'!$D$10:$BA$52,MATCH($C10,'[1]Sales per type Agustus'!$B$10:$B$52,0),MATCH("Watch GT 2",'[1]Sales per type Agustus'!$D$8:$BA$8,0)+1),0)</f>
        <v>0</v>
      </c>
      <c r="W10" s="33">
        <f t="shared" si="5"/>
        <v>0</v>
      </c>
      <c r="X10" s="33">
        <f>IFERROR(INDEX('[1]SALES PERTYPE'!$D$10:$BA$53,MATCH($C10,'[1]SALES PERTYPE'!$B$10:$B$53,0),MATCH("Y05e",'[1]SALES PERTYPE'!$D$8:$BA$8,0)),0)</f>
        <v>21</v>
      </c>
      <c r="Y10" s="33">
        <f>IFERROR(INDEX('[1]Sales per type Agustus'!$D$10:$BA$52,MATCH($C10,'[1]Sales per type Agustus'!$B$10:$B$52,0),MATCH("Y05e",'[1]Sales per type Agustus'!$D$8:$BA$8,0)),0)</f>
        <v>49</v>
      </c>
      <c r="Z10" s="33">
        <f t="shared" si="6"/>
        <v>-28</v>
      </c>
      <c r="AA10" s="33" cm="1">
        <f t="array" ref="AA10">IFERROR(INDEX('[1]SALES PERTYPE'!$D$10:$BA$53,MATCH($C10,'[1]SALES PERTYPE'!$B$10:$B$53,0),MATCH("Y05e",'[1]SALES PERTYPE'!$D$8:$BA$8,0)+1),0)</f>
        <v>44879000</v>
      </c>
      <c r="AB10" s="33" cm="1">
        <f t="array" ref="AB10">IFERROR(INDEX('[1]Sales per type Agustus'!$D$10:$BA$52,MATCH($C10,'[1]Sales per type Agustus'!$B$10:$B$52,0),MATCH("Y05e",'[1]Sales per type Agustus'!$D$8:$BA$8,0)+1),0)</f>
        <v>102851000</v>
      </c>
      <c r="AC10" s="33">
        <f t="shared" si="7"/>
        <v>-57972000</v>
      </c>
      <c r="AD10" s="33">
        <f>IFERROR(INDEX('[1]SALES PERTYPE'!$D$10:$BA$53,MATCH($C10,'[1]SALES PERTYPE'!$B$10:$B$53,0),MATCH("V70",'[1]SALES PERTYPE'!$D$8:$BA$8,0)),0)</f>
        <v>5</v>
      </c>
      <c r="AE10" s="33">
        <f>IFERROR(INDEX('[1]Sales per type Agustus'!$D$10:$BA$52,MATCH($C10,'[1]Sales per type Agustus'!$B$10:$B$52,0),MATCH("V70",'[1]Sales per type Agustus'!$D$8:$BA$8,0)),0)</f>
        <v>0</v>
      </c>
      <c r="AF10" s="33">
        <f t="shared" si="8"/>
        <v>5</v>
      </c>
      <c r="AG10" s="33" cm="1">
        <f t="array" ref="AG10">IFERROR(INDEX('[1]SALES PERTYPE'!$D$10:$BA$53,MATCH($C10,'[1]SALES PERTYPE'!$B$10:$B$53,0),MATCH("V70",'[1]SALES PERTYPE'!$D$8:$BA$8,0)+1),0)</f>
        <v>49995000</v>
      </c>
      <c r="AH10" s="33" cm="1">
        <f t="array" ref="AH10">IFERROR(INDEX('[1]Sales per type Agustus'!$D$10:$BA$52,MATCH($C10,'[1]Sales per type Agustus'!$B$10:$B$52,0),MATCH("V70",'[1]Sales per type Agustus'!$D$8:$BA$8,0)+1),0)</f>
        <v>0</v>
      </c>
      <c r="AI10" s="33">
        <f t="shared" si="9"/>
        <v>49995000</v>
      </c>
      <c r="AJ10" s="33">
        <f>IFERROR(INDEX('[1]SALES PERTYPE'!$D$10:$BA$53,MATCH($C10,'[1]SALES PERTYPE'!$B$10:$B$53,0),MATCH("Y31d Pro",'[1]SALES PERTYPE'!$D$8:$BA$8,0)),0)</f>
        <v>10</v>
      </c>
      <c r="AK10" s="33">
        <f>IFERROR(INDEX('[1]Sales per type Agustus'!$D$10:$BA$52,MATCH($C10,'[1]Sales per type Agustus'!$B$10:$B$52,0),MATCH("Y31d Pro",'[1]Sales per type Agustus'!$D$8:$BA$8,0)),0)</f>
        <v>10</v>
      </c>
      <c r="AL10" s="33">
        <f t="shared" si="10"/>
        <v>0</v>
      </c>
      <c r="AM10" s="33" cm="1">
        <f t="array" ref="AM10">IFERROR(INDEX('[1]SALES PERTYPE'!$D$10:$BA$53,MATCH($C10,'[1]SALES PERTYPE'!$B$10:$B$53,0),MATCH("Y31d Pro",'[1]SALES PERTYPE'!$D$8:$BA$8,0)+1),0)</f>
        <v>40590000</v>
      </c>
      <c r="AN10" s="33" cm="1">
        <f t="array" ref="AN10">IFERROR(INDEX('[1]Sales per type Agustus'!$D$10:$BA$52,MATCH($C10,'[1]Sales per type Agustus'!$B$10:$B$52,0),MATCH("Y31d Pro",'[1]Sales per type Agustus'!$D$8:$BA$8,0)+1),0)</f>
        <v>43590000</v>
      </c>
      <c r="AO10" s="33">
        <f t="shared" si="11"/>
        <v>-3000000</v>
      </c>
      <c r="AP10" s="33" cm="1">
        <f t="array" ref="AP10">IFERROR(INDEX('[1]SALES PERTYPE'!$D$10:$BA$53,MATCH($C10,'[1]SALES PERTYPE'!$B$10:$B$53,0),$EI$3),0)</f>
        <v>9</v>
      </c>
      <c r="AQ10" s="33" cm="1">
        <f t="array" ref="AQ10">IFERROR(INDEX('[1]Sales per type Agustus'!$D$10:$BA$52,MATCH($C10,'[1]Sales per type Agustus'!$B$10:$B$52,0),$EI$2),0)</f>
        <v>0</v>
      </c>
      <c r="AR10" s="33">
        <f t="shared" si="12"/>
        <v>9</v>
      </c>
      <c r="AS10" s="33" cm="1">
        <f t="array" ref="AS10">IFERROR(INDEX('[1]SALES PERTYPE'!$D$10:$BA$53,MATCH($C10,'[1]SALES PERTYPE'!$B$10:$B$53,0),$EI$3+1),0)</f>
        <v>29691000</v>
      </c>
      <c r="AT10" s="33" cm="1">
        <f t="array" ref="AT10">IFERROR(INDEX('[1]Sales per type Agustus'!$D$10:$BA$52,MATCH($C10,'[1]Sales per type Agustus'!$B$10:$B$52,0),$EI$2+1),0)</f>
        <v>0</v>
      </c>
      <c r="AU10" s="33">
        <f t="shared" si="13"/>
        <v>29691000</v>
      </c>
      <c r="AV10" s="33">
        <f>IFERROR(INDEX('[1]SALES PERTYPE'!$D$10:$BA$53,MATCH($C10,'[1]SALES PERTYPE'!$B$10:$B$53,0),MATCH("Y31d ",'[1]SALES PERTYPE'!$D$8:$BA$8,0)),0)</f>
        <v>1</v>
      </c>
      <c r="AW10" s="33">
        <f>IFERROR(INDEX('[1]Sales per type Agustus'!$D$10:$BA$52,MATCH($C10,'[1]Sales per type Agustus'!$B$10:$B$52,0),MATCH("Y31d ",'[1]Sales per type Agustus'!$D$8:$BA$8,0)),0)</f>
        <v>2</v>
      </c>
      <c r="AX10" s="33">
        <f t="shared" si="14"/>
        <v>-1</v>
      </c>
      <c r="AY10" s="33" cm="1">
        <f t="array" ref="AY10">IFERROR(INDEX('[1]SALES PERTYPE'!$D$10:$BA$53,MATCH($C10,'[1]SALES PERTYPE'!$B$10:$B$53,0),MATCH("Y31d ",'[1]SALES PERTYPE'!$D$8:$BA$8,0)+1),0)</f>
        <v>3599000</v>
      </c>
      <c r="AZ10" s="33" cm="1">
        <f t="array" ref="AZ10">IFERROR(INDEX('[1]Sales per type Agustus'!$D$10:$BA$52,MATCH($C10,'[1]Sales per type Agustus'!$B$10:$B$52,0),MATCH("Y31d ",'[1]Sales per type Agustus'!$D$8:$BA$8,0)+1),0)</f>
        <v>7198000</v>
      </c>
      <c r="BA10" s="33">
        <f t="shared" si="15"/>
        <v>-3599000</v>
      </c>
      <c r="BB10" s="33">
        <f>IFERROR(INDEX('[1]SALES PERTYPE'!$D$10:$BA$53,MATCH($C10,'[1]SALES PERTYPE'!$B$10:$B$53,0),MATCH("V70 FE",'[1]SALES PERTYPE'!$D$8:$BA$8,0)),0)</f>
        <v>0</v>
      </c>
      <c r="BC10" s="33">
        <f>IFERROR(INDEX('[1]Sales per type Agustus'!$D$10:$BA$52,MATCH($C10,'[1]Sales per type Agustus'!$B$10:$B$52,0),MATCH("V70 FE",'[1]Sales per type Agustus'!$D$8:$BA$8,0)),0)</f>
        <v>2</v>
      </c>
      <c r="BD10" s="33">
        <f t="shared" si="16"/>
        <v>-2</v>
      </c>
      <c r="BE10" s="33" cm="1">
        <f t="array" ref="BE10">IFERROR(INDEX('[1]SALES PERTYPE'!$D$10:$BA$53,MATCH($C10,'[1]SALES PERTYPE'!$B$10:$B$53,0),MATCH("V70 FE",'[1]SALES PERTYPE'!$D$8:$BA$8,0)+1),0)</f>
        <v>0</v>
      </c>
      <c r="BF10" s="33" cm="1">
        <f t="array" ref="BF10">IFERROR(INDEX('[1]Sales per type Agustus'!$D$10:$BA$52,MATCH($C10,'[1]Sales per type Agustus'!$B$10:$B$52,0),MATCH("V70 FE",'[1]Sales per type Agustus'!$D$8:$BA$8,0)+1),0)</f>
        <v>15998000</v>
      </c>
      <c r="BG10" s="33">
        <f t="shared" si="17"/>
        <v>-15998000</v>
      </c>
      <c r="BH10" s="33">
        <f>IFERROR(INDEX('[1]SALES PERTYPE'!$D$10:$BA$53,MATCH($C10,'[1]SALES PERTYPE'!$B$10:$B$53,0),MATCH("Y31d",'[1]SALES PERTYPE'!$D$8:$BA$8,0)),0)</f>
        <v>0</v>
      </c>
      <c r="BI10" s="33">
        <f>IFERROR(INDEX('[1]Sales per type Agustus'!$D$10:$BA$52,MATCH($C10,'[1]Sales per type Agustus'!$B$10:$B$52,0),MATCH("Y31d",'[1]Sales per type Agustus'!$D$8:$BA$8,0)),0)</f>
        <v>2</v>
      </c>
      <c r="BJ10" s="33">
        <f t="shared" si="18"/>
        <v>-2</v>
      </c>
      <c r="BK10" s="33" cm="1">
        <f t="array" ref="BK10">IFERROR(INDEX('[1]SALES PERTYPE'!$D$10:$BA$53,MATCH($C10,'[1]SALES PERTYPE'!$B$10:$B$53,0),MATCH("Y31d",'[1]SALES PERTYPE'!$D$8:$BA$8,0)+1),0)</f>
        <v>0</v>
      </c>
      <c r="BL10" s="33" cm="1">
        <f t="array" ref="BL10">IFERROR(INDEX('[1]Sales per type Agustus'!$D$10:$BA$52,MATCH($C10,'[1]Sales per type Agustus'!$B$10:$B$52,0),MATCH("Y31d",'[1]Sales per type Agustus'!$D$8:$BA$8,0)+1),0)</f>
        <v>7198000</v>
      </c>
      <c r="BM10" s="33">
        <f t="shared" si="19"/>
        <v>-7198000</v>
      </c>
      <c r="BN10" s="33">
        <f>IFERROR(INDEX('[1]SALES PERTYPE'!$D$10:$BA$53,MATCH($C10,'[1]SALES PERTYPE'!$B$10:$B$53,0),MATCH("Y500",'[1]SALES PERTYPE'!$D$8:$BA$8,0)),0)</f>
        <v>1</v>
      </c>
      <c r="BO10" s="33">
        <f>IFERROR(INDEX('[1]Sales per type Agustus'!$D$10:$BA$52,MATCH($C10,'[1]Sales per type Agustus'!$B$10:$B$52,0),MATCH("Y500",'[1]Sales per type Agustus'!$D$8:$BA$8,0)),0)</f>
        <v>3</v>
      </c>
      <c r="BP10" s="33">
        <f t="shared" si="20"/>
        <v>-2</v>
      </c>
      <c r="BQ10" s="33" cm="1">
        <f t="array" ref="BQ10">IFERROR(INDEX('[1]SALES PERTYPE'!$D$10:$BA$53,MATCH($C10,'[1]SALES PERTYPE'!$B$10:$B$53,0),MATCH("Y500",'[1]SALES PERTYPE'!$D$8:$BA$8,0)+1),0)</f>
        <v>5499000</v>
      </c>
      <c r="BR10" s="33" cm="1">
        <f t="array" ref="BR10">IFERROR(INDEX('[1]Sales per type Agustus'!$D$10:$BA$52,MATCH($C10,'[1]Sales per type Agustus'!$B$10:$B$52,0),MATCH("Y500",'[1]Sales per type Agustus'!$D$8:$BA$8,0)+1),0)</f>
        <v>18097000</v>
      </c>
      <c r="BS10" s="33">
        <f t="shared" si="21"/>
        <v>-12598000</v>
      </c>
      <c r="BT10" s="33">
        <f>IFERROR(INDEX('[1]SALES PERTYPE'!$D$10:$BA$53,MATCH($C10,'[1]SALES PERTYPE'!$B$10:$B$53,0),MATCH("IQOO 15R",'[1]SALES PERTYPE'!$D$8:$BA$8,0)),0)</f>
        <v>0</v>
      </c>
      <c r="BU10" s="33">
        <f>IFERROR(INDEX('[1]Sales per type Agustus'!$D$10:$BA$52,MATCH($C10,'[1]Sales per type Agustus'!$B$10:$B$52,0),MATCH("IQOO 15R",'[1]Sales per type Agustus'!$D$8:$BA$8,0)),0)</f>
        <v>0</v>
      </c>
      <c r="BV10" s="33">
        <f t="shared" si="22"/>
        <v>0</v>
      </c>
      <c r="BW10" s="33" cm="1">
        <f t="array" ref="BW10">IFERROR(INDEX('[1]SALES PERTYPE'!$D$10:$BA$53,MATCH($C10,'[1]SALES PERTYPE'!$B$10:$B$53,0),MATCH("IQOO 15R",'[1]SALES PERTYPE'!$D$8:$BA$8,0)+1),0)</f>
        <v>0</v>
      </c>
      <c r="BX10" s="33" cm="1">
        <f t="array" ref="BX10">IFERROR(INDEX('[1]Sales per type Agustus'!$D$10:$BA$52,MATCH($C10,'[1]Sales per type Agustus'!$B$10:$B$52,0),MATCH("IQOO 15R",'[1]Sales per type Agustus'!$D$8:$BA$8,0)+1),0)</f>
        <v>0</v>
      </c>
      <c r="BY10" s="33">
        <f t="shared" si="23"/>
        <v>0</v>
      </c>
      <c r="BZ10" s="33">
        <f>IFERROR(INDEX('[1]SALES PERTYPE'!$D$10:$BA$53,MATCH($C10,'[1]SALES PERTYPE'!$B$10:$B$53,0),MATCH("V60 Lite",'[1]SALES PERTYPE'!$D$8:$BA$8,0)),0)</f>
        <v>4</v>
      </c>
      <c r="CA10" s="33">
        <f>IFERROR(INDEX('[1]Sales per type Agustus'!$D$10:$BA$52,MATCH($C10,'[1]Sales per type Agustus'!$B$10:$B$52,0),MATCH("V60 Lite",'[1]Sales per type Agustus'!$D$8:$BA$8,0)),0)</f>
        <v>0</v>
      </c>
      <c r="CB10" s="33">
        <f t="shared" si="24"/>
        <v>4</v>
      </c>
      <c r="CC10" s="33" cm="1">
        <f t="array" ref="CC10">IFERROR(INDEX('[1]SALES PERTYPE'!$D$10:$BA$53,MATCH($C10,'[1]SALES PERTYPE'!$B$10:$B$53,0),MATCH("V60 Lite",'[1]SALES PERTYPE'!$D$8:$BA$8,0)+1),0)</f>
        <v>23596000</v>
      </c>
      <c r="CD10" s="33" cm="1">
        <f t="array" ref="CD10">IFERROR(INDEX('[1]Sales per type Agustus'!$D$10:$BA$52,MATCH($C10,'[1]Sales per type Agustus'!$B$10:$B$52,0),MATCH("V60 Lite",'[1]Sales per type Agustus'!$D$8:$BA$8,0)+1),0)</f>
        <v>0</v>
      </c>
      <c r="CE10" s="33">
        <f t="shared" si="25"/>
        <v>23596000</v>
      </c>
      <c r="CF10" s="33">
        <f>IFERROR(INDEX('[1]SALES PERTYPE'!$D$10:$BA$53,MATCH($C10,'[1]SALES PERTYPE'!$B$10:$B$53,0),MATCH("X300 Ultra",'[1]SALES PERTYPE'!$D$8:$BA$8,0)),0)</f>
        <v>0</v>
      </c>
      <c r="CG10" s="33">
        <f>IFERROR(INDEX('[1]Sales per type Agustus'!$D$10:$BA$52,MATCH($C10,'[1]Sales per type Agustus'!$B$10:$B$52,0),MATCH("X300 Ultra",'[1]Sales per type Agustus'!$D$8:$BA$8,0)),0)</f>
        <v>0</v>
      </c>
      <c r="CH10" s="33">
        <f t="shared" si="26"/>
        <v>0</v>
      </c>
      <c r="CI10" s="33" cm="1">
        <f t="array" ref="CI10">IFERROR(INDEX('[1]SALES PERTYPE'!$D$10:$BA$53,MATCH($C10,'[1]SALES PERTYPE'!$B$10:$B$53,0),MATCH("X300 Ultra",'[1]SALES PERTYPE'!$D$8:$BA$8,0)+1),0)</f>
        <v>0</v>
      </c>
      <c r="CJ10" s="33" cm="1">
        <f t="array" ref="CJ10">IFERROR(INDEX('[1]Sales per type Agustus'!$D$10:$BA$52,MATCH($C10,'[1]Sales per type Agustus'!$B$10:$B$52,0),MATCH("X300 Ultra",'[1]Sales per type Agustus'!$D$8:$BA$8,0)+1),0)</f>
        <v>0</v>
      </c>
      <c r="CK10" s="33">
        <f t="shared" si="27"/>
        <v>0</v>
      </c>
      <c r="CL10" s="33">
        <f>IFERROR(INDEX('[1]SALES PERTYPE'!$D$10:$BA$53,MATCH($C10,'[1]SALES PERTYPE'!$B$10:$B$53,0),MATCH("IQOO 15",'[1]SALES PERTYPE'!$D$8:$BA$8,0)),0)</f>
        <v>0</v>
      </c>
      <c r="CM10" s="33">
        <f>IFERROR(INDEX('[1]Sales per type Agustus'!$D$10:$BA$52,MATCH($C10,'[1]Sales per type Agustus'!$B$10:$B$52,0),MATCH("IQOO 15",'[1]Sales per type Agustus'!$D$8:$BA$8,0)),0)</f>
        <v>0</v>
      </c>
      <c r="CN10" s="33">
        <f t="shared" si="28"/>
        <v>0</v>
      </c>
      <c r="CO10" s="33" cm="1">
        <f t="array" ref="CO10">IFERROR(INDEX('[1]SALES PERTYPE'!$D$10:$BA$53,MATCH($C10,'[1]SALES PERTYPE'!$B$10:$B$53,0),MATCH("IQOO 15",'[1]SALES PERTYPE'!$D$8:$BA$8,0)+1),0)</f>
        <v>0</v>
      </c>
      <c r="CP10" s="33" cm="1">
        <f t="array" ref="CP10">IFERROR(INDEX('[1]Sales per type Agustus'!$D$10:$BA$52,MATCH($C10,'[1]Sales per type Agustus'!$B$10:$B$52,0),MATCH("IQOO 15",'[1]Sales per type Agustus'!$D$8:$BA$8,0)+1),0)</f>
        <v>0</v>
      </c>
      <c r="CQ10" s="33">
        <f t="shared" si="29"/>
        <v>0</v>
      </c>
      <c r="CR10" s="33">
        <f>IFERROR(INDEX('[1]SALES PERTYPE'!$D$10:$BA$53,MATCH($C10,'[1]SALES PERTYPE'!$B$10:$B$53,0),MATCH("IQOO Z11x",'[1]SALES PERTYPE'!$D$8:$BA$8,0)),0)</f>
        <v>1</v>
      </c>
      <c r="CS10" s="33">
        <f>IFERROR(INDEX('[1]Sales per type Agustus'!$D$10:$BA$52,MATCH($C10,'[1]Sales per type Agustus'!$B$10:$B$52,0),MATCH("IQOO Z11x",'[1]Sales per type Agustus'!$D$8:$BA$8,0)),0)</f>
        <v>1</v>
      </c>
      <c r="CT10" s="33">
        <f t="shared" si="30"/>
        <v>0</v>
      </c>
      <c r="CU10" s="33" cm="1">
        <f t="array" ref="CU10">IFERROR(INDEX('[1]SALES PERTYPE'!$D$10:$BA$53,MATCH($C10,'[1]SALES PERTYPE'!$B$10:$B$53,0),MATCH("IQOO Z11x",'[1]SALES PERTYPE'!$D$8:$BA$8,0)+1),0)</f>
        <v>5699000</v>
      </c>
      <c r="CV10" s="33" cm="1">
        <f t="array" ref="CV10">IFERROR(INDEX('[1]Sales per type Agustus'!$D$10:$BA$52,MATCH($C10,'[1]Sales per type Agustus'!$B$10:$B$52,0),MATCH("IQOO Z11x",'[1]Sales per type Agustus'!$D$8:$BA$8,0)+1),0)</f>
        <v>5699000</v>
      </c>
      <c r="CW10" s="33">
        <f t="shared" si="31"/>
        <v>0</v>
      </c>
      <c r="CX10" s="33">
        <f>IFERROR(INDEX('[1]SALES PERTYPE'!$D$10:$BA$53,MATCH($C10,'[1]SALES PERTYPE'!$B$10:$B$53,0),MATCH("IQOO Z11",'[1]SALES PERTYPE'!$D$8:$BA$8,0)),0)</f>
        <v>0</v>
      </c>
      <c r="CY10" s="33">
        <f>IFERROR(INDEX('[1]Sales per type Agustus'!$D$10:$BA$52,MATCH($C10,'[1]Sales per type Agustus'!$B$10:$B$52,0),MATCH("IQOO Z11",'[1]Sales per type Agustus'!$D$8:$BA$8,0)),0)</f>
        <v>2</v>
      </c>
      <c r="CZ10" s="33">
        <f t="shared" si="32"/>
        <v>-2</v>
      </c>
      <c r="DA10" s="33" cm="1">
        <f t="array" ref="DA10">IFERROR(INDEX('[1]SALES PERTYPE'!$D$10:$BA$53,MATCH($C10,'[1]SALES PERTYPE'!$B$10:$B$53,0),MATCH("IQOO Z11",'[1]SALES PERTYPE'!$D$8:$BA$8,0)+1),0)</f>
        <v>0</v>
      </c>
      <c r="DB10" s="33" cm="1">
        <f t="array" ref="DB10">IFERROR(INDEX('[1]Sales per type Agustus'!$D$10:$BA$52,MATCH($C10,'[1]Sales per type Agustus'!$B$10:$B$52,0),MATCH("IQOO Z11",'[1]Sales per type Agustus'!$D$8:$BA$8,0)+1),0)</f>
        <v>15298000</v>
      </c>
      <c r="DC10" s="33">
        <f t="shared" si="33"/>
        <v>-15298000</v>
      </c>
      <c r="DD10" s="33">
        <f>IFERROR(INDEX('[1]SALES PERTYPE'!$D$10:$BA$53,MATCH($C10,'[1]SALES PERTYPE'!$B$10:$B$53,0),MATCH("WATCH 3",'[1]SALES PERTYPE'!$D$8:$BA$8,0)),0)</f>
        <v>0</v>
      </c>
      <c r="DE10" s="33">
        <f>IFERROR(INDEX('[1]Sales per type Agustus'!$D$10:$BA$52,MATCH($C10,'[1]Sales per type Agustus'!$B$10:$B$52,0),MATCH("WATCH 3",'[1]Sales per type Agustus'!$D$8:$BA$8,0)),0)</f>
        <v>0</v>
      </c>
      <c r="DF10" s="33">
        <f t="shared" si="34"/>
        <v>0</v>
      </c>
      <c r="DG10" s="33" cm="1">
        <f t="array" ref="DG10">IFERROR(INDEX('[1]SALES PERTYPE'!$D$10:$BA$53,MATCH($C10,'[1]SALES PERTYPE'!$B$10:$B$53,0),MATCH("WATCH 3",'[1]SALES PERTYPE'!$D$8:$BA$8,0)+1),0)</f>
        <v>0</v>
      </c>
      <c r="DH10" s="33" cm="1">
        <f t="array" ref="DH10">IFERROR(INDEX('[1]Sales per type Agustus'!$D$10:$BA$52,MATCH($C10,'[1]Sales per type Agustus'!$B$10:$B$52,0),MATCH("WATCH 3",'[1]Sales per type Agustus'!$D$8:$BA$8,0)+1),0)</f>
        <v>0</v>
      </c>
      <c r="DI10" s="33">
        <f t="shared" si="35"/>
        <v>0</v>
      </c>
      <c r="DJ10" s="33">
        <f>IFERROR(INDEX('[1]SALES PERTYPE'!$D$10:$BA$53,MATCH($C10,'[1]SALES PERTYPE'!$B$10:$B$53,0),MATCH("X Fold5",'[1]SALES PERTYPE'!$D$8:$BA$8,0)),0)</f>
        <v>0</v>
      </c>
      <c r="DK10" s="33">
        <f>IFERROR(INDEX('[1]Sales per type Agustus'!$D$10:$BA$52,MATCH($C10,'[1]Sales per type Agustus'!$B$10:$B$52,0),MATCH("X Fold5",'[1]Sales per type Agustus'!$D$8:$BA$8,0)),0)</f>
        <v>0</v>
      </c>
      <c r="DL10" s="33">
        <f t="shared" si="36"/>
        <v>0</v>
      </c>
      <c r="DM10" s="33" cm="1">
        <f t="array" ref="DM10">IFERROR(INDEX('[1]SALES PERTYPE'!$D$10:$BA$53,MATCH($C10,'[1]SALES PERTYPE'!$B$10:$B$53,0),MATCH("X Fold5",'[1]SALES PERTYPE'!$D$8:$BA$8,0)+1),0)</f>
        <v>0</v>
      </c>
      <c r="DN10" s="33" cm="1">
        <f t="array" ref="DN10">IFERROR(INDEX('[1]Sales per type Agustus'!$D$10:$BA$52,MATCH($C10,'[1]Sales per type Agustus'!$B$10:$B$52,0),MATCH("X Fold5",'[1]Sales per type Agustus'!$D$8:$BA$8,0)+1),0)</f>
        <v>0</v>
      </c>
      <c r="DO10" s="33">
        <f t="shared" si="37"/>
        <v>0</v>
      </c>
      <c r="DP10" s="33">
        <f>IFERROR(INDEX('[1]SALES PERTYPE'!$D$10:$BA$53,MATCH($C10,'[1]SALES PERTYPE'!$B$10:$B$53,0),MATCH("X300 PRO",'[1]SALES PERTYPE'!$D$8:$BA$8,0)),0)</f>
        <v>0</v>
      </c>
      <c r="DQ10" s="33">
        <f>IFERROR(INDEX('[1]Sales per type Agustus'!$D$10:$BA$52,MATCH($C10,'[1]Sales per type Agustus'!$B$10:$B$52,0),MATCH("X300 PRO",'[1]Sales per type Agustus'!$D$8:$BA$8,0)),0)</f>
        <v>0</v>
      </c>
      <c r="DR10" s="33">
        <f t="shared" si="38"/>
        <v>0</v>
      </c>
      <c r="DS10" s="33" cm="1">
        <f t="array" ref="DS10">IFERROR(INDEX('[1]SALES PERTYPE'!$D$10:$BA$53,MATCH($C10,'[1]SALES PERTYPE'!$B$10:$B$53,0),MATCH("X300 PRO",'[1]SALES PERTYPE'!$D$8:$BA$8,0)+1),0)</f>
        <v>0</v>
      </c>
      <c r="DT10" s="33" cm="1">
        <f t="array" ref="DT10">IFERROR(INDEX('[1]Sales per type Agustus'!$D$10:$BA$52,MATCH($C10,'[1]Sales per type Agustus'!$B$10:$B$52,0),MATCH("X300 PRO",'[1]Sales per type Agustus'!$D$8:$BA$8,0)+1),0)</f>
        <v>0</v>
      </c>
      <c r="DU10" s="33">
        <f t="shared" si="39"/>
        <v>0</v>
      </c>
      <c r="DV10" s="33">
        <f>IFERROR(INDEX('[1]SALES PERTYPE'!$D$10:$BA$53,MATCH($C10,'[1]SALES PERTYPE'!$B$10:$B$53,0),MATCH("X300 ",'[1]SALES PERTYPE'!$D$8:$BA$8,0)),0)</f>
        <v>0</v>
      </c>
      <c r="DW10" s="33">
        <f>IFERROR(INDEX('[1]Sales per type Agustus'!$D$10:$BA$52,MATCH($C10,'[1]Sales per type Agustus'!$B$10:$B$52,0),MATCH("X300 ",'[1]Sales per type Agustus'!$D$8:$BA$8,0)),0)</f>
        <v>0</v>
      </c>
      <c r="DX10" s="33">
        <f t="shared" si="40"/>
        <v>0</v>
      </c>
      <c r="DY10" s="33" cm="1">
        <f t="array" ref="DY10">IFERROR(INDEX('[1]SALES PERTYPE'!$D$10:$BA$53,MATCH($C10,'[1]SALES PERTYPE'!$B$10:$B$53,0),MATCH("X300 ",'[1]SALES PERTYPE'!$D$8:$BA$8,0)+1),0)</f>
        <v>0</v>
      </c>
      <c r="DZ10" s="33" cm="1">
        <f t="array" ref="DZ10">IFERROR(INDEX('[1]Sales per type Agustus'!$D$10:$BA$52,MATCH($C10,'[1]Sales per type Agustus'!$B$10:$B$52,0),MATCH("X300 ",'[1]Sales per type Agustus'!$D$8:$BA$8,0)+1),0)</f>
        <v>0</v>
      </c>
      <c r="EA10" s="33">
        <f t="shared" si="41"/>
        <v>0</v>
      </c>
      <c r="EB10" s="33">
        <f t="shared" si="42"/>
        <v>92</v>
      </c>
      <c r="EC10" s="33">
        <f t="shared" si="42"/>
        <v>104</v>
      </c>
      <c r="ED10" s="33">
        <f t="shared" si="43"/>
        <v>-12</v>
      </c>
      <c r="EE10" s="33">
        <f t="shared" si="44"/>
        <v>303608000</v>
      </c>
      <c r="EF10" s="33">
        <f t="shared" si="44"/>
        <v>300196000</v>
      </c>
      <c r="EG10" s="33">
        <f t="shared" si="45"/>
        <v>3412000</v>
      </c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</row>
    <row r="11" spans="1:184" ht="16" x14ac:dyDescent="0.2">
      <c r="A11" s="31">
        <f>'[1]ACHIEVEMENT STORE'!A11</f>
        <v>7</v>
      </c>
      <c r="B11" s="32" t="str">
        <f>'[1]ACHIEVEMENT STORE'!B11</f>
        <v>601 雅加达西北 JKT BU</v>
      </c>
      <c r="C11" s="31">
        <f>'[1]ACHIEVEMENT STORE'!C11</f>
        <v>6020711</v>
      </c>
      <c r="D11" s="32" t="str">
        <f>'[1]ACHIEVEMENT STORE'!D11</f>
        <v>6020711-EMPORIUM VIVO STORE</v>
      </c>
      <c r="E11" s="32" t="str">
        <f>'[1]ACHIEVEMENT STORE'!E11</f>
        <v>M KHOIRUDIN</v>
      </c>
      <c r="F11" s="33">
        <f>IFERROR(INDEX('[1]SALES PERTYPE'!$D$10:$BA$53,MATCH($C11,'[1]SALES PERTYPE'!$B$10:$B$53,0),MATCH("Y05",'[1]SALES PERTYPE'!$D$8:$BA$8,0)),0)</f>
        <v>19</v>
      </c>
      <c r="G11" s="33">
        <f>IFERROR(INDEX('[1]Sales per type Agustus'!$D$10:$BA$52,MATCH($C11,'[1]Sales per type Agustus'!$B$10:$B$52,0),MATCH("Y05",'[1]Sales per type Agustus'!$D$8:$BA$8,0)),0)</f>
        <v>10</v>
      </c>
      <c r="H11" s="33">
        <f t="shared" si="0"/>
        <v>9</v>
      </c>
      <c r="I11" s="33" cm="1">
        <f t="array" ref="I11">IFERROR(INDEX('[1]SALES PERTYPE'!$D$10:$BA$53,MATCH($C11,'[1]SALES PERTYPE'!$B$10:$B$53,0),MATCH("Y05",'[1]SALES PERTYPE'!$D$8:$BA$8,0)+1),0)</f>
        <v>46981000</v>
      </c>
      <c r="J11" s="33" cm="1">
        <f t="array" ref="J11">IFERROR(INDEX('[1]Sales per type Agustus'!$D$10:$BA$52,MATCH($C11,'[1]Sales per type Agustus'!$B$10:$B$52,0),MATCH("Y05",'[1]Sales per type Agustus'!$D$8:$BA$8,0)+1),0)</f>
        <v>23290000</v>
      </c>
      <c r="K11" s="33">
        <f t="shared" si="1"/>
        <v>23691000</v>
      </c>
      <c r="L11" s="33">
        <f>IFERROR(INDEX('[1]SALES PERTYPE'!$D$10:$BA$53,MATCH($C11,'[1]SALES PERTYPE'!$B$10:$B$53,0),MATCH("Y11d",'[1]SALES PERTYPE'!$D$8:$BA$8,0)),0)</f>
        <v>10</v>
      </c>
      <c r="M11" s="33">
        <f>IFERROR(INDEX('[1]Sales per type Agustus'!$D$10:$BA$52,MATCH($C11,'[1]Sales per type Agustus'!$B$10:$B$52,0),MATCH("Y11d",'[1]Sales per type Agustus'!$D$8:$BA$8,0)),0)</f>
        <v>13</v>
      </c>
      <c r="N11" s="33">
        <f t="shared" si="2"/>
        <v>-3</v>
      </c>
      <c r="O11" s="33" cm="1">
        <f t="array" ref="O11">IFERROR(INDEX('[1]SALES PERTYPE'!$D$10:$BA$53,MATCH($C11,'[1]SALES PERTYPE'!$B$10:$B$53,0),MATCH("Y11d",'[1]SALES PERTYPE'!$D$8:$BA$8,0)+1),0)</f>
        <v>26390000</v>
      </c>
      <c r="P11" s="33" cm="1">
        <f t="array" ref="P11">IFERROR(INDEX('[1]Sales per type Agustus'!$D$10:$BA$52,MATCH($C11,'[1]Sales per type Agustus'!$B$10:$B$52,0),MATCH("Y11d",'[1]Sales per type Agustus'!$D$8:$BA$8,0)+1),0)</f>
        <v>33187000</v>
      </c>
      <c r="Q11" s="33">
        <f t="shared" si="3"/>
        <v>-6797000</v>
      </c>
      <c r="R11" s="33">
        <f>IFERROR(INDEX('[1]SALES PERTYPE'!$D$10:$BA$53,MATCH($C11,'[1]SALES PERTYPE'!$B$10:$B$53,0),MATCH("Watch GT 2",'[1]SALES PERTYPE'!$D$8:$BA$8,0)),0)</f>
        <v>0</v>
      </c>
      <c r="S11" s="33">
        <f>IFERROR(INDEX('[1]Sales per type Agustus'!$D$10:$BA$52,MATCH($C11,'[1]Sales per type Agustus'!$B$10:$B$52,0),MATCH("Watch GT 2",'[1]Sales per type Agustus'!$D$8:$BA$8,0)),0)</f>
        <v>1</v>
      </c>
      <c r="T11" s="33">
        <f t="shared" si="4"/>
        <v>-1</v>
      </c>
      <c r="U11" s="33" cm="1">
        <f t="array" ref="U11">IFERROR(INDEX('[1]SALES PERTYPE'!$D$10:$BA$53,MATCH($C11,'[1]SALES PERTYPE'!$B$10:$B$53,0),MATCH("Watch GT 2",'[1]SALES PERTYPE'!$D$8:$BA$8,0)+1),0)</f>
        <v>0</v>
      </c>
      <c r="V11" s="33" cm="1">
        <f t="array" ref="V11">IFERROR(INDEX('[1]Sales per type Agustus'!$D$10:$BA$52,MATCH($C11,'[1]Sales per type Agustus'!$B$10:$B$52,0),MATCH("Watch GT 2",'[1]Sales per type Agustus'!$D$8:$BA$8,0)+1),0)</f>
        <v>1799000</v>
      </c>
      <c r="W11" s="33">
        <f t="shared" si="5"/>
        <v>-1799000</v>
      </c>
      <c r="X11" s="33">
        <f>IFERROR(INDEX('[1]SALES PERTYPE'!$D$10:$BA$53,MATCH($C11,'[1]SALES PERTYPE'!$B$10:$B$53,0),MATCH("Y05e",'[1]SALES PERTYPE'!$D$8:$BA$8,0)),0)</f>
        <v>3</v>
      </c>
      <c r="Y11" s="33">
        <f>IFERROR(INDEX('[1]Sales per type Agustus'!$D$10:$BA$52,MATCH($C11,'[1]Sales per type Agustus'!$B$10:$B$52,0),MATCH("Y05e",'[1]Sales per type Agustus'!$D$8:$BA$8,0)),0)</f>
        <v>5</v>
      </c>
      <c r="Z11" s="33">
        <f t="shared" si="6"/>
        <v>-2</v>
      </c>
      <c r="AA11" s="33" cm="1">
        <f t="array" ref="AA11">IFERROR(INDEX('[1]SALES PERTYPE'!$D$10:$BA$53,MATCH($C11,'[1]SALES PERTYPE'!$B$10:$B$53,0),MATCH("Y05e",'[1]SALES PERTYPE'!$D$8:$BA$8,0)+1),0)</f>
        <v>6497000</v>
      </c>
      <c r="AB11" s="33" cm="1">
        <f t="array" ref="AB11">IFERROR(INDEX('[1]Sales per type Agustus'!$D$10:$BA$52,MATCH($C11,'[1]Sales per type Agustus'!$B$10:$B$52,0),MATCH("Y05e",'[1]Sales per type Agustus'!$D$8:$BA$8,0)+1),0)</f>
        <v>10495000</v>
      </c>
      <c r="AC11" s="33">
        <f t="shared" si="7"/>
        <v>-3998000</v>
      </c>
      <c r="AD11" s="33">
        <f>IFERROR(INDEX('[1]SALES PERTYPE'!$D$10:$BA$53,MATCH($C11,'[1]SALES PERTYPE'!$B$10:$B$53,0),MATCH("V70",'[1]SALES PERTYPE'!$D$8:$BA$8,0)),0)</f>
        <v>8</v>
      </c>
      <c r="AE11" s="33">
        <f>IFERROR(INDEX('[1]Sales per type Agustus'!$D$10:$BA$52,MATCH($C11,'[1]Sales per type Agustus'!$B$10:$B$52,0),MATCH("V70",'[1]Sales per type Agustus'!$D$8:$BA$8,0)),0)</f>
        <v>4</v>
      </c>
      <c r="AF11" s="33">
        <f t="shared" si="8"/>
        <v>4</v>
      </c>
      <c r="AG11" s="33" cm="1">
        <f t="array" ref="AG11">IFERROR(INDEX('[1]SALES PERTYPE'!$D$10:$BA$53,MATCH($C11,'[1]SALES PERTYPE'!$B$10:$B$53,0),MATCH("V70",'[1]SALES PERTYPE'!$D$8:$BA$8,0)+1),0)</f>
        <v>79992000</v>
      </c>
      <c r="AH11" s="33" cm="1">
        <f t="array" ref="AH11">IFERROR(INDEX('[1]Sales per type Agustus'!$D$10:$BA$52,MATCH($C11,'[1]Sales per type Agustus'!$B$10:$B$52,0),MATCH("V70",'[1]Sales per type Agustus'!$D$8:$BA$8,0)+1),0)</f>
        <v>39996000</v>
      </c>
      <c r="AI11" s="33">
        <f t="shared" si="9"/>
        <v>39996000</v>
      </c>
      <c r="AJ11" s="33">
        <f>IFERROR(INDEX('[1]SALES PERTYPE'!$D$10:$BA$53,MATCH($C11,'[1]SALES PERTYPE'!$B$10:$B$53,0),MATCH("Y31d Pro",'[1]SALES PERTYPE'!$D$8:$BA$8,0)),0)</f>
        <v>13</v>
      </c>
      <c r="AK11" s="33">
        <f>IFERROR(INDEX('[1]Sales per type Agustus'!$D$10:$BA$52,MATCH($C11,'[1]Sales per type Agustus'!$B$10:$B$52,0),MATCH("Y31d Pro",'[1]Sales per type Agustus'!$D$8:$BA$8,0)),0)</f>
        <v>10</v>
      </c>
      <c r="AL11" s="33">
        <f t="shared" si="10"/>
        <v>3</v>
      </c>
      <c r="AM11" s="33" cm="1">
        <f t="array" ref="AM11">IFERROR(INDEX('[1]SALES PERTYPE'!$D$10:$BA$53,MATCH($C11,'[1]SALES PERTYPE'!$B$10:$B$53,0),MATCH("Y31d Pro",'[1]SALES PERTYPE'!$D$8:$BA$8,0)+1),0)</f>
        <v>59887000</v>
      </c>
      <c r="AN11" s="33" cm="1">
        <f t="array" ref="AN11">IFERROR(INDEX('[1]Sales per type Agustus'!$D$10:$BA$52,MATCH($C11,'[1]Sales per type Agustus'!$B$10:$B$52,0),MATCH("Y31d Pro",'[1]Sales per type Agustus'!$D$8:$BA$8,0)+1),0)</f>
        <v>45990000</v>
      </c>
      <c r="AO11" s="33">
        <f t="shared" si="11"/>
        <v>13897000</v>
      </c>
      <c r="AP11" s="33" cm="1">
        <f t="array" ref="AP11">IFERROR(INDEX('[1]SALES PERTYPE'!$D$10:$BA$53,MATCH($C11,'[1]SALES PERTYPE'!$B$10:$B$53,0),$EI$3),0)</f>
        <v>4</v>
      </c>
      <c r="AQ11" s="33" cm="1">
        <f t="array" ref="AQ11">IFERROR(INDEX('[1]Sales per type Agustus'!$D$10:$BA$52,MATCH($C11,'[1]Sales per type Agustus'!$B$10:$B$52,0),$EI$2),0)</f>
        <v>0</v>
      </c>
      <c r="AR11" s="33">
        <f t="shared" si="12"/>
        <v>4</v>
      </c>
      <c r="AS11" s="33" cm="1">
        <f t="array" ref="AS11">IFERROR(INDEX('[1]SALES PERTYPE'!$D$10:$BA$53,MATCH($C11,'[1]SALES PERTYPE'!$B$10:$B$53,0),$EI$3+1),0)</f>
        <v>13196000</v>
      </c>
      <c r="AT11" s="33" cm="1">
        <f t="array" ref="AT11">IFERROR(INDEX('[1]Sales per type Agustus'!$D$10:$BA$52,MATCH($C11,'[1]Sales per type Agustus'!$B$10:$B$52,0),$EI$2+1),0)</f>
        <v>0</v>
      </c>
      <c r="AU11" s="33">
        <f t="shared" si="13"/>
        <v>13196000</v>
      </c>
      <c r="AV11" s="33">
        <f>IFERROR(INDEX('[1]SALES PERTYPE'!$D$10:$BA$53,MATCH($C11,'[1]SALES PERTYPE'!$B$10:$B$53,0),MATCH("Y31d ",'[1]SALES PERTYPE'!$D$8:$BA$8,0)),0)</f>
        <v>1</v>
      </c>
      <c r="AW11" s="33">
        <f>IFERROR(INDEX('[1]Sales per type Agustus'!$D$10:$BA$52,MATCH($C11,'[1]Sales per type Agustus'!$B$10:$B$52,0),MATCH("Y31d ",'[1]Sales per type Agustus'!$D$8:$BA$8,0)),0)</f>
        <v>2</v>
      </c>
      <c r="AX11" s="33">
        <f t="shared" si="14"/>
        <v>-1</v>
      </c>
      <c r="AY11" s="33" cm="1">
        <f t="array" ref="AY11">IFERROR(INDEX('[1]SALES PERTYPE'!$D$10:$BA$53,MATCH($C11,'[1]SALES PERTYPE'!$B$10:$B$53,0),MATCH("Y31d ",'[1]SALES PERTYPE'!$D$8:$BA$8,0)+1),0)</f>
        <v>3599000</v>
      </c>
      <c r="AZ11" s="33" cm="1">
        <f t="array" ref="AZ11">IFERROR(INDEX('[1]Sales per type Agustus'!$D$10:$BA$52,MATCH($C11,'[1]Sales per type Agustus'!$B$10:$B$52,0),MATCH("Y31d ",'[1]Sales per type Agustus'!$D$8:$BA$8,0)+1),0)</f>
        <v>7198000</v>
      </c>
      <c r="BA11" s="33">
        <f t="shared" si="15"/>
        <v>-3599000</v>
      </c>
      <c r="BB11" s="33">
        <f>IFERROR(INDEX('[1]SALES PERTYPE'!$D$10:$BA$53,MATCH($C11,'[1]SALES PERTYPE'!$B$10:$B$53,0),MATCH("V70 FE",'[1]SALES PERTYPE'!$D$8:$BA$8,0)),0)</f>
        <v>5</v>
      </c>
      <c r="BC11" s="33">
        <f>IFERROR(INDEX('[1]Sales per type Agustus'!$D$10:$BA$52,MATCH($C11,'[1]Sales per type Agustus'!$B$10:$B$52,0),MATCH("V70 FE",'[1]Sales per type Agustus'!$D$8:$BA$8,0)),0)</f>
        <v>10</v>
      </c>
      <c r="BD11" s="33">
        <f t="shared" si="16"/>
        <v>-5</v>
      </c>
      <c r="BE11" s="33" cm="1">
        <f t="array" ref="BE11">IFERROR(INDEX('[1]SALES PERTYPE'!$D$10:$BA$53,MATCH($C11,'[1]SALES PERTYPE'!$B$10:$B$53,0),MATCH("V70 FE",'[1]SALES PERTYPE'!$D$8:$BA$8,0)+1),0)</f>
        <v>38995000</v>
      </c>
      <c r="BF11" s="33" cm="1">
        <f t="array" ref="BF11">IFERROR(INDEX('[1]Sales per type Agustus'!$D$10:$BA$52,MATCH($C11,'[1]Sales per type Agustus'!$B$10:$B$52,0),MATCH("V70 FE",'[1]Sales per type Agustus'!$D$8:$BA$8,0)+1),0)</f>
        <v>77490000</v>
      </c>
      <c r="BG11" s="33">
        <f t="shared" si="17"/>
        <v>-38495000</v>
      </c>
      <c r="BH11" s="33">
        <f>IFERROR(INDEX('[1]SALES PERTYPE'!$D$10:$BA$53,MATCH($C11,'[1]SALES PERTYPE'!$B$10:$B$53,0),MATCH("Y31d",'[1]SALES PERTYPE'!$D$8:$BA$8,0)),0)</f>
        <v>0</v>
      </c>
      <c r="BI11" s="33">
        <f>IFERROR(INDEX('[1]Sales per type Agustus'!$D$10:$BA$52,MATCH($C11,'[1]Sales per type Agustus'!$B$10:$B$52,0),MATCH("Y31d",'[1]Sales per type Agustus'!$D$8:$BA$8,0)),0)</f>
        <v>0</v>
      </c>
      <c r="BJ11" s="33">
        <f t="shared" si="18"/>
        <v>0</v>
      </c>
      <c r="BK11" s="33" cm="1">
        <f t="array" ref="BK11">IFERROR(INDEX('[1]SALES PERTYPE'!$D$10:$BA$53,MATCH($C11,'[1]SALES PERTYPE'!$B$10:$B$53,0),MATCH("Y31d",'[1]SALES PERTYPE'!$D$8:$BA$8,0)+1),0)</f>
        <v>0</v>
      </c>
      <c r="BL11" s="33" cm="1">
        <f t="array" ref="BL11">IFERROR(INDEX('[1]Sales per type Agustus'!$D$10:$BA$52,MATCH($C11,'[1]Sales per type Agustus'!$B$10:$B$52,0),MATCH("Y31d",'[1]Sales per type Agustus'!$D$8:$BA$8,0)+1),0)</f>
        <v>0</v>
      </c>
      <c r="BM11" s="33">
        <f t="shared" si="19"/>
        <v>0</v>
      </c>
      <c r="BN11" s="33">
        <f>IFERROR(INDEX('[1]SALES PERTYPE'!$D$10:$BA$53,MATCH($C11,'[1]SALES PERTYPE'!$B$10:$B$53,0),MATCH("Y500",'[1]SALES PERTYPE'!$D$8:$BA$8,0)),0)</f>
        <v>6</v>
      </c>
      <c r="BO11" s="33">
        <f>IFERROR(INDEX('[1]Sales per type Agustus'!$D$10:$BA$52,MATCH($C11,'[1]Sales per type Agustus'!$B$10:$B$52,0),MATCH("Y500",'[1]Sales per type Agustus'!$D$8:$BA$8,0)),0)</f>
        <v>2</v>
      </c>
      <c r="BP11" s="33">
        <f t="shared" si="20"/>
        <v>4</v>
      </c>
      <c r="BQ11" s="33" cm="1">
        <f t="array" ref="BQ11">IFERROR(INDEX('[1]SALES PERTYPE'!$D$10:$BA$53,MATCH($C11,'[1]SALES PERTYPE'!$B$10:$B$53,0),MATCH("Y500",'[1]SALES PERTYPE'!$D$8:$BA$8,0)+1),0)</f>
        <v>35394000</v>
      </c>
      <c r="BR11" s="33" cm="1">
        <f t="array" ref="BR11">IFERROR(INDEX('[1]Sales per type Agustus'!$D$10:$BA$52,MATCH($C11,'[1]Sales per type Agustus'!$B$10:$B$52,0),MATCH("Y500",'[1]Sales per type Agustus'!$D$8:$BA$8,0)+1),0)</f>
        <v>10998000</v>
      </c>
      <c r="BS11" s="33">
        <f t="shared" si="21"/>
        <v>24396000</v>
      </c>
      <c r="BT11" s="33">
        <f>IFERROR(INDEX('[1]SALES PERTYPE'!$D$10:$BA$53,MATCH($C11,'[1]SALES PERTYPE'!$B$10:$B$53,0),MATCH("IQOO 15R",'[1]SALES PERTYPE'!$D$8:$BA$8,0)),0)</f>
        <v>0</v>
      </c>
      <c r="BU11" s="33">
        <f>IFERROR(INDEX('[1]Sales per type Agustus'!$D$10:$BA$52,MATCH($C11,'[1]Sales per type Agustus'!$B$10:$B$52,0),MATCH("IQOO 15R",'[1]Sales per type Agustus'!$D$8:$BA$8,0)),0)</f>
        <v>3</v>
      </c>
      <c r="BV11" s="33">
        <f t="shared" si="22"/>
        <v>-3</v>
      </c>
      <c r="BW11" s="33" cm="1">
        <f t="array" ref="BW11">IFERROR(INDEX('[1]SALES PERTYPE'!$D$10:$BA$53,MATCH($C11,'[1]SALES PERTYPE'!$B$10:$B$53,0),MATCH("IQOO 15R",'[1]SALES PERTYPE'!$D$8:$BA$8,0)+1),0)</f>
        <v>0</v>
      </c>
      <c r="BX11" s="33" cm="1">
        <f t="array" ref="BX11">IFERROR(INDEX('[1]Sales per type Agustus'!$D$10:$BA$52,MATCH($C11,'[1]Sales per type Agustus'!$B$10:$B$52,0),MATCH("IQOO 15R",'[1]Sales per type Agustus'!$D$8:$BA$8,0)+1),0)</f>
        <v>35997000</v>
      </c>
      <c r="BY11" s="33">
        <f t="shared" si="23"/>
        <v>-35997000</v>
      </c>
      <c r="BZ11" s="33">
        <f>IFERROR(INDEX('[1]SALES PERTYPE'!$D$10:$BA$53,MATCH($C11,'[1]SALES PERTYPE'!$B$10:$B$53,0),MATCH("V60 Lite",'[1]SALES PERTYPE'!$D$8:$BA$8,0)),0)</f>
        <v>7</v>
      </c>
      <c r="CA11" s="33">
        <f>IFERROR(INDEX('[1]Sales per type Agustus'!$D$10:$BA$52,MATCH($C11,'[1]Sales per type Agustus'!$B$10:$B$52,0),MATCH("V60 Lite",'[1]Sales per type Agustus'!$D$8:$BA$8,0)),0)</f>
        <v>4</v>
      </c>
      <c r="CB11" s="33">
        <f t="shared" si="24"/>
        <v>3</v>
      </c>
      <c r="CC11" s="33" cm="1">
        <f t="array" ref="CC11">IFERROR(INDEX('[1]SALES PERTYPE'!$D$10:$BA$53,MATCH($C11,'[1]SALES PERTYPE'!$B$10:$B$53,0),MATCH("V60 Lite",'[1]SALES PERTYPE'!$D$8:$BA$8,0)+1),0)</f>
        <v>41293000</v>
      </c>
      <c r="CD11" s="33" cm="1">
        <f t="array" ref="CD11">IFERROR(INDEX('[1]Sales per type Agustus'!$D$10:$BA$52,MATCH($C11,'[1]Sales per type Agustus'!$B$10:$B$52,0),MATCH("V60 Lite",'[1]Sales per type Agustus'!$D$8:$BA$8,0)+1),0)</f>
        <v>23596000</v>
      </c>
      <c r="CE11" s="33">
        <f t="shared" si="25"/>
        <v>17697000</v>
      </c>
      <c r="CF11" s="33">
        <f>IFERROR(INDEX('[1]SALES PERTYPE'!$D$10:$BA$53,MATCH($C11,'[1]SALES PERTYPE'!$B$10:$B$53,0),MATCH("X300 Ultra",'[1]SALES PERTYPE'!$D$8:$BA$8,0)),0)</f>
        <v>2</v>
      </c>
      <c r="CG11" s="33">
        <f>IFERROR(INDEX('[1]Sales per type Agustus'!$D$10:$BA$52,MATCH($C11,'[1]Sales per type Agustus'!$B$10:$B$52,0),MATCH("X300 Ultra",'[1]Sales per type Agustus'!$D$8:$BA$8,0)),0)</f>
        <v>5</v>
      </c>
      <c r="CH11" s="33">
        <f t="shared" si="26"/>
        <v>-3</v>
      </c>
      <c r="CI11" s="33" cm="1">
        <f t="array" ref="CI11">IFERROR(INDEX('[1]SALES PERTYPE'!$D$10:$BA$53,MATCH($C11,'[1]SALES PERTYPE'!$B$10:$B$53,0),MATCH("X300 Ultra",'[1]SALES PERTYPE'!$D$8:$BA$8,0)+1),0)</f>
        <v>51998000</v>
      </c>
      <c r="CJ11" s="33" cm="1">
        <f t="array" ref="CJ11">IFERROR(INDEX('[1]Sales per type Agustus'!$D$10:$BA$52,MATCH($C11,'[1]Sales per type Agustus'!$B$10:$B$52,0),MATCH("X300 Ultra",'[1]Sales per type Agustus'!$D$8:$BA$8,0)+1),0)</f>
        <v>133995000</v>
      </c>
      <c r="CK11" s="33">
        <f t="shared" si="27"/>
        <v>-81997000</v>
      </c>
      <c r="CL11" s="33">
        <f>IFERROR(INDEX('[1]SALES PERTYPE'!$D$10:$BA$53,MATCH($C11,'[1]SALES PERTYPE'!$B$10:$B$53,0),MATCH("IQOO 15",'[1]SALES PERTYPE'!$D$8:$BA$8,0)),0)</f>
        <v>0</v>
      </c>
      <c r="CM11" s="33">
        <f>IFERROR(INDEX('[1]Sales per type Agustus'!$D$10:$BA$52,MATCH($C11,'[1]Sales per type Agustus'!$B$10:$B$52,0),MATCH("IQOO 15",'[1]Sales per type Agustus'!$D$8:$BA$8,0)),0)</f>
        <v>0</v>
      </c>
      <c r="CN11" s="33">
        <f t="shared" si="28"/>
        <v>0</v>
      </c>
      <c r="CO11" s="33" cm="1">
        <f t="array" ref="CO11">IFERROR(INDEX('[1]SALES PERTYPE'!$D$10:$BA$53,MATCH($C11,'[1]SALES PERTYPE'!$B$10:$B$53,0),MATCH("IQOO 15",'[1]SALES PERTYPE'!$D$8:$BA$8,0)+1),0)</f>
        <v>0</v>
      </c>
      <c r="CP11" s="33" cm="1">
        <f t="array" ref="CP11">IFERROR(INDEX('[1]Sales per type Agustus'!$D$10:$BA$52,MATCH($C11,'[1]Sales per type Agustus'!$B$10:$B$52,0),MATCH("IQOO 15",'[1]Sales per type Agustus'!$D$8:$BA$8,0)+1),0)</f>
        <v>0</v>
      </c>
      <c r="CQ11" s="33">
        <f t="shared" si="29"/>
        <v>0</v>
      </c>
      <c r="CR11" s="33">
        <f>IFERROR(INDEX('[1]SALES PERTYPE'!$D$10:$BA$53,MATCH($C11,'[1]SALES PERTYPE'!$B$10:$B$53,0),MATCH("IQOO Z11x",'[1]SALES PERTYPE'!$D$8:$BA$8,0)),0)</f>
        <v>5</v>
      </c>
      <c r="CS11" s="33">
        <f>IFERROR(INDEX('[1]Sales per type Agustus'!$D$10:$BA$52,MATCH($C11,'[1]Sales per type Agustus'!$B$10:$B$52,0),MATCH("IQOO Z11x",'[1]Sales per type Agustus'!$D$8:$BA$8,0)),0)</f>
        <v>0</v>
      </c>
      <c r="CT11" s="33">
        <f t="shared" si="30"/>
        <v>5</v>
      </c>
      <c r="CU11" s="33" cm="1">
        <f t="array" ref="CU11">IFERROR(INDEX('[1]SALES PERTYPE'!$D$10:$BA$53,MATCH($C11,'[1]SALES PERTYPE'!$B$10:$B$53,0),MATCH("IQOO Z11x",'[1]SALES PERTYPE'!$D$8:$BA$8,0)+1),0)</f>
        <v>25795000</v>
      </c>
      <c r="CV11" s="33" cm="1">
        <f t="array" ref="CV11">IFERROR(INDEX('[1]Sales per type Agustus'!$D$10:$BA$52,MATCH($C11,'[1]Sales per type Agustus'!$B$10:$B$52,0),MATCH("IQOO Z11x",'[1]Sales per type Agustus'!$D$8:$BA$8,0)+1),0)</f>
        <v>0</v>
      </c>
      <c r="CW11" s="33">
        <f t="shared" si="31"/>
        <v>25795000</v>
      </c>
      <c r="CX11" s="33">
        <f>IFERROR(INDEX('[1]SALES PERTYPE'!$D$10:$BA$53,MATCH($C11,'[1]SALES PERTYPE'!$B$10:$B$53,0),MATCH("IQOO Z11",'[1]SALES PERTYPE'!$D$8:$BA$8,0)),0)</f>
        <v>2</v>
      </c>
      <c r="CY11" s="33">
        <f>IFERROR(INDEX('[1]Sales per type Agustus'!$D$10:$BA$52,MATCH($C11,'[1]Sales per type Agustus'!$B$10:$B$52,0),MATCH("IQOO Z11",'[1]Sales per type Agustus'!$D$8:$BA$8,0)),0)</f>
        <v>3</v>
      </c>
      <c r="CZ11" s="33">
        <f t="shared" si="32"/>
        <v>-1</v>
      </c>
      <c r="DA11" s="33" cm="1">
        <f t="array" ref="DA11">IFERROR(INDEX('[1]SALES PERTYPE'!$D$10:$BA$53,MATCH($C11,'[1]SALES PERTYPE'!$B$10:$B$53,0),MATCH("IQOO Z11",'[1]SALES PERTYPE'!$D$8:$BA$8,0)+1),0)</f>
        <v>13798000</v>
      </c>
      <c r="DB11" s="33" cm="1">
        <f t="array" ref="DB11">IFERROR(INDEX('[1]Sales per type Agustus'!$D$10:$BA$52,MATCH($C11,'[1]Sales per type Agustus'!$B$10:$B$52,0),MATCH("IQOO Z11",'[1]Sales per type Agustus'!$D$8:$BA$8,0)+1),0)</f>
        <v>20697000</v>
      </c>
      <c r="DC11" s="33">
        <f t="shared" si="33"/>
        <v>-6899000</v>
      </c>
      <c r="DD11" s="33">
        <f>IFERROR(INDEX('[1]SALES PERTYPE'!$D$10:$BA$53,MATCH($C11,'[1]SALES PERTYPE'!$B$10:$B$53,0),MATCH("WATCH 3",'[1]SALES PERTYPE'!$D$8:$BA$8,0)),0)</f>
        <v>0</v>
      </c>
      <c r="DE11" s="33">
        <f>IFERROR(INDEX('[1]Sales per type Agustus'!$D$10:$BA$52,MATCH($C11,'[1]Sales per type Agustus'!$B$10:$B$52,0),MATCH("WATCH 3",'[1]Sales per type Agustus'!$D$8:$BA$8,0)),0)</f>
        <v>0</v>
      </c>
      <c r="DF11" s="33">
        <f t="shared" si="34"/>
        <v>0</v>
      </c>
      <c r="DG11" s="33" cm="1">
        <f t="array" ref="DG11">IFERROR(INDEX('[1]SALES PERTYPE'!$D$10:$BA$53,MATCH($C11,'[1]SALES PERTYPE'!$B$10:$B$53,0),MATCH("WATCH 3",'[1]SALES PERTYPE'!$D$8:$BA$8,0)+1),0)</f>
        <v>0</v>
      </c>
      <c r="DH11" s="33" cm="1">
        <f t="array" ref="DH11">IFERROR(INDEX('[1]Sales per type Agustus'!$D$10:$BA$52,MATCH($C11,'[1]Sales per type Agustus'!$B$10:$B$52,0),MATCH("WATCH 3",'[1]Sales per type Agustus'!$D$8:$BA$8,0)+1),0)</f>
        <v>0</v>
      </c>
      <c r="DI11" s="33">
        <f t="shared" si="35"/>
        <v>0</v>
      </c>
      <c r="DJ11" s="33">
        <f>IFERROR(INDEX('[1]SALES PERTYPE'!$D$10:$BA$53,MATCH($C11,'[1]SALES PERTYPE'!$B$10:$B$53,0),MATCH("X Fold5",'[1]SALES PERTYPE'!$D$8:$BA$8,0)),0)</f>
        <v>0</v>
      </c>
      <c r="DK11" s="33">
        <f>IFERROR(INDEX('[1]Sales per type Agustus'!$D$10:$BA$52,MATCH($C11,'[1]Sales per type Agustus'!$B$10:$B$52,0),MATCH("X Fold5",'[1]Sales per type Agustus'!$D$8:$BA$8,0)),0)</f>
        <v>0</v>
      </c>
      <c r="DL11" s="33">
        <f t="shared" si="36"/>
        <v>0</v>
      </c>
      <c r="DM11" s="33" cm="1">
        <f t="array" ref="DM11">IFERROR(INDEX('[1]SALES PERTYPE'!$D$10:$BA$53,MATCH($C11,'[1]SALES PERTYPE'!$B$10:$B$53,0),MATCH("X Fold5",'[1]SALES PERTYPE'!$D$8:$BA$8,0)+1),0)</f>
        <v>0</v>
      </c>
      <c r="DN11" s="33" cm="1">
        <f t="array" ref="DN11">IFERROR(INDEX('[1]Sales per type Agustus'!$D$10:$BA$52,MATCH($C11,'[1]Sales per type Agustus'!$B$10:$B$52,0),MATCH("X Fold5",'[1]Sales per type Agustus'!$D$8:$BA$8,0)+1),0)</f>
        <v>0</v>
      </c>
      <c r="DO11" s="33">
        <f t="shared" si="37"/>
        <v>0</v>
      </c>
      <c r="DP11" s="33">
        <f>IFERROR(INDEX('[1]SALES PERTYPE'!$D$10:$BA$53,MATCH($C11,'[1]SALES PERTYPE'!$B$10:$B$53,0),MATCH("X300 PRO",'[1]SALES PERTYPE'!$D$8:$BA$8,0)),0)</f>
        <v>0</v>
      </c>
      <c r="DQ11" s="33">
        <f>IFERROR(INDEX('[1]Sales per type Agustus'!$D$10:$BA$52,MATCH($C11,'[1]Sales per type Agustus'!$B$10:$B$52,0),MATCH("X300 PRO",'[1]Sales per type Agustus'!$D$8:$BA$8,0)),0)</f>
        <v>0</v>
      </c>
      <c r="DR11" s="33">
        <f t="shared" si="38"/>
        <v>0</v>
      </c>
      <c r="DS11" s="33" cm="1">
        <f t="array" ref="DS11">IFERROR(INDEX('[1]SALES PERTYPE'!$D$10:$BA$53,MATCH($C11,'[1]SALES PERTYPE'!$B$10:$B$53,0),MATCH("X300 PRO",'[1]SALES PERTYPE'!$D$8:$BA$8,0)+1),0)</f>
        <v>0</v>
      </c>
      <c r="DT11" s="33" cm="1">
        <f t="array" ref="DT11">IFERROR(INDEX('[1]Sales per type Agustus'!$D$10:$BA$52,MATCH($C11,'[1]Sales per type Agustus'!$B$10:$B$52,0),MATCH("X300 PRO",'[1]Sales per type Agustus'!$D$8:$BA$8,0)+1),0)</f>
        <v>0</v>
      </c>
      <c r="DU11" s="33">
        <f t="shared" si="39"/>
        <v>0</v>
      </c>
      <c r="DV11" s="33">
        <f>IFERROR(INDEX('[1]SALES PERTYPE'!$D$10:$BA$53,MATCH($C11,'[1]SALES PERTYPE'!$B$10:$B$53,0),MATCH("X300 ",'[1]SALES PERTYPE'!$D$8:$BA$8,0)),0)</f>
        <v>0</v>
      </c>
      <c r="DW11" s="33">
        <f>IFERROR(INDEX('[1]Sales per type Agustus'!$D$10:$BA$52,MATCH($C11,'[1]Sales per type Agustus'!$B$10:$B$52,0),MATCH("X300 ",'[1]Sales per type Agustus'!$D$8:$BA$8,0)),0)</f>
        <v>0</v>
      </c>
      <c r="DX11" s="33">
        <f t="shared" si="40"/>
        <v>0</v>
      </c>
      <c r="DY11" s="33" cm="1">
        <f t="array" ref="DY11">IFERROR(INDEX('[1]SALES PERTYPE'!$D$10:$BA$53,MATCH($C11,'[1]SALES PERTYPE'!$B$10:$B$53,0),MATCH("X300 ",'[1]SALES PERTYPE'!$D$8:$BA$8,0)+1),0)</f>
        <v>0</v>
      </c>
      <c r="DZ11" s="33" cm="1">
        <f t="array" ref="DZ11">IFERROR(INDEX('[1]Sales per type Agustus'!$D$10:$BA$52,MATCH($C11,'[1]Sales per type Agustus'!$B$10:$B$52,0),MATCH("X300 ",'[1]Sales per type Agustus'!$D$8:$BA$8,0)+1),0)</f>
        <v>0</v>
      </c>
      <c r="EA11" s="33">
        <f t="shared" si="41"/>
        <v>0</v>
      </c>
      <c r="EB11" s="33">
        <f t="shared" si="42"/>
        <v>85</v>
      </c>
      <c r="EC11" s="33">
        <f t="shared" si="42"/>
        <v>72</v>
      </c>
      <c r="ED11" s="33">
        <f t="shared" si="43"/>
        <v>13</v>
      </c>
      <c r="EE11" s="33">
        <f t="shared" si="44"/>
        <v>443815000</v>
      </c>
      <c r="EF11" s="33">
        <f t="shared" si="44"/>
        <v>464728000</v>
      </c>
      <c r="EG11" s="33">
        <f t="shared" si="45"/>
        <v>-20913000</v>
      </c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</row>
    <row r="12" spans="1:184" ht="16" x14ac:dyDescent="0.2">
      <c r="A12" s="214">
        <f>'[1]ACHIEVEMENT STORE'!A12</f>
        <v>8</v>
      </c>
      <c r="B12" s="215" t="str">
        <f>'[1]ACHIEVEMENT STORE'!B12</f>
        <v>601 雅加达西北 JKT BU</v>
      </c>
      <c r="C12" s="214">
        <f>'[1]ACHIEVEMENT STORE'!C12</f>
        <v>6010711</v>
      </c>
      <c r="D12" s="215" t="str">
        <f>'[1]ACHIEVEMENT STORE'!D12</f>
        <v>6010711-LIPPO MALL PURI 1FK02</v>
      </c>
      <c r="E12" s="215" t="str">
        <f>'[1]ACHIEVEMENT STORE'!E12</f>
        <v>HERRU ILYASA</v>
      </c>
      <c r="F12" s="33">
        <f>IFERROR(INDEX('[1]SALES PERTYPE'!$D$10:$BA$53,MATCH($C12,'[1]SALES PERTYPE'!$B$10:$B$53,0),MATCH("Y05",'[1]SALES PERTYPE'!$D$8:$BA$8,0)),0)</f>
        <v>5</v>
      </c>
      <c r="G12" s="33">
        <f>IFERROR(INDEX('[1]Sales per type Agustus'!$D$10:$BA$52,MATCH($C12,'[1]Sales per type Agustus'!$B$10:$B$52,0),MATCH("Y05",'[1]Sales per type Agustus'!$D$8:$BA$8,0)),0)</f>
        <v>6</v>
      </c>
      <c r="H12" s="33">
        <f t="shared" si="0"/>
        <v>-1</v>
      </c>
      <c r="I12" s="33" cm="1">
        <f t="array" ref="I12">IFERROR(INDEX('[1]SALES PERTYPE'!$D$10:$BA$53,MATCH($C12,'[1]SALES PERTYPE'!$B$10:$B$53,0),MATCH("Y05",'[1]SALES PERTYPE'!$D$8:$BA$8,0)+1),0)</f>
        <v>11495000</v>
      </c>
      <c r="J12" s="33" cm="1">
        <f t="array" ref="J12">IFERROR(INDEX('[1]Sales per type Agustus'!$D$10:$BA$52,MATCH($C12,'[1]Sales per type Agustus'!$B$10:$B$52,0),MATCH("Y05",'[1]Sales per type Agustus'!$D$8:$BA$8,0)+1),0)</f>
        <v>14394000</v>
      </c>
      <c r="K12" s="33">
        <f t="shared" si="1"/>
        <v>-2899000</v>
      </c>
      <c r="L12" s="33">
        <f>IFERROR(INDEX('[1]SALES PERTYPE'!$D$10:$BA$53,MATCH($C12,'[1]SALES PERTYPE'!$B$10:$B$53,0),MATCH("Y11d",'[1]SALES PERTYPE'!$D$8:$BA$8,0)),0)</f>
        <v>1</v>
      </c>
      <c r="M12" s="33">
        <f>IFERROR(INDEX('[1]Sales per type Agustus'!$D$10:$BA$52,MATCH($C12,'[1]Sales per type Agustus'!$B$10:$B$52,0),MATCH("Y11d",'[1]Sales per type Agustus'!$D$8:$BA$8,0)),0)</f>
        <v>9</v>
      </c>
      <c r="N12" s="33">
        <f t="shared" si="2"/>
        <v>-8</v>
      </c>
      <c r="O12" s="33" cm="1">
        <f t="array" ref="O12">IFERROR(INDEX('[1]SALES PERTYPE'!$D$10:$BA$53,MATCH($C12,'[1]SALES PERTYPE'!$B$10:$B$53,0),MATCH("Y11d",'[1]SALES PERTYPE'!$D$8:$BA$8,0)+1),0)</f>
        <v>2799000</v>
      </c>
      <c r="P12" s="33" cm="1">
        <f t="array" ref="P12">IFERROR(INDEX('[1]Sales per type Agustus'!$D$10:$BA$52,MATCH($C12,'[1]Sales per type Agustus'!$B$10:$B$52,0),MATCH("Y11d",'[1]Sales per type Agustus'!$D$8:$BA$8,0)+1),0)</f>
        <v>23591000</v>
      </c>
      <c r="Q12" s="33">
        <f t="shared" si="3"/>
        <v>-20792000</v>
      </c>
      <c r="R12" s="33">
        <f>IFERROR(INDEX('[1]SALES PERTYPE'!$D$10:$BA$53,MATCH($C12,'[1]SALES PERTYPE'!$B$10:$B$53,0),MATCH("Watch GT 2",'[1]SALES PERTYPE'!$D$8:$BA$8,0)),0)</f>
        <v>0</v>
      </c>
      <c r="S12" s="33">
        <f>IFERROR(INDEX('[1]Sales per type Agustus'!$D$10:$BA$52,MATCH($C12,'[1]Sales per type Agustus'!$B$10:$B$52,0),MATCH("Watch GT 2",'[1]Sales per type Agustus'!$D$8:$BA$8,0)),0)</f>
        <v>0</v>
      </c>
      <c r="T12" s="33">
        <f t="shared" si="4"/>
        <v>0</v>
      </c>
      <c r="U12" s="33" cm="1">
        <f t="array" ref="U12">IFERROR(INDEX('[1]SALES PERTYPE'!$D$10:$BA$53,MATCH($C12,'[1]SALES PERTYPE'!$B$10:$B$53,0),MATCH("Watch GT 2",'[1]SALES PERTYPE'!$D$8:$BA$8,0)+1),0)</f>
        <v>0</v>
      </c>
      <c r="V12" s="33" cm="1">
        <f t="array" ref="V12">IFERROR(INDEX('[1]Sales per type Agustus'!$D$10:$BA$52,MATCH($C12,'[1]Sales per type Agustus'!$B$10:$B$52,0),MATCH("Watch GT 2",'[1]Sales per type Agustus'!$D$8:$BA$8,0)+1),0)</f>
        <v>0</v>
      </c>
      <c r="W12" s="33">
        <f t="shared" si="5"/>
        <v>0</v>
      </c>
      <c r="X12" s="33">
        <f>IFERROR(INDEX('[1]SALES PERTYPE'!$D$10:$BA$53,MATCH($C12,'[1]SALES PERTYPE'!$B$10:$B$53,0),MATCH("Y05e",'[1]SALES PERTYPE'!$D$8:$BA$8,0)),0)</f>
        <v>4</v>
      </c>
      <c r="Y12" s="33">
        <f>IFERROR(INDEX('[1]Sales per type Agustus'!$D$10:$BA$52,MATCH($C12,'[1]Sales per type Agustus'!$B$10:$B$52,0),MATCH("Y05e",'[1]Sales per type Agustus'!$D$8:$BA$8,0)),0)</f>
        <v>3</v>
      </c>
      <c r="Z12" s="33">
        <f t="shared" si="6"/>
        <v>1</v>
      </c>
      <c r="AA12" s="33" cm="1">
        <f t="array" ref="AA12">IFERROR(INDEX('[1]SALES PERTYPE'!$D$10:$BA$53,MATCH($C12,'[1]SALES PERTYPE'!$B$10:$B$53,0),MATCH("Y05e",'[1]SALES PERTYPE'!$D$8:$BA$8,0)+1),0)</f>
        <v>8996000</v>
      </c>
      <c r="AB12" s="33" cm="1">
        <f t="array" ref="AB12">IFERROR(INDEX('[1]Sales per type Agustus'!$D$10:$BA$52,MATCH($C12,'[1]Sales per type Agustus'!$B$10:$B$52,0),MATCH("Y05e",'[1]Sales per type Agustus'!$D$8:$BA$8,0)+1),0)</f>
        <v>6297000</v>
      </c>
      <c r="AC12" s="33">
        <f t="shared" si="7"/>
        <v>2699000</v>
      </c>
      <c r="AD12" s="33">
        <f>IFERROR(INDEX('[1]SALES PERTYPE'!$D$10:$BA$53,MATCH($C12,'[1]SALES PERTYPE'!$B$10:$B$53,0),MATCH("V70",'[1]SALES PERTYPE'!$D$8:$BA$8,0)),0)</f>
        <v>3</v>
      </c>
      <c r="AE12" s="33">
        <f>IFERROR(INDEX('[1]Sales per type Agustus'!$D$10:$BA$52,MATCH($C12,'[1]Sales per type Agustus'!$B$10:$B$52,0),MATCH("V70",'[1]Sales per type Agustus'!$D$8:$BA$8,0)),0)</f>
        <v>1</v>
      </c>
      <c r="AF12" s="33">
        <f t="shared" si="8"/>
        <v>2</v>
      </c>
      <c r="AG12" s="33" cm="1">
        <f t="array" ref="AG12">IFERROR(INDEX('[1]SALES PERTYPE'!$D$10:$BA$53,MATCH($C12,'[1]SALES PERTYPE'!$B$10:$B$53,0),MATCH("V70",'[1]SALES PERTYPE'!$D$8:$BA$8,0)+1),0)</f>
        <v>29997000</v>
      </c>
      <c r="AH12" s="33" cm="1">
        <f t="array" ref="AH12">IFERROR(INDEX('[1]Sales per type Agustus'!$D$10:$BA$52,MATCH($C12,'[1]Sales per type Agustus'!$B$10:$B$52,0),MATCH("V70",'[1]Sales per type Agustus'!$D$8:$BA$8,0)+1),0)</f>
        <v>9999000</v>
      </c>
      <c r="AI12" s="33">
        <f t="shared" si="9"/>
        <v>19998000</v>
      </c>
      <c r="AJ12" s="33">
        <f>IFERROR(INDEX('[1]SALES PERTYPE'!$D$10:$BA$53,MATCH($C12,'[1]SALES PERTYPE'!$B$10:$B$53,0),MATCH("Y31d Pro",'[1]SALES PERTYPE'!$D$8:$BA$8,0)),0)</f>
        <v>2</v>
      </c>
      <c r="AK12" s="33">
        <f>IFERROR(INDEX('[1]Sales per type Agustus'!$D$10:$BA$52,MATCH($C12,'[1]Sales per type Agustus'!$B$10:$B$52,0),MATCH("Y31d Pro",'[1]Sales per type Agustus'!$D$8:$BA$8,0)),0)</f>
        <v>10</v>
      </c>
      <c r="AL12" s="33">
        <f t="shared" si="10"/>
        <v>-8</v>
      </c>
      <c r="AM12" s="33" cm="1">
        <f t="array" ref="AM12">IFERROR(INDEX('[1]SALES PERTYPE'!$D$10:$BA$53,MATCH($C12,'[1]SALES PERTYPE'!$B$10:$B$53,0),MATCH("Y31d Pro",'[1]SALES PERTYPE'!$D$8:$BA$8,0)+1),0)</f>
        <v>8198000</v>
      </c>
      <c r="AN12" s="33" cm="1">
        <f t="array" ref="AN12">IFERROR(INDEX('[1]Sales per type Agustus'!$D$10:$BA$52,MATCH($C12,'[1]Sales per type Agustus'!$B$10:$B$52,0),MATCH("Y31d Pro",'[1]Sales per type Agustus'!$D$8:$BA$8,0)+1),0)</f>
        <v>43790000</v>
      </c>
      <c r="AO12" s="33">
        <f t="shared" si="11"/>
        <v>-35592000</v>
      </c>
      <c r="AP12" s="33" cm="1">
        <f t="array" ref="AP12">IFERROR(INDEX('[1]SALES PERTYPE'!$D$10:$BA$53,MATCH($C12,'[1]SALES PERTYPE'!$B$10:$B$53,0),$EI$3),0)</f>
        <v>1</v>
      </c>
      <c r="AQ12" s="33" cm="1">
        <f t="array" ref="AQ12">IFERROR(INDEX('[1]Sales per type Agustus'!$D$10:$BA$52,MATCH($C12,'[1]Sales per type Agustus'!$B$10:$B$52,0),$EI$2),0)</f>
        <v>0</v>
      </c>
      <c r="AR12" s="33">
        <f t="shared" si="12"/>
        <v>1</v>
      </c>
      <c r="AS12" s="33" cm="1">
        <f t="array" ref="AS12">IFERROR(INDEX('[1]SALES PERTYPE'!$D$10:$BA$53,MATCH($C12,'[1]SALES PERTYPE'!$B$10:$B$53,0),$EI$3+1),0)</f>
        <v>3299000</v>
      </c>
      <c r="AT12" s="33" cm="1">
        <f t="array" ref="AT12">IFERROR(INDEX('[1]Sales per type Agustus'!$D$10:$BA$52,MATCH($C12,'[1]Sales per type Agustus'!$B$10:$B$52,0),$EI$2+1),0)</f>
        <v>0</v>
      </c>
      <c r="AU12" s="33">
        <f t="shared" si="13"/>
        <v>3299000</v>
      </c>
      <c r="AV12" s="33">
        <f>IFERROR(INDEX('[1]SALES PERTYPE'!$D$10:$BA$53,MATCH($C12,'[1]SALES PERTYPE'!$B$10:$B$53,0),MATCH("Y31d ",'[1]SALES PERTYPE'!$D$8:$BA$8,0)),0)</f>
        <v>0</v>
      </c>
      <c r="AW12" s="33">
        <f>IFERROR(INDEX('[1]Sales per type Agustus'!$D$10:$BA$52,MATCH($C12,'[1]Sales per type Agustus'!$B$10:$B$52,0),MATCH("Y31d ",'[1]Sales per type Agustus'!$D$8:$BA$8,0)),0)</f>
        <v>2</v>
      </c>
      <c r="AX12" s="33">
        <f t="shared" si="14"/>
        <v>-2</v>
      </c>
      <c r="AY12" s="33" cm="1">
        <f t="array" ref="AY12">IFERROR(INDEX('[1]SALES PERTYPE'!$D$10:$BA$53,MATCH($C12,'[1]SALES PERTYPE'!$B$10:$B$53,0),MATCH("Y31d ",'[1]SALES PERTYPE'!$D$8:$BA$8,0)+1),0)</f>
        <v>0</v>
      </c>
      <c r="AZ12" s="33" cm="1">
        <f t="array" ref="AZ12">IFERROR(INDEX('[1]Sales per type Agustus'!$D$10:$BA$52,MATCH($C12,'[1]Sales per type Agustus'!$B$10:$B$52,0),MATCH("Y31d ",'[1]Sales per type Agustus'!$D$8:$BA$8,0)+1),0)</f>
        <v>7198000</v>
      </c>
      <c r="BA12" s="33">
        <f t="shared" si="15"/>
        <v>-7198000</v>
      </c>
      <c r="BB12" s="33">
        <f>IFERROR(INDEX('[1]SALES PERTYPE'!$D$10:$BA$53,MATCH($C12,'[1]SALES PERTYPE'!$B$10:$B$53,0),MATCH("V70 FE",'[1]SALES PERTYPE'!$D$8:$BA$8,0)),0)</f>
        <v>3</v>
      </c>
      <c r="BC12" s="33">
        <f>IFERROR(INDEX('[1]Sales per type Agustus'!$D$10:$BA$52,MATCH($C12,'[1]Sales per type Agustus'!$B$10:$B$52,0),MATCH("V70 FE",'[1]Sales per type Agustus'!$D$8:$BA$8,0)),0)</f>
        <v>0</v>
      </c>
      <c r="BD12" s="33">
        <f t="shared" si="16"/>
        <v>3</v>
      </c>
      <c r="BE12" s="33" cm="1">
        <f t="array" ref="BE12">IFERROR(INDEX('[1]SALES PERTYPE'!$D$10:$BA$53,MATCH($C12,'[1]SALES PERTYPE'!$B$10:$B$53,0),MATCH("V70 FE",'[1]SALES PERTYPE'!$D$8:$BA$8,0)+1),0)</f>
        <v>23997000</v>
      </c>
      <c r="BF12" s="33" cm="1">
        <f t="array" ref="BF12">IFERROR(INDEX('[1]Sales per type Agustus'!$D$10:$BA$52,MATCH($C12,'[1]Sales per type Agustus'!$B$10:$B$52,0),MATCH("V70 FE",'[1]Sales per type Agustus'!$D$8:$BA$8,0)+1),0)</f>
        <v>0</v>
      </c>
      <c r="BG12" s="33">
        <f t="shared" si="17"/>
        <v>23997000</v>
      </c>
      <c r="BH12" s="33">
        <f>IFERROR(INDEX('[1]SALES PERTYPE'!$D$10:$BA$53,MATCH($C12,'[1]SALES PERTYPE'!$B$10:$B$53,0),MATCH("Y31d",'[1]SALES PERTYPE'!$D$8:$BA$8,0)),0)</f>
        <v>1</v>
      </c>
      <c r="BI12" s="33">
        <f>IFERROR(INDEX('[1]Sales per type Agustus'!$D$10:$BA$52,MATCH($C12,'[1]Sales per type Agustus'!$B$10:$B$52,0),MATCH("Y31d",'[1]Sales per type Agustus'!$D$8:$BA$8,0)),0)</f>
        <v>2</v>
      </c>
      <c r="BJ12" s="33">
        <f t="shared" si="18"/>
        <v>-1</v>
      </c>
      <c r="BK12" s="33" cm="1">
        <f t="array" ref="BK12">IFERROR(INDEX('[1]SALES PERTYPE'!$D$10:$BA$53,MATCH($C12,'[1]SALES PERTYPE'!$B$10:$B$53,0),MATCH("Y31d",'[1]SALES PERTYPE'!$D$8:$BA$8,0)+1),0)</f>
        <v>3599000</v>
      </c>
      <c r="BL12" s="33" cm="1">
        <f t="array" ref="BL12">IFERROR(INDEX('[1]Sales per type Agustus'!$D$10:$BA$52,MATCH($C12,'[1]Sales per type Agustus'!$B$10:$B$52,0),MATCH("Y31d",'[1]Sales per type Agustus'!$D$8:$BA$8,0)+1),0)</f>
        <v>7198000</v>
      </c>
      <c r="BM12" s="33">
        <f t="shared" si="19"/>
        <v>-3599000</v>
      </c>
      <c r="BN12" s="33">
        <f>IFERROR(INDEX('[1]SALES PERTYPE'!$D$10:$BA$53,MATCH($C12,'[1]SALES PERTYPE'!$B$10:$B$53,0),MATCH("Y500",'[1]SALES PERTYPE'!$D$8:$BA$8,0)),0)</f>
        <v>0</v>
      </c>
      <c r="BO12" s="33">
        <f>IFERROR(INDEX('[1]Sales per type Agustus'!$D$10:$BA$52,MATCH($C12,'[1]Sales per type Agustus'!$B$10:$B$52,0),MATCH("Y500",'[1]Sales per type Agustus'!$D$8:$BA$8,0)),0)</f>
        <v>3</v>
      </c>
      <c r="BP12" s="33">
        <f t="shared" si="20"/>
        <v>-3</v>
      </c>
      <c r="BQ12" s="33" cm="1">
        <f t="array" ref="BQ12">IFERROR(INDEX('[1]SALES PERTYPE'!$D$10:$BA$53,MATCH($C12,'[1]SALES PERTYPE'!$B$10:$B$53,0),MATCH("Y500",'[1]SALES PERTYPE'!$D$8:$BA$8,0)+1),0)</f>
        <v>0</v>
      </c>
      <c r="BR12" s="33" cm="1">
        <f t="array" ref="BR12">IFERROR(INDEX('[1]Sales per type Agustus'!$D$10:$BA$52,MATCH($C12,'[1]Sales per type Agustus'!$B$10:$B$52,0),MATCH("Y500",'[1]Sales per type Agustus'!$D$8:$BA$8,0)+1),0)</f>
        <v>18097000</v>
      </c>
      <c r="BS12" s="33">
        <f t="shared" si="21"/>
        <v>-18097000</v>
      </c>
      <c r="BT12" s="33">
        <f>IFERROR(INDEX('[1]SALES PERTYPE'!$D$10:$BA$53,MATCH($C12,'[1]SALES PERTYPE'!$B$10:$B$53,0),MATCH("IQOO 15R",'[1]SALES PERTYPE'!$D$8:$BA$8,0)),0)</f>
        <v>0</v>
      </c>
      <c r="BU12" s="33">
        <f>IFERROR(INDEX('[1]Sales per type Agustus'!$D$10:$BA$52,MATCH($C12,'[1]Sales per type Agustus'!$B$10:$B$52,0),MATCH("IQOO 15R",'[1]Sales per type Agustus'!$D$8:$BA$8,0)),0)</f>
        <v>1</v>
      </c>
      <c r="BV12" s="33">
        <f t="shared" si="22"/>
        <v>-1</v>
      </c>
      <c r="BW12" s="33" cm="1">
        <f t="array" ref="BW12">IFERROR(INDEX('[1]SALES PERTYPE'!$D$10:$BA$53,MATCH($C12,'[1]SALES PERTYPE'!$B$10:$B$53,0),MATCH("IQOO 15R",'[1]SALES PERTYPE'!$D$8:$BA$8,0)+1),0)</f>
        <v>0</v>
      </c>
      <c r="BX12" s="33" cm="1">
        <f t="array" ref="BX12">IFERROR(INDEX('[1]Sales per type Agustus'!$D$10:$BA$52,MATCH($C12,'[1]Sales per type Agustus'!$B$10:$B$52,0),MATCH("IQOO 15R",'[1]Sales per type Agustus'!$D$8:$BA$8,0)+1),0)</f>
        <v>11999000</v>
      </c>
      <c r="BY12" s="33">
        <f t="shared" si="23"/>
        <v>-11999000</v>
      </c>
      <c r="BZ12" s="33">
        <f>IFERROR(INDEX('[1]SALES PERTYPE'!$D$10:$BA$53,MATCH($C12,'[1]SALES PERTYPE'!$B$10:$B$53,0),MATCH("V60 Lite",'[1]SALES PERTYPE'!$D$8:$BA$8,0)),0)</f>
        <v>2</v>
      </c>
      <c r="CA12" s="33">
        <f>IFERROR(INDEX('[1]Sales per type Agustus'!$D$10:$BA$52,MATCH($C12,'[1]Sales per type Agustus'!$B$10:$B$52,0),MATCH("V60 Lite",'[1]Sales per type Agustus'!$D$8:$BA$8,0)),0)</f>
        <v>1</v>
      </c>
      <c r="CB12" s="33">
        <f t="shared" si="24"/>
        <v>1</v>
      </c>
      <c r="CC12" s="33" cm="1">
        <f t="array" ref="CC12">IFERROR(INDEX('[1]SALES PERTYPE'!$D$10:$BA$53,MATCH($C12,'[1]SALES PERTYPE'!$B$10:$B$53,0),MATCH("V60 Lite",'[1]SALES PERTYPE'!$D$8:$BA$8,0)+1),0)</f>
        <v>11798000</v>
      </c>
      <c r="CD12" s="33" cm="1">
        <f t="array" ref="CD12">IFERROR(INDEX('[1]Sales per type Agustus'!$D$10:$BA$52,MATCH($C12,'[1]Sales per type Agustus'!$B$10:$B$52,0),MATCH("V60 Lite",'[1]Sales per type Agustus'!$D$8:$BA$8,0)+1),0)</f>
        <v>6499000</v>
      </c>
      <c r="CE12" s="33">
        <f t="shared" si="25"/>
        <v>5299000</v>
      </c>
      <c r="CF12" s="33">
        <f>IFERROR(INDEX('[1]SALES PERTYPE'!$D$10:$BA$53,MATCH($C12,'[1]SALES PERTYPE'!$B$10:$B$53,0),MATCH("X300 Ultra",'[1]SALES PERTYPE'!$D$8:$BA$8,0)),0)</f>
        <v>2</v>
      </c>
      <c r="CG12" s="33">
        <f>IFERROR(INDEX('[1]Sales per type Agustus'!$D$10:$BA$52,MATCH($C12,'[1]Sales per type Agustus'!$B$10:$B$52,0),MATCH("X300 Ultra",'[1]Sales per type Agustus'!$D$8:$BA$8,0)),0)</f>
        <v>4</v>
      </c>
      <c r="CH12" s="33">
        <f t="shared" si="26"/>
        <v>-2</v>
      </c>
      <c r="CI12" s="33" cm="1">
        <f t="array" ref="CI12">IFERROR(INDEX('[1]SALES PERTYPE'!$D$10:$BA$53,MATCH($C12,'[1]SALES PERTYPE'!$B$10:$B$53,0),MATCH("X300 Ultra",'[1]SALES PERTYPE'!$D$8:$BA$8,0)+1),0)</f>
        <v>51998000</v>
      </c>
      <c r="CJ12" s="33" cm="1">
        <f t="array" ref="CJ12">IFERROR(INDEX('[1]Sales per type Agustus'!$D$10:$BA$52,MATCH($C12,'[1]Sales per type Agustus'!$B$10:$B$52,0),MATCH("X300 Ultra",'[1]Sales per type Agustus'!$D$8:$BA$8,0)+1),0)</f>
        <v>107996000</v>
      </c>
      <c r="CK12" s="33">
        <f t="shared" si="27"/>
        <v>-55998000</v>
      </c>
      <c r="CL12" s="33">
        <f>IFERROR(INDEX('[1]SALES PERTYPE'!$D$10:$BA$53,MATCH($C12,'[1]SALES PERTYPE'!$B$10:$B$53,0),MATCH("IQOO 15",'[1]SALES PERTYPE'!$D$8:$BA$8,0)),0)</f>
        <v>0</v>
      </c>
      <c r="CM12" s="33">
        <f>IFERROR(INDEX('[1]Sales per type Agustus'!$D$10:$BA$52,MATCH($C12,'[1]Sales per type Agustus'!$B$10:$B$52,0),MATCH("IQOO 15",'[1]Sales per type Agustus'!$D$8:$BA$8,0)),0)</f>
        <v>1</v>
      </c>
      <c r="CN12" s="33">
        <f t="shared" si="28"/>
        <v>-1</v>
      </c>
      <c r="CO12" s="33" cm="1">
        <f t="array" ref="CO12">IFERROR(INDEX('[1]SALES PERTYPE'!$D$10:$BA$53,MATCH($C12,'[1]SALES PERTYPE'!$B$10:$B$53,0),MATCH("IQOO 15",'[1]SALES PERTYPE'!$D$8:$BA$8,0)+1),0)</f>
        <v>0</v>
      </c>
      <c r="CP12" s="33" cm="1">
        <f t="array" ref="CP12">IFERROR(INDEX('[1]Sales per type Agustus'!$D$10:$BA$52,MATCH($C12,'[1]Sales per type Agustus'!$B$10:$B$52,0),MATCH("IQOO 15",'[1]Sales per type Agustus'!$D$8:$BA$8,0)+1),0)</f>
        <v>15999000</v>
      </c>
      <c r="CQ12" s="33">
        <f t="shared" si="29"/>
        <v>-15999000</v>
      </c>
      <c r="CR12" s="33">
        <f>IFERROR(INDEX('[1]SALES PERTYPE'!$D$10:$BA$53,MATCH($C12,'[1]SALES PERTYPE'!$B$10:$B$53,0),MATCH("IQOO Z11x",'[1]SALES PERTYPE'!$D$8:$BA$8,0)),0)</f>
        <v>1</v>
      </c>
      <c r="CS12" s="33">
        <f>IFERROR(INDEX('[1]Sales per type Agustus'!$D$10:$BA$52,MATCH($C12,'[1]Sales per type Agustus'!$B$10:$B$52,0),MATCH("IQOO Z11x",'[1]Sales per type Agustus'!$D$8:$BA$8,0)),0)</f>
        <v>0</v>
      </c>
      <c r="CT12" s="33">
        <f t="shared" si="30"/>
        <v>1</v>
      </c>
      <c r="CU12" s="33" cm="1">
        <f t="array" ref="CU12">IFERROR(INDEX('[1]SALES PERTYPE'!$D$10:$BA$53,MATCH($C12,'[1]SALES PERTYPE'!$B$10:$B$53,0),MATCH("IQOO Z11x",'[1]SALES PERTYPE'!$D$8:$BA$8,0)+1),0)</f>
        <v>4799000</v>
      </c>
      <c r="CV12" s="33" cm="1">
        <f t="array" ref="CV12">IFERROR(INDEX('[1]Sales per type Agustus'!$D$10:$BA$52,MATCH($C12,'[1]Sales per type Agustus'!$B$10:$B$52,0),MATCH("IQOO Z11x",'[1]Sales per type Agustus'!$D$8:$BA$8,0)+1),0)</f>
        <v>0</v>
      </c>
      <c r="CW12" s="33">
        <f t="shared" si="31"/>
        <v>4799000</v>
      </c>
      <c r="CX12" s="33">
        <f>IFERROR(INDEX('[1]SALES PERTYPE'!$D$10:$BA$53,MATCH($C12,'[1]SALES PERTYPE'!$B$10:$B$53,0),MATCH("IQOO Z11",'[1]SALES PERTYPE'!$D$8:$BA$8,0)),0)</f>
        <v>0</v>
      </c>
      <c r="CY12" s="33">
        <f>IFERROR(INDEX('[1]Sales per type Agustus'!$D$10:$BA$52,MATCH($C12,'[1]Sales per type Agustus'!$B$10:$B$52,0),MATCH("IQOO Z11",'[1]Sales per type Agustus'!$D$8:$BA$8,0)),0)</f>
        <v>3</v>
      </c>
      <c r="CZ12" s="33">
        <f t="shared" si="32"/>
        <v>-3</v>
      </c>
      <c r="DA12" s="33" cm="1">
        <f t="array" ref="DA12">IFERROR(INDEX('[1]SALES PERTYPE'!$D$10:$BA$53,MATCH($C12,'[1]SALES PERTYPE'!$B$10:$B$53,0),MATCH("IQOO Z11",'[1]SALES PERTYPE'!$D$8:$BA$8,0)+1),0)</f>
        <v>0</v>
      </c>
      <c r="DB12" s="33" cm="1">
        <f t="array" ref="DB12">IFERROR(INDEX('[1]Sales per type Agustus'!$D$10:$BA$52,MATCH($C12,'[1]Sales per type Agustus'!$B$10:$B$52,0),MATCH("IQOO Z11",'[1]Sales per type Agustus'!$D$8:$BA$8,0)+1),0)</f>
        <v>23297000</v>
      </c>
      <c r="DC12" s="33">
        <f t="shared" si="33"/>
        <v>-23297000</v>
      </c>
      <c r="DD12" s="33">
        <f>IFERROR(INDEX('[1]SALES PERTYPE'!$D$10:$BA$53,MATCH($C12,'[1]SALES PERTYPE'!$B$10:$B$53,0),MATCH("WATCH 3",'[1]SALES PERTYPE'!$D$8:$BA$8,0)),0)</f>
        <v>2</v>
      </c>
      <c r="DE12" s="33">
        <f>IFERROR(INDEX('[1]Sales per type Agustus'!$D$10:$BA$52,MATCH($C12,'[1]Sales per type Agustus'!$B$10:$B$52,0),MATCH("WATCH 3",'[1]Sales per type Agustus'!$D$8:$BA$8,0)),0)</f>
        <v>0</v>
      </c>
      <c r="DF12" s="33">
        <f t="shared" si="34"/>
        <v>2</v>
      </c>
      <c r="DG12" s="33" cm="1">
        <f t="array" ref="DG12">IFERROR(INDEX('[1]SALES PERTYPE'!$D$10:$BA$53,MATCH($C12,'[1]SALES PERTYPE'!$B$10:$B$53,0),MATCH("WATCH 3",'[1]SALES PERTYPE'!$D$8:$BA$8,0)+1),0)</f>
        <v>5998000</v>
      </c>
      <c r="DH12" s="33" cm="1">
        <f t="array" ref="DH12">IFERROR(INDEX('[1]Sales per type Agustus'!$D$10:$BA$52,MATCH($C12,'[1]Sales per type Agustus'!$B$10:$B$52,0),MATCH("WATCH 3",'[1]Sales per type Agustus'!$D$8:$BA$8,0)+1),0)</f>
        <v>0</v>
      </c>
      <c r="DI12" s="33">
        <f t="shared" si="35"/>
        <v>5998000</v>
      </c>
      <c r="DJ12" s="33">
        <f>IFERROR(INDEX('[1]SALES PERTYPE'!$D$10:$BA$53,MATCH($C12,'[1]SALES PERTYPE'!$B$10:$B$53,0),MATCH("X Fold5",'[1]SALES PERTYPE'!$D$8:$BA$8,0)),0)</f>
        <v>0</v>
      </c>
      <c r="DK12" s="33">
        <f>IFERROR(INDEX('[1]Sales per type Agustus'!$D$10:$BA$52,MATCH($C12,'[1]Sales per type Agustus'!$B$10:$B$52,0),MATCH("X Fold5",'[1]Sales per type Agustus'!$D$8:$BA$8,0)),0)</f>
        <v>0</v>
      </c>
      <c r="DL12" s="33">
        <f t="shared" si="36"/>
        <v>0</v>
      </c>
      <c r="DM12" s="33" cm="1">
        <f t="array" ref="DM12">IFERROR(INDEX('[1]SALES PERTYPE'!$D$10:$BA$53,MATCH($C12,'[1]SALES PERTYPE'!$B$10:$B$53,0),MATCH("X Fold5",'[1]SALES PERTYPE'!$D$8:$BA$8,0)+1),0)</f>
        <v>0</v>
      </c>
      <c r="DN12" s="33" cm="1">
        <f t="array" ref="DN12">IFERROR(INDEX('[1]Sales per type Agustus'!$D$10:$BA$52,MATCH($C12,'[1]Sales per type Agustus'!$B$10:$B$52,0),MATCH("X Fold5",'[1]Sales per type Agustus'!$D$8:$BA$8,0)+1),0)</f>
        <v>0</v>
      </c>
      <c r="DO12" s="33">
        <f t="shared" si="37"/>
        <v>0</v>
      </c>
      <c r="DP12" s="33">
        <f>IFERROR(INDEX('[1]SALES PERTYPE'!$D$10:$BA$53,MATCH($C12,'[1]SALES PERTYPE'!$B$10:$B$53,0),MATCH("X300 PRO",'[1]SALES PERTYPE'!$D$8:$BA$8,0)),0)</f>
        <v>0</v>
      </c>
      <c r="DQ12" s="33">
        <f>IFERROR(INDEX('[1]Sales per type Agustus'!$D$10:$BA$52,MATCH($C12,'[1]Sales per type Agustus'!$B$10:$B$52,0),MATCH("X300 PRO",'[1]Sales per type Agustus'!$D$8:$BA$8,0)),0)</f>
        <v>0</v>
      </c>
      <c r="DR12" s="33">
        <f t="shared" si="38"/>
        <v>0</v>
      </c>
      <c r="DS12" s="33" cm="1">
        <f t="array" ref="DS12">IFERROR(INDEX('[1]SALES PERTYPE'!$D$10:$BA$53,MATCH($C12,'[1]SALES PERTYPE'!$B$10:$B$53,0),MATCH("X300 PRO",'[1]SALES PERTYPE'!$D$8:$BA$8,0)+1),0)</f>
        <v>0</v>
      </c>
      <c r="DT12" s="33" cm="1">
        <f t="array" ref="DT12">IFERROR(INDEX('[1]Sales per type Agustus'!$D$10:$BA$52,MATCH($C12,'[1]Sales per type Agustus'!$B$10:$B$52,0),MATCH("X300 PRO",'[1]Sales per type Agustus'!$D$8:$BA$8,0)+1),0)</f>
        <v>0</v>
      </c>
      <c r="DU12" s="33">
        <f t="shared" si="39"/>
        <v>0</v>
      </c>
      <c r="DV12" s="33">
        <f>IFERROR(INDEX('[1]SALES PERTYPE'!$D$10:$BA$53,MATCH($C12,'[1]SALES PERTYPE'!$B$10:$B$53,0),MATCH("X300 ",'[1]SALES PERTYPE'!$D$8:$BA$8,0)),0)</f>
        <v>0</v>
      </c>
      <c r="DW12" s="33">
        <f>IFERROR(INDEX('[1]Sales per type Agustus'!$D$10:$BA$52,MATCH($C12,'[1]Sales per type Agustus'!$B$10:$B$52,0),MATCH("X300 ",'[1]Sales per type Agustus'!$D$8:$BA$8,0)),0)</f>
        <v>0</v>
      </c>
      <c r="DX12" s="33">
        <f t="shared" si="40"/>
        <v>0</v>
      </c>
      <c r="DY12" s="33" cm="1">
        <f t="array" ref="DY12">IFERROR(INDEX('[1]SALES PERTYPE'!$D$10:$BA$53,MATCH($C12,'[1]SALES PERTYPE'!$B$10:$B$53,0),MATCH("X300 ",'[1]SALES PERTYPE'!$D$8:$BA$8,0)+1),0)</f>
        <v>0</v>
      </c>
      <c r="DZ12" s="33" cm="1">
        <f t="array" ref="DZ12">IFERROR(INDEX('[1]Sales per type Agustus'!$D$10:$BA$52,MATCH($C12,'[1]Sales per type Agustus'!$B$10:$B$52,0),MATCH("X300 ",'[1]Sales per type Agustus'!$D$8:$BA$8,0)+1),0)</f>
        <v>0</v>
      </c>
      <c r="EA12" s="33">
        <f t="shared" si="41"/>
        <v>0</v>
      </c>
      <c r="EB12" s="33">
        <f t="shared" si="42"/>
        <v>27</v>
      </c>
      <c r="EC12" s="33">
        <f t="shared" si="42"/>
        <v>46</v>
      </c>
      <c r="ED12" s="33">
        <f t="shared" si="43"/>
        <v>-19</v>
      </c>
      <c r="EE12" s="33">
        <f t="shared" si="44"/>
        <v>166973000</v>
      </c>
      <c r="EF12" s="33">
        <f t="shared" si="44"/>
        <v>296354000</v>
      </c>
      <c r="EG12" s="33">
        <f t="shared" si="45"/>
        <v>-129381000</v>
      </c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</row>
    <row r="13" spans="1:184" ht="16" x14ac:dyDescent="0.2">
      <c r="A13" s="31">
        <f>'[1]ACHIEVEMENT STORE'!A13</f>
        <v>9</v>
      </c>
      <c r="B13" s="32" t="str">
        <f>'[1]ACHIEVEMENT STORE'!B13</f>
        <v>601 雅加达西北 JKT BU</v>
      </c>
      <c r="C13" s="31">
        <f>'[1]ACHIEVEMENT STORE'!C13</f>
        <v>6020706</v>
      </c>
      <c r="D13" s="32" t="str">
        <f>'[1]ACHIEVEMENT STORE'!D13</f>
        <v>6020706-CEMPAKA SHOWROOM 2 (454)</v>
      </c>
      <c r="E13" s="32" t="str">
        <f>'[1]ACHIEVEMENT STORE'!E13</f>
        <v>NOVIA HARYANTI</v>
      </c>
      <c r="F13" s="33">
        <f>IFERROR(INDEX('[1]SALES PERTYPE'!$D$10:$BA$53,MATCH($C13,'[1]SALES PERTYPE'!$B$10:$B$53,0),MATCH("Y05",'[1]SALES PERTYPE'!$D$8:$BA$8,0)),0)</f>
        <v>24</v>
      </c>
      <c r="G13" s="33">
        <f>IFERROR(INDEX('[1]Sales per type Agustus'!$D$10:$BA$52,MATCH($C13,'[1]Sales per type Agustus'!$B$10:$B$52,0),MATCH("Y05",'[1]Sales per type Agustus'!$D$8:$BA$8,0)),0)</f>
        <v>25</v>
      </c>
      <c r="H13" s="33">
        <f t="shared" si="0"/>
        <v>-1</v>
      </c>
      <c r="I13" s="33" cm="1">
        <f t="array" ref="I13">IFERROR(INDEX('[1]SALES PERTYPE'!$D$10:$BA$53,MATCH($C13,'[1]SALES PERTYPE'!$B$10:$B$53,0),MATCH("Y05",'[1]SALES PERTYPE'!$D$8:$BA$8,0)+1),0)</f>
        <v>59076000</v>
      </c>
      <c r="J13" s="33" cm="1">
        <f t="array" ref="J13">IFERROR(INDEX('[1]Sales per type Agustus'!$D$10:$BA$52,MATCH($C13,'[1]Sales per type Agustus'!$B$10:$B$52,0),MATCH("Y05",'[1]Sales per type Agustus'!$D$8:$BA$8,0)+1),0)</f>
        <v>60175000</v>
      </c>
      <c r="K13" s="33">
        <f t="shared" si="1"/>
        <v>-1099000</v>
      </c>
      <c r="L13" s="33">
        <f>IFERROR(INDEX('[1]SALES PERTYPE'!$D$10:$BA$53,MATCH($C13,'[1]SALES PERTYPE'!$B$10:$B$53,0),MATCH("Y11d",'[1]SALES PERTYPE'!$D$8:$BA$8,0)),0)</f>
        <v>18</v>
      </c>
      <c r="M13" s="33">
        <f>IFERROR(INDEX('[1]Sales per type Agustus'!$D$10:$BA$52,MATCH($C13,'[1]Sales per type Agustus'!$B$10:$B$52,0),MATCH("Y11d",'[1]Sales per type Agustus'!$D$8:$BA$8,0)),0)</f>
        <v>13</v>
      </c>
      <c r="N13" s="33">
        <f t="shared" si="2"/>
        <v>5</v>
      </c>
      <c r="O13" s="33" cm="1">
        <f t="array" ref="O13">IFERROR(INDEX('[1]SALES PERTYPE'!$D$10:$BA$53,MATCH($C13,'[1]SALES PERTYPE'!$B$10:$B$53,0),MATCH("Y11d",'[1]SALES PERTYPE'!$D$8:$BA$8,0)+1),0)</f>
        <v>46782000</v>
      </c>
      <c r="P13" s="33" cm="1">
        <f t="array" ref="P13">IFERROR(INDEX('[1]Sales per type Agustus'!$D$10:$BA$52,MATCH($C13,'[1]Sales per type Agustus'!$B$10:$B$52,0),MATCH("Y11d",'[1]Sales per type Agustus'!$D$8:$BA$8,0)+1),0)</f>
        <v>35587000</v>
      </c>
      <c r="Q13" s="33">
        <f t="shared" si="3"/>
        <v>11195000</v>
      </c>
      <c r="R13" s="33">
        <f>IFERROR(INDEX('[1]SALES PERTYPE'!$D$10:$BA$53,MATCH($C13,'[1]SALES PERTYPE'!$B$10:$B$53,0),MATCH("Watch GT 2",'[1]SALES PERTYPE'!$D$8:$BA$8,0)),0)</f>
        <v>0</v>
      </c>
      <c r="S13" s="33">
        <f>IFERROR(INDEX('[1]Sales per type Agustus'!$D$10:$BA$52,MATCH($C13,'[1]Sales per type Agustus'!$B$10:$B$52,0),MATCH("Watch GT 2",'[1]Sales per type Agustus'!$D$8:$BA$8,0)),0)</f>
        <v>0</v>
      </c>
      <c r="T13" s="33">
        <f t="shared" si="4"/>
        <v>0</v>
      </c>
      <c r="U13" s="33" cm="1">
        <f t="array" ref="U13">IFERROR(INDEX('[1]SALES PERTYPE'!$D$10:$BA$53,MATCH($C13,'[1]SALES PERTYPE'!$B$10:$B$53,0),MATCH("Watch GT 2",'[1]SALES PERTYPE'!$D$8:$BA$8,0)+1),0)</f>
        <v>0</v>
      </c>
      <c r="V13" s="33" cm="1">
        <f t="array" ref="V13">IFERROR(INDEX('[1]Sales per type Agustus'!$D$10:$BA$52,MATCH($C13,'[1]Sales per type Agustus'!$B$10:$B$52,0),MATCH("Watch GT 2",'[1]Sales per type Agustus'!$D$8:$BA$8,0)+1),0)</f>
        <v>0</v>
      </c>
      <c r="W13" s="33">
        <f t="shared" si="5"/>
        <v>0</v>
      </c>
      <c r="X13" s="33">
        <f>IFERROR(INDEX('[1]SALES PERTYPE'!$D$10:$BA$53,MATCH($C13,'[1]SALES PERTYPE'!$B$10:$B$53,0),MATCH("Y05e",'[1]SALES PERTYPE'!$D$8:$BA$8,0)),0)</f>
        <v>8</v>
      </c>
      <c r="Y13" s="33">
        <f>IFERROR(INDEX('[1]Sales per type Agustus'!$D$10:$BA$52,MATCH($C13,'[1]Sales per type Agustus'!$B$10:$B$52,0),MATCH("Y05e",'[1]Sales per type Agustus'!$D$8:$BA$8,0)),0)</f>
        <v>20</v>
      </c>
      <c r="Z13" s="33">
        <f t="shared" si="6"/>
        <v>-12</v>
      </c>
      <c r="AA13" s="33" cm="1">
        <f t="array" ref="AA13">IFERROR(INDEX('[1]SALES PERTYPE'!$D$10:$BA$53,MATCH($C13,'[1]SALES PERTYPE'!$B$10:$B$53,0),MATCH("Y05e",'[1]SALES PERTYPE'!$D$8:$BA$8,0)+1),0)</f>
        <v>17392000</v>
      </c>
      <c r="AB13" s="33" cm="1">
        <f t="array" ref="AB13">IFERROR(INDEX('[1]Sales per type Agustus'!$D$10:$BA$52,MATCH($C13,'[1]Sales per type Agustus'!$B$10:$B$52,0),MATCH("Y05e",'[1]Sales per type Agustus'!$D$8:$BA$8,0)+1),0)</f>
        <v>41980000</v>
      </c>
      <c r="AC13" s="33">
        <f t="shared" si="7"/>
        <v>-24588000</v>
      </c>
      <c r="AD13" s="33">
        <f>IFERROR(INDEX('[1]SALES PERTYPE'!$D$10:$BA$53,MATCH($C13,'[1]SALES PERTYPE'!$B$10:$B$53,0),MATCH("V70",'[1]SALES PERTYPE'!$D$8:$BA$8,0)),0)</f>
        <v>3</v>
      </c>
      <c r="AE13" s="33">
        <f>IFERROR(INDEX('[1]Sales per type Agustus'!$D$10:$BA$52,MATCH($C13,'[1]Sales per type Agustus'!$B$10:$B$52,0),MATCH("V70",'[1]Sales per type Agustus'!$D$8:$BA$8,0)),0)</f>
        <v>0</v>
      </c>
      <c r="AF13" s="33">
        <f t="shared" si="8"/>
        <v>3</v>
      </c>
      <c r="AG13" s="33" cm="1">
        <f t="array" ref="AG13">IFERROR(INDEX('[1]SALES PERTYPE'!$D$10:$BA$53,MATCH($C13,'[1]SALES PERTYPE'!$B$10:$B$53,0),MATCH("V70",'[1]SALES PERTYPE'!$D$8:$BA$8,0)+1),0)</f>
        <v>29997000</v>
      </c>
      <c r="AH13" s="33" cm="1">
        <f t="array" ref="AH13">IFERROR(INDEX('[1]Sales per type Agustus'!$D$10:$BA$52,MATCH($C13,'[1]Sales per type Agustus'!$B$10:$B$52,0),MATCH("V70",'[1]Sales per type Agustus'!$D$8:$BA$8,0)+1),0)</f>
        <v>0</v>
      </c>
      <c r="AI13" s="33">
        <f t="shared" si="9"/>
        <v>29997000</v>
      </c>
      <c r="AJ13" s="33">
        <f>IFERROR(INDEX('[1]SALES PERTYPE'!$D$10:$BA$53,MATCH($C13,'[1]SALES PERTYPE'!$B$10:$B$53,0),MATCH("Y31d Pro",'[1]SALES PERTYPE'!$D$8:$BA$8,0)),0)</f>
        <v>14</v>
      </c>
      <c r="AK13" s="33">
        <f>IFERROR(INDEX('[1]Sales per type Agustus'!$D$10:$BA$52,MATCH($C13,'[1]Sales per type Agustus'!$B$10:$B$52,0),MATCH("Y31d Pro",'[1]Sales per type Agustus'!$D$8:$BA$8,0)),0)</f>
        <v>11</v>
      </c>
      <c r="AL13" s="33">
        <f t="shared" si="10"/>
        <v>3</v>
      </c>
      <c r="AM13" s="33" cm="1">
        <f t="array" ref="AM13">IFERROR(INDEX('[1]SALES PERTYPE'!$D$10:$BA$53,MATCH($C13,'[1]SALES PERTYPE'!$B$10:$B$53,0),MATCH("Y31d Pro",'[1]SALES PERTYPE'!$D$8:$BA$8,0)+1),0)</f>
        <v>59386000</v>
      </c>
      <c r="AN13" s="33" cm="1">
        <f t="array" ref="AN13">IFERROR(INDEX('[1]Sales per type Agustus'!$D$10:$BA$52,MATCH($C13,'[1]Sales per type Agustus'!$B$10:$B$52,0),MATCH("Y31d Pro",'[1]Sales per type Agustus'!$D$8:$BA$8,0)+1),0)</f>
        <v>51889000</v>
      </c>
      <c r="AO13" s="33">
        <f t="shared" si="11"/>
        <v>7497000</v>
      </c>
      <c r="AP13" s="33" cm="1">
        <f t="array" ref="AP13">IFERROR(INDEX('[1]SALES PERTYPE'!$D$10:$BA$53,MATCH($C13,'[1]SALES PERTYPE'!$B$10:$B$53,0),$EI$3),0)</f>
        <v>2</v>
      </c>
      <c r="AQ13" s="33" cm="1">
        <f t="array" ref="AQ13">IFERROR(INDEX('[1]Sales per type Agustus'!$D$10:$BA$52,MATCH($C13,'[1]Sales per type Agustus'!$B$10:$B$52,0),$EI$2),0)</f>
        <v>0</v>
      </c>
      <c r="AR13" s="33">
        <f t="shared" si="12"/>
        <v>2</v>
      </c>
      <c r="AS13" s="33" cm="1">
        <f t="array" ref="AS13">IFERROR(INDEX('[1]SALES PERTYPE'!$D$10:$BA$53,MATCH($C13,'[1]SALES PERTYPE'!$B$10:$B$53,0),$EI$3+1),0)</f>
        <v>6598000</v>
      </c>
      <c r="AT13" s="33" cm="1">
        <f t="array" ref="AT13">IFERROR(INDEX('[1]Sales per type Agustus'!$D$10:$BA$52,MATCH($C13,'[1]Sales per type Agustus'!$B$10:$B$52,0),$EI$2+1),0)</f>
        <v>0</v>
      </c>
      <c r="AU13" s="33">
        <f t="shared" si="13"/>
        <v>6598000</v>
      </c>
      <c r="AV13" s="33">
        <f>IFERROR(INDEX('[1]SALES PERTYPE'!$D$10:$BA$53,MATCH($C13,'[1]SALES PERTYPE'!$B$10:$B$53,0),MATCH("Y31d ",'[1]SALES PERTYPE'!$D$8:$BA$8,0)),0)</f>
        <v>1</v>
      </c>
      <c r="AW13" s="33">
        <f>IFERROR(INDEX('[1]Sales per type Agustus'!$D$10:$BA$52,MATCH($C13,'[1]Sales per type Agustus'!$B$10:$B$52,0),MATCH("Y31d ",'[1]Sales per type Agustus'!$D$8:$BA$8,0)),0)</f>
        <v>4</v>
      </c>
      <c r="AX13" s="33">
        <f t="shared" si="14"/>
        <v>-3</v>
      </c>
      <c r="AY13" s="33" cm="1">
        <f t="array" ref="AY13">IFERROR(INDEX('[1]SALES PERTYPE'!$D$10:$BA$53,MATCH($C13,'[1]SALES PERTYPE'!$B$10:$B$53,0),MATCH("Y31d ",'[1]SALES PERTYPE'!$D$8:$BA$8,0)+1),0)</f>
        <v>3599000</v>
      </c>
      <c r="AZ13" s="33" cm="1">
        <f t="array" ref="AZ13">IFERROR(INDEX('[1]Sales per type Agustus'!$D$10:$BA$52,MATCH($C13,'[1]Sales per type Agustus'!$B$10:$B$52,0),MATCH("Y31d ",'[1]Sales per type Agustus'!$D$8:$BA$8,0)+1),0)</f>
        <v>14396000</v>
      </c>
      <c r="BA13" s="33">
        <f t="shared" si="15"/>
        <v>-10797000</v>
      </c>
      <c r="BB13" s="33">
        <f>IFERROR(INDEX('[1]SALES PERTYPE'!$D$10:$BA$53,MATCH($C13,'[1]SALES PERTYPE'!$B$10:$B$53,0),MATCH("V70 FE",'[1]SALES PERTYPE'!$D$8:$BA$8,0)),0)</f>
        <v>0</v>
      </c>
      <c r="BC13" s="33">
        <f>IFERROR(INDEX('[1]Sales per type Agustus'!$D$10:$BA$52,MATCH($C13,'[1]Sales per type Agustus'!$B$10:$B$52,0),MATCH("V70 FE",'[1]Sales per type Agustus'!$D$8:$BA$8,0)),0)</f>
        <v>0</v>
      </c>
      <c r="BD13" s="33">
        <f t="shared" si="16"/>
        <v>0</v>
      </c>
      <c r="BE13" s="33" cm="1">
        <f t="array" ref="BE13">IFERROR(INDEX('[1]SALES PERTYPE'!$D$10:$BA$53,MATCH($C13,'[1]SALES PERTYPE'!$B$10:$B$53,0),MATCH("V70 FE",'[1]SALES PERTYPE'!$D$8:$BA$8,0)+1),0)</f>
        <v>0</v>
      </c>
      <c r="BF13" s="33" cm="1">
        <f t="array" ref="BF13">IFERROR(INDEX('[1]Sales per type Agustus'!$D$10:$BA$52,MATCH($C13,'[1]Sales per type Agustus'!$B$10:$B$52,0),MATCH("V70 FE",'[1]Sales per type Agustus'!$D$8:$BA$8,0)+1),0)</f>
        <v>0</v>
      </c>
      <c r="BG13" s="33">
        <f t="shared" si="17"/>
        <v>0</v>
      </c>
      <c r="BH13" s="33">
        <f>IFERROR(INDEX('[1]SALES PERTYPE'!$D$10:$BA$53,MATCH($C13,'[1]SALES PERTYPE'!$B$10:$B$53,0),MATCH("Y31d",'[1]SALES PERTYPE'!$D$8:$BA$8,0)),0)</f>
        <v>1</v>
      </c>
      <c r="BI13" s="33">
        <f>IFERROR(INDEX('[1]Sales per type Agustus'!$D$10:$BA$52,MATCH($C13,'[1]Sales per type Agustus'!$B$10:$B$52,0),MATCH("Y31d",'[1]Sales per type Agustus'!$D$8:$BA$8,0)),0)</f>
        <v>3</v>
      </c>
      <c r="BJ13" s="33">
        <f t="shared" si="18"/>
        <v>-2</v>
      </c>
      <c r="BK13" s="33" cm="1">
        <f t="array" ref="BK13">IFERROR(INDEX('[1]SALES PERTYPE'!$D$10:$BA$53,MATCH($C13,'[1]SALES PERTYPE'!$B$10:$B$53,0),MATCH("Y31d",'[1]SALES PERTYPE'!$D$8:$BA$8,0)+1),0)</f>
        <v>3599000</v>
      </c>
      <c r="BL13" s="33" cm="1">
        <f t="array" ref="BL13">IFERROR(INDEX('[1]Sales per type Agustus'!$D$10:$BA$52,MATCH($C13,'[1]Sales per type Agustus'!$B$10:$B$52,0),MATCH("Y31d",'[1]Sales per type Agustus'!$D$8:$BA$8,0)+1),0)</f>
        <v>10797000</v>
      </c>
      <c r="BM13" s="33">
        <f t="shared" si="19"/>
        <v>-7198000</v>
      </c>
      <c r="BN13" s="33">
        <f>IFERROR(INDEX('[1]SALES PERTYPE'!$D$10:$BA$53,MATCH($C13,'[1]SALES PERTYPE'!$B$10:$B$53,0),MATCH("Y500",'[1]SALES PERTYPE'!$D$8:$BA$8,0)),0)</f>
        <v>1</v>
      </c>
      <c r="BO13" s="33">
        <f>IFERROR(INDEX('[1]Sales per type Agustus'!$D$10:$BA$52,MATCH($C13,'[1]Sales per type Agustus'!$B$10:$B$52,0),MATCH("Y500",'[1]Sales per type Agustus'!$D$8:$BA$8,0)),0)</f>
        <v>2</v>
      </c>
      <c r="BP13" s="33">
        <f t="shared" si="20"/>
        <v>-1</v>
      </c>
      <c r="BQ13" s="33" cm="1">
        <f t="array" ref="BQ13">IFERROR(INDEX('[1]SALES PERTYPE'!$D$10:$BA$53,MATCH($C13,'[1]SALES PERTYPE'!$B$10:$B$53,0),MATCH("Y500",'[1]SALES PERTYPE'!$D$8:$BA$8,0)+1),0)</f>
        <v>6299000</v>
      </c>
      <c r="BR13" s="33" cm="1">
        <f t="array" ref="BR13">IFERROR(INDEX('[1]Sales per type Agustus'!$D$10:$BA$52,MATCH($C13,'[1]Sales per type Agustus'!$B$10:$B$52,0),MATCH("Y500",'[1]Sales per type Agustus'!$D$8:$BA$8,0)+1),0)</f>
        <v>12598000</v>
      </c>
      <c r="BS13" s="33">
        <f t="shared" si="21"/>
        <v>-6299000</v>
      </c>
      <c r="BT13" s="33">
        <f>IFERROR(INDEX('[1]SALES PERTYPE'!$D$10:$BA$53,MATCH($C13,'[1]SALES PERTYPE'!$B$10:$B$53,0),MATCH("IQOO 15R",'[1]SALES PERTYPE'!$D$8:$BA$8,0)),0)</f>
        <v>0</v>
      </c>
      <c r="BU13" s="33">
        <f>IFERROR(INDEX('[1]Sales per type Agustus'!$D$10:$BA$52,MATCH($C13,'[1]Sales per type Agustus'!$B$10:$B$52,0),MATCH("IQOO 15R",'[1]Sales per type Agustus'!$D$8:$BA$8,0)),0)</f>
        <v>0</v>
      </c>
      <c r="BV13" s="33">
        <f t="shared" si="22"/>
        <v>0</v>
      </c>
      <c r="BW13" s="33" cm="1">
        <f t="array" ref="BW13">IFERROR(INDEX('[1]SALES PERTYPE'!$D$10:$BA$53,MATCH($C13,'[1]SALES PERTYPE'!$B$10:$B$53,0),MATCH("IQOO 15R",'[1]SALES PERTYPE'!$D$8:$BA$8,0)+1),0)</f>
        <v>0</v>
      </c>
      <c r="BX13" s="33" cm="1">
        <f t="array" ref="BX13">IFERROR(INDEX('[1]Sales per type Agustus'!$D$10:$BA$52,MATCH($C13,'[1]Sales per type Agustus'!$B$10:$B$52,0),MATCH("IQOO 15R",'[1]Sales per type Agustus'!$D$8:$BA$8,0)+1),0)</f>
        <v>0</v>
      </c>
      <c r="BY13" s="33">
        <f t="shared" si="23"/>
        <v>0</v>
      </c>
      <c r="BZ13" s="33">
        <f>IFERROR(INDEX('[1]SALES PERTYPE'!$D$10:$BA$53,MATCH($C13,'[1]SALES PERTYPE'!$B$10:$B$53,0),MATCH("V60 Lite",'[1]SALES PERTYPE'!$D$8:$BA$8,0)),0)</f>
        <v>10</v>
      </c>
      <c r="CA13" s="33">
        <f>IFERROR(INDEX('[1]Sales per type Agustus'!$D$10:$BA$52,MATCH($C13,'[1]Sales per type Agustus'!$B$10:$B$52,0),MATCH("V60 Lite",'[1]Sales per type Agustus'!$D$8:$BA$8,0)),0)</f>
        <v>6</v>
      </c>
      <c r="CB13" s="33">
        <f t="shared" si="24"/>
        <v>4</v>
      </c>
      <c r="CC13" s="33" cm="1">
        <f t="array" ref="CC13">IFERROR(INDEX('[1]SALES PERTYPE'!$D$10:$BA$53,MATCH($C13,'[1]SALES PERTYPE'!$B$10:$B$53,0),MATCH("V60 Lite",'[1]SALES PERTYPE'!$D$8:$BA$8,0)+1),0)</f>
        <v>58990000</v>
      </c>
      <c r="CD13" s="33" cm="1">
        <f t="array" ref="CD13">IFERROR(INDEX('[1]Sales per type Agustus'!$D$10:$BA$52,MATCH($C13,'[1]Sales per type Agustus'!$B$10:$B$52,0),MATCH("V60 Lite",'[1]Sales per type Agustus'!$D$8:$BA$8,0)+1),0)</f>
        <v>34894000</v>
      </c>
      <c r="CE13" s="33">
        <f t="shared" si="25"/>
        <v>24096000</v>
      </c>
      <c r="CF13" s="33">
        <f>IFERROR(INDEX('[1]SALES PERTYPE'!$D$10:$BA$53,MATCH($C13,'[1]SALES PERTYPE'!$B$10:$B$53,0),MATCH("X300 Ultra",'[1]SALES PERTYPE'!$D$8:$BA$8,0)),0)</f>
        <v>0</v>
      </c>
      <c r="CG13" s="33">
        <f>IFERROR(INDEX('[1]Sales per type Agustus'!$D$10:$BA$52,MATCH($C13,'[1]Sales per type Agustus'!$B$10:$B$52,0),MATCH("X300 Ultra",'[1]Sales per type Agustus'!$D$8:$BA$8,0)),0)</f>
        <v>0</v>
      </c>
      <c r="CH13" s="33">
        <f t="shared" si="26"/>
        <v>0</v>
      </c>
      <c r="CI13" s="33" cm="1">
        <f t="array" ref="CI13">IFERROR(INDEX('[1]SALES PERTYPE'!$D$10:$BA$53,MATCH($C13,'[1]SALES PERTYPE'!$B$10:$B$53,0),MATCH("X300 Ultra",'[1]SALES PERTYPE'!$D$8:$BA$8,0)+1),0)</f>
        <v>0</v>
      </c>
      <c r="CJ13" s="33" cm="1">
        <f t="array" ref="CJ13">IFERROR(INDEX('[1]Sales per type Agustus'!$D$10:$BA$52,MATCH($C13,'[1]Sales per type Agustus'!$B$10:$B$52,0),MATCH("X300 Ultra",'[1]Sales per type Agustus'!$D$8:$BA$8,0)+1),0)</f>
        <v>0</v>
      </c>
      <c r="CK13" s="33">
        <f t="shared" si="27"/>
        <v>0</v>
      </c>
      <c r="CL13" s="33">
        <f>IFERROR(INDEX('[1]SALES PERTYPE'!$D$10:$BA$53,MATCH($C13,'[1]SALES PERTYPE'!$B$10:$B$53,0),MATCH("IQOO 15",'[1]SALES PERTYPE'!$D$8:$BA$8,0)),0)</f>
        <v>0</v>
      </c>
      <c r="CM13" s="33">
        <f>IFERROR(INDEX('[1]Sales per type Agustus'!$D$10:$BA$52,MATCH($C13,'[1]Sales per type Agustus'!$B$10:$B$52,0),MATCH("IQOO 15",'[1]Sales per type Agustus'!$D$8:$BA$8,0)),0)</f>
        <v>0</v>
      </c>
      <c r="CN13" s="33">
        <f t="shared" si="28"/>
        <v>0</v>
      </c>
      <c r="CO13" s="33" cm="1">
        <f t="array" ref="CO13">IFERROR(INDEX('[1]SALES PERTYPE'!$D$10:$BA$53,MATCH($C13,'[1]SALES PERTYPE'!$B$10:$B$53,0),MATCH("IQOO 15",'[1]SALES PERTYPE'!$D$8:$BA$8,0)+1),0)</f>
        <v>0</v>
      </c>
      <c r="CP13" s="33" cm="1">
        <f t="array" ref="CP13">IFERROR(INDEX('[1]Sales per type Agustus'!$D$10:$BA$52,MATCH($C13,'[1]Sales per type Agustus'!$B$10:$B$52,0),MATCH("IQOO 15",'[1]Sales per type Agustus'!$D$8:$BA$8,0)+1),0)</f>
        <v>0</v>
      </c>
      <c r="CQ13" s="33">
        <f t="shared" si="29"/>
        <v>0</v>
      </c>
      <c r="CR13" s="33">
        <f>IFERROR(INDEX('[1]SALES PERTYPE'!$D$10:$BA$53,MATCH($C13,'[1]SALES PERTYPE'!$B$10:$B$53,0),MATCH("IQOO Z11x",'[1]SALES PERTYPE'!$D$8:$BA$8,0)),0)</f>
        <v>0</v>
      </c>
      <c r="CS13" s="33">
        <f>IFERROR(INDEX('[1]Sales per type Agustus'!$D$10:$BA$52,MATCH($C13,'[1]Sales per type Agustus'!$B$10:$B$52,0),MATCH("IQOO Z11x",'[1]Sales per type Agustus'!$D$8:$BA$8,0)),0)</f>
        <v>1</v>
      </c>
      <c r="CT13" s="33">
        <f t="shared" si="30"/>
        <v>-1</v>
      </c>
      <c r="CU13" s="33" cm="1">
        <f t="array" ref="CU13">IFERROR(INDEX('[1]SALES PERTYPE'!$D$10:$BA$53,MATCH($C13,'[1]SALES PERTYPE'!$B$10:$B$53,0),MATCH("IQOO Z11x",'[1]SALES PERTYPE'!$D$8:$BA$8,0)+1),0)</f>
        <v>0</v>
      </c>
      <c r="CV13" s="33" cm="1">
        <f t="array" ref="CV13">IFERROR(INDEX('[1]Sales per type Agustus'!$D$10:$BA$52,MATCH($C13,'[1]Sales per type Agustus'!$B$10:$B$52,0),MATCH("IQOO Z11x",'[1]Sales per type Agustus'!$D$8:$BA$8,0)+1),0)</f>
        <v>5699000</v>
      </c>
      <c r="CW13" s="33">
        <f t="shared" si="31"/>
        <v>-5699000</v>
      </c>
      <c r="CX13" s="33">
        <f>IFERROR(INDEX('[1]SALES PERTYPE'!$D$10:$BA$53,MATCH($C13,'[1]SALES PERTYPE'!$B$10:$B$53,0),MATCH("IQOO Z11",'[1]SALES PERTYPE'!$D$8:$BA$8,0)),0)</f>
        <v>1</v>
      </c>
      <c r="CY13" s="33">
        <f>IFERROR(INDEX('[1]Sales per type Agustus'!$D$10:$BA$52,MATCH($C13,'[1]Sales per type Agustus'!$B$10:$B$52,0),MATCH("IQOO Z11",'[1]Sales per type Agustus'!$D$8:$BA$8,0)),0)</f>
        <v>2</v>
      </c>
      <c r="CZ13" s="33">
        <f t="shared" si="32"/>
        <v>-1</v>
      </c>
      <c r="DA13" s="33" cm="1">
        <f t="array" ref="DA13">IFERROR(INDEX('[1]SALES PERTYPE'!$D$10:$BA$53,MATCH($C13,'[1]SALES PERTYPE'!$B$10:$B$53,0),MATCH("IQOO Z11",'[1]SALES PERTYPE'!$D$8:$BA$8,0)+1),0)</f>
        <v>6899000</v>
      </c>
      <c r="DB13" s="33" cm="1">
        <f t="array" ref="DB13">IFERROR(INDEX('[1]Sales per type Agustus'!$D$10:$BA$52,MATCH($C13,'[1]Sales per type Agustus'!$B$10:$B$52,0),MATCH("IQOO Z11",'[1]Sales per type Agustus'!$D$8:$BA$8,0)+1),0)</f>
        <v>15298000</v>
      </c>
      <c r="DC13" s="33">
        <f t="shared" si="33"/>
        <v>-8399000</v>
      </c>
      <c r="DD13" s="33">
        <f>IFERROR(INDEX('[1]SALES PERTYPE'!$D$10:$BA$53,MATCH($C13,'[1]SALES PERTYPE'!$B$10:$B$53,0),MATCH("WATCH 3",'[1]SALES PERTYPE'!$D$8:$BA$8,0)),0)</f>
        <v>0</v>
      </c>
      <c r="DE13" s="33">
        <f>IFERROR(INDEX('[1]Sales per type Agustus'!$D$10:$BA$52,MATCH($C13,'[1]Sales per type Agustus'!$B$10:$B$52,0),MATCH("WATCH 3",'[1]Sales per type Agustus'!$D$8:$BA$8,0)),0)</f>
        <v>0</v>
      </c>
      <c r="DF13" s="33">
        <f t="shared" si="34"/>
        <v>0</v>
      </c>
      <c r="DG13" s="33" cm="1">
        <f t="array" ref="DG13">IFERROR(INDEX('[1]SALES PERTYPE'!$D$10:$BA$53,MATCH($C13,'[1]SALES PERTYPE'!$B$10:$B$53,0),MATCH("WATCH 3",'[1]SALES PERTYPE'!$D$8:$BA$8,0)+1),0)</f>
        <v>0</v>
      </c>
      <c r="DH13" s="33" cm="1">
        <f t="array" ref="DH13">IFERROR(INDEX('[1]Sales per type Agustus'!$D$10:$BA$52,MATCH($C13,'[1]Sales per type Agustus'!$B$10:$B$52,0),MATCH("WATCH 3",'[1]Sales per type Agustus'!$D$8:$BA$8,0)+1),0)</f>
        <v>0</v>
      </c>
      <c r="DI13" s="33">
        <f t="shared" si="35"/>
        <v>0</v>
      </c>
      <c r="DJ13" s="33">
        <f>IFERROR(INDEX('[1]SALES PERTYPE'!$D$10:$BA$53,MATCH($C13,'[1]SALES PERTYPE'!$B$10:$B$53,0),MATCH("X Fold5",'[1]SALES PERTYPE'!$D$8:$BA$8,0)),0)</f>
        <v>0</v>
      </c>
      <c r="DK13" s="33">
        <f>IFERROR(INDEX('[1]Sales per type Agustus'!$D$10:$BA$52,MATCH($C13,'[1]Sales per type Agustus'!$B$10:$B$52,0),MATCH("X Fold5",'[1]Sales per type Agustus'!$D$8:$BA$8,0)),0)</f>
        <v>0</v>
      </c>
      <c r="DL13" s="33">
        <f t="shared" si="36"/>
        <v>0</v>
      </c>
      <c r="DM13" s="33" cm="1">
        <f t="array" ref="DM13">IFERROR(INDEX('[1]SALES PERTYPE'!$D$10:$BA$53,MATCH($C13,'[1]SALES PERTYPE'!$B$10:$B$53,0),MATCH("X Fold5",'[1]SALES PERTYPE'!$D$8:$BA$8,0)+1),0)</f>
        <v>0</v>
      </c>
      <c r="DN13" s="33" cm="1">
        <f t="array" ref="DN13">IFERROR(INDEX('[1]Sales per type Agustus'!$D$10:$BA$52,MATCH($C13,'[1]Sales per type Agustus'!$B$10:$B$52,0),MATCH("X Fold5",'[1]Sales per type Agustus'!$D$8:$BA$8,0)+1),0)</f>
        <v>0</v>
      </c>
      <c r="DO13" s="33">
        <f t="shared" si="37"/>
        <v>0</v>
      </c>
      <c r="DP13" s="33">
        <f>IFERROR(INDEX('[1]SALES PERTYPE'!$D$10:$BA$53,MATCH($C13,'[1]SALES PERTYPE'!$B$10:$B$53,0),MATCH("X300 PRO",'[1]SALES PERTYPE'!$D$8:$BA$8,0)),0)</f>
        <v>0</v>
      </c>
      <c r="DQ13" s="33">
        <f>IFERROR(INDEX('[1]Sales per type Agustus'!$D$10:$BA$52,MATCH($C13,'[1]Sales per type Agustus'!$B$10:$B$52,0),MATCH("X300 PRO",'[1]Sales per type Agustus'!$D$8:$BA$8,0)),0)</f>
        <v>0</v>
      </c>
      <c r="DR13" s="33">
        <f t="shared" si="38"/>
        <v>0</v>
      </c>
      <c r="DS13" s="33" cm="1">
        <f t="array" ref="DS13">IFERROR(INDEX('[1]SALES PERTYPE'!$D$10:$BA$53,MATCH($C13,'[1]SALES PERTYPE'!$B$10:$B$53,0),MATCH("X300 PRO",'[1]SALES PERTYPE'!$D$8:$BA$8,0)+1),0)</f>
        <v>0</v>
      </c>
      <c r="DT13" s="33" cm="1">
        <f t="array" ref="DT13">IFERROR(INDEX('[1]Sales per type Agustus'!$D$10:$BA$52,MATCH($C13,'[1]Sales per type Agustus'!$B$10:$B$52,0),MATCH("X300 PRO",'[1]Sales per type Agustus'!$D$8:$BA$8,0)+1),0)</f>
        <v>0</v>
      </c>
      <c r="DU13" s="33">
        <f t="shared" si="39"/>
        <v>0</v>
      </c>
      <c r="DV13" s="33">
        <f>IFERROR(INDEX('[1]SALES PERTYPE'!$D$10:$BA$53,MATCH($C13,'[1]SALES PERTYPE'!$B$10:$B$53,0),MATCH("X300 ",'[1]SALES PERTYPE'!$D$8:$BA$8,0)),0)</f>
        <v>0</v>
      </c>
      <c r="DW13" s="33">
        <f>IFERROR(INDEX('[1]Sales per type Agustus'!$D$10:$BA$52,MATCH($C13,'[1]Sales per type Agustus'!$B$10:$B$52,0),MATCH("X300 ",'[1]Sales per type Agustus'!$D$8:$BA$8,0)),0)</f>
        <v>0</v>
      </c>
      <c r="DX13" s="33">
        <f t="shared" si="40"/>
        <v>0</v>
      </c>
      <c r="DY13" s="33" cm="1">
        <f t="array" ref="DY13">IFERROR(INDEX('[1]SALES PERTYPE'!$D$10:$BA$53,MATCH($C13,'[1]SALES PERTYPE'!$B$10:$B$53,0),MATCH("X300 ",'[1]SALES PERTYPE'!$D$8:$BA$8,0)+1),0)</f>
        <v>0</v>
      </c>
      <c r="DZ13" s="33" cm="1">
        <f t="array" ref="DZ13">IFERROR(INDEX('[1]Sales per type Agustus'!$D$10:$BA$52,MATCH($C13,'[1]Sales per type Agustus'!$B$10:$B$52,0),MATCH("X300 ",'[1]Sales per type Agustus'!$D$8:$BA$8,0)+1),0)</f>
        <v>0</v>
      </c>
      <c r="EA13" s="33">
        <f t="shared" si="41"/>
        <v>0</v>
      </c>
      <c r="EB13" s="33">
        <f t="shared" si="42"/>
        <v>83</v>
      </c>
      <c r="EC13" s="33">
        <f t="shared" si="42"/>
        <v>87</v>
      </c>
      <c r="ED13" s="33">
        <f t="shared" si="43"/>
        <v>-4</v>
      </c>
      <c r="EE13" s="33">
        <f t="shared" si="44"/>
        <v>298617000</v>
      </c>
      <c r="EF13" s="33">
        <f t="shared" si="44"/>
        <v>283313000</v>
      </c>
      <c r="EG13" s="33">
        <f t="shared" si="45"/>
        <v>15304000</v>
      </c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</row>
    <row r="14" spans="1:184" ht="16" x14ac:dyDescent="0.2">
      <c r="A14" s="214">
        <f>'[1]ACHIEVEMENT STORE'!A14</f>
        <v>10</v>
      </c>
      <c r="B14" s="215" t="str">
        <f>'[1]ACHIEVEMENT STORE'!B14</f>
        <v>601 雅加达西北 JKT BU</v>
      </c>
      <c r="C14" s="214">
        <f>'[1]ACHIEVEMENT STORE'!C14</f>
        <v>6020704</v>
      </c>
      <c r="D14" s="215" t="str">
        <f>'[1]ACHIEVEMENT STORE'!D14</f>
        <v>6020704-CEMPAKA SHOWROOM 14(8TOKO)</v>
      </c>
      <c r="E14" s="215" t="str">
        <f>'[1]ACHIEVEMENT STORE'!E14</f>
        <v>NOVIA HARYANTI</v>
      </c>
      <c r="F14" s="33">
        <f>IFERROR(INDEX('[1]SALES PERTYPE'!$D$10:$BA$53,MATCH($C14,'[1]SALES PERTYPE'!$B$10:$B$53,0),MATCH("Y05",'[1]SALES PERTYPE'!$D$8:$BA$8,0)),0)</f>
        <v>17</v>
      </c>
      <c r="G14" s="33">
        <f>IFERROR(INDEX('[1]Sales per type Agustus'!$D$10:$BA$52,MATCH($C14,'[1]Sales per type Agustus'!$B$10:$B$52,0),MATCH("Y05",'[1]Sales per type Agustus'!$D$8:$BA$8,0)),0)</f>
        <v>9</v>
      </c>
      <c r="H14" s="33">
        <f t="shared" si="0"/>
        <v>8</v>
      </c>
      <c r="I14" s="33" cm="1">
        <f t="array" ref="I14">IFERROR(INDEX('[1]SALES PERTYPE'!$D$10:$BA$53,MATCH($C14,'[1]SALES PERTYPE'!$B$10:$B$53,0),MATCH("Y05",'[1]SALES PERTYPE'!$D$8:$BA$8,0)+1),0)</f>
        <v>42383000</v>
      </c>
      <c r="J14" s="33" cm="1">
        <f t="array" ref="J14">IFERROR(INDEX('[1]Sales per type Agustus'!$D$10:$BA$52,MATCH($C14,'[1]Sales per type Agustus'!$B$10:$B$52,0),MATCH("Y05",'[1]Sales per type Agustus'!$D$8:$BA$8,0)+1),0)</f>
        <v>21891000</v>
      </c>
      <c r="K14" s="33">
        <f t="shared" si="1"/>
        <v>20492000</v>
      </c>
      <c r="L14" s="33">
        <f>IFERROR(INDEX('[1]SALES PERTYPE'!$D$10:$BA$53,MATCH($C14,'[1]SALES PERTYPE'!$B$10:$B$53,0),MATCH("Y11d",'[1]SALES PERTYPE'!$D$8:$BA$8,0)),0)</f>
        <v>5</v>
      </c>
      <c r="M14" s="33">
        <f>IFERROR(INDEX('[1]Sales per type Agustus'!$D$10:$BA$52,MATCH($C14,'[1]Sales per type Agustus'!$B$10:$B$52,0),MATCH("Y11d",'[1]Sales per type Agustus'!$D$8:$BA$8,0)),0)</f>
        <v>11</v>
      </c>
      <c r="N14" s="33">
        <f t="shared" si="2"/>
        <v>-6</v>
      </c>
      <c r="O14" s="33" cm="1">
        <f t="array" ref="O14">IFERROR(INDEX('[1]SALES PERTYPE'!$D$10:$BA$53,MATCH($C14,'[1]SALES PERTYPE'!$B$10:$B$53,0),MATCH("Y11d",'[1]SALES PERTYPE'!$D$8:$BA$8,0)+1),0)</f>
        <v>13595000</v>
      </c>
      <c r="P14" s="33" cm="1">
        <f t="array" ref="P14">IFERROR(INDEX('[1]Sales per type Agustus'!$D$10:$BA$52,MATCH($C14,'[1]Sales per type Agustus'!$B$10:$B$52,0),MATCH("Y11d",'[1]Sales per type Agustus'!$D$8:$BA$8,0)+1),0)</f>
        <v>29589000</v>
      </c>
      <c r="Q14" s="33">
        <f t="shared" si="3"/>
        <v>-15994000</v>
      </c>
      <c r="R14" s="33">
        <f>IFERROR(INDEX('[1]SALES PERTYPE'!$D$10:$BA$53,MATCH($C14,'[1]SALES PERTYPE'!$B$10:$B$53,0),MATCH("Watch GT 2",'[1]SALES PERTYPE'!$D$8:$BA$8,0)),0)</f>
        <v>0</v>
      </c>
      <c r="S14" s="33">
        <f>IFERROR(INDEX('[1]Sales per type Agustus'!$D$10:$BA$52,MATCH($C14,'[1]Sales per type Agustus'!$B$10:$B$52,0),MATCH("Watch GT 2",'[1]Sales per type Agustus'!$D$8:$BA$8,0)),0)</f>
        <v>0</v>
      </c>
      <c r="T14" s="33">
        <f t="shared" si="4"/>
        <v>0</v>
      </c>
      <c r="U14" s="33" cm="1">
        <f t="array" ref="U14">IFERROR(INDEX('[1]SALES PERTYPE'!$D$10:$BA$53,MATCH($C14,'[1]SALES PERTYPE'!$B$10:$B$53,0),MATCH("Watch GT 2",'[1]SALES PERTYPE'!$D$8:$BA$8,0)+1),0)</f>
        <v>0</v>
      </c>
      <c r="V14" s="33" cm="1">
        <f t="array" ref="V14">IFERROR(INDEX('[1]Sales per type Agustus'!$D$10:$BA$52,MATCH($C14,'[1]Sales per type Agustus'!$B$10:$B$52,0),MATCH("Watch GT 2",'[1]Sales per type Agustus'!$D$8:$BA$8,0)+1),0)</f>
        <v>0</v>
      </c>
      <c r="W14" s="33">
        <f t="shared" si="5"/>
        <v>0</v>
      </c>
      <c r="X14" s="33">
        <f>IFERROR(INDEX('[1]SALES PERTYPE'!$D$10:$BA$53,MATCH($C14,'[1]SALES PERTYPE'!$B$10:$B$53,0),MATCH("Y05e",'[1]SALES PERTYPE'!$D$8:$BA$8,0)),0)</f>
        <v>3</v>
      </c>
      <c r="Y14" s="33">
        <f>IFERROR(INDEX('[1]Sales per type Agustus'!$D$10:$BA$52,MATCH($C14,'[1]Sales per type Agustus'!$B$10:$B$52,0),MATCH("Y05e",'[1]Sales per type Agustus'!$D$8:$BA$8,0)),0)</f>
        <v>6</v>
      </c>
      <c r="Z14" s="33">
        <f t="shared" si="6"/>
        <v>-3</v>
      </c>
      <c r="AA14" s="33" cm="1">
        <f t="array" ref="AA14">IFERROR(INDEX('[1]SALES PERTYPE'!$D$10:$BA$53,MATCH($C14,'[1]SALES PERTYPE'!$B$10:$B$53,0),MATCH("Y05e",'[1]SALES PERTYPE'!$D$8:$BA$8,0)+1),0)</f>
        <v>6697000</v>
      </c>
      <c r="AB14" s="33" cm="1">
        <f t="array" ref="AB14">IFERROR(INDEX('[1]Sales per type Agustus'!$D$10:$BA$52,MATCH($C14,'[1]Sales per type Agustus'!$B$10:$B$52,0),MATCH("Y05e",'[1]Sales per type Agustus'!$D$8:$BA$8,0)+1),0)</f>
        <v>12594000</v>
      </c>
      <c r="AC14" s="33">
        <f t="shared" si="7"/>
        <v>-5897000</v>
      </c>
      <c r="AD14" s="33">
        <f>IFERROR(INDEX('[1]SALES PERTYPE'!$D$10:$BA$53,MATCH($C14,'[1]SALES PERTYPE'!$B$10:$B$53,0),MATCH("V70",'[1]SALES PERTYPE'!$D$8:$BA$8,0)),0)</f>
        <v>3</v>
      </c>
      <c r="AE14" s="33">
        <f>IFERROR(INDEX('[1]Sales per type Agustus'!$D$10:$BA$52,MATCH($C14,'[1]Sales per type Agustus'!$B$10:$B$52,0),MATCH("V70",'[1]Sales per type Agustus'!$D$8:$BA$8,0)),0)</f>
        <v>0</v>
      </c>
      <c r="AF14" s="33">
        <f t="shared" si="8"/>
        <v>3</v>
      </c>
      <c r="AG14" s="33" cm="1">
        <f t="array" ref="AG14">IFERROR(INDEX('[1]SALES PERTYPE'!$D$10:$BA$53,MATCH($C14,'[1]SALES PERTYPE'!$B$10:$B$53,0),MATCH("V70",'[1]SALES PERTYPE'!$D$8:$BA$8,0)+1),0)</f>
        <v>29997000</v>
      </c>
      <c r="AH14" s="33" cm="1">
        <f t="array" ref="AH14">IFERROR(INDEX('[1]Sales per type Agustus'!$D$10:$BA$52,MATCH($C14,'[1]Sales per type Agustus'!$B$10:$B$52,0),MATCH("V70",'[1]Sales per type Agustus'!$D$8:$BA$8,0)+1),0)</f>
        <v>0</v>
      </c>
      <c r="AI14" s="33">
        <f t="shared" si="9"/>
        <v>29997000</v>
      </c>
      <c r="AJ14" s="33">
        <f>IFERROR(INDEX('[1]SALES PERTYPE'!$D$10:$BA$53,MATCH($C14,'[1]SALES PERTYPE'!$B$10:$B$53,0),MATCH("Y31d Pro",'[1]SALES PERTYPE'!$D$8:$BA$8,0)),0)</f>
        <v>8</v>
      </c>
      <c r="AK14" s="33">
        <f>IFERROR(INDEX('[1]Sales per type Agustus'!$D$10:$BA$52,MATCH($C14,'[1]Sales per type Agustus'!$B$10:$B$52,0),MATCH("Y31d Pro",'[1]Sales per type Agustus'!$D$8:$BA$8,0)),0)</f>
        <v>9</v>
      </c>
      <c r="AL14" s="33">
        <f t="shared" si="10"/>
        <v>-1</v>
      </c>
      <c r="AM14" s="33" cm="1">
        <f t="array" ref="AM14">IFERROR(INDEX('[1]SALES PERTYPE'!$D$10:$BA$53,MATCH($C14,'[1]SALES PERTYPE'!$B$10:$B$53,0),MATCH("Y31d Pro",'[1]SALES PERTYPE'!$D$8:$BA$8,0)+1),0)</f>
        <v>34992000</v>
      </c>
      <c r="AN14" s="33" cm="1">
        <f t="array" ref="AN14">IFERROR(INDEX('[1]Sales per type Agustus'!$D$10:$BA$52,MATCH($C14,'[1]Sales per type Agustus'!$B$10:$B$52,0),MATCH("Y31d Pro",'[1]Sales per type Agustus'!$D$8:$BA$8,0)+1),0)</f>
        <v>39091000</v>
      </c>
      <c r="AO14" s="33">
        <f t="shared" si="11"/>
        <v>-4099000</v>
      </c>
      <c r="AP14" s="33" cm="1">
        <f t="array" ref="AP14">IFERROR(INDEX('[1]SALES PERTYPE'!$D$10:$BA$53,MATCH($C14,'[1]SALES PERTYPE'!$B$10:$B$53,0),$EI$3),0)</f>
        <v>0</v>
      </c>
      <c r="AQ14" s="33" cm="1">
        <f t="array" ref="AQ14">IFERROR(INDEX('[1]Sales per type Agustus'!$D$10:$BA$52,MATCH($C14,'[1]Sales per type Agustus'!$B$10:$B$52,0),$EI$2),0)</f>
        <v>0</v>
      </c>
      <c r="AR14" s="33">
        <f t="shared" si="12"/>
        <v>0</v>
      </c>
      <c r="AS14" s="33" cm="1">
        <f t="array" ref="AS14">IFERROR(INDEX('[1]SALES PERTYPE'!$D$10:$BA$53,MATCH($C14,'[1]SALES PERTYPE'!$B$10:$B$53,0),$EI$3+1),0)</f>
        <v>0</v>
      </c>
      <c r="AT14" s="33" cm="1">
        <f t="array" ref="AT14">IFERROR(INDEX('[1]Sales per type Agustus'!$D$10:$BA$52,MATCH($C14,'[1]Sales per type Agustus'!$B$10:$B$52,0),$EI$2+1),0)</f>
        <v>0</v>
      </c>
      <c r="AU14" s="33">
        <f t="shared" si="13"/>
        <v>0</v>
      </c>
      <c r="AV14" s="33">
        <f>IFERROR(INDEX('[1]SALES PERTYPE'!$D$10:$BA$53,MATCH($C14,'[1]SALES PERTYPE'!$B$10:$B$53,0),MATCH("Y31d ",'[1]SALES PERTYPE'!$D$8:$BA$8,0)),0)</f>
        <v>0</v>
      </c>
      <c r="AW14" s="33">
        <f>IFERROR(INDEX('[1]Sales per type Agustus'!$D$10:$BA$52,MATCH($C14,'[1]Sales per type Agustus'!$B$10:$B$52,0),MATCH("Y31d ",'[1]Sales per type Agustus'!$D$8:$BA$8,0)),0)</f>
        <v>1</v>
      </c>
      <c r="AX14" s="33">
        <f t="shared" si="14"/>
        <v>-1</v>
      </c>
      <c r="AY14" s="33" cm="1">
        <f t="array" ref="AY14">IFERROR(INDEX('[1]SALES PERTYPE'!$D$10:$BA$53,MATCH($C14,'[1]SALES PERTYPE'!$B$10:$B$53,0),MATCH("Y31d ",'[1]SALES PERTYPE'!$D$8:$BA$8,0)+1),0)</f>
        <v>0</v>
      </c>
      <c r="AZ14" s="33" cm="1">
        <f t="array" ref="AZ14">IFERROR(INDEX('[1]Sales per type Agustus'!$D$10:$BA$52,MATCH($C14,'[1]Sales per type Agustus'!$B$10:$B$52,0),MATCH("Y31d ",'[1]Sales per type Agustus'!$D$8:$BA$8,0)+1),0)</f>
        <v>3599000</v>
      </c>
      <c r="BA14" s="33">
        <f t="shared" si="15"/>
        <v>-3599000</v>
      </c>
      <c r="BB14" s="33">
        <f>IFERROR(INDEX('[1]SALES PERTYPE'!$D$10:$BA$53,MATCH($C14,'[1]SALES PERTYPE'!$B$10:$B$53,0),MATCH("V70 FE",'[1]SALES PERTYPE'!$D$8:$BA$8,0)),0)</f>
        <v>1</v>
      </c>
      <c r="BC14" s="33">
        <f>IFERROR(INDEX('[1]Sales per type Agustus'!$D$10:$BA$52,MATCH($C14,'[1]Sales per type Agustus'!$B$10:$B$52,0),MATCH("V70 FE",'[1]Sales per type Agustus'!$D$8:$BA$8,0)),0)</f>
        <v>2</v>
      </c>
      <c r="BD14" s="33">
        <f t="shared" si="16"/>
        <v>-1</v>
      </c>
      <c r="BE14" s="33" cm="1">
        <f t="array" ref="BE14">IFERROR(INDEX('[1]SALES PERTYPE'!$D$10:$BA$53,MATCH($C14,'[1]SALES PERTYPE'!$B$10:$B$53,0),MATCH("V70 FE",'[1]SALES PERTYPE'!$D$8:$BA$8,0)+1),0)</f>
        <v>7999000</v>
      </c>
      <c r="BF14" s="33" cm="1">
        <f t="array" ref="BF14">IFERROR(INDEX('[1]Sales per type Agustus'!$D$10:$BA$52,MATCH($C14,'[1]Sales per type Agustus'!$B$10:$B$52,0),MATCH("V70 FE",'[1]Sales per type Agustus'!$D$8:$BA$8,0)+1),0)</f>
        <v>14998000</v>
      </c>
      <c r="BG14" s="33">
        <f t="shared" si="17"/>
        <v>-6999000</v>
      </c>
      <c r="BH14" s="33">
        <f>IFERROR(INDEX('[1]SALES PERTYPE'!$D$10:$BA$53,MATCH($C14,'[1]SALES PERTYPE'!$B$10:$B$53,0),MATCH("Y31d",'[1]SALES PERTYPE'!$D$8:$BA$8,0)),0)</f>
        <v>1</v>
      </c>
      <c r="BI14" s="33">
        <f>IFERROR(INDEX('[1]Sales per type Agustus'!$D$10:$BA$52,MATCH($C14,'[1]Sales per type Agustus'!$B$10:$B$52,0),MATCH("Y31d",'[1]Sales per type Agustus'!$D$8:$BA$8,0)),0)</f>
        <v>1</v>
      </c>
      <c r="BJ14" s="33">
        <f t="shared" si="18"/>
        <v>0</v>
      </c>
      <c r="BK14" s="33" cm="1">
        <f t="array" ref="BK14">IFERROR(INDEX('[1]SALES PERTYPE'!$D$10:$BA$53,MATCH($C14,'[1]SALES PERTYPE'!$B$10:$B$53,0),MATCH("Y31d",'[1]SALES PERTYPE'!$D$8:$BA$8,0)+1),0)</f>
        <v>3599000</v>
      </c>
      <c r="BL14" s="33" cm="1">
        <f t="array" ref="BL14">IFERROR(INDEX('[1]Sales per type Agustus'!$D$10:$BA$52,MATCH($C14,'[1]Sales per type Agustus'!$B$10:$B$52,0),MATCH("Y31d",'[1]Sales per type Agustus'!$D$8:$BA$8,0)+1),0)</f>
        <v>3599000</v>
      </c>
      <c r="BM14" s="33">
        <f t="shared" si="19"/>
        <v>0</v>
      </c>
      <c r="BN14" s="33">
        <f>IFERROR(INDEX('[1]SALES PERTYPE'!$D$10:$BA$53,MATCH($C14,'[1]SALES PERTYPE'!$B$10:$B$53,0),MATCH("Y500",'[1]SALES PERTYPE'!$D$8:$BA$8,0)),0)</f>
        <v>0</v>
      </c>
      <c r="BO14" s="33">
        <f>IFERROR(INDEX('[1]Sales per type Agustus'!$D$10:$BA$52,MATCH($C14,'[1]Sales per type Agustus'!$B$10:$B$52,0),MATCH("Y500",'[1]Sales per type Agustus'!$D$8:$BA$8,0)),0)</f>
        <v>2</v>
      </c>
      <c r="BP14" s="33">
        <f t="shared" si="20"/>
        <v>-2</v>
      </c>
      <c r="BQ14" s="33" cm="1">
        <f t="array" ref="BQ14">IFERROR(INDEX('[1]SALES PERTYPE'!$D$10:$BA$53,MATCH($C14,'[1]SALES PERTYPE'!$B$10:$B$53,0),MATCH("Y500",'[1]SALES PERTYPE'!$D$8:$BA$8,0)+1),0)</f>
        <v>0</v>
      </c>
      <c r="BR14" s="33" cm="1">
        <f t="array" ref="BR14">IFERROR(INDEX('[1]Sales per type Agustus'!$D$10:$BA$52,MATCH($C14,'[1]Sales per type Agustus'!$B$10:$B$52,0),MATCH("Y500",'[1]Sales per type Agustus'!$D$8:$BA$8,0)+1),0)</f>
        <v>10998000</v>
      </c>
      <c r="BS14" s="33">
        <f t="shared" si="21"/>
        <v>-10998000</v>
      </c>
      <c r="BT14" s="33">
        <f>IFERROR(INDEX('[1]SALES PERTYPE'!$D$10:$BA$53,MATCH($C14,'[1]SALES PERTYPE'!$B$10:$B$53,0),MATCH("IQOO 15R",'[1]SALES PERTYPE'!$D$8:$BA$8,0)),0)</f>
        <v>0</v>
      </c>
      <c r="BU14" s="33">
        <f>IFERROR(INDEX('[1]Sales per type Agustus'!$D$10:$BA$52,MATCH($C14,'[1]Sales per type Agustus'!$B$10:$B$52,0),MATCH("IQOO 15R",'[1]Sales per type Agustus'!$D$8:$BA$8,0)),0)</f>
        <v>0</v>
      </c>
      <c r="BV14" s="33">
        <f t="shared" si="22"/>
        <v>0</v>
      </c>
      <c r="BW14" s="33" cm="1">
        <f t="array" ref="BW14">IFERROR(INDEX('[1]SALES PERTYPE'!$D$10:$BA$53,MATCH($C14,'[1]SALES PERTYPE'!$B$10:$B$53,0),MATCH("IQOO 15R",'[1]SALES PERTYPE'!$D$8:$BA$8,0)+1),0)</f>
        <v>0</v>
      </c>
      <c r="BX14" s="33" cm="1">
        <f t="array" ref="BX14">IFERROR(INDEX('[1]Sales per type Agustus'!$D$10:$BA$52,MATCH($C14,'[1]Sales per type Agustus'!$B$10:$B$52,0),MATCH("IQOO 15R",'[1]Sales per type Agustus'!$D$8:$BA$8,0)+1),0)</f>
        <v>0</v>
      </c>
      <c r="BY14" s="33">
        <f t="shared" si="23"/>
        <v>0</v>
      </c>
      <c r="BZ14" s="33">
        <f>IFERROR(INDEX('[1]SALES PERTYPE'!$D$10:$BA$53,MATCH($C14,'[1]SALES PERTYPE'!$B$10:$B$53,0),MATCH("V60 Lite",'[1]SALES PERTYPE'!$D$8:$BA$8,0)),0)</f>
        <v>2</v>
      </c>
      <c r="CA14" s="33">
        <f>IFERROR(INDEX('[1]Sales per type Agustus'!$D$10:$BA$52,MATCH($C14,'[1]Sales per type Agustus'!$B$10:$B$52,0),MATCH("V60 Lite",'[1]Sales per type Agustus'!$D$8:$BA$8,0)),0)</f>
        <v>5</v>
      </c>
      <c r="CB14" s="33">
        <f t="shared" si="24"/>
        <v>-3</v>
      </c>
      <c r="CC14" s="33" cm="1">
        <f t="array" ref="CC14">IFERROR(INDEX('[1]SALES PERTYPE'!$D$10:$BA$53,MATCH($C14,'[1]SALES PERTYPE'!$B$10:$B$53,0),MATCH("V60 Lite",'[1]SALES PERTYPE'!$D$8:$BA$8,0)+1),0)</f>
        <v>11798000</v>
      </c>
      <c r="CD14" s="33" cm="1">
        <f t="array" ref="CD14">IFERROR(INDEX('[1]Sales per type Agustus'!$D$10:$BA$52,MATCH($C14,'[1]Sales per type Agustus'!$B$10:$B$52,0),MATCH("V60 Lite",'[1]Sales per type Agustus'!$D$8:$BA$8,0)+1),0)</f>
        <v>28895000</v>
      </c>
      <c r="CE14" s="33">
        <f t="shared" si="25"/>
        <v>-17097000</v>
      </c>
      <c r="CF14" s="33">
        <f>IFERROR(INDEX('[1]SALES PERTYPE'!$D$10:$BA$53,MATCH($C14,'[1]SALES PERTYPE'!$B$10:$B$53,0),MATCH("X300 Ultra",'[1]SALES PERTYPE'!$D$8:$BA$8,0)),0)</f>
        <v>0</v>
      </c>
      <c r="CG14" s="33">
        <f>IFERROR(INDEX('[1]Sales per type Agustus'!$D$10:$BA$52,MATCH($C14,'[1]Sales per type Agustus'!$B$10:$B$52,0),MATCH("X300 Ultra",'[1]Sales per type Agustus'!$D$8:$BA$8,0)),0)</f>
        <v>0</v>
      </c>
      <c r="CH14" s="33">
        <f t="shared" si="26"/>
        <v>0</v>
      </c>
      <c r="CI14" s="33" cm="1">
        <f t="array" ref="CI14">IFERROR(INDEX('[1]SALES PERTYPE'!$D$10:$BA$53,MATCH($C14,'[1]SALES PERTYPE'!$B$10:$B$53,0),MATCH("X300 Ultra",'[1]SALES PERTYPE'!$D$8:$BA$8,0)+1),0)</f>
        <v>0</v>
      </c>
      <c r="CJ14" s="33" cm="1">
        <f t="array" ref="CJ14">IFERROR(INDEX('[1]Sales per type Agustus'!$D$10:$BA$52,MATCH($C14,'[1]Sales per type Agustus'!$B$10:$B$52,0),MATCH("X300 Ultra",'[1]Sales per type Agustus'!$D$8:$BA$8,0)+1),0)</f>
        <v>0</v>
      </c>
      <c r="CK14" s="33">
        <f t="shared" si="27"/>
        <v>0</v>
      </c>
      <c r="CL14" s="33">
        <f>IFERROR(INDEX('[1]SALES PERTYPE'!$D$10:$BA$53,MATCH($C14,'[1]SALES PERTYPE'!$B$10:$B$53,0),MATCH("IQOO 15",'[1]SALES PERTYPE'!$D$8:$BA$8,0)),0)</f>
        <v>0</v>
      </c>
      <c r="CM14" s="33">
        <f>IFERROR(INDEX('[1]Sales per type Agustus'!$D$10:$BA$52,MATCH($C14,'[1]Sales per type Agustus'!$B$10:$B$52,0),MATCH("IQOO 15",'[1]Sales per type Agustus'!$D$8:$BA$8,0)),0)</f>
        <v>0</v>
      </c>
      <c r="CN14" s="33">
        <f t="shared" si="28"/>
        <v>0</v>
      </c>
      <c r="CO14" s="33" cm="1">
        <f t="array" ref="CO14">IFERROR(INDEX('[1]SALES PERTYPE'!$D$10:$BA$53,MATCH($C14,'[1]SALES PERTYPE'!$B$10:$B$53,0),MATCH("IQOO 15",'[1]SALES PERTYPE'!$D$8:$BA$8,0)+1),0)</f>
        <v>0</v>
      </c>
      <c r="CP14" s="33" cm="1">
        <f t="array" ref="CP14">IFERROR(INDEX('[1]Sales per type Agustus'!$D$10:$BA$52,MATCH($C14,'[1]Sales per type Agustus'!$B$10:$B$52,0),MATCH("IQOO 15",'[1]Sales per type Agustus'!$D$8:$BA$8,0)+1),0)</f>
        <v>0</v>
      </c>
      <c r="CQ14" s="33">
        <f t="shared" si="29"/>
        <v>0</v>
      </c>
      <c r="CR14" s="33">
        <f>IFERROR(INDEX('[1]SALES PERTYPE'!$D$10:$BA$53,MATCH($C14,'[1]SALES PERTYPE'!$B$10:$B$53,0),MATCH("IQOO Z11x",'[1]SALES PERTYPE'!$D$8:$BA$8,0)),0)</f>
        <v>2</v>
      </c>
      <c r="CS14" s="33">
        <f>IFERROR(INDEX('[1]Sales per type Agustus'!$D$10:$BA$52,MATCH($C14,'[1]Sales per type Agustus'!$B$10:$B$52,0),MATCH("IQOO Z11x",'[1]Sales per type Agustus'!$D$8:$BA$8,0)),0)</f>
        <v>0</v>
      </c>
      <c r="CT14" s="33">
        <f t="shared" si="30"/>
        <v>2</v>
      </c>
      <c r="CU14" s="33" cm="1">
        <f t="array" ref="CU14">IFERROR(INDEX('[1]SALES PERTYPE'!$D$10:$BA$53,MATCH($C14,'[1]SALES PERTYPE'!$B$10:$B$53,0),MATCH("IQOO Z11x",'[1]SALES PERTYPE'!$D$8:$BA$8,0)+1),0)</f>
        <v>9598000</v>
      </c>
      <c r="CV14" s="33" cm="1">
        <f t="array" ref="CV14">IFERROR(INDEX('[1]Sales per type Agustus'!$D$10:$BA$52,MATCH($C14,'[1]Sales per type Agustus'!$B$10:$B$52,0),MATCH("IQOO Z11x",'[1]Sales per type Agustus'!$D$8:$BA$8,0)+1),0)</f>
        <v>0</v>
      </c>
      <c r="CW14" s="33">
        <f t="shared" si="31"/>
        <v>9598000</v>
      </c>
      <c r="CX14" s="33">
        <f>IFERROR(INDEX('[1]SALES PERTYPE'!$D$10:$BA$53,MATCH($C14,'[1]SALES PERTYPE'!$B$10:$B$53,0),MATCH("IQOO Z11",'[1]SALES PERTYPE'!$D$8:$BA$8,0)),0)</f>
        <v>1</v>
      </c>
      <c r="CY14" s="33">
        <f>IFERROR(INDEX('[1]Sales per type Agustus'!$D$10:$BA$52,MATCH($C14,'[1]Sales per type Agustus'!$B$10:$B$52,0),MATCH("IQOO Z11",'[1]Sales per type Agustus'!$D$8:$BA$8,0)),0)</f>
        <v>1</v>
      </c>
      <c r="CZ14" s="33">
        <f t="shared" si="32"/>
        <v>0</v>
      </c>
      <c r="DA14" s="33" cm="1">
        <f t="array" ref="DA14">IFERROR(INDEX('[1]SALES PERTYPE'!$D$10:$BA$53,MATCH($C14,'[1]SALES PERTYPE'!$B$10:$B$53,0),MATCH("IQOO Z11",'[1]SALES PERTYPE'!$D$8:$BA$8,0)+1),0)</f>
        <v>6899000</v>
      </c>
      <c r="DB14" s="33" cm="1">
        <f t="array" ref="DB14">IFERROR(INDEX('[1]Sales per type Agustus'!$D$10:$BA$52,MATCH($C14,'[1]Sales per type Agustus'!$B$10:$B$52,0),MATCH("IQOO Z11",'[1]Sales per type Agustus'!$D$8:$BA$8,0)+1),0)</f>
        <v>6899000</v>
      </c>
      <c r="DC14" s="33">
        <f t="shared" si="33"/>
        <v>0</v>
      </c>
      <c r="DD14" s="33">
        <f>IFERROR(INDEX('[1]SALES PERTYPE'!$D$10:$BA$53,MATCH($C14,'[1]SALES PERTYPE'!$B$10:$B$53,0),MATCH("WATCH 3",'[1]SALES PERTYPE'!$D$8:$BA$8,0)),0)</f>
        <v>0</v>
      </c>
      <c r="DE14" s="33">
        <f>IFERROR(INDEX('[1]Sales per type Agustus'!$D$10:$BA$52,MATCH($C14,'[1]Sales per type Agustus'!$B$10:$B$52,0),MATCH("WATCH 3",'[1]Sales per type Agustus'!$D$8:$BA$8,0)),0)</f>
        <v>0</v>
      </c>
      <c r="DF14" s="33">
        <f t="shared" si="34"/>
        <v>0</v>
      </c>
      <c r="DG14" s="33" cm="1">
        <f t="array" ref="DG14">IFERROR(INDEX('[1]SALES PERTYPE'!$D$10:$BA$53,MATCH($C14,'[1]SALES PERTYPE'!$B$10:$B$53,0),MATCH("WATCH 3",'[1]SALES PERTYPE'!$D$8:$BA$8,0)+1),0)</f>
        <v>0</v>
      </c>
      <c r="DH14" s="33" cm="1">
        <f t="array" ref="DH14">IFERROR(INDEX('[1]Sales per type Agustus'!$D$10:$BA$52,MATCH($C14,'[1]Sales per type Agustus'!$B$10:$B$52,0),MATCH("WATCH 3",'[1]Sales per type Agustus'!$D$8:$BA$8,0)+1),0)</f>
        <v>0</v>
      </c>
      <c r="DI14" s="33">
        <f t="shared" si="35"/>
        <v>0</v>
      </c>
      <c r="DJ14" s="33">
        <f>IFERROR(INDEX('[1]SALES PERTYPE'!$D$10:$BA$53,MATCH($C14,'[1]SALES PERTYPE'!$B$10:$B$53,0),MATCH("X Fold5",'[1]SALES PERTYPE'!$D$8:$BA$8,0)),0)</f>
        <v>0</v>
      </c>
      <c r="DK14" s="33">
        <f>IFERROR(INDEX('[1]Sales per type Agustus'!$D$10:$BA$52,MATCH($C14,'[1]Sales per type Agustus'!$B$10:$B$52,0),MATCH("X Fold5",'[1]Sales per type Agustus'!$D$8:$BA$8,0)),0)</f>
        <v>0</v>
      </c>
      <c r="DL14" s="33">
        <f t="shared" si="36"/>
        <v>0</v>
      </c>
      <c r="DM14" s="33" cm="1">
        <f t="array" ref="DM14">IFERROR(INDEX('[1]SALES PERTYPE'!$D$10:$BA$53,MATCH($C14,'[1]SALES PERTYPE'!$B$10:$B$53,0),MATCH("X Fold5",'[1]SALES PERTYPE'!$D$8:$BA$8,0)+1),0)</f>
        <v>0</v>
      </c>
      <c r="DN14" s="33" cm="1">
        <f t="array" ref="DN14">IFERROR(INDEX('[1]Sales per type Agustus'!$D$10:$BA$52,MATCH($C14,'[1]Sales per type Agustus'!$B$10:$B$52,0),MATCH("X Fold5",'[1]Sales per type Agustus'!$D$8:$BA$8,0)+1),0)</f>
        <v>0</v>
      </c>
      <c r="DO14" s="33">
        <f t="shared" si="37"/>
        <v>0</v>
      </c>
      <c r="DP14" s="33">
        <f>IFERROR(INDEX('[1]SALES PERTYPE'!$D$10:$BA$53,MATCH($C14,'[1]SALES PERTYPE'!$B$10:$B$53,0),MATCH("X300 PRO",'[1]SALES PERTYPE'!$D$8:$BA$8,0)),0)</f>
        <v>0</v>
      </c>
      <c r="DQ14" s="33">
        <f>IFERROR(INDEX('[1]Sales per type Agustus'!$D$10:$BA$52,MATCH($C14,'[1]Sales per type Agustus'!$B$10:$B$52,0),MATCH("X300 PRO",'[1]Sales per type Agustus'!$D$8:$BA$8,0)),0)</f>
        <v>0</v>
      </c>
      <c r="DR14" s="33">
        <f t="shared" si="38"/>
        <v>0</v>
      </c>
      <c r="DS14" s="33" cm="1">
        <f t="array" ref="DS14">IFERROR(INDEX('[1]SALES PERTYPE'!$D$10:$BA$53,MATCH($C14,'[1]SALES PERTYPE'!$B$10:$B$53,0),MATCH("X300 PRO",'[1]SALES PERTYPE'!$D$8:$BA$8,0)+1),0)</f>
        <v>0</v>
      </c>
      <c r="DT14" s="33" cm="1">
        <f t="array" ref="DT14">IFERROR(INDEX('[1]Sales per type Agustus'!$D$10:$BA$52,MATCH($C14,'[1]Sales per type Agustus'!$B$10:$B$52,0),MATCH("X300 PRO",'[1]Sales per type Agustus'!$D$8:$BA$8,0)+1),0)</f>
        <v>0</v>
      </c>
      <c r="DU14" s="33">
        <f t="shared" si="39"/>
        <v>0</v>
      </c>
      <c r="DV14" s="33">
        <f>IFERROR(INDEX('[1]SALES PERTYPE'!$D$10:$BA$53,MATCH($C14,'[1]SALES PERTYPE'!$B$10:$B$53,0),MATCH("X300 ",'[1]SALES PERTYPE'!$D$8:$BA$8,0)),0)</f>
        <v>0</v>
      </c>
      <c r="DW14" s="33">
        <f>IFERROR(INDEX('[1]Sales per type Agustus'!$D$10:$BA$52,MATCH($C14,'[1]Sales per type Agustus'!$B$10:$B$52,0),MATCH("X300 ",'[1]Sales per type Agustus'!$D$8:$BA$8,0)),0)</f>
        <v>0</v>
      </c>
      <c r="DX14" s="33">
        <f t="shared" si="40"/>
        <v>0</v>
      </c>
      <c r="DY14" s="33" cm="1">
        <f t="array" ref="DY14">IFERROR(INDEX('[1]SALES PERTYPE'!$D$10:$BA$53,MATCH($C14,'[1]SALES PERTYPE'!$B$10:$B$53,0),MATCH("X300 ",'[1]SALES PERTYPE'!$D$8:$BA$8,0)+1),0)</f>
        <v>0</v>
      </c>
      <c r="DZ14" s="33" cm="1">
        <f t="array" ref="DZ14">IFERROR(INDEX('[1]Sales per type Agustus'!$D$10:$BA$52,MATCH($C14,'[1]Sales per type Agustus'!$B$10:$B$52,0),MATCH("X300 ",'[1]Sales per type Agustus'!$D$8:$BA$8,0)+1),0)</f>
        <v>0</v>
      </c>
      <c r="EA14" s="33">
        <f t="shared" si="41"/>
        <v>0</v>
      </c>
      <c r="EB14" s="33">
        <f t="shared" si="42"/>
        <v>43</v>
      </c>
      <c r="EC14" s="33">
        <f t="shared" si="42"/>
        <v>47</v>
      </c>
      <c r="ED14" s="33">
        <f t="shared" si="43"/>
        <v>-4</v>
      </c>
      <c r="EE14" s="33">
        <f t="shared" si="44"/>
        <v>167557000</v>
      </c>
      <c r="EF14" s="33">
        <f t="shared" si="44"/>
        <v>172153000</v>
      </c>
      <c r="EG14" s="33">
        <f t="shared" si="45"/>
        <v>-4596000</v>
      </c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</row>
    <row r="15" spans="1:184" ht="16" x14ac:dyDescent="0.2">
      <c r="A15" s="31">
        <f>'[1]ACHIEVEMENT STORE'!A15</f>
        <v>11</v>
      </c>
      <c r="B15" s="32" t="str">
        <f>'[1]ACHIEVEMENT STORE'!B15</f>
        <v>604 雅加达东南 JKT TS</v>
      </c>
      <c r="C15" s="31">
        <f>'[1]ACHIEVEMENT STORE'!C15</f>
        <v>6040701</v>
      </c>
      <c r="D15" s="32" t="str">
        <f>'[1]ACHIEVEMENT STORE'!D15</f>
        <v>6040701-ITC DEPOK VIVO STORE 1</v>
      </c>
      <c r="E15" s="32" t="str">
        <f>'[1]ACHIEVEMENT STORE'!E15</f>
        <v>Erlangga Praditya</v>
      </c>
      <c r="F15" s="33">
        <f>IFERROR(INDEX('[1]SALES PERTYPE'!$D$10:$BA$53,MATCH($C15,'[1]SALES PERTYPE'!$B$10:$B$53,0),MATCH("Y05",'[1]SALES PERTYPE'!$D$8:$BA$8,0)),0)</f>
        <v>9</v>
      </c>
      <c r="G15" s="33">
        <f>IFERROR(INDEX('[1]Sales per type Agustus'!$D$10:$BA$52,MATCH($C15,'[1]Sales per type Agustus'!$B$10:$B$52,0),MATCH("Y05",'[1]Sales per type Agustus'!$D$8:$BA$8,0)),0)</f>
        <v>9</v>
      </c>
      <c r="H15" s="33">
        <f t="shared" si="0"/>
        <v>0</v>
      </c>
      <c r="I15" s="33" cm="1">
        <f t="array" ref="I15">IFERROR(INDEX('[1]SALES PERTYPE'!$D$10:$BA$53,MATCH($C15,'[1]SALES PERTYPE'!$B$10:$B$53,0),MATCH("Y05",'[1]SALES PERTYPE'!$D$8:$BA$8,0)+1),0)</f>
        <v>22491000</v>
      </c>
      <c r="J15" s="33" cm="1">
        <f t="array" ref="J15">IFERROR(INDEX('[1]Sales per type Agustus'!$D$10:$BA$52,MATCH($C15,'[1]Sales per type Agustus'!$B$10:$B$52,0),MATCH("Y05",'[1]Sales per type Agustus'!$D$8:$BA$8,0)+1),0)</f>
        <v>22491000</v>
      </c>
      <c r="K15" s="33">
        <f t="shared" si="1"/>
        <v>0</v>
      </c>
      <c r="L15" s="33">
        <f>IFERROR(INDEX('[1]SALES PERTYPE'!$D$10:$BA$53,MATCH($C15,'[1]SALES PERTYPE'!$B$10:$B$53,0),MATCH("Y11d",'[1]SALES PERTYPE'!$D$8:$BA$8,0)),0)</f>
        <v>6</v>
      </c>
      <c r="M15" s="33">
        <f>IFERROR(INDEX('[1]Sales per type Agustus'!$D$10:$BA$52,MATCH($C15,'[1]Sales per type Agustus'!$B$10:$B$52,0),MATCH("Y11d",'[1]Sales per type Agustus'!$D$8:$BA$8,0)),0)</f>
        <v>11</v>
      </c>
      <c r="N15" s="33">
        <f t="shared" si="2"/>
        <v>-5</v>
      </c>
      <c r="O15" s="33" cm="1">
        <f t="array" ref="O15">IFERROR(INDEX('[1]SALES PERTYPE'!$D$10:$BA$53,MATCH($C15,'[1]SALES PERTYPE'!$B$10:$B$53,0),MATCH("Y11d",'[1]SALES PERTYPE'!$D$8:$BA$8,0)+1),0)</f>
        <v>16394000</v>
      </c>
      <c r="P15" s="33" cm="1">
        <f t="array" ref="P15">IFERROR(INDEX('[1]Sales per type Agustus'!$D$10:$BA$52,MATCH($C15,'[1]Sales per type Agustus'!$B$10:$B$52,0),MATCH("Y11d",'[1]Sales per type Agustus'!$D$8:$BA$8,0)+1),0)</f>
        <v>28389000</v>
      </c>
      <c r="Q15" s="33">
        <f t="shared" si="3"/>
        <v>-11995000</v>
      </c>
      <c r="R15" s="33">
        <f>IFERROR(INDEX('[1]SALES PERTYPE'!$D$10:$BA$53,MATCH($C15,'[1]SALES PERTYPE'!$B$10:$B$53,0),MATCH("Watch GT 2",'[1]SALES PERTYPE'!$D$8:$BA$8,0)),0)</f>
        <v>1</v>
      </c>
      <c r="S15" s="33">
        <f>IFERROR(INDEX('[1]Sales per type Agustus'!$D$10:$BA$52,MATCH($C15,'[1]Sales per type Agustus'!$B$10:$B$52,0),MATCH("Watch GT 2",'[1]Sales per type Agustus'!$D$8:$BA$8,0)),0)</f>
        <v>0</v>
      </c>
      <c r="T15" s="33">
        <f t="shared" si="4"/>
        <v>1</v>
      </c>
      <c r="U15" s="33" cm="1">
        <f t="array" ref="U15">IFERROR(INDEX('[1]SALES PERTYPE'!$D$10:$BA$53,MATCH($C15,'[1]SALES PERTYPE'!$B$10:$B$53,0),MATCH("Watch GT 2",'[1]SALES PERTYPE'!$D$8:$BA$8,0)+1),0)</f>
        <v>1799000</v>
      </c>
      <c r="V15" s="33" cm="1">
        <f t="array" ref="V15">IFERROR(INDEX('[1]Sales per type Agustus'!$D$10:$BA$52,MATCH($C15,'[1]Sales per type Agustus'!$B$10:$B$52,0),MATCH("Watch GT 2",'[1]Sales per type Agustus'!$D$8:$BA$8,0)+1),0)</f>
        <v>0</v>
      </c>
      <c r="W15" s="33">
        <f t="shared" si="5"/>
        <v>1799000</v>
      </c>
      <c r="X15" s="33">
        <f>IFERROR(INDEX('[1]SALES PERTYPE'!$D$10:$BA$53,MATCH($C15,'[1]SALES PERTYPE'!$B$10:$B$53,0),MATCH("Y05e",'[1]SALES PERTYPE'!$D$8:$BA$8,0)),0)</f>
        <v>8</v>
      </c>
      <c r="Y15" s="33">
        <f>IFERROR(INDEX('[1]Sales per type Agustus'!$D$10:$BA$52,MATCH($C15,'[1]Sales per type Agustus'!$B$10:$B$52,0),MATCH("Y05e",'[1]Sales per type Agustus'!$D$8:$BA$8,0)),0)</f>
        <v>6</v>
      </c>
      <c r="Z15" s="33">
        <f t="shared" si="6"/>
        <v>2</v>
      </c>
      <c r="AA15" s="33" cm="1">
        <f t="array" ref="AA15">IFERROR(INDEX('[1]SALES PERTYPE'!$D$10:$BA$53,MATCH($C15,'[1]SALES PERTYPE'!$B$10:$B$53,0),MATCH("Y05e",'[1]SALES PERTYPE'!$D$8:$BA$8,0)+1),0)</f>
        <v>17792000</v>
      </c>
      <c r="AB15" s="33" cm="1">
        <f t="array" ref="AB15">IFERROR(INDEX('[1]Sales per type Agustus'!$D$10:$BA$52,MATCH($C15,'[1]Sales per type Agustus'!$B$10:$B$52,0),MATCH("Y05e",'[1]Sales per type Agustus'!$D$8:$BA$8,0)+1),0)</f>
        <v>12594000</v>
      </c>
      <c r="AC15" s="33">
        <f t="shared" si="7"/>
        <v>5198000</v>
      </c>
      <c r="AD15" s="33">
        <f>IFERROR(INDEX('[1]SALES PERTYPE'!$D$10:$BA$53,MATCH($C15,'[1]SALES PERTYPE'!$B$10:$B$53,0),MATCH("V70",'[1]SALES PERTYPE'!$D$8:$BA$8,0)),0)</f>
        <v>5</v>
      </c>
      <c r="AE15" s="33">
        <f>IFERROR(INDEX('[1]Sales per type Agustus'!$D$10:$BA$52,MATCH($C15,'[1]Sales per type Agustus'!$B$10:$B$52,0),MATCH("V70",'[1]Sales per type Agustus'!$D$8:$BA$8,0)),0)</f>
        <v>1</v>
      </c>
      <c r="AF15" s="33">
        <f t="shared" si="8"/>
        <v>4</v>
      </c>
      <c r="AG15" s="33" cm="1">
        <f t="array" ref="AG15">IFERROR(INDEX('[1]SALES PERTYPE'!$D$10:$BA$53,MATCH($C15,'[1]SALES PERTYPE'!$B$10:$B$53,0),MATCH("V70",'[1]SALES PERTYPE'!$D$8:$BA$8,0)+1),0)</f>
        <v>49995000</v>
      </c>
      <c r="AH15" s="33" cm="1">
        <f t="array" ref="AH15">IFERROR(INDEX('[1]Sales per type Agustus'!$D$10:$BA$52,MATCH($C15,'[1]Sales per type Agustus'!$B$10:$B$52,0),MATCH("V70",'[1]Sales per type Agustus'!$D$8:$BA$8,0)+1),0)</f>
        <v>9999000</v>
      </c>
      <c r="AI15" s="33">
        <f t="shared" si="9"/>
        <v>39996000</v>
      </c>
      <c r="AJ15" s="33">
        <f>IFERROR(INDEX('[1]SALES PERTYPE'!$D$10:$BA$53,MATCH($C15,'[1]SALES PERTYPE'!$B$10:$B$53,0),MATCH("Y31d Pro",'[1]SALES PERTYPE'!$D$8:$BA$8,0)),0)</f>
        <v>9</v>
      </c>
      <c r="AK15" s="33">
        <f>IFERROR(INDEX('[1]Sales per type Agustus'!$D$10:$BA$52,MATCH($C15,'[1]Sales per type Agustus'!$B$10:$B$52,0),MATCH("Y31d Pro",'[1]Sales per type Agustus'!$D$8:$BA$8,0)),0)</f>
        <v>11</v>
      </c>
      <c r="AL15" s="33">
        <f t="shared" si="10"/>
        <v>-2</v>
      </c>
      <c r="AM15" s="33" cm="1">
        <f t="array" ref="AM15">IFERROR(INDEX('[1]SALES PERTYPE'!$D$10:$BA$53,MATCH($C15,'[1]SALES PERTYPE'!$B$10:$B$53,0),MATCH("Y31d Pro",'[1]SALES PERTYPE'!$D$8:$BA$8,0)+1),0)</f>
        <v>38291000</v>
      </c>
      <c r="AN15" s="33" cm="1">
        <f t="array" ref="AN15">IFERROR(INDEX('[1]Sales per type Agustus'!$D$10:$BA$52,MATCH($C15,'[1]Sales per type Agustus'!$B$10:$B$52,0),MATCH("Y31d Pro",'[1]Sales per type Agustus'!$D$8:$BA$8,0)+1),0)</f>
        <v>49289000</v>
      </c>
      <c r="AO15" s="33">
        <f t="shared" si="11"/>
        <v>-10998000</v>
      </c>
      <c r="AP15" s="33" cm="1">
        <f t="array" ref="AP15">IFERROR(INDEX('[1]SALES PERTYPE'!$D$10:$BA$53,MATCH($C15,'[1]SALES PERTYPE'!$B$10:$B$53,0),$EI$3),0)</f>
        <v>4</v>
      </c>
      <c r="AQ15" s="33" cm="1">
        <f t="array" ref="AQ15">IFERROR(INDEX('[1]Sales per type Agustus'!$D$10:$BA$52,MATCH($C15,'[1]Sales per type Agustus'!$B$10:$B$52,0),$EI$2),0)</f>
        <v>0</v>
      </c>
      <c r="AR15" s="33">
        <f t="shared" si="12"/>
        <v>4</v>
      </c>
      <c r="AS15" s="33" cm="1">
        <f t="array" ref="AS15">IFERROR(INDEX('[1]SALES PERTYPE'!$D$10:$BA$53,MATCH($C15,'[1]SALES PERTYPE'!$B$10:$B$53,0),$EI$3+1),0)</f>
        <v>13196000</v>
      </c>
      <c r="AT15" s="33" cm="1">
        <f t="array" ref="AT15">IFERROR(INDEX('[1]Sales per type Agustus'!$D$10:$BA$52,MATCH($C15,'[1]Sales per type Agustus'!$B$10:$B$52,0),$EI$2+1),0)</f>
        <v>0</v>
      </c>
      <c r="AU15" s="33">
        <f t="shared" si="13"/>
        <v>13196000</v>
      </c>
      <c r="AV15" s="33">
        <f>IFERROR(INDEX('[1]SALES PERTYPE'!$D$10:$BA$53,MATCH($C15,'[1]SALES PERTYPE'!$B$10:$B$53,0),MATCH("Y31d ",'[1]SALES PERTYPE'!$D$8:$BA$8,0)),0)</f>
        <v>1</v>
      </c>
      <c r="AW15" s="33">
        <f>IFERROR(INDEX('[1]Sales per type Agustus'!$D$10:$BA$52,MATCH($C15,'[1]Sales per type Agustus'!$B$10:$B$52,0),MATCH("Y31d ",'[1]Sales per type Agustus'!$D$8:$BA$8,0)),0)</f>
        <v>0</v>
      </c>
      <c r="AX15" s="33">
        <f t="shared" si="14"/>
        <v>1</v>
      </c>
      <c r="AY15" s="33" cm="1">
        <f t="array" ref="AY15">IFERROR(INDEX('[1]SALES PERTYPE'!$D$10:$BA$53,MATCH($C15,'[1]SALES PERTYPE'!$B$10:$B$53,0),MATCH("Y31d ",'[1]SALES PERTYPE'!$D$8:$BA$8,0)+1),0)</f>
        <v>3599000</v>
      </c>
      <c r="AZ15" s="33" cm="1">
        <f t="array" ref="AZ15">IFERROR(INDEX('[1]Sales per type Agustus'!$D$10:$BA$52,MATCH($C15,'[1]Sales per type Agustus'!$B$10:$B$52,0),MATCH("Y31d ",'[1]Sales per type Agustus'!$D$8:$BA$8,0)+1),0)</f>
        <v>0</v>
      </c>
      <c r="BA15" s="33">
        <f t="shared" si="15"/>
        <v>3599000</v>
      </c>
      <c r="BB15" s="33">
        <f>IFERROR(INDEX('[1]SALES PERTYPE'!$D$10:$BA$53,MATCH($C15,'[1]SALES PERTYPE'!$B$10:$B$53,0),MATCH("V70 FE",'[1]SALES PERTYPE'!$D$8:$BA$8,0)),0)</f>
        <v>5</v>
      </c>
      <c r="BC15" s="33">
        <f>IFERROR(INDEX('[1]Sales per type Agustus'!$D$10:$BA$52,MATCH($C15,'[1]Sales per type Agustus'!$B$10:$B$52,0),MATCH("V70 FE",'[1]Sales per type Agustus'!$D$8:$BA$8,0)),0)</f>
        <v>5</v>
      </c>
      <c r="BD15" s="33">
        <f t="shared" si="16"/>
        <v>0</v>
      </c>
      <c r="BE15" s="33" cm="1">
        <f t="array" ref="BE15">IFERROR(INDEX('[1]SALES PERTYPE'!$D$10:$BA$53,MATCH($C15,'[1]SALES PERTYPE'!$B$10:$B$53,0),MATCH("V70 FE",'[1]SALES PERTYPE'!$D$8:$BA$8,0)+1),0)</f>
        <v>36995000</v>
      </c>
      <c r="BF15" s="33" cm="1">
        <f t="array" ref="BF15">IFERROR(INDEX('[1]Sales per type Agustus'!$D$10:$BA$52,MATCH($C15,'[1]Sales per type Agustus'!$B$10:$B$52,0),MATCH("V70 FE",'[1]Sales per type Agustus'!$D$8:$BA$8,0)+1),0)</f>
        <v>37195000</v>
      </c>
      <c r="BG15" s="33">
        <f t="shared" si="17"/>
        <v>-200000</v>
      </c>
      <c r="BH15" s="33">
        <f>IFERROR(INDEX('[1]SALES PERTYPE'!$D$10:$BA$53,MATCH($C15,'[1]SALES PERTYPE'!$B$10:$B$53,0),MATCH("Y31d",'[1]SALES PERTYPE'!$D$8:$BA$8,0)),0)</f>
        <v>0</v>
      </c>
      <c r="BI15" s="33">
        <f>IFERROR(INDEX('[1]Sales per type Agustus'!$D$10:$BA$52,MATCH($C15,'[1]Sales per type Agustus'!$B$10:$B$52,0),MATCH("Y31d",'[1]Sales per type Agustus'!$D$8:$BA$8,0)),0)</f>
        <v>2</v>
      </c>
      <c r="BJ15" s="33">
        <f t="shared" si="18"/>
        <v>-2</v>
      </c>
      <c r="BK15" s="33" cm="1">
        <f t="array" ref="BK15">IFERROR(INDEX('[1]SALES PERTYPE'!$D$10:$BA$53,MATCH($C15,'[1]SALES PERTYPE'!$B$10:$B$53,0),MATCH("Y31d",'[1]SALES PERTYPE'!$D$8:$BA$8,0)+1),0)</f>
        <v>0</v>
      </c>
      <c r="BL15" s="33" cm="1">
        <f t="array" ref="BL15">IFERROR(INDEX('[1]Sales per type Agustus'!$D$10:$BA$52,MATCH($C15,'[1]Sales per type Agustus'!$B$10:$B$52,0),MATCH("Y31d",'[1]Sales per type Agustus'!$D$8:$BA$8,0)+1),0)</f>
        <v>7198000</v>
      </c>
      <c r="BM15" s="33">
        <f t="shared" si="19"/>
        <v>-7198000</v>
      </c>
      <c r="BN15" s="33">
        <f>IFERROR(INDEX('[1]SALES PERTYPE'!$D$10:$BA$53,MATCH($C15,'[1]SALES PERTYPE'!$B$10:$B$53,0),MATCH("Y500",'[1]SALES PERTYPE'!$D$8:$BA$8,0)),0)</f>
        <v>0</v>
      </c>
      <c r="BO15" s="33">
        <f>IFERROR(INDEX('[1]Sales per type Agustus'!$D$10:$BA$52,MATCH($C15,'[1]Sales per type Agustus'!$B$10:$B$52,0),MATCH("Y500",'[1]Sales per type Agustus'!$D$8:$BA$8,0)),0)</f>
        <v>3</v>
      </c>
      <c r="BP15" s="33">
        <f t="shared" si="20"/>
        <v>-3</v>
      </c>
      <c r="BQ15" s="33" cm="1">
        <f t="array" ref="BQ15">IFERROR(INDEX('[1]SALES PERTYPE'!$D$10:$BA$53,MATCH($C15,'[1]SALES PERTYPE'!$B$10:$B$53,0),MATCH("Y500",'[1]SALES PERTYPE'!$D$8:$BA$8,0)+1),0)</f>
        <v>0</v>
      </c>
      <c r="BR15" s="33" cm="1">
        <f t="array" ref="BR15">IFERROR(INDEX('[1]Sales per type Agustus'!$D$10:$BA$52,MATCH($C15,'[1]Sales per type Agustus'!$B$10:$B$52,0),MATCH("Y500",'[1]Sales per type Agustus'!$D$8:$BA$8,0)+1),0)</f>
        <v>17297000</v>
      </c>
      <c r="BS15" s="33">
        <f t="shared" si="21"/>
        <v>-17297000</v>
      </c>
      <c r="BT15" s="33">
        <f>IFERROR(INDEX('[1]SALES PERTYPE'!$D$10:$BA$53,MATCH($C15,'[1]SALES PERTYPE'!$B$10:$B$53,0),MATCH("IQOO 15R",'[1]SALES PERTYPE'!$D$8:$BA$8,0)),0)</f>
        <v>0</v>
      </c>
      <c r="BU15" s="33">
        <f>IFERROR(INDEX('[1]Sales per type Agustus'!$D$10:$BA$52,MATCH($C15,'[1]Sales per type Agustus'!$B$10:$B$52,0),MATCH("IQOO 15R",'[1]Sales per type Agustus'!$D$8:$BA$8,0)),0)</f>
        <v>0</v>
      </c>
      <c r="BV15" s="33">
        <f t="shared" si="22"/>
        <v>0</v>
      </c>
      <c r="BW15" s="33" cm="1">
        <f t="array" ref="BW15">IFERROR(INDEX('[1]SALES PERTYPE'!$D$10:$BA$53,MATCH($C15,'[1]SALES PERTYPE'!$B$10:$B$53,0),MATCH("IQOO 15R",'[1]SALES PERTYPE'!$D$8:$BA$8,0)+1),0)</f>
        <v>0</v>
      </c>
      <c r="BX15" s="33" cm="1">
        <f t="array" ref="BX15">IFERROR(INDEX('[1]Sales per type Agustus'!$D$10:$BA$52,MATCH($C15,'[1]Sales per type Agustus'!$B$10:$B$52,0),MATCH("IQOO 15R",'[1]Sales per type Agustus'!$D$8:$BA$8,0)+1),0)</f>
        <v>0</v>
      </c>
      <c r="BY15" s="33">
        <f t="shared" si="23"/>
        <v>0</v>
      </c>
      <c r="BZ15" s="33">
        <f>IFERROR(INDEX('[1]SALES PERTYPE'!$D$10:$BA$53,MATCH($C15,'[1]SALES PERTYPE'!$B$10:$B$53,0),MATCH("V60 Lite",'[1]SALES PERTYPE'!$D$8:$BA$8,0)),0)</f>
        <v>4</v>
      </c>
      <c r="CA15" s="33">
        <f>IFERROR(INDEX('[1]Sales per type Agustus'!$D$10:$BA$52,MATCH($C15,'[1]Sales per type Agustus'!$B$10:$B$52,0),MATCH("V60 Lite",'[1]Sales per type Agustus'!$D$8:$BA$8,0)),0)</f>
        <v>0</v>
      </c>
      <c r="CB15" s="33">
        <f t="shared" si="24"/>
        <v>4</v>
      </c>
      <c r="CC15" s="33" cm="1">
        <f t="array" ref="CC15">IFERROR(INDEX('[1]SALES PERTYPE'!$D$10:$BA$53,MATCH($C15,'[1]SALES PERTYPE'!$B$10:$B$53,0),MATCH("V60 Lite",'[1]SALES PERTYPE'!$D$8:$BA$8,0)+1),0)</f>
        <v>23596000</v>
      </c>
      <c r="CD15" s="33" cm="1">
        <f t="array" ref="CD15">IFERROR(INDEX('[1]Sales per type Agustus'!$D$10:$BA$52,MATCH($C15,'[1]Sales per type Agustus'!$B$10:$B$52,0),MATCH("V60 Lite",'[1]Sales per type Agustus'!$D$8:$BA$8,0)+1),0)</f>
        <v>0</v>
      </c>
      <c r="CE15" s="33">
        <f t="shared" si="25"/>
        <v>23596000</v>
      </c>
      <c r="CF15" s="33">
        <f>IFERROR(INDEX('[1]SALES PERTYPE'!$D$10:$BA$53,MATCH($C15,'[1]SALES PERTYPE'!$B$10:$B$53,0),MATCH("X300 Ultra",'[1]SALES PERTYPE'!$D$8:$BA$8,0)),0)</f>
        <v>1</v>
      </c>
      <c r="CG15" s="33">
        <f>IFERROR(INDEX('[1]Sales per type Agustus'!$D$10:$BA$52,MATCH($C15,'[1]Sales per type Agustus'!$B$10:$B$52,0),MATCH("X300 Ultra",'[1]Sales per type Agustus'!$D$8:$BA$8,0)),0)</f>
        <v>0</v>
      </c>
      <c r="CH15" s="33">
        <f t="shared" si="26"/>
        <v>1</v>
      </c>
      <c r="CI15" s="33" cm="1">
        <f t="array" ref="CI15">IFERROR(INDEX('[1]SALES PERTYPE'!$D$10:$BA$53,MATCH($C15,'[1]SALES PERTYPE'!$B$10:$B$53,0),MATCH("X300 Ultra",'[1]SALES PERTYPE'!$D$8:$BA$8,0)+1),0)</f>
        <v>25999000</v>
      </c>
      <c r="CJ15" s="33" cm="1">
        <f t="array" ref="CJ15">IFERROR(INDEX('[1]Sales per type Agustus'!$D$10:$BA$52,MATCH($C15,'[1]Sales per type Agustus'!$B$10:$B$52,0),MATCH("X300 Ultra",'[1]Sales per type Agustus'!$D$8:$BA$8,0)+1),0)</f>
        <v>0</v>
      </c>
      <c r="CK15" s="33">
        <f t="shared" si="27"/>
        <v>25999000</v>
      </c>
      <c r="CL15" s="33">
        <f>IFERROR(INDEX('[1]SALES PERTYPE'!$D$10:$BA$53,MATCH($C15,'[1]SALES PERTYPE'!$B$10:$B$53,0),MATCH("IQOO 15",'[1]SALES PERTYPE'!$D$8:$BA$8,0)),0)</f>
        <v>0</v>
      </c>
      <c r="CM15" s="33">
        <f>IFERROR(INDEX('[1]Sales per type Agustus'!$D$10:$BA$52,MATCH($C15,'[1]Sales per type Agustus'!$B$10:$B$52,0),MATCH("IQOO 15",'[1]Sales per type Agustus'!$D$8:$BA$8,0)),0)</f>
        <v>0</v>
      </c>
      <c r="CN15" s="33">
        <f t="shared" si="28"/>
        <v>0</v>
      </c>
      <c r="CO15" s="33" cm="1">
        <f t="array" ref="CO15">IFERROR(INDEX('[1]SALES PERTYPE'!$D$10:$BA$53,MATCH($C15,'[1]SALES PERTYPE'!$B$10:$B$53,0),MATCH("IQOO 15",'[1]SALES PERTYPE'!$D$8:$BA$8,0)+1),0)</f>
        <v>0</v>
      </c>
      <c r="CP15" s="33" cm="1">
        <f t="array" ref="CP15">IFERROR(INDEX('[1]Sales per type Agustus'!$D$10:$BA$52,MATCH($C15,'[1]Sales per type Agustus'!$B$10:$B$52,0),MATCH("IQOO 15",'[1]Sales per type Agustus'!$D$8:$BA$8,0)+1),0)</f>
        <v>0</v>
      </c>
      <c r="CQ15" s="33">
        <f t="shared" si="29"/>
        <v>0</v>
      </c>
      <c r="CR15" s="33">
        <f>IFERROR(INDEX('[1]SALES PERTYPE'!$D$10:$BA$53,MATCH($C15,'[1]SALES PERTYPE'!$B$10:$B$53,0),MATCH("IQOO Z11x",'[1]SALES PERTYPE'!$D$8:$BA$8,0)),0)</f>
        <v>2</v>
      </c>
      <c r="CS15" s="33">
        <f>IFERROR(INDEX('[1]Sales per type Agustus'!$D$10:$BA$52,MATCH($C15,'[1]Sales per type Agustus'!$B$10:$B$52,0),MATCH("IQOO Z11x",'[1]Sales per type Agustus'!$D$8:$BA$8,0)),0)</f>
        <v>0</v>
      </c>
      <c r="CT15" s="33">
        <f t="shared" si="30"/>
        <v>2</v>
      </c>
      <c r="CU15" s="33" cm="1">
        <f t="array" ref="CU15">IFERROR(INDEX('[1]SALES PERTYPE'!$D$10:$BA$53,MATCH($C15,'[1]SALES PERTYPE'!$B$10:$B$53,0),MATCH("IQOO Z11x",'[1]SALES PERTYPE'!$D$8:$BA$8,0)+1),0)</f>
        <v>10498000</v>
      </c>
      <c r="CV15" s="33" cm="1">
        <f t="array" ref="CV15">IFERROR(INDEX('[1]Sales per type Agustus'!$D$10:$BA$52,MATCH($C15,'[1]Sales per type Agustus'!$B$10:$B$52,0),MATCH("IQOO Z11x",'[1]Sales per type Agustus'!$D$8:$BA$8,0)+1),0)</f>
        <v>0</v>
      </c>
      <c r="CW15" s="33">
        <f t="shared" si="31"/>
        <v>10498000</v>
      </c>
      <c r="CX15" s="33">
        <f>IFERROR(INDEX('[1]SALES PERTYPE'!$D$10:$BA$53,MATCH($C15,'[1]SALES PERTYPE'!$B$10:$B$53,0),MATCH("IQOO Z11",'[1]SALES PERTYPE'!$D$8:$BA$8,0)),0)</f>
        <v>0</v>
      </c>
      <c r="CY15" s="33">
        <f>IFERROR(INDEX('[1]Sales per type Agustus'!$D$10:$BA$52,MATCH($C15,'[1]Sales per type Agustus'!$B$10:$B$52,0),MATCH("IQOO Z11",'[1]Sales per type Agustus'!$D$8:$BA$8,0)),0)</f>
        <v>2</v>
      </c>
      <c r="CZ15" s="33">
        <f t="shared" si="32"/>
        <v>-2</v>
      </c>
      <c r="DA15" s="33" cm="1">
        <f t="array" ref="DA15">IFERROR(INDEX('[1]SALES PERTYPE'!$D$10:$BA$53,MATCH($C15,'[1]SALES PERTYPE'!$B$10:$B$53,0),MATCH("IQOO Z11",'[1]SALES PERTYPE'!$D$8:$BA$8,0)+1),0)</f>
        <v>0</v>
      </c>
      <c r="DB15" s="33" cm="1">
        <f t="array" ref="DB15">IFERROR(INDEX('[1]Sales per type Agustus'!$D$10:$BA$52,MATCH($C15,'[1]Sales per type Agustus'!$B$10:$B$52,0),MATCH("IQOO Z11",'[1]Sales per type Agustus'!$D$8:$BA$8,0)+1),0)</f>
        <v>15298000</v>
      </c>
      <c r="DC15" s="33">
        <f t="shared" si="33"/>
        <v>-15298000</v>
      </c>
      <c r="DD15" s="33">
        <f>IFERROR(INDEX('[1]SALES PERTYPE'!$D$10:$BA$53,MATCH($C15,'[1]SALES PERTYPE'!$B$10:$B$53,0),MATCH("WATCH 3",'[1]SALES PERTYPE'!$D$8:$BA$8,0)),0)</f>
        <v>0</v>
      </c>
      <c r="DE15" s="33">
        <f>IFERROR(INDEX('[1]Sales per type Agustus'!$D$10:$BA$52,MATCH($C15,'[1]Sales per type Agustus'!$B$10:$B$52,0),MATCH("WATCH 3",'[1]Sales per type Agustus'!$D$8:$BA$8,0)),0)</f>
        <v>0</v>
      </c>
      <c r="DF15" s="33">
        <f t="shared" si="34"/>
        <v>0</v>
      </c>
      <c r="DG15" s="33" cm="1">
        <f t="array" ref="DG15">IFERROR(INDEX('[1]SALES PERTYPE'!$D$10:$BA$53,MATCH($C15,'[1]SALES PERTYPE'!$B$10:$B$53,0),MATCH("WATCH 3",'[1]SALES PERTYPE'!$D$8:$BA$8,0)+1),0)</f>
        <v>0</v>
      </c>
      <c r="DH15" s="33" cm="1">
        <f t="array" ref="DH15">IFERROR(INDEX('[1]Sales per type Agustus'!$D$10:$BA$52,MATCH($C15,'[1]Sales per type Agustus'!$B$10:$B$52,0),MATCH("WATCH 3",'[1]Sales per type Agustus'!$D$8:$BA$8,0)+1),0)</f>
        <v>0</v>
      </c>
      <c r="DI15" s="33">
        <f t="shared" si="35"/>
        <v>0</v>
      </c>
      <c r="DJ15" s="33">
        <f>IFERROR(INDEX('[1]SALES PERTYPE'!$D$10:$BA$53,MATCH($C15,'[1]SALES PERTYPE'!$B$10:$B$53,0),MATCH("X Fold5",'[1]SALES PERTYPE'!$D$8:$BA$8,0)),0)</f>
        <v>0</v>
      </c>
      <c r="DK15" s="33">
        <f>IFERROR(INDEX('[1]Sales per type Agustus'!$D$10:$BA$52,MATCH($C15,'[1]Sales per type Agustus'!$B$10:$B$52,0),MATCH("X Fold5",'[1]Sales per type Agustus'!$D$8:$BA$8,0)),0)</f>
        <v>0</v>
      </c>
      <c r="DL15" s="33">
        <f t="shared" si="36"/>
        <v>0</v>
      </c>
      <c r="DM15" s="33" cm="1">
        <f t="array" ref="DM15">IFERROR(INDEX('[1]SALES PERTYPE'!$D$10:$BA$53,MATCH($C15,'[1]SALES PERTYPE'!$B$10:$B$53,0),MATCH("X Fold5",'[1]SALES PERTYPE'!$D$8:$BA$8,0)+1),0)</f>
        <v>0</v>
      </c>
      <c r="DN15" s="33" cm="1">
        <f t="array" ref="DN15">IFERROR(INDEX('[1]Sales per type Agustus'!$D$10:$BA$52,MATCH($C15,'[1]Sales per type Agustus'!$B$10:$B$52,0),MATCH("X Fold5",'[1]Sales per type Agustus'!$D$8:$BA$8,0)+1),0)</f>
        <v>0</v>
      </c>
      <c r="DO15" s="33">
        <f t="shared" si="37"/>
        <v>0</v>
      </c>
      <c r="DP15" s="33">
        <f>IFERROR(INDEX('[1]SALES PERTYPE'!$D$10:$BA$53,MATCH($C15,'[1]SALES PERTYPE'!$B$10:$B$53,0),MATCH("X300 PRO",'[1]SALES PERTYPE'!$D$8:$BA$8,0)),0)</f>
        <v>0</v>
      </c>
      <c r="DQ15" s="33">
        <f>IFERROR(INDEX('[1]Sales per type Agustus'!$D$10:$BA$52,MATCH($C15,'[1]Sales per type Agustus'!$B$10:$B$52,0),MATCH("X300 PRO",'[1]Sales per type Agustus'!$D$8:$BA$8,0)),0)</f>
        <v>0</v>
      </c>
      <c r="DR15" s="33">
        <f t="shared" si="38"/>
        <v>0</v>
      </c>
      <c r="DS15" s="33" cm="1">
        <f t="array" ref="DS15">IFERROR(INDEX('[1]SALES PERTYPE'!$D$10:$BA$53,MATCH($C15,'[1]SALES PERTYPE'!$B$10:$B$53,0),MATCH("X300 PRO",'[1]SALES PERTYPE'!$D$8:$BA$8,0)+1),0)</f>
        <v>0</v>
      </c>
      <c r="DT15" s="33" cm="1">
        <f t="array" ref="DT15">IFERROR(INDEX('[1]Sales per type Agustus'!$D$10:$BA$52,MATCH($C15,'[1]Sales per type Agustus'!$B$10:$B$52,0),MATCH("X300 PRO",'[1]Sales per type Agustus'!$D$8:$BA$8,0)+1),0)</f>
        <v>0</v>
      </c>
      <c r="DU15" s="33">
        <f t="shared" si="39"/>
        <v>0</v>
      </c>
      <c r="DV15" s="33">
        <f>IFERROR(INDEX('[1]SALES PERTYPE'!$D$10:$BA$53,MATCH($C15,'[1]SALES PERTYPE'!$B$10:$B$53,0),MATCH("X300 ",'[1]SALES PERTYPE'!$D$8:$BA$8,0)),0)</f>
        <v>0</v>
      </c>
      <c r="DW15" s="33">
        <f>IFERROR(INDEX('[1]Sales per type Agustus'!$D$10:$BA$52,MATCH($C15,'[1]Sales per type Agustus'!$B$10:$B$52,0),MATCH("X300 ",'[1]Sales per type Agustus'!$D$8:$BA$8,0)),0)</f>
        <v>0</v>
      </c>
      <c r="DX15" s="33">
        <f t="shared" si="40"/>
        <v>0</v>
      </c>
      <c r="DY15" s="33" cm="1">
        <f t="array" ref="DY15">IFERROR(INDEX('[1]SALES PERTYPE'!$D$10:$BA$53,MATCH($C15,'[1]SALES PERTYPE'!$B$10:$B$53,0),MATCH("X300 ",'[1]SALES PERTYPE'!$D$8:$BA$8,0)+1),0)</f>
        <v>0</v>
      </c>
      <c r="DZ15" s="33" cm="1">
        <f t="array" ref="DZ15">IFERROR(INDEX('[1]Sales per type Agustus'!$D$10:$BA$52,MATCH($C15,'[1]Sales per type Agustus'!$B$10:$B$52,0),MATCH("X300 ",'[1]Sales per type Agustus'!$D$8:$BA$8,0)+1),0)</f>
        <v>0</v>
      </c>
      <c r="EA15" s="33">
        <f t="shared" si="41"/>
        <v>0</v>
      </c>
      <c r="EB15" s="33">
        <f t="shared" si="42"/>
        <v>55</v>
      </c>
      <c r="EC15" s="33">
        <f t="shared" si="42"/>
        <v>50</v>
      </c>
      <c r="ED15" s="33">
        <f t="shared" si="43"/>
        <v>5</v>
      </c>
      <c r="EE15" s="33">
        <f t="shared" si="44"/>
        <v>260645000</v>
      </c>
      <c r="EF15" s="33">
        <f t="shared" si="44"/>
        <v>199750000</v>
      </c>
      <c r="EG15" s="33">
        <f t="shared" si="45"/>
        <v>60895000</v>
      </c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</row>
    <row r="16" spans="1:184" ht="16" x14ac:dyDescent="0.2">
      <c r="A16" s="214">
        <f>'[1]ACHIEVEMENT STORE'!A16</f>
        <v>12</v>
      </c>
      <c r="B16" s="215" t="str">
        <f>'[1]ACHIEVEMENT STORE'!B16</f>
        <v>604 雅加达东南 JKT TS</v>
      </c>
      <c r="C16" s="214">
        <f>'[1]ACHIEVEMENT STORE'!C16</f>
        <v>6080712</v>
      </c>
      <c r="D16" s="215" t="str">
        <f>'[1]ACHIEVEMENT STORE'!D16</f>
        <v>6080712-ITC DEPOK VIVO STORE 2</v>
      </c>
      <c r="E16" s="215" t="str">
        <f>'[1]ACHIEVEMENT STORE'!E16</f>
        <v>Erlangga Praditya</v>
      </c>
      <c r="F16" s="33">
        <f>IFERROR(INDEX('[1]SALES PERTYPE'!$D$10:$BA$53,MATCH($C16,'[1]SALES PERTYPE'!$B$10:$B$53,0),MATCH("Y05",'[1]SALES PERTYPE'!$D$8:$BA$8,0)),0)</f>
        <v>9</v>
      </c>
      <c r="G16" s="33">
        <f>IFERROR(INDEX('[1]Sales per type Agustus'!$D$10:$BA$52,MATCH($C16,'[1]Sales per type Agustus'!$B$10:$B$52,0),MATCH("Y05",'[1]Sales per type Agustus'!$D$8:$BA$8,0)),0)</f>
        <v>3</v>
      </c>
      <c r="H16" s="33">
        <f t="shared" si="0"/>
        <v>6</v>
      </c>
      <c r="I16" s="33" cm="1">
        <f t="array" ref="I16">IFERROR(INDEX('[1]SALES PERTYPE'!$D$10:$BA$53,MATCH($C16,'[1]SALES PERTYPE'!$B$10:$B$53,0),MATCH("Y05",'[1]SALES PERTYPE'!$D$8:$BA$8,0)+1),0)</f>
        <v>21891000</v>
      </c>
      <c r="J16" s="33" cm="1">
        <f t="array" ref="J16">IFERROR(INDEX('[1]Sales per type Agustus'!$D$10:$BA$52,MATCH($C16,'[1]Sales per type Agustus'!$B$10:$B$52,0),MATCH("Y05",'[1]Sales per type Agustus'!$D$8:$BA$8,0)+1),0)</f>
        <v>7197000</v>
      </c>
      <c r="K16" s="33">
        <f t="shared" si="1"/>
        <v>14694000</v>
      </c>
      <c r="L16" s="33">
        <f>IFERROR(INDEX('[1]SALES PERTYPE'!$D$10:$BA$53,MATCH($C16,'[1]SALES PERTYPE'!$B$10:$B$53,0),MATCH("Y11d",'[1]SALES PERTYPE'!$D$8:$BA$8,0)),0)</f>
        <v>2</v>
      </c>
      <c r="M16" s="33">
        <f>IFERROR(INDEX('[1]Sales per type Agustus'!$D$10:$BA$52,MATCH($C16,'[1]Sales per type Agustus'!$B$10:$B$52,0),MATCH("Y11d",'[1]Sales per type Agustus'!$D$8:$BA$8,0)),0)</f>
        <v>12</v>
      </c>
      <c r="N16" s="33">
        <f t="shared" si="2"/>
        <v>-10</v>
      </c>
      <c r="O16" s="33" cm="1">
        <f t="array" ref="O16">IFERROR(INDEX('[1]SALES PERTYPE'!$D$10:$BA$53,MATCH($C16,'[1]SALES PERTYPE'!$B$10:$B$53,0),MATCH("Y11d",'[1]SALES PERTYPE'!$D$8:$BA$8,0)+1),0)</f>
        <v>5598000</v>
      </c>
      <c r="P16" s="33" cm="1">
        <f t="array" ref="P16">IFERROR(INDEX('[1]Sales per type Agustus'!$D$10:$BA$52,MATCH($C16,'[1]Sales per type Agustus'!$B$10:$B$52,0),MATCH("Y11d",'[1]Sales per type Agustus'!$D$8:$BA$8,0)+1),0)</f>
        <v>33188000</v>
      </c>
      <c r="Q16" s="33">
        <f t="shared" si="3"/>
        <v>-27590000</v>
      </c>
      <c r="R16" s="33">
        <f>IFERROR(INDEX('[1]SALES PERTYPE'!$D$10:$BA$53,MATCH($C16,'[1]SALES PERTYPE'!$B$10:$B$53,0),MATCH("Watch GT 2",'[1]SALES PERTYPE'!$D$8:$BA$8,0)),0)</f>
        <v>0</v>
      </c>
      <c r="S16" s="33">
        <f>IFERROR(INDEX('[1]Sales per type Agustus'!$D$10:$BA$52,MATCH($C16,'[1]Sales per type Agustus'!$B$10:$B$52,0),MATCH("Watch GT 2",'[1]Sales per type Agustus'!$D$8:$BA$8,0)),0)</f>
        <v>0</v>
      </c>
      <c r="T16" s="33">
        <f t="shared" si="4"/>
        <v>0</v>
      </c>
      <c r="U16" s="33" cm="1">
        <f t="array" ref="U16">IFERROR(INDEX('[1]SALES PERTYPE'!$D$10:$BA$53,MATCH($C16,'[1]SALES PERTYPE'!$B$10:$B$53,0),MATCH("Watch GT 2",'[1]SALES PERTYPE'!$D$8:$BA$8,0)+1),0)</f>
        <v>0</v>
      </c>
      <c r="V16" s="33" cm="1">
        <f t="array" ref="V16">IFERROR(INDEX('[1]Sales per type Agustus'!$D$10:$BA$52,MATCH($C16,'[1]Sales per type Agustus'!$B$10:$B$52,0),MATCH("Watch GT 2",'[1]Sales per type Agustus'!$D$8:$BA$8,0)+1),0)</f>
        <v>0</v>
      </c>
      <c r="W16" s="33">
        <f t="shared" si="5"/>
        <v>0</v>
      </c>
      <c r="X16" s="33">
        <f>IFERROR(INDEX('[1]SALES PERTYPE'!$D$10:$BA$53,MATCH($C16,'[1]SALES PERTYPE'!$B$10:$B$53,0),MATCH("Y05e",'[1]SALES PERTYPE'!$D$8:$BA$8,0)),0)</f>
        <v>5</v>
      </c>
      <c r="Y16" s="33">
        <f>IFERROR(INDEX('[1]Sales per type Agustus'!$D$10:$BA$52,MATCH($C16,'[1]Sales per type Agustus'!$B$10:$B$52,0),MATCH("Y05e",'[1]Sales per type Agustus'!$D$8:$BA$8,0)),0)</f>
        <v>4</v>
      </c>
      <c r="Z16" s="33">
        <f t="shared" si="6"/>
        <v>1</v>
      </c>
      <c r="AA16" s="33" cm="1">
        <f t="array" ref="AA16">IFERROR(INDEX('[1]SALES PERTYPE'!$D$10:$BA$53,MATCH($C16,'[1]SALES PERTYPE'!$B$10:$B$53,0),MATCH("Y05e",'[1]SALES PERTYPE'!$D$8:$BA$8,0)+1),0)</f>
        <v>10895000</v>
      </c>
      <c r="AB16" s="33" cm="1">
        <f t="array" ref="AB16">IFERROR(INDEX('[1]Sales per type Agustus'!$D$10:$BA$52,MATCH($C16,'[1]Sales per type Agustus'!$B$10:$B$52,0),MATCH("Y05e",'[1]Sales per type Agustus'!$D$8:$BA$8,0)+1),0)</f>
        <v>8396000</v>
      </c>
      <c r="AC16" s="33">
        <f t="shared" si="7"/>
        <v>2499000</v>
      </c>
      <c r="AD16" s="33">
        <f>IFERROR(INDEX('[1]SALES PERTYPE'!$D$10:$BA$53,MATCH($C16,'[1]SALES PERTYPE'!$B$10:$B$53,0),MATCH("V70",'[1]SALES PERTYPE'!$D$8:$BA$8,0)),0)</f>
        <v>3</v>
      </c>
      <c r="AE16" s="33">
        <f>IFERROR(INDEX('[1]Sales per type Agustus'!$D$10:$BA$52,MATCH($C16,'[1]Sales per type Agustus'!$B$10:$B$52,0),MATCH("V70",'[1]Sales per type Agustus'!$D$8:$BA$8,0)),0)</f>
        <v>2</v>
      </c>
      <c r="AF16" s="33">
        <f t="shared" si="8"/>
        <v>1</v>
      </c>
      <c r="AG16" s="33" cm="1">
        <f t="array" ref="AG16">IFERROR(INDEX('[1]SALES PERTYPE'!$D$10:$BA$53,MATCH($C16,'[1]SALES PERTYPE'!$B$10:$B$53,0),MATCH("V70",'[1]SALES PERTYPE'!$D$8:$BA$8,0)+1),0)</f>
        <v>29997000</v>
      </c>
      <c r="AH16" s="33" cm="1">
        <f t="array" ref="AH16">IFERROR(INDEX('[1]Sales per type Agustus'!$D$10:$BA$52,MATCH($C16,'[1]Sales per type Agustus'!$B$10:$B$52,0),MATCH("V70",'[1]Sales per type Agustus'!$D$8:$BA$8,0)+1),0)</f>
        <v>20998000</v>
      </c>
      <c r="AI16" s="33">
        <f t="shared" si="9"/>
        <v>8999000</v>
      </c>
      <c r="AJ16" s="33">
        <f>IFERROR(INDEX('[1]SALES PERTYPE'!$D$10:$BA$53,MATCH($C16,'[1]SALES PERTYPE'!$B$10:$B$53,0),MATCH("Y31d Pro",'[1]SALES PERTYPE'!$D$8:$BA$8,0)),0)</f>
        <v>9</v>
      </c>
      <c r="AK16" s="33">
        <f>IFERROR(INDEX('[1]Sales per type Agustus'!$D$10:$BA$52,MATCH($C16,'[1]Sales per type Agustus'!$B$10:$B$52,0),MATCH("Y31d Pro",'[1]Sales per type Agustus'!$D$8:$BA$8,0)),0)</f>
        <v>9</v>
      </c>
      <c r="AL16" s="33">
        <f t="shared" si="10"/>
        <v>0</v>
      </c>
      <c r="AM16" s="33" cm="1">
        <f t="array" ref="AM16">IFERROR(INDEX('[1]SALES PERTYPE'!$D$10:$BA$53,MATCH($C16,'[1]SALES PERTYPE'!$B$10:$B$53,0),MATCH("Y31d Pro",'[1]SALES PERTYPE'!$D$8:$BA$8,0)+1),0)</f>
        <v>42291000</v>
      </c>
      <c r="AN16" s="33" cm="1">
        <f t="array" ref="AN16">IFERROR(INDEX('[1]Sales per type Agustus'!$D$10:$BA$52,MATCH($C16,'[1]Sales per type Agustus'!$B$10:$B$52,0),MATCH("Y31d Pro",'[1]Sales per type Agustus'!$D$8:$BA$8,0)+1),0)</f>
        <v>43891000</v>
      </c>
      <c r="AO16" s="33">
        <f t="shared" si="11"/>
        <v>-1600000</v>
      </c>
      <c r="AP16" s="33" cm="1">
        <f t="array" ref="AP16">IFERROR(INDEX('[1]SALES PERTYPE'!$D$10:$BA$53,MATCH($C16,'[1]SALES PERTYPE'!$B$10:$B$53,0),$EI$3),0)</f>
        <v>2</v>
      </c>
      <c r="AQ16" s="33" cm="1">
        <f t="array" ref="AQ16">IFERROR(INDEX('[1]Sales per type Agustus'!$D$10:$BA$52,MATCH($C16,'[1]Sales per type Agustus'!$B$10:$B$52,0),$EI$2),0)</f>
        <v>0</v>
      </c>
      <c r="AR16" s="33">
        <f t="shared" si="12"/>
        <v>2</v>
      </c>
      <c r="AS16" s="33" cm="1">
        <f t="array" ref="AS16">IFERROR(INDEX('[1]SALES PERTYPE'!$D$10:$BA$53,MATCH($C16,'[1]SALES PERTYPE'!$B$10:$B$53,0),$EI$3+1),0)</f>
        <v>6598000</v>
      </c>
      <c r="AT16" s="33" cm="1">
        <f t="array" ref="AT16">IFERROR(INDEX('[1]Sales per type Agustus'!$D$10:$BA$52,MATCH($C16,'[1]Sales per type Agustus'!$B$10:$B$52,0),$EI$2+1),0)</f>
        <v>0</v>
      </c>
      <c r="AU16" s="33">
        <f t="shared" si="13"/>
        <v>6598000</v>
      </c>
      <c r="AV16" s="33">
        <f>IFERROR(INDEX('[1]SALES PERTYPE'!$D$10:$BA$53,MATCH($C16,'[1]SALES PERTYPE'!$B$10:$B$53,0),MATCH("Y31d ",'[1]SALES PERTYPE'!$D$8:$BA$8,0)),0)</f>
        <v>1</v>
      </c>
      <c r="AW16" s="33">
        <f>IFERROR(INDEX('[1]Sales per type Agustus'!$D$10:$BA$52,MATCH($C16,'[1]Sales per type Agustus'!$B$10:$B$52,0),MATCH("Y31d ",'[1]Sales per type Agustus'!$D$8:$BA$8,0)),0)</f>
        <v>0</v>
      </c>
      <c r="AX16" s="33">
        <f t="shared" si="14"/>
        <v>1</v>
      </c>
      <c r="AY16" s="33" cm="1">
        <f t="array" ref="AY16">IFERROR(INDEX('[1]SALES PERTYPE'!$D$10:$BA$53,MATCH($C16,'[1]SALES PERTYPE'!$B$10:$B$53,0),MATCH("Y31d ",'[1]SALES PERTYPE'!$D$8:$BA$8,0)+1),0)</f>
        <v>3599000</v>
      </c>
      <c r="AZ16" s="33" cm="1">
        <f t="array" ref="AZ16">IFERROR(INDEX('[1]Sales per type Agustus'!$D$10:$BA$52,MATCH($C16,'[1]Sales per type Agustus'!$B$10:$B$52,0),MATCH("Y31d ",'[1]Sales per type Agustus'!$D$8:$BA$8,0)+1),0)</f>
        <v>0</v>
      </c>
      <c r="BA16" s="33">
        <f t="shared" si="15"/>
        <v>3599000</v>
      </c>
      <c r="BB16" s="33">
        <f>IFERROR(INDEX('[1]SALES PERTYPE'!$D$10:$BA$53,MATCH($C16,'[1]SALES PERTYPE'!$B$10:$B$53,0),MATCH("V70 FE",'[1]SALES PERTYPE'!$D$8:$BA$8,0)),0)</f>
        <v>1</v>
      </c>
      <c r="BC16" s="33">
        <f>IFERROR(INDEX('[1]Sales per type Agustus'!$D$10:$BA$52,MATCH($C16,'[1]Sales per type Agustus'!$B$10:$B$52,0),MATCH("V70 FE",'[1]Sales per type Agustus'!$D$8:$BA$8,0)),0)</f>
        <v>1</v>
      </c>
      <c r="BD16" s="33">
        <f t="shared" si="16"/>
        <v>0</v>
      </c>
      <c r="BE16" s="33" cm="1">
        <f t="array" ref="BE16">IFERROR(INDEX('[1]SALES PERTYPE'!$D$10:$BA$53,MATCH($C16,'[1]SALES PERTYPE'!$B$10:$B$53,0),MATCH("V70 FE",'[1]SALES PERTYPE'!$D$8:$BA$8,0)+1),0)</f>
        <v>6999000</v>
      </c>
      <c r="BF16" s="33" cm="1">
        <f t="array" ref="BF16">IFERROR(INDEX('[1]Sales per type Agustus'!$D$10:$BA$52,MATCH($C16,'[1]Sales per type Agustus'!$B$10:$B$52,0),MATCH("V70 FE",'[1]Sales per type Agustus'!$D$8:$BA$8,0)+1),0)</f>
        <v>7999000</v>
      </c>
      <c r="BG16" s="33">
        <f t="shared" si="17"/>
        <v>-1000000</v>
      </c>
      <c r="BH16" s="33">
        <f>IFERROR(INDEX('[1]SALES PERTYPE'!$D$10:$BA$53,MATCH($C16,'[1]SALES PERTYPE'!$B$10:$B$53,0),MATCH("Y31d",'[1]SALES PERTYPE'!$D$8:$BA$8,0)),0)</f>
        <v>0</v>
      </c>
      <c r="BI16" s="33">
        <f>IFERROR(INDEX('[1]Sales per type Agustus'!$D$10:$BA$52,MATCH($C16,'[1]Sales per type Agustus'!$B$10:$B$52,0),MATCH("Y31d",'[1]Sales per type Agustus'!$D$8:$BA$8,0)),0)</f>
        <v>0</v>
      </c>
      <c r="BJ16" s="33">
        <f t="shared" si="18"/>
        <v>0</v>
      </c>
      <c r="BK16" s="33" cm="1">
        <f t="array" ref="BK16">IFERROR(INDEX('[1]SALES PERTYPE'!$D$10:$BA$53,MATCH($C16,'[1]SALES PERTYPE'!$B$10:$B$53,0),MATCH("Y31d",'[1]SALES PERTYPE'!$D$8:$BA$8,0)+1),0)</f>
        <v>0</v>
      </c>
      <c r="BL16" s="33" cm="1">
        <f t="array" ref="BL16">IFERROR(INDEX('[1]Sales per type Agustus'!$D$10:$BA$52,MATCH($C16,'[1]Sales per type Agustus'!$B$10:$B$52,0),MATCH("Y31d",'[1]Sales per type Agustus'!$D$8:$BA$8,0)+1),0)</f>
        <v>0</v>
      </c>
      <c r="BM16" s="33">
        <f t="shared" si="19"/>
        <v>0</v>
      </c>
      <c r="BN16" s="33">
        <f>IFERROR(INDEX('[1]SALES PERTYPE'!$D$10:$BA$53,MATCH($C16,'[1]SALES PERTYPE'!$B$10:$B$53,0),MATCH("Y500",'[1]SALES PERTYPE'!$D$8:$BA$8,0)),0)</f>
        <v>3</v>
      </c>
      <c r="BO16" s="33">
        <f>IFERROR(INDEX('[1]Sales per type Agustus'!$D$10:$BA$52,MATCH($C16,'[1]Sales per type Agustus'!$B$10:$B$52,0),MATCH("Y500",'[1]Sales per type Agustus'!$D$8:$BA$8,0)),0)</f>
        <v>4</v>
      </c>
      <c r="BP16" s="33">
        <f t="shared" si="20"/>
        <v>-1</v>
      </c>
      <c r="BQ16" s="33" cm="1">
        <f t="array" ref="BQ16">IFERROR(INDEX('[1]SALES PERTYPE'!$D$10:$BA$53,MATCH($C16,'[1]SALES PERTYPE'!$B$10:$B$53,0),MATCH("Y500",'[1]SALES PERTYPE'!$D$8:$BA$8,0)+1),0)</f>
        <v>16497000</v>
      </c>
      <c r="BR16" s="33" cm="1">
        <f t="array" ref="BR16">IFERROR(INDEX('[1]Sales per type Agustus'!$D$10:$BA$52,MATCH($C16,'[1]Sales per type Agustus'!$B$10:$B$52,0),MATCH("Y500",'[1]Sales per type Agustus'!$D$8:$BA$8,0)+1),0)</f>
        <v>24396000</v>
      </c>
      <c r="BS16" s="33">
        <f t="shared" si="21"/>
        <v>-7899000</v>
      </c>
      <c r="BT16" s="33">
        <f>IFERROR(INDEX('[1]SALES PERTYPE'!$D$10:$BA$53,MATCH($C16,'[1]SALES PERTYPE'!$B$10:$B$53,0),MATCH("IQOO 15R",'[1]SALES PERTYPE'!$D$8:$BA$8,0)),0)</f>
        <v>0</v>
      </c>
      <c r="BU16" s="33">
        <f>IFERROR(INDEX('[1]Sales per type Agustus'!$D$10:$BA$52,MATCH($C16,'[1]Sales per type Agustus'!$B$10:$B$52,0),MATCH("IQOO 15R",'[1]Sales per type Agustus'!$D$8:$BA$8,0)),0)</f>
        <v>0</v>
      </c>
      <c r="BV16" s="33">
        <f t="shared" si="22"/>
        <v>0</v>
      </c>
      <c r="BW16" s="33" cm="1">
        <f t="array" ref="BW16">IFERROR(INDEX('[1]SALES PERTYPE'!$D$10:$BA$53,MATCH($C16,'[1]SALES PERTYPE'!$B$10:$B$53,0),MATCH("IQOO 15R",'[1]SALES PERTYPE'!$D$8:$BA$8,0)+1),0)</f>
        <v>0</v>
      </c>
      <c r="BX16" s="33" cm="1">
        <f t="array" ref="BX16">IFERROR(INDEX('[1]Sales per type Agustus'!$D$10:$BA$52,MATCH($C16,'[1]Sales per type Agustus'!$B$10:$B$52,0),MATCH("IQOO 15R",'[1]Sales per type Agustus'!$D$8:$BA$8,0)+1),0)</f>
        <v>0</v>
      </c>
      <c r="BY16" s="33">
        <f t="shared" si="23"/>
        <v>0</v>
      </c>
      <c r="BZ16" s="33">
        <f>IFERROR(INDEX('[1]SALES PERTYPE'!$D$10:$BA$53,MATCH($C16,'[1]SALES PERTYPE'!$B$10:$B$53,0),MATCH("V60 Lite",'[1]SALES PERTYPE'!$D$8:$BA$8,0)),0)</f>
        <v>7</v>
      </c>
      <c r="CA16" s="33">
        <f>IFERROR(INDEX('[1]Sales per type Agustus'!$D$10:$BA$52,MATCH($C16,'[1]Sales per type Agustus'!$B$10:$B$52,0),MATCH("V60 Lite",'[1]Sales per type Agustus'!$D$8:$BA$8,0)),0)</f>
        <v>2</v>
      </c>
      <c r="CB16" s="33">
        <f t="shared" si="24"/>
        <v>5</v>
      </c>
      <c r="CC16" s="33" cm="1">
        <f t="array" ref="CC16">IFERROR(INDEX('[1]SALES PERTYPE'!$D$10:$BA$53,MATCH($C16,'[1]SALES PERTYPE'!$B$10:$B$53,0),MATCH("V60 Lite",'[1]SALES PERTYPE'!$D$8:$BA$8,0)+1),0)</f>
        <v>41293000</v>
      </c>
      <c r="CD16" s="33" cm="1">
        <f t="array" ref="CD16">IFERROR(INDEX('[1]Sales per type Agustus'!$D$10:$BA$52,MATCH($C16,'[1]Sales per type Agustus'!$B$10:$B$52,0),MATCH("V60 Lite",'[1]Sales per type Agustus'!$D$8:$BA$8,0)+1),0)</f>
        <v>11998000</v>
      </c>
      <c r="CE16" s="33">
        <f t="shared" si="25"/>
        <v>29295000</v>
      </c>
      <c r="CF16" s="33">
        <f>IFERROR(INDEX('[1]SALES PERTYPE'!$D$10:$BA$53,MATCH($C16,'[1]SALES PERTYPE'!$B$10:$B$53,0),MATCH("X300 Ultra",'[1]SALES PERTYPE'!$D$8:$BA$8,0)),0)</f>
        <v>0</v>
      </c>
      <c r="CG16" s="33">
        <f>IFERROR(INDEX('[1]Sales per type Agustus'!$D$10:$BA$52,MATCH($C16,'[1]Sales per type Agustus'!$B$10:$B$52,0),MATCH("X300 Ultra",'[1]Sales per type Agustus'!$D$8:$BA$8,0)),0)</f>
        <v>0</v>
      </c>
      <c r="CH16" s="33">
        <f t="shared" si="26"/>
        <v>0</v>
      </c>
      <c r="CI16" s="33" cm="1">
        <f t="array" ref="CI16">IFERROR(INDEX('[1]SALES PERTYPE'!$D$10:$BA$53,MATCH($C16,'[1]SALES PERTYPE'!$B$10:$B$53,0),MATCH("X300 Ultra",'[1]SALES PERTYPE'!$D$8:$BA$8,0)+1),0)</f>
        <v>0</v>
      </c>
      <c r="CJ16" s="33" cm="1">
        <f t="array" ref="CJ16">IFERROR(INDEX('[1]Sales per type Agustus'!$D$10:$BA$52,MATCH($C16,'[1]Sales per type Agustus'!$B$10:$B$52,0),MATCH("X300 Ultra",'[1]Sales per type Agustus'!$D$8:$BA$8,0)+1),0)</f>
        <v>0</v>
      </c>
      <c r="CK16" s="33">
        <f t="shared" si="27"/>
        <v>0</v>
      </c>
      <c r="CL16" s="33">
        <f>IFERROR(INDEX('[1]SALES PERTYPE'!$D$10:$BA$53,MATCH($C16,'[1]SALES PERTYPE'!$B$10:$B$53,0),MATCH("IQOO 15",'[1]SALES PERTYPE'!$D$8:$BA$8,0)),0)</f>
        <v>0</v>
      </c>
      <c r="CM16" s="33">
        <f>IFERROR(INDEX('[1]Sales per type Agustus'!$D$10:$BA$52,MATCH($C16,'[1]Sales per type Agustus'!$B$10:$B$52,0),MATCH("IQOO 15",'[1]Sales per type Agustus'!$D$8:$BA$8,0)),0)</f>
        <v>0</v>
      </c>
      <c r="CN16" s="33">
        <f t="shared" si="28"/>
        <v>0</v>
      </c>
      <c r="CO16" s="33" cm="1">
        <f t="array" ref="CO16">IFERROR(INDEX('[1]SALES PERTYPE'!$D$10:$BA$53,MATCH($C16,'[1]SALES PERTYPE'!$B$10:$B$53,0),MATCH("IQOO 15",'[1]SALES PERTYPE'!$D$8:$BA$8,0)+1),0)</f>
        <v>0</v>
      </c>
      <c r="CP16" s="33" cm="1">
        <f t="array" ref="CP16">IFERROR(INDEX('[1]Sales per type Agustus'!$D$10:$BA$52,MATCH($C16,'[1]Sales per type Agustus'!$B$10:$B$52,0),MATCH("IQOO 15",'[1]Sales per type Agustus'!$D$8:$BA$8,0)+1),0)</f>
        <v>0</v>
      </c>
      <c r="CQ16" s="33">
        <f t="shared" si="29"/>
        <v>0</v>
      </c>
      <c r="CR16" s="33">
        <f>IFERROR(INDEX('[1]SALES PERTYPE'!$D$10:$BA$53,MATCH($C16,'[1]SALES PERTYPE'!$B$10:$B$53,0),MATCH("IQOO Z11x",'[1]SALES PERTYPE'!$D$8:$BA$8,0)),0)</f>
        <v>0</v>
      </c>
      <c r="CS16" s="33">
        <f>IFERROR(INDEX('[1]Sales per type Agustus'!$D$10:$BA$52,MATCH($C16,'[1]Sales per type Agustus'!$B$10:$B$52,0),MATCH("IQOO Z11x",'[1]Sales per type Agustus'!$D$8:$BA$8,0)),0)</f>
        <v>2</v>
      </c>
      <c r="CT16" s="33">
        <f t="shared" si="30"/>
        <v>-2</v>
      </c>
      <c r="CU16" s="33" cm="1">
        <f t="array" ref="CU16">IFERROR(INDEX('[1]SALES PERTYPE'!$D$10:$BA$53,MATCH($C16,'[1]SALES PERTYPE'!$B$10:$B$53,0),MATCH("IQOO Z11x",'[1]SALES PERTYPE'!$D$8:$BA$8,0)+1),0)</f>
        <v>0</v>
      </c>
      <c r="CV16" s="33" cm="1">
        <f t="array" ref="CV16">IFERROR(INDEX('[1]Sales per type Agustus'!$D$10:$BA$52,MATCH($C16,'[1]Sales per type Agustus'!$B$10:$B$52,0),MATCH("IQOO Z11x",'[1]Sales per type Agustus'!$D$8:$BA$8,0)+1),0)</f>
        <v>11398000</v>
      </c>
      <c r="CW16" s="33">
        <f t="shared" si="31"/>
        <v>-11398000</v>
      </c>
      <c r="CX16" s="33">
        <f>IFERROR(INDEX('[1]SALES PERTYPE'!$D$10:$BA$53,MATCH($C16,'[1]SALES PERTYPE'!$B$10:$B$53,0),MATCH("IQOO Z11",'[1]SALES PERTYPE'!$D$8:$BA$8,0)),0)</f>
        <v>0</v>
      </c>
      <c r="CY16" s="33">
        <f>IFERROR(INDEX('[1]Sales per type Agustus'!$D$10:$BA$52,MATCH($C16,'[1]Sales per type Agustus'!$B$10:$B$52,0),MATCH("IQOO Z11",'[1]Sales per type Agustus'!$D$8:$BA$8,0)),0)</f>
        <v>1</v>
      </c>
      <c r="CZ16" s="33">
        <f t="shared" si="32"/>
        <v>-1</v>
      </c>
      <c r="DA16" s="33" cm="1">
        <f t="array" ref="DA16">IFERROR(INDEX('[1]SALES PERTYPE'!$D$10:$BA$53,MATCH($C16,'[1]SALES PERTYPE'!$B$10:$B$53,0),MATCH("IQOO Z11",'[1]SALES PERTYPE'!$D$8:$BA$8,0)+1),0)</f>
        <v>0</v>
      </c>
      <c r="DB16" s="33" cm="1">
        <f t="array" ref="DB16">IFERROR(INDEX('[1]Sales per type Agustus'!$D$10:$BA$52,MATCH($C16,'[1]Sales per type Agustus'!$B$10:$B$52,0),MATCH("IQOO Z11",'[1]Sales per type Agustus'!$D$8:$BA$8,0)+1),0)</f>
        <v>8399000</v>
      </c>
      <c r="DC16" s="33">
        <f t="shared" si="33"/>
        <v>-8399000</v>
      </c>
      <c r="DD16" s="33">
        <f>IFERROR(INDEX('[1]SALES PERTYPE'!$D$10:$BA$53,MATCH($C16,'[1]SALES PERTYPE'!$B$10:$B$53,0),MATCH("WATCH 3",'[1]SALES PERTYPE'!$D$8:$BA$8,0)),0)</f>
        <v>0</v>
      </c>
      <c r="DE16" s="33">
        <f>IFERROR(INDEX('[1]Sales per type Agustus'!$D$10:$BA$52,MATCH($C16,'[1]Sales per type Agustus'!$B$10:$B$52,0),MATCH("WATCH 3",'[1]Sales per type Agustus'!$D$8:$BA$8,0)),0)</f>
        <v>0</v>
      </c>
      <c r="DF16" s="33">
        <f t="shared" si="34"/>
        <v>0</v>
      </c>
      <c r="DG16" s="33" cm="1">
        <f t="array" ref="DG16">IFERROR(INDEX('[1]SALES PERTYPE'!$D$10:$BA$53,MATCH($C16,'[1]SALES PERTYPE'!$B$10:$B$53,0),MATCH("WATCH 3",'[1]SALES PERTYPE'!$D$8:$BA$8,0)+1),0)</f>
        <v>0</v>
      </c>
      <c r="DH16" s="33" cm="1">
        <f t="array" ref="DH16">IFERROR(INDEX('[1]Sales per type Agustus'!$D$10:$BA$52,MATCH($C16,'[1]Sales per type Agustus'!$B$10:$B$52,0),MATCH("WATCH 3",'[1]Sales per type Agustus'!$D$8:$BA$8,0)+1),0)</f>
        <v>0</v>
      </c>
      <c r="DI16" s="33">
        <f t="shared" si="35"/>
        <v>0</v>
      </c>
      <c r="DJ16" s="33">
        <f>IFERROR(INDEX('[1]SALES PERTYPE'!$D$10:$BA$53,MATCH($C16,'[1]SALES PERTYPE'!$B$10:$B$53,0),MATCH("X Fold5",'[1]SALES PERTYPE'!$D$8:$BA$8,0)),0)</f>
        <v>0</v>
      </c>
      <c r="DK16" s="33">
        <f>IFERROR(INDEX('[1]Sales per type Agustus'!$D$10:$BA$52,MATCH($C16,'[1]Sales per type Agustus'!$B$10:$B$52,0),MATCH("X Fold5",'[1]Sales per type Agustus'!$D$8:$BA$8,0)),0)</f>
        <v>0</v>
      </c>
      <c r="DL16" s="33">
        <f t="shared" si="36"/>
        <v>0</v>
      </c>
      <c r="DM16" s="33" cm="1">
        <f t="array" ref="DM16">IFERROR(INDEX('[1]SALES PERTYPE'!$D$10:$BA$53,MATCH($C16,'[1]SALES PERTYPE'!$B$10:$B$53,0),MATCH("X Fold5",'[1]SALES PERTYPE'!$D$8:$BA$8,0)+1),0)</f>
        <v>0</v>
      </c>
      <c r="DN16" s="33" cm="1">
        <f t="array" ref="DN16">IFERROR(INDEX('[1]Sales per type Agustus'!$D$10:$BA$52,MATCH($C16,'[1]Sales per type Agustus'!$B$10:$B$52,0),MATCH("X Fold5",'[1]Sales per type Agustus'!$D$8:$BA$8,0)+1),0)</f>
        <v>0</v>
      </c>
      <c r="DO16" s="33">
        <f t="shared" si="37"/>
        <v>0</v>
      </c>
      <c r="DP16" s="33">
        <f>IFERROR(INDEX('[1]SALES PERTYPE'!$D$10:$BA$53,MATCH($C16,'[1]SALES PERTYPE'!$B$10:$B$53,0),MATCH("X300 PRO",'[1]SALES PERTYPE'!$D$8:$BA$8,0)),0)</f>
        <v>0</v>
      </c>
      <c r="DQ16" s="33">
        <f>IFERROR(INDEX('[1]Sales per type Agustus'!$D$10:$BA$52,MATCH($C16,'[1]Sales per type Agustus'!$B$10:$B$52,0),MATCH("X300 PRO",'[1]Sales per type Agustus'!$D$8:$BA$8,0)),0)</f>
        <v>0</v>
      </c>
      <c r="DR16" s="33">
        <f t="shared" si="38"/>
        <v>0</v>
      </c>
      <c r="DS16" s="33" cm="1">
        <f t="array" ref="DS16">IFERROR(INDEX('[1]SALES PERTYPE'!$D$10:$BA$53,MATCH($C16,'[1]SALES PERTYPE'!$B$10:$B$53,0),MATCH("X300 PRO",'[1]SALES PERTYPE'!$D$8:$BA$8,0)+1),0)</f>
        <v>0</v>
      </c>
      <c r="DT16" s="33" cm="1">
        <f t="array" ref="DT16">IFERROR(INDEX('[1]Sales per type Agustus'!$D$10:$BA$52,MATCH($C16,'[1]Sales per type Agustus'!$B$10:$B$52,0),MATCH("X300 PRO",'[1]Sales per type Agustus'!$D$8:$BA$8,0)+1),0)</f>
        <v>0</v>
      </c>
      <c r="DU16" s="33">
        <f t="shared" si="39"/>
        <v>0</v>
      </c>
      <c r="DV16" s="33">
        <f>IFERROR(INDEX('[1]SALES PERTYPE'!$D$10:$BA$53,MATCH($C16,'[1]SALES PERTYPE'!$B$10:$B$53,0),MATCH("X300 ",'[1]SALES PERTYPE'!$D$8:$BA$8,0)),0)</f>
        <v>0</v>
      </c>
      <c r="DW16" s="33">
        <f>IFERROR(INDEX('[1]Sales per type Agustus'!$D$10:$BA$52,MATCH($C16,'[1]Sales per type Agustus'!$B$10:$B$52,0),MATCH("X300 ",'[1]Sales per type Agustus'!$D$8:$BA$8,0)),0)</f>
        <v>0</v>
      </c>
      <c r="DX16" s="33">
        <f t="shared" si="40"/>
        <v>0</v>
      </c>
      <c r="DY16" s="33" cm="1">
        <f t="array" ref="DY16">IFERROR(INDEX('[1]SALES PERTYPE'!$D$10:$BA$53,MATCH($C16,'[1]SALES PERTYPE'!$B$10:$B$53,0),MATCH("X300 ",'[1]SALES PERTYPE'!$D$8:$BA$8,0)+1),0)</f>
        <v>0</v>
      </c>
      <c r="DZ16" s="33" cm="1">
        <f t="array" ref="DZ16">IFERROR(INDEX('[1]Sales per type Agustus'!$D$10:$BA$52,MATCH($C16,'[1]Sales per type Agustus'!$B$10:$B$52,0),MATCH("X300 ",'[1]Sales per type Agustus'!$D$8:$BA$8,0)+1),0)</f>
        <v>0</v>
      </c>
      <c r="EA16" s="33">
        <f t="shared" si="41"/>
        <v>0</v>
      </c>
      <c r="EB16" s="33">
        <f t="shared" si="42"/>
        <v>42</v>
      </c>
      <c r="EC16" s="33">
        <f t="shared" si="42"/>
        <v>40</v>
      </c>
      <c r="ED16" s="33">
        <f t="shared" si="43"/>
        <v>2</v>
      </c>
      <c r="EE16" s="33">
        <f t="shared" si="44"/>
        <v>185658000</v>
      </c>
      <c r="EF16" s="33">
        <f t="shared" si="44"/>
        <v>177860000</v>
      </c>
      <c r="EG16" s="33">
        <f t="shared" si="45"/>
        <v>7798000</v>
      </c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</row>
    <row r="17" spans="1:184" ht="16" x14ac:dyDescent="0.2">
      <c r="A17" s="31">
        <f>'[1]ACHIEVEMENT STORE'!A17</f>
        <v>13</v>
      </c>
      <c r="B17" s="32" t="str">
        <f>'[1]ACHIEVEMENT STORE'!B17</f>
        <v>604 雅加达东南 JKT TS</v>
      </c>
      <c r="C17" s="31">
        <f>'[1]ACHIEVEMENT STORE'!C17</f>
        <v>6040702</v>
      </c>
      <c r="D17" s="32" t="str">
        <f>'[1]ACHIEVEMENT STORE'!D17</f>
        <v>6040702-TRAN STUDIO MALL 2F059</v>
      </c>
      <c r="E17" s="32" t="str">
        <f>'[1]ACHIEVEMENT STORE'!E17</f>
        <v>Erlangga Praditya</v>
      </c>
      <c r="F17" s="33">
        <f>IFERROR(INDEX('[1]SALES PERTYPE'!$D$10:$BA$53,MATCH($C17,'[1]SALES PERTYPE'!$B$10:$B$53,0),MATCH("Y05",'[1]SALES PERTYPE'!$D$8:$BA$8,0)),0)</f>
        <v>1</v>
      </c>
      <c r="G17" s="33">
        <f>IFERROR(INDEX('[1]Sales per type Agustus'!$D$10:$BA$52,MATCH($C17,'[1]Sales per type Agustus'!$B$10:$B$52,0),MATCH("Y05",'[1]Sales per type Agustus'!$D$8:$BA$8,0)),0)</f>
        <v>6</v>
      </c>
      <c r="H17" s="33">
        <f t="shared" si="0"/>
        <v>-5</v>
      </c>
      <c r="I17" s="33" cm="1">
        <f t="array" ref="I17">IFERROR(INDEX('[1]SALES PERTYPE'!$D$10:$BA$53,MATCH($C17,'[1]SALES PERTYPE'!$B$10:$B$53,0),MATCH("Y05",'[1]SALES PERTYPE'!$D$8:$BA$8,0)+1),0)</f>
        <v>2599000</v>
      </c>
      <c r="J17" s="33" cm="1">
        <f t="array" ref="J17">IFERROR(INDEX('[1]Sales per type Agustus'!$D$10:$BA$52,MATCH($C17,'[1]Sales per type Agustus'!$B$10:$B$52,0),MATCH("Y05",'[1]Sales per type Agustus'!$D$8:$BA$8,0)+1),0)</f>
        <v>14994000</v>
      </c>
      <c r="K17" s="33">
        <f t="shared" si="1"/>
        <v>-12395000</v>
      </c>
      <c r="L17" s="33">
        <f>IFERROR(INDEX('[1]SALES PERTYPE'!$D$10:$BA$53,MATCH($C17,'[1]SALES PERTYPE'!$B$10:$B$53,0),MATCH("Y11d",'[1]SALES PERTYPE'!$D$8:$BA$8,0)),0)</f>
        <v>5</v>
      </c>
      <c r="M17" s="33">
        <f>IFERROR(INDEX('[1]Sales per type Agustus'!$D$10:$BA$52,MATCH($C17,'[1]Sales per type Agustus'!$B$10:$B$52,0),MATCH("Y11d",'[1]Sales per type Agustus'!$D$8:$BA$8,0)),0)</f>
        <v>7</v>
      </c>
      <c r="N17" s="33">
        <f t="shared" si="2"/>
        <v>-2</v>
      </c>
      <c r="O17" s="33" cm="1">
        <f t="array" ref="O17">IFERROR(INDEX('[1]SALES PERTYPE'!$D$10:$BA$53,MATCH($C17,'[1]SALES PERTYPE'!$B$10:$B$53,0),MATCH("Y11d",'[1]SALES PERTYPE'!$D$8:$BA$8,0)+1),0)</f>
        <v>13195000</v>
      </c>
      <c r="P17" s="33" cm="1">
        <f t="array" ref="P17">IFERROR(INDEX('[1]Sales per type Agustus'!$D$10:$BA$52,MATCH($C17,'[1]Sales per type Agustus'!$B$10:$B$52,0),MATCH("Y11d",'[1]Sales per type Agustus'!$D$8:$BA$8,0)+1),0)</f>
        <v>17993000</v>
      </c>
      <c r="Q17" s="33">
        <f t="shared" si="3"/>
        <v>-4798000</v>
      </c>
      <c r="R17" s="33">
        <f>IFERROR(INDEX('[1]SALES PERTYPE'!$D$10:$BA$53,MATCH($C17,'[1]SALES PERTYPE'!$B$10:$B$53,0),MATCH("Watch GT 2",'[1]SALES PERTYPE'!$D$8:$BA$8,0)),0)</f>
        <v>0</v>
      </c>
      <c r="S17" s="33">
        <f>IFERROR(INDEX('[1]Sales per type Agustus'!$D$10:$BA$52,MATCH($C17,'[1]Sales per type Agustus'!$B$10:$B$52,0),MATCH("Watch GT 2",'[1]Sales per type Agustus'!$D$8:$BA$8,0)),0)</f>
        <v>0</v>
      </c>
      <c r="T17" s="33">
        <f t="shared" si="4"/>
        <v>0</v>
      </c>
      <c r="U17" s="33" cm="1">
        <f t="array" ref="U17">IFERROR(INDEX('[1]SALES PERTYPE'!$D$10:$BA$53,MATCH($C17,'[1]SALES PERTYPE'!$B$10:$B$53,0),MATCH("Watch GT 2",'[1]SALES PERTYPE'!$D$8:$BA$8,0)+1),0)</f>
        <v>0</v>
      </c>
      <c r="V17" s="33" cm="1">
        <f t="array" ref="V17">IFERROR(INDEX('[1]Sales per type Agustus'!$D$10:$BA$52,MATCH($C17,'[1]Sales per type Agustus'!$B$10:$B$52,0),MATCH("Watch GT 2",'[1]Sales per type Agustus'!$D$8:$BA$8,0)+1),0)</f>
        <v>0</v>
      </c>
      <c r="W17" s="33">
        <f t="shared" si="5"/>
        <v>0</v>
      </c>
      <c r="X17" s="33">
        <f>IFERROR(INDEX('[1]SALES PERTYPE'!$D$10:$BA$53,MATCH($C17,'[1]SALES PERTYPE'!$B$10:$B$53,0),MATCH("Y05e",'[1]SALES PERTYPE'!$D$8:$BA$8,0)),0)</f>
        <v>3</v>
      </c>
      <c r="Y17" s="33">
        <f>IFERROR(INDEX('[1]Sales per type Agustus'!$D$10:$BA$52,MATCH($C17,'[1]Sales per type Agustus'!$B$10:$B$52,0),MATCH("Y05e",'[1]Sales per type Agustus'!$D$8:$BA$8,0)),0)</f>
        <v>7</v>
      </c>
      <c r="Z17" s="33">
        <f t="shared" si="6"/>
        <v>-4</v>
      </c>
      <c r="AA17" s="33" cm="1">
        <f t="array" ref="AA17">IFERROR(INDEX('[1]SALES PERTYPE'!$D$10:$BA$53,MATCH($C17,'[1]SALES PERTYPE'!$B$10:$B$53,0),MATCH("Y05e",'[1]SALES PERTYPE'!$D$8:$BA$8,0)+1),0)</f>
        <v>6297000</v>
      </c>
      <c r="AB17" s="33" cm="1">
        <f t="array" ref="AB17">IFERROR(INDEX('[1]Sales per type Agustus'!$D$10:$BA$52,MATCH($C17,'[1]Sales per type Agustus'!$B$10:$B$52,0),MATCH("Y05e",'[1]Sales per type Agustus'!$D$8:$BA$8,0)+1),0)</f>
        <v>14693000</v>
      </c>
      <c r="AC17" s="33">
        <f t="shared" si="7"/>
        <v>-8396000</v>
      </c>
      <c r="AD17" s="33">
        <f>IFERROR(INDEX('[1]SALES PERTYPE'!$D$10:$BA$53,MATCH($C17,'[1]SALES PERTYPE'!$B$10:$B$53,0),MATCH("V70",'[1]SALES PERTYPE'!$D$8:$BA$8,0)),0)</f>
        <v>2</v>
      </c>
      <c r="AE17" s="33">
        <f>IFERROR(INDEX('[1]Sales per type Agustus'!$D$10:$BA$52,MATCH($C17,'[1]Sales per type Agustus'!$B$10:$B$52,0),MATCH("V70",'[1]Sales per type Agustus'!$D$8:$BA$8,0)),0)</f>
        <v>1</v>
      </c>
      <c r="AF17" s="33">
        <f t="shared" si="8"/>
        <v>1</v>
      </c>
      <c r="AG17" s="33" cm="1">
        <f t="array" ref="AG17">IFERROR(INDEX('[1]SALES PERTYPE'!$D$10:$BA$53,MATCH($C17,'[1]SALES PERTYPE'!$B$10:$B$53,0),MATCH("V70",'[1]SALES PERTYPE'!$D$8:$BA$8,0)+1),0)</f>
        <v>19998000</v>
      </c>
      <c r="AH17" s="33" cm="1">
        <f t="array" ref="AH17">IFERROR(INDEX('[1]Sales per type Agustus'!$D$10:$BA$52,MATCH($C17,'[1]Sales per type Agustus'!$B$10:$B$52,0),MATCH("V70",'[1]Sales per type Agustus'!$D$8:$BA$8,0)+1),0)</f>
        <v>10999000</v>
      </c>
      <c r="AI17" s="33">
        <f t="shared" si="9"/>
        <v>8999000</v>
      </c>
      <c r="AJ17" s="33">
        <f>IFERROR(INDEX('[1]SALES PERTYPE'!$D$10:$BA$53,MATCH($C17,'[1]SALES PERTYPE'!$B$10:$B$53,0),MATCH("Y31d Pro",'[1]SALES PERTYPE'!$D$8:$BA$8,0)),0)</f>
        <v>3</v>
      </c>
      <c r="AK17" s="33">
        <f>IFERROR(INDEX('[1]Sales per type Agustus'!$D$10:$BA$52,MATCH($C17,'[1]Sales per type Agustus'!$B$10:$B$52,0),MATCH("Y31d Pro",'[1]Sales per type Agustus'!$D$8:$BA$8,0)),0)</f>
        <v>1</v>
      </c>
      <c r="AL17" s="33">
        <f t="shared" si="10"/>
        <v>2</v>
      </c>
      <c r="AM17" s="33" cm="1">
        <f t="array" ref="AM17">IFERROR(INDEX('[1]SALES PERTYPE'!$D$10:$BA$53,MATCH($C17,'[1]SALES PERTYPE'!$B$10:$B$53,0),MATCH("Y31d Pro",'[1]SALES PERTYPE'!$D$8:$BA$8,0)+1),0)</f>
        <v>13697000</v>
      </c>
      <c r="AN17" s="33" cm="1">
        <f t="array" ref="AN17">IFERROR(INDEX('[1]Sales per type Agustus'!$D$10:$BA$52,MATCH($C17,'[1]Sales per type Agustus'!$B$10:$B$52,0),MATCH("Y31d Pro",'[1]Sales per type Agustus'!$D$8:$BA$8,0)+1),0)</f>
        <v>4299000</v>
      </c>
      <c r="AO17" s="33">
        <f t="shared" si="11"/>
        <v>9398000</v>
      </c>
      <c r="AP17" s="33" cm="1">
        <f t="array" ref="AP17">IFERROR(INDEX('[1]SALES PERTYPE'!$D$10:$BA$53,MATCH($C17,'[1]SALES PERTYPE'!$B$10:$B$53,0),$EI$3),0)</f>
        <v>0</v>
      </c>
      <c r="AQ17" s="33" cm="1">
        <f t="array" ref="AQ17">IFERROR(INDEX('[1]Sales per type Agustus'!$D$10:$BA$52,MATCH($C17,'[1]Sales per type Agustus'!$B$10:$B$52,0),$EI$2),0)</f>
        <v>1</v>
      </c>
      <c r="AR17" s="33">
        <f t="shared" si="12"/>
        <v>-1</v>
      </c>
      <c r="AS17" s="33" cm="1">
        <f t="array" ref="AS17">IFERROR(INDEX('[1]SALES PERTYPE'!$D$10:$BA$53,MATCH($C17,'[1]SALES PERTYPE'!$B$10:$B$53,0),$EI$3+1),0)</f>
        <v>0</v>
      </c>
      <c r="AT17" s="33" cm="1">
        <f t="array" ref="AT17">IFERROR(INDEX('[1]Sales per type Agustus'!$D$10:$BA$52,MATCH($C17,'[1]Sales per type Agustus'!$B$10:$B$52,0),$EI$2+1),0)</f>
        <v>3599000</v>
      </c>
      <c r="AU17" s="33">
        <f t="shared" si="13"/>
        <v>-3599000</v>
      </c>
      <c r="AV17" s="33">
        <f>IFERROR(INDEX('[1]SALES PERTYPE'!$D$10:$BA$53,MATCH($C17,'[1]SALES PERTYPE'!$B$10:$B$53,0),MATCH("Y31d ",'[1]SALES PERTYPE'!$D$8:$BA$8,0)),0)</f>
        <v>1</v>
      </c>
      <c r="AW17" s="33">
        <f>IFERROR(INDEX('[1]Sales per type Agustus'!$D$10:$BA$52,MATCH($C17,'[1]Sales per type Agustus'!$B$10:$B$52,0),MATCH("Y31d ",'[1]Sales per type Agustus'!$D$8:$BA$8,0)),0)</f>
        <v>0</v>
      </c>
      <c r="AX17" s="33">
        <f t="shared" si="14"/>
        <v>1</v>
      </c>
      <c r="AY17" s="33" cm="1">
        <f t="array" ref="AY17">IFERROR(INDEX('[1]SALES PERTYPE'!$D$10:$BA$53,MATCH($C17,'[1]SALES PERTYPE'!$B$10:$B$53,0),MATCH("Y31d ",'[1]SALES PERTYPE'!$D$8:$BA$8,0)+1),0)</f>
        <v>3599000</v>
      </c>
      <c r="AZ17" s="33" cm="1">
        <f t="array" ref="AZ17">IFERROR(INDEX('[1]Sales per type Agustus'!$D$10:$BA$52,MATCH($C17,'[1]Sales per type Agustus'!$B$10:$B$52,0),MATCH("Y31d ",'[1]Sales per type Agustus'!$D$8:$BA$8,0)+1),0)</f>
        <v>0</v>
      </c>
      <c r="BA17" s="33">
        <f t="shared" si="15"/>
        <v>3599000</v>
      </c>
      <c r="BB17" s="33">
        <f>IFERROR(INDEX('[1]SALES PERTYPE'!$D$10:$BA$53,MATCH($C17,'[1]SALES PERTYPE'!$B$10:$B$53,0),MATCH("V70 FE",'[1]SALES PERTYPE'!$D$8:$BA$8,0)),0)</f>
        <v>0</v>
      </c>
      <c r="BC17" s="33">
        <f>IFERROR(INDEX('[1]Sales per type Agustus'!$D$10:$BA$52,MATCH($C17,'[1]Sales per type Agustus'!$B$10:$B$52,0),MATCH("V70 FE",'[1]Sales per type Agustus'!$D$8:$BA$8,0)),0)</f>
        <v>1</v>
      </c>
      <c r="BD17" s="33">
        <f t="shared" si="16"/>
        <v>-1</v>
      </c>
      <c r="BE17" s="33" cm="1">
        <f t="array" ref="BE17">IFERROR(INDEX('[1]SALES PERTYPE'!$D$10:$BA$53,MATCH($C17,'[1]SALES PERTYPE'!$B$10:$B$53,0),MATCH("V70 FE",'[1]SALES PERTYPE'!$D$8:$BA$8,0)+1),0)</f>
        <v>0</v>
      </c>
      <c r="BF17" s="33" cm="1">
        <f t="array" ref="BF17">IFERROR(INDEX('[1]Sales per type Agustus'!$D$10:$BA$52,MATCH($C17,'[1]Sales per type Agustus'!$B$10:$B$52,0),MATCH("V70 FE",'[1]Sales per type Agustus'!$D$8:$BA$8,0)+1),0)</f>
        <v>6499000</v>
      </c>
      <c r="BG17" s="33">
        <f t="shared" si="17"/>
        <v>-6499000</v>
      </c>
      <c r="BH17" s="33">
        <f>IFERROR(INDEX('[1]SALES PERTYPE'!$D$10:$BA$53,MATCH($C17,'[1]SALES PERTYPE'!$B$10:$B$53,0),MATCH("Y31d",'[1]SALES PERTYPE'!$D$8:$BA$8,0)),0)</f>
        <v>0</v>
      </c>
      <c r="BI17" s="33">
        <f>IFERROR(INDEX('[1]Sales per type Agustus'!$D$10:$BA$52,MATCH($C17,'[1]Sales per type Agustus'!$B$10:$B$52,0),MATCH("Y31d",'[1]Sales per type Agustus'!$D$8:$BA$8,0)),0)</f>
        <v>2</v>
      </c>
      <c r="BJ17" s="33">
        <f t="shared" si="18"/>
        <v>-2</v>
      </c>
      <c r="BK17" s="33" cm="1">
        <f t="array" ref="BK17">IFERROR(INDEX('[1]SALES PERTYPE'!$D$10:$BA$53,MATCH($C17,'[1]SALES PERTYPE'!$B$10:$B$53,0),MATCH("Y31d",'[1]SALES PERTYPE'!$D$8:$BA$8,0)+1),0)</f>
        <v>0</v>
      </c>
      <c r="BL17" s="33" cm="1">
        <f t="array" ref="BL17">IFERROR(INDEX('[1]Sales per type Agustus'!$D$10:$BA$52,MATCH($C17,'[1]Sales per type Agustus'!$B$10:$B$52,0),MATCH("Y31d",'[1]Sales per type Agustus'!$D$8:$BA$8,0)+1),0)</f>
        <v>7198000</v>
      </c>
      <c r="BM17" s="33">
        <f t="shared" si="19"/>
        <v>-7198000</v>
      </c>
      <c r="BN17" s="33">
        <f>IFERROR(INDEX('[1]SALES PERTYPE'!$D$10:$BA$53,MATCH($C17,'[1]SALES PERTYPE'!$B$10:$B$53,0),MATCH("Y500",'[1]SALES PERTYPE'!$D$8:$BA$8,0)),0)</f>
        <v>0</v>
      </c>
      <c r="BO17" s="33">
        <f>IFERROR(INDEX('[1]Sales per type Agustus'!$D$10:$BA$52,MATCH($C17,'[1]Sales per type Agustus'!$B$10:$B$52,0),MATCH("Y500",'[1]Sales per type Agustus'!$D$8:$BA$8,0)),0)</f>
        <v>2</v>
      </c>
      <c r="BP17" s="33">
        <f t="shared" si="20"/>
        <v>-2</v>
      </c>
      <c r="BQ17" s="33" cm="1">
        <f t="array" ref="BQ17">IFERROR(INDEX('[1]SALES PERTYPE'!$D$10:$BA$53,MATCH($C17,'[1]SALES PERTYPE'!$B$10:$B$53,0),MATCH("Y500",'[1]SALES PERTYPE'!$D$8:$BA$8,0)+1),0)</f>
        <v>0</v>
      </c>
      <c r="BR17" s="33" cm="1">
        <f t="array" ref="BR17">IFERROR(INDEX('[1]Sales per type Agustus'!$D$10:$BA$52,MATCH($C17,'[1]Sales per type Agustus'!$B$10:$B$52,0),MATCH("Y500",'[1]Sales per type Agustus'!$D$8:$BA$8,0)+1),0)</f>
        <v>11798000</v>
      </c>
      <c r="BS17" s="33">
        <f t="shared" si="21"/>
        <v>-11798000</v>
      </c>
      <c r="BT17" s="33">
        <f>IFERROR(INDEX('[1]SALES PERTYPE'!$D$10:$BA$53,MATCH($C17,'[1]SALES PERTYPE'!$B$10:$B$53,0),MATCH("IQOO 15R",'[1]SALES PERTYPE'!$D$8:$BA$8,0)),0)</f>
        <v>1</v>
      </c>
      <c r="BU17" s="33">
        <f>IFERROR(INDEX('[1]Sales per type Agustus'!$D$10:$BA$52,MATCH($C17,'[1]Sales per type Agustus'!$B$10:$B$52,0),MATCH("IQOO 15R",'[1]Sales per type Agustus'!$D$8:$BA$8,0)),0)</f>
        <v>0</v>
      </c>
      <c r="BV17" s="33">
        <f t="shared" si="22"/>
        <v>1</v>
      </c>
      <c r="BW17" s="33" cm="1">
        <f t="array" ref="BW17">IFERROR(INDEX('[1]SALES PERTYPE'!$D$10:$BA$53,MATCH($C17,'[1]SALES PERTYPE'!$B$10:$B$53,0),MATCH("IQOO 15R",'[1]SALES PERTYPE'!$D$8:$BA$8,0)+1),0)</f>
        <v>11999000</v>
      </c>
      <c r="BX17" s="33" cm="1">
        <f t="array" ref="BX17">IFERROR(INDEX('[1]Sales per type Agustus'!$D$10:$BA$52,MATCH($C17,'[1]Sales per type Agustus'!$B$10:$B$52,0),MATCH("IQOO 15R",'[1]Sales per type Agustus'!$D$8:$BA$8,0)+1),0)</f>
        <v>0</v>
      </c>
      <c r="BY17" s="33">
        <f t="shared" si="23"/>
        <v>11999000</v>
      </c>
      <c r="BZ17" s="33">
        <f>IFERROR(INDEX('[1]SALES PERTYPE'!$D$10:$BA$53,MATCH($C17,'[1]SALES PERTYPE'!$B$10:$B$53,0),MATCH("V60 Lite",'[1]SALES PERTYPE'!$D$8:$BA$8,0)),0)</f>
        <v>1</v>
      </c>
      <c r="CA17" s="33">
        <f>IFERROR(INDEX('[1]Sales per type Agustus'!$D$10:$BA$52,MATCH($C17,'[1]Sales per type Agustus'!$B$10:$B$52,0),MATCH("V60 Lite",'[1]Sales per type Agustus'!$D$8:$BA$8,0)),0)</f>
        <v>0</v>
      </c>
      <c r="CB17" s="33">
        <f t="shared" si="24"/>
        <v>1</v>
      </c>
      <c r="CC17" s="33" cm="1">
        <f t="array" ref="CC17">IFERROR(INDEX('[1]SALES PERTYPE'!$D$10:$BA$53,MATCH($C17,'[1]SALES PERTYPE'!$B$10:$B$53,0),MATCH("V60 Lite",'[1]SALES PERTYPE'!$D$8:$BA$8,0)+1),0)</f>
        <v>5899000</v>
      </c>
      <c r="CD17" s="33" cm="1">
        <f t="array" ref="CD17">IFERROR(INDEX('[1]Sales per type Agustus'!$D$10:$BA$52,MATCH($C17,'[1]Sales per type Agustus'!$B$10:$B$52,0),MATCH("V60 Lite",'[1]Sales per type Agustus'!$D$8:$BA$8,0)+1),0)</f>
        <v>0</v>
      </c>
      <c r="CE17" s="33">
        <f t="shared" si="25"/>
        <v>5899000</v>
      </c>
      <c r="CF17" s="33">
        <f>IFERROR(INDEX('[1]SALES PERTYPE'!$D$10:$BA$53,MATCH($C17,'[1]SALES PERTYPE'!$B$10:$B$53,0),MATCH("X300 Ultra",'[1]SALES PERTYPE'!$D$8:$BA$8,0)),0)</f>
        <v>0</v>
      </c>
      <c r="CG17" s="33">
        <f>IFERROR(INDEX('[1]Sales per type Agustus'!$D$10:$BA$52,MATCH($C17,'[1]Sales per type Agustus'!$B$10:$B$52,0),MATCH("X300 Ultra",'[1]Sales per type Agustus'!$D$8:$BA$8,0)),0)</f>
        <v>1</v>
      </c>
      <c r="CH17" s="33">
        <f t="shared" si="26"/>
        <v>-1</v>
      </c>
      <c r="CI17" s="33" cm="1">
        <f t="array" ref="CI17">IFERROR(INDEX('[1]SALES PERTYPE'!$D$10:$BA$53,MATCH($C17,'[1]SALES PERTYPE'!$B$10:$B$53,0),MATCH("X300 Ultra",'[1]SALES PERTYPE'!$D$8:$BA$8,0)+1),0)</f>
        <v>0</v>
      </c>
      <c r="CJ17" s="33" cm="1">
        <f t="array" ref="CJ17">IFERROR(INDEX('[1]Sales per type Agustus'!$D$10:$BA$52,MATCH($C17,'[1]Sales per type Agustus'!$B$10:$B$52,0),MATCH("X300 Ultra",'[1]Sales per type Agustus'!$D$8:$BA$8,0)+1),0)</f>
        <v>29999000</v>
      </c>
      <c r="CK17" s="33">
        <f t="shared" si="27"/>
        <v>-29999000</v>
      </c>
      <c r="CL17" s="33">
        <f>IFERROR(INDEX('[1]SALES PERTYPE'!$D$10:$BA$53,MATCH($C17,'[1]SALES PERTYPE'!$B$10:$B$53,0),MATCH("IQOO 15",'[1]SALES PERTYPE'!$D$8:$BA$8,0)),0)</f>
        <v>0</v>
      </c>
      <c r="CM17" s="33">
        <f>IFERROR(INDEX('[1]Sales per type Agustus'!$D$10:$BA$52,MATCH($C17,'[1]Sales per type Agustus'!$B$10:$B$52,0),MATCH("IQOO 15",'[1]Sales per type Agustus'!$D$8:$BA$8,0)),0)</f>
        <v>0</v>
      </c>
      <c r="CN17" s="33">
        <f t="shared" si="28"/>
        <v>0</v>
      </c>
      <c r="CO17" s="33" cm="1">
        <f t="array" ref="CO17">IFERROR(INDEX('[1]SALES PERTYPE'!$D$10:$BA$53,MATCH($C17,'[1]SALES PERTYPE'!$B$10:$B$53,0),MATCH("IQOO 15",'[1]SALES PERTYPE'!$D$8:$BA$8,0)+1),0)</f>
        <v>0</v>
      </c>
      <c r="CP17" s="33" cm="1">
        <f t="array" ref="CP17">IFERROR(INDEX('[1]Sales per type Agustus'!$D$10:$BA$52,MATCH($C17,'[1]Sales per type Agustus'!$B$10:$B$52,0),MATCH("IQOO 15",'[1]Sales per type Agustus'!$D$8:$BA$8,0)+1),0)</f>
        <v>0</v>
      </c>
      <c r="CQ17" s="33">
        <f t="shared" si="29"/>
        <v>0</v>
      </c>
      <c r="CR17" s="33">
        <f>IFERROR(INDEX('[1]SALES PERTYPE'!$D$10:$BA$53,MATCH($C17,'[1]SALES PERTYPE'!$B$10:$B$53,0),MATCH("IQOO Z11x",'[1]SALES PERTYPE'!$D$8:$BA$8,0)),0)</f>
        <v>1</v>
      </c>
      <c r="CS17" s="33">
        <f>IFERROR(INDEX('[1]Sales per type Agustus'!$D$10:$BA$52,MATCH($C17,'[1]Sales per type Agustus'!$B$10:$B$52,0),MATCH("IQOO Z11x",'[1]Sales per type Agustus'!$D$8:$BA$8,0)),0)</f>
        <v>0</v>
      </c>
      <c r="CT17" s="33">
        <f t="shared" si="30"/>
        <v>1</v>
      </c>
      <c r="CU17" s="33" cm="1">
        <f t="array" ref="CU17">IFERROR(INDEX('[1]SALES PERTYPE'!$D$10:$BA$53,MATCH($C17,'[1]SALES PERTYPE'!$B$10:$B$53,0),MATCH("IQOO Z11x",'[1]SALES PERTYPE'!$D$8:$BA$8,0)+1),0)</f>
        <v>5699000</v>
      </c>
      <c r="CV17" s="33" cm="1">
        <f t="array" ref="CV17">IFERROR(INDEX('[1]Sales per type Agustus'!$D$10:$BA$52,MATCH($C17,'[1]Sales per type Agustus'!$B$10:$B$52,0),MATCH("IQOO Z11x",'[1]Sales per type Agustus'!$D$8:$BA$8,0)+1),0)</f>
        <v>0</v>
      </c>
      <c r="CW17" s="33">
        <f t="shared" si="31"/>
        <v>5699000</v>
      </c>
      <c r="CX17" s="33">
        <f>IFERROR(INDEX('[1]SALES PERTYPE'!$D$10:$BA$53,MATCH($C17,'[1]SALES PERTYPE'!$B$10:$B$53,0),MATCH("IQOO Z11",'[1]SALES PERTYPE'!$D$8:$BA$8,0)),0)</f>
        <v>1</v>
      </c>
      <c r="CY17" s="33">
        <f>IFERROR(INDEX('[1]Sales per type Agustus'!$D$10:$BA$52,MATCH($C17,'[1]Sales per type Agustus'!$B$10:$B$52,0),MATCH("IQOO Z11",'[1]Sales per type Agustus'!$D$8:$BA$8,0)),0)</f>
        <v>4</v>
      </c>
      <c r="CZ17" s="33">
        <f t="shared" si="32"/>
        <v>-3</v>
      </c>
      <c r="DA17" s="33" cm="1">
        <f t="array" ref="DA17">IFERROR(INDEX('[1]SALES PERTYPE'!$D$10:$BA$53,MATCH($C17,'[1]SALES PERTYPE'!$B$10:$B$53,0),MATCH("IQOO Z11",'[1]SALES PERTYPE'!$D$8:$BA$8,0)+1),0)</f>
        <v>6899000</v>
      </c>
      <c r="DB17" s="33" cm="1">
        <f t="array" ref="DB17">IFERROR(INDEX('[1]Sales per type Agustus'!$D$10:$BA$52,MATCH($C17,'[1]Sales per type Agustus'!$B$10:$B$52,0),MATCH("IQOO Z11",'[1]Sales per type Agustus'!$D$8:$BA$8,0)+1),0)</f>
        <v>29096000</v>
      </c>
      <c r="DC17" s="33">
        <f t="shared" si="33"/>
        <v>-22197000</v>
      </c>
      <c r="DD17" s="33">
        <f>IFERROR(INDEX('[1]SALES PERTYPE'!$D$10:$BA$53,MATCH($C17,'[1]SALES PERTYPE'!$B$10:$B$53,0),MATCH("WATCH 3",'[1]SALES PERTYPE'!$D$8:$BA$8,0)),0)</f>
        <v>0</v>
      </c>
      <c r="DE17" s="33">
        <f>IFERROR(INDEX('[1]Sales per type Agustus'!$D$10:$BA$52,MATCH($C17,'[1]Sales per type Agustus'!$B$10:$B$52,0),MATCH("WATCH 3",'[1]Sales per type Agustus'!$D$8:$BA$8,0)),0)</f>
        <v>0</v>
      </c>
      <c r="DF17" s="33">
        <f t="shared" si="34"/>
        <v>0</v>
      </c>
      <c r="DG17" s="33" cm="1">
        <f t="array" ref="DG17">IFERROR(INDEX('[1]SALES PERTYPE'!$D$10:$BA$53,MATCH($C17,'[1]SALES PERTYPE'!$B$10:$B$53,0),MATCH("WATCH 3",'[1]SALES PERTYPE'!$D$8:$BA$8,0)+1),0)</f>
        <v>0</v>
      </c>
      <c r="DH17" s="33" cm="1">
        <f t="array" ref="DH17">IFERROR(INDEX('[1]Sales per type Agustus'!$D$10:$BA$52,MATCH($C17,'[1]Sales per type Agustus'!$B$10:$B$52,0),MATCH("WATCH 3",'[1]Sales per type Agustus'!$D$8:$BA$8,0)+1),0)</f>
        <v>0</v>
      </c>
      <c r="DI17" s="33">
        <f t="shared" si="35"/>
        <v>0</v>
      </c>
      <c r="DJ17" s="33">
        <f>IFERROR(INDEX('[1]SALES PERTYPE'!$D$10:$BA$53,MATCH($C17,'[1]SALES PERTYPE'!$B$10:$B$53,0),MATCH("X Fold5",'[1]SALES PERTYPE'!$D$8:$BA$8,0)),0)</f>
        <v>0</v>
      </c>
      <c r="DK17" s="33">
        <f>IFERROR(INDEX('[1]Sales per type Agustus'!$D$10:$BA$52,MATCH($C17,'[1]Sales per type Agustus'!$B$10:$B$52,0),MATCH("X Fold5",'[1]Sales per type Agustus'!$D$8:$BA$8,0)),0)</f>
        <v>0</v>
      </c>
      <c r="DL17" s="33">
        <f t="shared" si="36"/>
        <v>0</v>
      </c>
      <c r="DM17" s="33" cm="1">
        <f t="array" ref="DM17">IFERROR(INDEX('[1]SALES PERTYPE'!$D$10:$BA$53,MATCH($C17,'[1]SALES PERTYPE'!$B$10:$B$53,0),MATCH("X Fold5",'[1]SALES PERTYPE'!$D$8:$BA$8,0)+1),0)</f>
        <v>0</v>
      </c>
      <c r="DN17" s="33" cm="1">
        <f t="array" ref="DN17">IFERROR(INDEX('[1]Sales per type Agustus'!$D$10:$BA$52,MATCH($C17,'[1]Sales per type Agustus'!$B$10:$B$52,0),MATCH("X Fold5",'[1]Sales per type Agustus'!$D$8:$BA$8,0)+1),0)</f>
        <v>0</v>
      </c>
      <c r="DO17" s="33">
        <f t="shared" si="37"/>
        <v>0</v>
      </c>
      <c r="DP17" s="33">
        <f>IFERROR(INDEX('[1]SALES PERTYPE'!$D$10:$BA$53,MATCH($C17,'[1]SALES PERTYPE'!$B$10:$B$53,0),MATCH("X300 PRO",'[1]SALES PERTYPE'!$D$8:$BA$8,0)),0)</f>
        <v>0</v>
      </c>
      <c r="DQ17" s="33">
        <f>IFERROR(INDEX('[1]Sales per type Agustus'!$D$10:$BA$52,MATCH($C17,'[1]Sales per type Agustus'!$B$10:$B$52,0),MATCH("X300 PRO",'[1]Sales per type Agustus'!$D$8:$BA$8,0)),0)</f>
        <v>0</v>
      </c>
      <c r="DR17" s="33">
        <f t="shared" si="38"/>
        <v>0</v>
      </c>
      <c r="DS17" s="33" cm="1">
        <f t="array" ref="DS17">IFERROR(INDEX('[1]SALES PERTYPE'!$D$10:$BA$53,MATCH($C17,'[1]SALES PERTYPE'!$B$10:$B$53,0),MATCH("X300 PRO",'[1]SALES PERTYPE'!$D$8:$BA$8,0)+1),0)</f>
        <v>0</v>
      </c>
      <c r="DT17" s="33" cm="1">
        <f t="array" ref="DT17">IFERROR(INDEX('[1]Sales per type Agustus'!$D$10:$BA$52,MATCH($C17,'[1]Sales per type Agustus'!$B$10:$B$52,0),MATCH("X300 PRO",'[1]Sales per type Agustus'!$D$8:$BA$8,0)+1),0)</f>
        <v>0</v>
      </c>
      <c r="DU17" s="33">
        <f t="shared" si="39"/>
        <v>0</v>
      </c>
      <c r="DV17" s="33">
        <f>IFERROR(INDEX('[1]SALES PERTYPE'!$D$10:$BA$53,MATCH($C17,'[1]SALES PERTYPE'!$B$10:$B$53,0),MATCH("X300 ",'[1]SALES PERTYPE'!$D$8:$BA$8,0)),0)</f>
        <v>0</v>
      </c>
      <c r="DW17" s="33">
        <f>IFERROR(INDEX('[1]Sales per type Agustus'!$D$10:$BA$52,MATCH($C17,'[1]Sales per type Agustus'!$B$10:$B$52,0),MATCH("X300 ",'[1]Sales per type Agustus'!$D$8:$BA$8,0)),0)</f>
        <v>0</v>
      </c>
      <c r="DX17" s="33">
        <f t="shared" si="40"/>
        <v>0</v>
      </c>
      <c r="DY17" s="33" cm="1">
        <f t="array" ref="DY17">IFERROR(INDEX('[1]SALES PERTYPE'!$D$10:$BA$53,MATCH($C17,'[1]SALES PERTYPE'!$B$10:$B$53,0),MATCH("X300 ",'[1]SALES PERTYPE'!$D$8:$BA$8,0)+1),0)</f>
        <v>0</v>
      </c>
      <c r="DZ17" s="33" cm="1">
        <f t="array" ref="DZ17">IFERROR(INDEX('[1]Sales per type Agustus'!$D$10:$BA$52,MATCH($C17,'[1]Sales per type Agustus'!$B$10:$B$52,0),MATCH("X300 ",'[1]Sales per type Agustus'!$D$8:$BA$8,0)+1),0)</f>
        <v>0</v>
      </c>
      <c r="EA17" s="33">
        <f t="shared" si="41"/>
        <v>0</v>
      </c>
      <c r="EB17" s="33">
        <f t="shared" si="42"/>
        <v>19</v>
      </c>
      <c r="EC17" s="33">
        <f t="shared" si="42"/>
        <v>33</v>
      </c>
      <c r="ED17" s="33">
        <f t="shared" si="43"/>
        <v>-14</v>
      </c>
      <c r="EE17" s="33">
        <f t="shared" si="44"/>
        <v>89881000</v>
      </c>
      <c r="EF17" s="33">
        <f t="shared" si="44"/>
        <v>151167000</v>
      </c>
      <c r="EG17" s="33">
        <f t="shared" si="45"/>
        <v>-61286000</v>
      </c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</row>
    <row r="18" spans="1:184" ht="16" x14ac:dyDescent="0.2">
      <c r="A18" s="214">
        <f>'[1]ACHIEVEMENT STORE'!A18</f>
        <v>14</v>
      </c>
      <c r="B18" s="215" t="str">
        <f>'[1]ACHIEVEMENT STORE'!B18</f>
        <v>604 雅加达东南 JKT TS</v>
      </c>
      <c r="C18" s="214">
        <f>'[1]ACHIEVEMENT STORE'!C18</f>
        <v>6040703</v>
      </c>
      <c r="D18" s="215" t="str">
        <f>'[1]ACHIEVEMENT STORE'!D18</f>
        <v>6040703-SAWANGAN 1F1-0320</v>
      </c>
      <c r="E18" s="215" t="str">
        <f>'[1]ACHIEVEMENT STORE'!E18</f>
        <v>Erlangga Praditya</v>
      </c>
      <c r="F18" s="33">
        <f>IFERROR(INDEX('[1]SALES PERTYPE'!$D$10:$BA$53,MATCH($C18,'[1]SALES PERTYPE'!$B$10:$B$53,0),MATCH("Y05",'[1]SALES PERTYPE'!$D$8:$BA$8,0)),0)</f>
        <v>3</v>
      </c>
      <c r="G18" s="33">
        <f>IFERROR(INDEX('[1]Sales per type Agustus'!$D$10:$BA$52,MATCH($C18,'[1]Sales per type Agustus'!$B$10:$B$52,0),MATCH("Y05",'[1]Sales per type Agustus'!$D$8:$BA$8,0)),0)</f>
        <v>5</v>
      </c>
      <c r="H18" s="33">
        <f t="shared" si="0"/>
        <v>-2</v>
      </c>
      <c r="I18" s="33" cm="1">
        <f t="array" ref="I18">IFERROR(INDEX('[1]SALES PERTYPE'!$D$10:$BA$53,MATCH($C18,'[1]SALES PERTYPE'!$B$10:$B$53,0),MATCH("Y05",'[1]SALES PERTYPE'!$D$8:$BA$8,0)+1),0)</f>
        <v>7197000</v>
      </c>
      <c r="J18" s="33" cm="1">
        <f t="array" ref="J18">IFERROR(INDEX('[1]Sales per type Agustus'!$D$10:$BA$52,MATCH($C18,'[1]Sales per type Agustus'!$B$10:$B$52,0),MATCH("Y05",'[1]Sales per type Agustus'!$D$8:$BA$8,0)+1),0)</f>
        <v>12695000</v>
      </c>
      <c r="K18" s="33">
        <f t="shared" si="1"/>
        <v>-5498000</v>
      </c>
      <c r="L18" s="33">
        <f>IFERROR(INDEX('[1]SALES PERTYPE'!$D$10:$BA$53,MATCH($C18,'[1]SALES PERTYPE'!$B$10:$B$53,0),MATCH("Y11d",'[1]SALES PERTYPE'!$D$8:$BA$8,0)),0)</f>
        <v>2</v>
      </c>
      <c r="M18" s="33">
        <f>IFERROR(INDEX('[1]Sales per type Agustus'!$D$10:$BA$52,MATCH($C18,'[1]Sales per type Agustus'!$B$10:$B$52,0),MATCH("Y11d",'[1]Sales per type Agustus'!$D$8:$BA$8,0)),0)</f>
        <v>7</v>
      </c>
      <c r="N18" s="33">
        <f t="shared" si="2"/>
        <v>-5</v>
      </c>
      <c r="O18" s="33" cm="1">
        <f t="array" ref="O18">IFERROR(INDEX('[1]SALES PERTYPE'!$D$10:$BA$53,MATCH($C18,'[1]SALES PERTYPE'!$B$10:$B$53,0),MATCH("Y11d",'[1]SALES PERTYPE'!$D$8:$BA$8,0)+1),0)</f>
        <v>4798000</v>
      </c>
      <c r="P18" s="33" cm="1">
        <f t="array" ref="P18">IFERROR(INDEX('[1]Sales per type Agustus'!$D$10:$BA$52,MATCH($C18,'[1]Sales per type Agustus'!$B$10:$B$52,0),MATCH("Y11d",'[1]Sales per type Agustus'!$D$8:$BA$8,0)+1),0)</f>
        <v>18393000</v>
      </c>
      <c r="Q18" s="33">
        <f t="shared" si="3"/>
        <v>-13595000</v>
      </c>
      <c r="R18" s="33">
        <f>IFERROR(INDEX('[1]SALES PERTYPE'!$D$10:$BA$53,MATCH($C18,'[1]SALES PERTYPE'!$B$10:$B$53,0),MATCH("Watch GT 2",'[1]SALES PERTYPE'!$D$8:$BA$8,0)),0)</f>
        <v>0</v>
      </c>
      <c r="S18" s="33">
        <f>IFERROR(INDEX('[1]Sales per type Agustus'!$D$10:$BA$52,MATCH($C18,'[1]Sales per type Agustus'!$B$10:$B$52,0),MATCH("Watch GT 2",'[1]Sales per type Agustus'!$D$8:$BA$8,0)),0)</f>
        <v>1</v>
      </c>
      <c r="T18" s="33">
        <f t="shared" si="4"/>
        <v>-1</v>
      </c>
      <c r="U18" s="33" cm="1">
        <f t="array" ref="U18">IFERROR(INDEX('[1]SALES PERTYPE'!$D$10:$BA$53,MATCH($C18,'[1]SALES PERTYPE'!$B$10:$B$53,0),MATCH("Watch GT 2",'[1]SALES PERTYPE'!$D$8:$BA$8,0)+1),0)</f>
        <v>0</v>
      </c>
      <c r="V18" s="33" cm="1">
        <f t="array" ref="V18">IFERROR(INDEX('[1]Sales per type Agustus'!$D$10:$BA$52,MATCH($C18,'[1]Sales per type Agustus'!$B$10:$B$52,0),MATCH("Watch GT 2",'[1]Sales per type Agustus'!$D$8:$BA$8,0)+1),0)</f>
        <v>1799000</v>
      </c>
      <c r="W18" s="33">
        <f t="shared" si="5"/>
        <v>-1799000</v>
      </c>
      <c r="X18" s="33">
        <f>IFERROR(INDEX('[1]SALES PERTYPE'!$D$10:$BA$53,MATCH($C18,'[1]SALES PERTYPE'!$B$10:$B$53,0),MATCH("Y05e",'[1]SALES PERTYPE'!$D$8:$BA$8,0)),0)</f>
        <v>1</v>
      </c>
      <c r="Y18" s="33">
        <f>IFERROR(INDEX('[1]Sales per type Agustus'!$D$10:$BA$52,MATCH($C18,'[1]Sales per type Agustus'!$B$10:$B$52,0),MATCH("Y05e",'[1]Sales per type Agustus'!$D$8:$BA$8,0)),0)</f>
        <v>3</v>
      </c>
      <c r="Z18" s="33">
        <f t="shared" si="6"/>
        <v>-2</v>
      </c>
      <c r="AA18" s="33" cm="1">
        <f t="array" ref="AA18">IFERROR(INDEX('[1]SALES PERTYPE'!$D$10:$BA$53,MATCH($C18,'[1]SALES PERTYPE'!$B$10:$B$53,0),MATCH("Y05e",'[1]SALES PERTYPE'!$D$8:$BA$8,0)+1),0)</f>
        <v>2299000</v>
      </c>
      <c r="AB18" s="33" cm="1">
        <f t="array" ref="AB18">IFERROR(INDEX('[1]Sales per type Agustus'!$D$10:$BA$52,MATCH($C18,'[1]Sales per type Agustus'!$B$10:$B$52,0),MATCH("Y05e",'[1]Sales per type Agustus'!$D$8:$BA$8,0)+1),0)</f>
        <v>6297000</v>
      </c>
      <c r="AC18" s="33">
        <f t="shared" si="7"/>
        <v>-3998000</v>
      </c>
      <c r="AD18" s="33">
        <f>IFERROR(INDEX('[1]SALES PERTYPE'!$D$10:$BA$53,MATCH($C18,'[1]SALES PERTYPE'!$B$10:$B$53,0),MATCH("V70",'[1]SALES PERTYPE'!$D$8:$BA$8,0)),0)</f>
        <v>1</v>
      </c>
      <c r="AE18" s="33">
        <f>IFERROR(INDEX('[1]Sales per type Agustus'!$D$10:$BA$52,MATCH($C18,'[1]Sales per type Agustus'!$B$10:$B$52,0),MATCH("V70",'[1]Sales per type Agustus'!$D$8:$BA$8,0)),0)</f>
        <v>3</v>
      </c>
      <c r="AF18" s="33">
        <f t="shared" si="8"/>
        <v>-2</v>
      </c>
      <c r="AG18" s="33" cm="1">
        <f t="array" ref="AG18">IFERROR(INDEX('[1]SALES PERTYPE'!$D$10:$BA$53,MATCH($C18,'[1]SALES PERTYPE'!$B$10:$B$53,0),MATCH("V70",'[1]SALES PERTYPE'!$D$8:$BA$8,0)+1),0)</f>
        <v>9999000</v>
      </c>
      <c r="AH18" s="33" cm="1">
        <f t="array" ref="AH18">IFERROR(INDEX('[1]Sales per type Agustus'!$D$10:$BA$52,MATCH($C18,'[1]Sales per type Agustus'!$B$10:$B$52,0),MATCH("V70",'[1]Sales per type Agustus'!$D$8:$BA$8,0)+1),0)</f>
        <v>29997000</v>
      </c>
      <c r="AI18" s="33">
        <f t="shared" si="9"/>
        <v>-19998000</v>
      </c>
      <c r="AJ18" s="33">
        <f>IFERROR(INDEX('[1]SALES PERTYPE'!$D$10:$BA$53,MATCH($C18,'[1]SALES PERTYPE'!$B$10:$B$53,0),MATCH("Y31d Pro",'[1]SALES PERTYPE'!$D$8:$BA$8,0)),0)</f>
        <v>6</v>
      </c>
      <c r="AK18" s="33">
        <f>IFERROR(INDEX('[1]Sales per type Agustus'!$D$10:$BA$52,MATCH($C18,'[1]Sales per type Agustus'!$B$10:$B$52,0),MATCH("Y31d Pro",'[1]Sales per type Agustus'!$D$8:$BA$8,0)),0)</f>
        <v>3</v>
      </c>
      <c r="AL18" s="33">
        <f t="shared" si="10"/>
        <v>3</v>
      </c>
      <c r="AM18" s="33" cm="1">
        <f t="array" ref="AM18">IFERROR(INDEX('[1]SALES PERTYPE'!$D$10:$BA$53,MATCH($C18,'[1]SALES PERTYPE'!$B$10:$B$53,0),MATCH("Y31d Pro",'[1]SALES PERTYPE'!$D$8:$BA$8,0)+1),0)</f>
        <v>26794000</v>
      </c>
      <c r="AN18" s="33" cm="1">
        <f t="array" ref="AN18">IFERROR(INDEX('[1]Sales per type Agustus'!$D$10:$BA$52,MATCH($C18,'[1]Sales per type Agustus'!$B$10:$B$52,0),MATCH("Y31d Pro",'[1]Sales per type Agustus'!$D$8:$BA$8,0)+1),0)</f>
        <v>12497000</v>
      </c>
      <c r="AO18" s="33">
        <f t="shared" si="11"/>
        <v>14297000</v>
      </c>
      <c r="AP18" s="33" cm="1">
        <f t="array" ref="AP18">IFERROR(INDEX('[1]SALES PERTYPE'!$D$10:$BA$53,MATCH($C18,'[1]SALES PERTYPE'!$B$10:$B$53,0),$EI$3),0)</f>
        <v>0</v>
      </c>
      <c r="AQ18" s="33" cm="1">
        <f t="array" ref="AQ18">IFERROR(INDEX('[1]Sales per type Agustus'!$D$10:$BA$52,MATCH($C18,'[1]Sales per type Agustus'!$B$10:$B$52,0),$EI$2),0)</f>
        <v>0</v>
      </c>
      <c r="AR18" s="33">
        <f t="shared" si="12"/>
        <v>0</v>
      </c>
      <c r="AS18" s="33" cm="1">
        <f t="array" ref="AS18">IFERROR(INDEX('[1]SALES PERTYPE'!$D$10:$BA$53,MATCH($C18,'[1]SALES PERTYPE'!$B$10:$B$53,0),$EI$3+1),0)</f>
        <v>0</v>
      </c>
      <c r="AT18" s="33" cm="1">
        <f t="array" ref="AT18">IFERROR(INDEX('[1]Sales per type Agustus'!$D$10:$BA$52,MATCH($C18,'[1]Sales per type Agustus'!$B$10:$B$52,0),$EI$2+1),0)</f>
        <v>0</v>
      </c>
      <c r="AU18" s="33">
        <f t="shared" si="13"/>
        <v>0</v>
      </c>
      <c r="AV18" s="33">
        <f>IFERROR(INDEX('[1]SALES PERTYPE'!$D$10:$BA$53,MATCH($C18,'[1]SALES PERTYPE'!$B$10:$B$53,0),MATCH("Y31d ",'[1]SALES PERTYPE'!$D$8:$BA$8,0)),0)</f>
        <v>1</v>
      </c>
      <c r="AW18" s="33">
        <f>IFERROR(INDEX('[1]Sales per type Agustus'!$D$10:$BA$52,MATCH($C18,'[1]Sales per type Agustus'!$B$10:$B$52,0),MATCH("Y31d ",'[1]Sales per type Agustus'!$D$8:$BA$8,0)),0)</f>
        <v>0</v>
      </c>
      <c r="AX18" s="33">
        <f t="shared" si="14"/>
        <v>1</v>
      </c>
      <c r="AY18" s="33" cm="1">
        <f t="array" ref="AY18">IFERROR(INDEX('[1]SALES PERTYPE'!$D$10:$BA$53,MATCH($C18,'[1]SALES PERTYPE'!$B$10:$B$53,0),MATCH("Y31d ",'[1]SALES PERTYPE'!$D$8:$BA$8,0)+1),0)</f>
        <v>3599000</v>
      </c>
      <c r="AZ18" s="33" cm="1">
        <f t="array" ref="AZ18">IFERROR(INDEX('[1]Sales per type Agustus'!$D$10:$BA$52,MATCH($C18,'[1]Sales per type Agustus'!$B$10:$B$52,0),MATCH("Y31d ",'[1]Sales per type Agustus'!$D$8:$BA$8,0)+1),0)</f>
        <v>0</v>
      </c>
      <c r="BA18" s="33">
        <f t="shared" si="15"/>
        <v>3599000</v>
      </c>
      <c r="BB18" s="33">
        <f>IFERROR(INDEX('[1]SALES PERTYPE'!$D$10:$BA$53,MATCH($C18,'[1]SALES PERTYPE'!$B$10:$B$53,0),MATCH("V70 FE",'[1]SALES PERTYPE'!$D$8:$BA$8,0)),0)</f>
        <v>1</v>
      </c>
      <c r="BC18" s="33">
        <f>IFERROR(INDEX('[1]Sales per type Agustus'!$D$10:$BA$52,MATCH($C18,'[1]Sales per type Agustus'!$B$10:$B$52,0),MATCH("V70 FE",'[1]Sales per type Agustus'!$D$8:$BA$8,0)),0)</f>
        <v>2</v>
      </c>
      <c r="BD18" s="33">
        <f t="shared" si="16"/>
        <v>-1</v>
      </c>
      <c r="BE18" s="33" cm="1">
        <f t="array" ref="BE18">IFERROR(INDEX('[1]SALES PERTYPE'!$D$10:$BA$53,MATCH($C18,'[1]SALES PERTYPE'!$B$10:$B$53,0),MATCH("V70 FE",'[1]SALES PERTYPE'!$D$8:$BA$8,0)+1),0)</f>
        <v>6999000</v>
      </c>
      <c r="BF18" s="33" cm="1">
        <f t="array" ref="BF18">IFERROR(INDEX('[1]Sales per type Agustus'!$D$10:$BA$52,MATCH($C18,'[1]Sales per type Agustus'!$B$10:$B$52,0),MATCH("V70 FE",'[1]Sales per type Agustus'!$D$8:$BA$8,0)+1),0)</f>
        <v>14998000</v>
      </c>
      <c r="BG18" s="33">
        <f t="shared" si="17"/>
        <v>-7999000</v>
      </c>
      <c r="BH18" s="33">
        <f>IFERROR(INDEX('[1]SALES PERTYPE'!$D$10:$BA$53,MATCH($C18,'[1]SALES PERTYPE'!$B$10:$B$53,0),MATCH("Y31d",'[1]SALES PERTYPE'!$D$8:$BA$8,0)),0)</f>
        <v>1</v>
      </c>
      <c r="BI18" s="33">
        <f>IFERROR(INDEX('[1]Sales per type Agustus'!$D$10:$BA$52,MATCH($C18,'[1]Sales per type Agustus'!$B$10:$B$52,0),MATCH("Y31d",'[1]Sales per type Agustus'!$D$8:$BA$8,0)),0)</f>
        <v>0</v>
      </c>
      <c r="BJ18" s="33">
        <f t="shared" si="18"/>
        <v>1</v>
      </c>
      <c r="BK18" s="33" cm="1">
        <f t="array" ref="BK18">IFERROR(INDEX('[1]SALES PERTYPE'!$D$10:$BA$53,MATCH($C18,'[1]SALES PERTYPE'!$B$10:$B$53,0),MATCH("Y31d",'[1]SALES PERTYPE'!$D$8:$BA$8,0)+1),0)</f>
        <v>3599000</v>
      </c>
      <c r="BL18" s="33" cm="1">
        <f t="array" ref="BL18">IFERROR(INDEX('[1]Sales per type Agustus'!$D$10:$BA$52,MATCH($C18,'[1]Sales per type Agustus'!$B$10:$B$52,0),MATCH("Y31d",'[1]Sales per type Agustus'!$D$8:$BA$8,0)+1),0)</f>
        <v>0</v>
      </c>
      <c r="BM18" s="33">
        <f t="shared" si="19"/>
        <v>3599000</v>
      </c>
      <c r="BN18" s="33">
        <f>IFERROR(INDEX('[1]SALES PERTYPE'!$D$10:$BA$53,MATCH($C18,'[1]SALES PERTYPE'!$B$10:$B$53,0),MATCH("Y500",'[1]SALES PERTYPE'!$D$8:$BA$8,0)),0)</f>
        <v>0</v>
      </c>
      <c r="BO18" s="33">
        <f>IFERROR(INDEX('[1]Sales per type Agustus'!$D$10:$BA$52,MATCH($C18,'[1]Sales per type Agustus'!$B$10:$B$52,0),MATCH("Y500",'[1]Sales per type Agustus'!$D$8:$BA$8,0)),0)</f>
        <v>1</v>
      </c>
      <c r="BP18" s="33">
        <f t="shared" si="20"/>
        <v>-1</v>
      </c>
      <c r="BQ18" s="33" cm="1">
        <f t="array" ref="BQ18">IFERROR(INDEX('[1]SALES PERTYPE'!$D$10:$BA$53,MATCH($C18,'[1]SALES PERTYPE'!$B$10:$B$53,0),MATCH("Y500",'[1]SALES PERTYPE'!$D$8:$BA$8,0)+1),0)</f>
        <v>0</v>
      </c>
      <c r="BR18" s="33" cm="1">
        <f t="array" ref="BR18">IFERROR(INDEX('[1]Sales per type Agustus'!$D$10:$BA$52,MATCH($C18,'[1]Sales per type Agustus'!$B$10:$B$52,0),MATCH("Y500",'[1]Sales per type Agustus'!$D$8:$BA$8,0)+1),0)</f>
        <v>6299000</v>
      </c>
      <c r="BS18" s="33">
        <f t="shared" si="21"/>
        <v>-6299000</v>
      </c>
      <c r="BT18" s="33">
        <f>IFERROR(INDEX('[1]SALES PERTYPE'!$D$10:$BA$53,MATCH($C18,'[1]SALES PERTYPE'!$B$10:$B$53,0),MATCH("IQOO 15R",'[1]SALES PERTYPE'!$D$8:$BA$8,0)),0)</f>
        <v>0</v>
      </c>
      <c r="BU18" s="33">
        <f>IFERROR(INDEX('[1]Sales per type Agustus'!$D$10:$BA$52,MATCH($C18,'[1]Sales per type Agustus'!$B$10:$B$52,0),MATCH("IQOO 15R",'[1]Sales per type Agustus'!$D$8:$BA$8,0)),0)</f>
        <v>0</v>
      </c>
      <c r="BV18" s="33">
        <f t="shared" si="22"/>
        <v>0</v>
      </c>
      <c r="BW18" s="33" cm="1">
        <f t="array" ref="BW18">IFERROR(INDEX('[1]SALES PERTYPE'!$D$10:$BA$53,MATCH($C18,'[1]SALES PERTYPE'!$B$10:$B$53,0),MATCH("IQOO 15R",'[1]SALES PERTYPE'!$D$8:$BA$8,0)+1),0)</f>
        <v>0</v>
      </c>
      <c r="BX18" s="33" cm="1">
        <f t="array" ref="BX18">IFERROR(INDEX('[1]Sales per type Agustus'!$D$10:$BA$52,MATCH($C18,'[1]Sales per type Agustus'!$B$10:$B$52,0),MATCH("IQOO 15R",'[1]Sales per type Agustus'!$D$8:$BA$8,0)+1),0)</f>
        <v>0</v>
      </c>
      <c r="BY18" s="33">
        <f t="shared" si="23"/>
        <v>0</v>
      </c>
      <c r="BZ18" s="33">
        <f>IFERROR(INDEX('[1]SALES PERTYPE'!$D$10:$BA$53,MATCH($C18,'[1]SALES PERTYPE'!$B$10:$B$53,0),MATCH("V60 Lite",'[1]SALES PERTYPE'!$D$8:$BA$8,0)),0)</f>
        <v>3</v>
      </c>
      <c r="CA18" s="33">
        <f>IFERROR(INDEX('[1]Sales per type Agustus'!$D$10:$BA$52,MATCH($C18,'[1]Sales per type Agustus'!$B$10:$B$52,0),MATCH("V60 Lite",'[1]Sales per type Agustus'!$D$8:$BA$8,0)),0)</f>
        <v>1</v>
      </c>
      <c r="CB18" s="33">
        <f t="shared" si="24"/>
        <v>2</v>
      </c>
      <c r="CC18" s="33" cm="1">
        <f t="array" ref="CC18">IFERROR(INDEX('[1]SALES PERTYPE'!$D$10:$BA$53,MATCH($C18,'[1]SALES PERTYPE'!$B$10:$B$53,0),MATCH("V60 Lite",'[1]SALES PERTYPE'!$D$8:$BA$8,0)+1),0)</f>
        <v>17697000</v>
      </c>
      <c r="CD18" s="33" cm="1">
        <f t="array" ref="CD18">IFERROR(INDEX('[1]Sales per type Agustus'!$D$10:$BA$52,MATCH($C18,'[1]Sales per type Agustus'!$B$10:$B$52,0),MATCH("V60 Lite",'[1]Sales per type Agustus'!$D$8:$BA$8,0)+1),0)</f>
        <v>6499000</v>
      </c>
      <c r="CE18" s="33">
        <f t="shared" si="25"/>
        <v>11198000</v>
      </c>
      <c r="CF18" s="33">
        <f>IFERROR(INDEX('[1]SALES PERTYPE'!$D$10:$BA$53,MATCH($C18,'[1]SALES PERTYPE'!$B$10:$B$53,0),MATCH("X300 Ultra",'[1]SALES PERTYPE'!$D$8:$BA$8,0)),0)</f>
        <v>1</v>
      </c>
      <c r="CG18" s="33">
        <f>IFERROR(INDEX('[1]Sales per type Agustus'!$D$10:$BA$52,MATCH($C18,'[1]Sales per type Agustus'!$B$10:$B$52,0),MATCH("X300 Ultra",'[1]Sales per type Agustus'!$D$8:$BA$8,0)),0)</f>
        <v>1</v>
      </c>
      <c r="CH18" s="33">
        <f t="shared" si="26"/>
        <v>0</v>
      </c>
      <c r="CI18" s="33" cm="1">
        <f t="array" ref="CI18">IFERROR(INDEX('[1]SALES PERTYPE'!$D$10:$BA$53,MATCH($C18,'[1]SALES PERTYPE'!$B$10:$B$53,0),MATCH("X300 Ultra",'[1]SALES PERTYPE'!$D$8:$BA$8,0)+1),0)</f>
        <v>25999000</v>
      </c>
      <c r="CJ18" s="33" cm="1">
        <f t="array" ref="CJ18">IFERROR(INDEX('[1]Sales per type Agustus'!$D$10:$BA$52,MATCH($C18,'[1]Sales per type Agustus'!$B$10:$B$52,0),MATCH("X300 Ultra",'[1]Sales per type Agustus'!$D$8:$BA$8,0)+1),0)</f>
        <v>25999000</v>
      </c>
      <c r="CK18" s="33">
        <f t="shared" si="27"/>
        <v>0</v>
      </c>
      <c r="CL18" s="33">
        <f>IFERROR(INDEX('[1]SALES PERTYPE'!$D$10:$BA$53,MATCH($C18,'[1]SALES PERTYPE'!$B$10:$B$53,0),MATCH("IQOO 15",'[1]SALES PERTYPE'!$D$8:$BA$8,0)),0)</f>
        <v>0</v>
      </c>
      <c r="CM18" s="33">
        <f>IFERROR(INDEX('[1]Sales per type Agustus'!$D$10:$BA$52,MATCH($C18,'[1]Sales per type Agustus'!$B$10:$B$52,0),MATCH("IQOO 15",'[1]Sales per type Agustus'!$D$8:$BA$8,0)),0)</f>
        <v>0</v>
      </c>
      <c r="CN18" s="33">
        <f t="shared" si="28"/>
        <v>0</v>
      </c>
      <c r="CO18" s="33" cm="1">
        <f t="array" ref="CO18">IFERROR(INDEX('[1]SALES PERTYPE'!$D$10:$BA$53,MATCH($C18,'[1]SALES PERTYPE'!$B$10:$B$53,0),MATCH("IQOO 15",'[1]SALES PERTYPE'!$D$8:$BA$8,0)+1),0)</f>
        <v>0</v>
      </c>
      <c r="CP18" s="33" cm="1">
        <f t="array" ref="CP18">IFERROR(INDEX('[1]Sales per type Agustus'!$D$10:$BA$52,MATCH($C18,'[1]Sales per type Agustus'!$B$10:$B$52,0),MATCH("IQOO 15",'[1]Sales per type Agustus'!$D$8:$BA$8,0)+1),0)</f>
        <v>0</v>
      </c>
      <c r="CQ18" s="33">
        <f t="shared" si="29"/>
        <v>0</v>
      </c>
      <c r="CR18" s="33">
        <f>IFERROR(INDEX('[1]SALES PERTYPE'!$D$10:$BA$53,MATCH($C18,'[1]SALES PERTYPE'!$B$10:$B$53,0),MATCH("IQOO Z11x",'[1]SALES PERTYPE'!$D$8:$BA$8,0)),0)</f>
        <v>1</v>
      </c>
      <c r="CS18" s="33">
        <f>IFERROR(INDEX('[1]Sales per type Agustus'!$D$10:$BA$52,MATCH($C18,'[1]Sales per type Agustus'!$B$10:$B$52,0),MATCH("IQOO Z11x",'[1]Sales per type Agustus'!$D$8:$BA$8,0)),0)</f>
        <v>2</v>
      </c>
      <c r="CT18" s="33">
        <f t="shared" si="30"/>
        <v>-1</v>
      </c>
      <c r="CU18" s="33" cm="1">
        <f t="array" ref="CU18">IFERROR(INDEX('[1]SALES PERTYPE'!$D$10:$BA$53,MATCH($C18,'[1]SALES PERTYPE'!$B$10:$B$53,0),MATCH("IQOO Z11x",'[1]SALES PERTYPE'!$D$8:$BA$8,0)+1),0)</f>
        <v>4799000</v>
      </c>
      <c r="CV18" s="33" cm="1">
        <f t="array" ref="CV18">IFERROR(INDEX('[1]Sales per type Agustus'!$D$10:$BA$52,MATCH($C18,'[1]Sales per type Agustus'!$B$10:$B$52,0),MATCH("IQOO Z11x",'[1]Sales per type Agustus'!$D$8:$BA$8,0)+1),0)</f>
        <v>11298000</v>
      </c>
      <c r="CW18" s="33">
        <f t="shared" si="31"/>
        <v>-6499000</v>
      </c>
      <c r="CX18" s="33">
        <f>IFERROR(INDEX('[1]SALES PERTYPE'!$D$10:$BA$53,MATCH($C18,'[1]SALES PERTYPE'!$B$10:$B$53,0),MATCH("IQOO Z11",'[1]SALES PERTYPE'!$D$8:$BA$8,0)),0)</f>
        <v>1</v>
      </c>
      <c r="CY18" s="33">
        <f>IFERROR(INDEX('[1]Sales per type Agustus'!$D$10:$BA$52,MATCH($C18,'[1]Sales per type Agustus'!$B$10:$B$52,0),MATCH("IQOO Z11",'[1]Sales per type Agustus'!$D$8:$BA$8,0)),0)</f>
        <v>0</v>
      </c>
      <c r="CZ18" s="33">
        <f t="shared" si="32"/>
        <v>1</v>
      </c>
      <c r="DA18" s="33" cm="1">
        <f t="array" ref="DA18">IFERROR(INDEX('[1]SALES PERTYPE'!$D$10:$BA$53,MATCH($C18,'[1]SALES PERTYPE'!$B$10:$B$53,0),MATCH("IQOO Z11",'[1]SALES PERTYPE'!$D$8:$BA$8,0)+1),0)</f>
        <v>6899000</v>
      </c>
      <c r="DB18" s="33" cm="1">
        <f t="array" ref="DB18">IFERROR(INDEX('[1]Sales per type Agustus'!$D$10:$BA$52,MATCH($C18,'[1]Sales per type Agustus'!$B$10:$B$52,0),MATCH("IQOO Z11",'[1]Sales per type Agustus'!$D$8:$BA$8,0)+1),0)</f>
        <v>0</v>
      </c>
      <c r="DC18" s="33">
        <f t="shared" si="33"/>
        <v>6899000</v>
      </c>
      <c r="DD18" s="33">
        <f>IFERROR(INDEX('[1]SALES PERTYPE'!$D$10:$BA$53,MATCH($C18,'[1]SALES PERTYPE'!$B$10:$B$53,0),MATCH("WATCH 3",'[1]SALES PERTYPE'!$D$8:$BA$8,0)),0)</f>
        <v>0</v>
      </c>
      <c r="DE18" s="33">
        <f>IFERROR(INDEX('[1]Sales per type Agustus'!$D$10:$BA$52,MATCH($C18,'[1]Sales per type Agustus'!$B$10:$B$52,0),MATCH("WATCH 3",'[1]Sales per type Agustus'!$D$8:$BA$8,0)),0)</f>
        <v>0</v>
      </c>
      <c r="DF18" s="33">
        <f t="shared" si="34"/>
        <v>0</v>
      </c>
      <c r="DG18" s="33" cm="1">
        <f t="array" ref="DG18">IFERROR(INDEX('[1]SALES PERTYPE'!$D$10:$BA$53,MATCH($C18,'[1]SALES PERTYPE'!$B$10:$B$53,0),MATCH("WATCH 3",'[1]SALES PERTYPE'!$D$8:$BA$8,0)+1),0)</f>
        <v>0</v>
      </c>
      <c r="DH18" s="33" cm="1">
        <f t="array" ref="DH18">IFERROR(INDEX('[1]Sales per type Agustus'!$D$10:$BA$52,MATCH($C18,'[1]Sales per type Agustus'!$B$10:$B$52,0),MATCH("WATCH 3",'[1]Sales per type Agustus'!$D$8:$BA$8,0)+1),0)</f>
        <v>0</v>
      </c>
      <c r="DI18" s="33">
        <f t="shared" si="35"/>
        <v>0</v>
      </c>
      <c r="DJ18" s="33">
        <f>IFERROR(INDEX('[1]SALES PERTYPE'!$D$10:$BA$53,MATCH($C18,'[1]SALES PERTYPE'!$B$10:$B$53,0),MATCH("X Fold5",'[1]SALES PERTYPE'!$D$8:$BA$8,0)),0)</f>
        <v>0</v>
      </c>
      <c r="DK18" s="33">
        <f>IFERROR(INDEX('[1]Sales per type Agustus'!$D$10:$BA$52,MATCH($C18,'[1]Sales per type Agustus'!$B$10:$B$52,0),MATCH("X Fold5",'[1]Sales per type Agustus'!$D$8:$BA$8,0)),0)</f>
        <v>0</v>
      </c>
      <c r="DL18" s="33">
        <f t="shared" si="36"/>
        <v>0</v>
      </c>
      <c r="DM18" s="33" cm="1">
        <f t="array" ref="DM18">IFERROR(INDEX('[1]SALES PERTYPE'!$D$10:$BA$53,MATCH($C18,'[1]SALES PERTYPE'!$B$10:$B$53,0),MATCH("X Fold5",'[1]SALES PERTYPE'!$D$8:$BA$8,0)+1),0)</f>
        <v>0</v>
      </c>
      <c r="DN18" s="33" cm="1">
        <f t="array" ref="DN18">IFERROR(INDEX('[1]Sales per type Agustus'!$D$10:$BA$52,MATCH($C18,'[1]Sales per type Agustus'!$B$10:$B$52,0),MATCH("X Fold5",'[1]Sales per type Agustus'!$D$8:$BA$8,0)+1),0)</f>
        <v>0</v>
      </c>
      <c r="DO18" s="33">
        <f t="shared" si="37"/>
        <v>0</v>
      </c>
      <c r="DP18" s="33">
        <f>IFERROR(INDEX('[1]SALES PERTYPE'!$D$10:$BA$53,MATCH($C18,'[1]SALES PERTYPE'!$B$10:$B$53,0),MATCH("X300 PRO",'[1]SALES PERTYPE'!$D$8:$BA$8,0)),0)</f>
        <v>0</v>
      </c>
      <c r="DQ18" s="33">
        <f>IFERROR(INDEX('[1]Sales per type Agustus'!$D$10:$BA$52,MATCH($C18,'[1]Sales per type Agustus'!$B$10:$B$52,0),MATCH("X300 PRO",'[1]Sales per type Agustus'!$D$8:$BA$8,0)),0)</f>
        <v>0</v>
      </c>
      <c r="DR18" s="33">
        <f t="shared" si="38"/>
        <v>0</v>
      </c>
      <c r="DS18" s="33" cm="1">
        <f t="array" ref="DS18">IFERROR(INDEX('[1]SALES PERTYPE'!$D$10:$BA$53,MATCH($C18,'[1]SALES PERTYPE'!$B$10:$B$53,0),MATCH("X300 PRO",'[1]SALES PERTYPE'!$D$8:$BA$8,0)+1),0)</f>
        <v>0</v>
      </c>
      <c r="DT18" s="33" cm="1">
        <f t="array" ref="DT18">IFERROR(INDEX('[1]Sales per type Agustus'!$D$10:$BA$52,MATCH($C18,'[1]Sales per type Agustus'!$B$10:$B$52,0),MATCH("X300 PRO",'[1]Sales per type Agustus'!$D$8:$BA$8,0)+1),0)</f>
        <v>0</v>
      </c>
      <c r="DU18" s="33">
        <f t="shared" si="39"/>
        <v>0</v>
      </c>
      <c r="DV18" s="33">
        <f>IFERROR(INDEX('[1]SALES PERTYPE'!$D$10:$BA$53,MATCH($C18,'[1]SALES PERTYPE'!$B$10:$B$53,0),MATCH("X300 ",'[1]SALES PERTYPE'!$D$8:$BA$8,0)),0)</f>
        <v>0</v>
      </c>
      <c r="DW18" s="33">
        <f>IFERROR(INDEX('[1]Sales per type Agustus'!$D$10:$BA$52,MATCH($C18,'[1]Sales per type Agustus'!$B$10:$B$52,0),MATCH("X300 ",'[1]Sales per type Agustus'!$D$8:$BA$8,0)),0)</f>
        <v>0</v>
      </c>
      <c r="DX18" s="33">
        <f t="shared" si="40"/>
        <v>0</v>
      </c>
      <c r="DY18" s="33" cm="1">
        <f t="array" ref="DY18">IFERROR(INDEX('[1]SALES PERTYPE'!$D$10:$BA$53,MATCH($C18,'[1]SALES PERTYPE'!$B$10:$B$53,0),MATCH("X300 ",'[1]SALES PERTYPE'!$D$8:$BA$8,0)+1),0)</f>
        <v>0</v>
      </c>
      <c r="DZ18" s="33" cm="1">
        <f t="array" ref="DZ18">IFERROR(INDEX('[1]Sales per type Agustus'!$D$10:$BA$52,MATCH($C18,'[1]Sales per type Agustus'!$B$10:$B$52,0),MATCH("X300 ",'[1]Sales per type Agustus'!$D$8:$BA$8,0)+1),0)</f>
        <v>0</v>
      </c>
      <c r="EA18" s="33">
        <f t="shared" si="41"/>
        <v>0</v>
      </c>
      <c r="EB18" s="33">
        <f t="shared" si="42"/>
        <v>22</v>
      </c>
      <c r="EC18" s="33">
        <f t="shared" si="42"/>
        <v>29</v>
      </c>
      <c r="ED18" s="33">
        <f t="shared" si="43"/>
        <v>-7</v>
      </c>
      <c r="EE18" s="33">
        <f t="shared" si="44"/>
        <v>120678000</v>
      </c>
      <c r="EF18" s="33">
        <f t="shared" si="44"/>
        <v>146771000</v>
      </c>
      <c r="EG18" s="33">
        <f t="shared" si="45"/>
        <v>-26093000</v>
      </c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</row>
    <row r="19" spans="1:184" ht="16" x14ac:dyDescent="0.2">
      <c r="A19" s="31">
        <f>'[1]ACHIEVEMENT STORE'!A19</f>
        <v>15</v>
      </c>
      <c r="B19" s="32" t="str">
        <f>'[1]ACHIEVEMENT STORE'!B19</f>
        <v>605 勿加泗 BEKASI</v>
      </c>
      <c r="C19" s="31">
        <f>'[1]ACHIEVEMENT STORE'!C19</f>
        <v>6050701</v>
      </c>
      <c r="D19" s="32" t="str">
        <f>'[1]ACHIEVEMENT STORE'!D19</f>
        <v>6050701-BCP VS X6 DS0824</v>
      </c>
      <c r="E19" s="32" t="str">
        <f>'[1]ACHIEVEMENT STORE'!E19</f>
        <v>M RIZKI</v>
      </c>
      <c r="F19" s="33">
        <f>IFERROR(INDEX('[1]SALES PERTYPE'!$D$10:$BA$53,MATCH($C19,'[1]SALES PERTYPE'!$B$10:$B$53,0),MATCH("Y05",'[1]SALES PERTYPE'!$D$8:$BA$8,0)),0)</f>
        <v>10</v>
      </c>
      <c r="G19" s="33">
        <f>IFERROR(INDEX('[1]Sales per type Agustus'!$D$10:$BA$52,MATCH($C19,'[1]Sales per type Agustus'!$B$10:$B$52,0),MATCH("Y05",'[1]Sales per type Agustus'!$D$8:$BA$8,0)),0)</f>
        <v>2</v>
      </c>
      <c r="H19" s="33">
        <f t="shared" si="0"/>
        <v>8</v>
      </c>
      <c r="I19" s="33" cm="1">
        <f t="array" ref="I19">IFERROR(INDEX('[1]SALES PERTYPE'!$D$10:$BA$53,MATCH($C19,'[1]SALES PERTYPE'!$B$10:$B$53,0),MATCH("Y05",'[1]SALES PERTYPE'!$D$8:$BA$8,0)+1),0)</f>
        <v>24190000</v>
      </c>
      <c r="J19" s="33" cm="1">
        <f t="array" ref="J19">IFERROR(INDEX('[1]Sales per type Agustus'!$D$10:$BA$52,MATCH($C19,'[1]Sales per type Agustus'!$B$10:$B$52,0),MATCH("Y05",'[1]Sales per type Agustus'!$D$8:$BA$8,0)+1),0)</f>
        <v>4898000</v>
      </c>
      <c r="K19" s="33">
        <f t="shared" si="1"/>
        <v>19292000</v>
      </c>
      <c r="L19" s="33">
        <f>IFERROR(INDEX('[1]SALES PERTYPE'!$D$10:$BA$53,MATCH($C19,'[1]SALES PERTYPE'!$B$10:$B$53,0),MATCH("Y11d",'[1]SALES PERTYPE'!$D$8:$BA$8,0)),0)</f>
        <v>5</v>
      </c>
      <c r="M19" s="33">
        <f>IFERROR(INDEX('[1]Sales per type Agustus'!$D$10:$BA$52,MATCH($C19,'[1]Sales per type Agustus'!$B$10:$B$52,0),MATCH("Y11d",'[1]Sales per type Agustus'!$D$8:$BA$8,0)),0)</f>
        <v>7</v>
      </c>
      <c r="N19" s="33">
        <f t="shared" si="2"/>
        <v>-2</v>
      </c>
      <c r="O19" s="33" cm="1">
        <f t="array" ref="O19">IFERROR(INDEX('[1]SALES PERTYPE'!$D$10:$BA$53,MATCH($C19,'[1]SALES PERTYPE'!$B$10:$B$53,0),MATCH("Y11d",'[1]SALES PERTYPE'!$D$8:$BA$8,0)+1),0)</f>
        <v>13195000</v>
      </c>
      <c r="P19" s="33" cm="1">
        <f t="array" ref="P19">IFERROR(INDEX('[1]Sales per type Agustus'!$D$10:$BA$52,MATCH($C19,'[1]Sales per type Agustus'!$B$10:$B$52,0),MATCH("Y11d",'[1]Sales per type Agustus'!$D$8:$BA$8,0)+1),0)</f>
        <v>19593000</v>
      </c>
      <c r="Q19" s="33">
        <f t="shared" si="3"/>
        <v>-6398000</v>
      </c>
      <c r="R19" s="33">
        <f>IFERROR(INDEX('[1]SALES PERTYPE'!$D$10:$BA$53,MATCH($C19,'[1]SALES PERTYPE'!$B$10:$B$53,0),MATCH("Watch GT 2",'[1]SALES PERTYPE'!$D$8:$BA$8,0)),0)</f>
        <v>0</v>
      </c>
      <c r="S19" s="33">
        <f>IFERROR(INDEX('[1]Sales per type Agustus'!$D$10:$BA$52,MATCH($C19,'[1]Sales per type Agustus'!$B$10:$B$52,0),MATCH("Watch GT 2",'[1]Sales per type Agustus'!$D$8:$BA$8,0)),0)</f>
        <v>0</v>
      </c>
      <c r="T19" s="33">
        <f t="shared" si="4"/>
        <v>0</v>
      </c>
      <c r="U19" s="33" cm="1">
        <f t="array" ref="U19">IFERROR(INDEX('[1]SALES PERTYPE'!$D$10:$BA$53,MATCH($C19,'[1]SALES PERTYPE'!$B$10:$B$53,0),MATCH("Watch GT 2",'[1]SALES PERTYPE'!$D$8:$BA$8,0)+1),0)</f>
        <v>0</v>
      </c>
      <c r="V19" s="33" cm="1">
        <f t="array" ref="V19">IFERROR(INDEX('[1]Sales per type Agustus'!$D$10:$BA$52,MATCH($C19,'[1]Sales per type Agustus'!$B$10:$B$52,0),MATCH("Watch GT 2",'[1]Sales per type Agustus'!$D$8:$BA$8,0)+1),0)</f>
        <v>0</v>
      </c>
      <c r="W19" s="33">
        <f t="shared" si="5"/>
        <v>0</v>
      </c>
      <c r="X19" s="33">
        <f>IFERROR(INDEX('[1]SALES PERTYPE'!$D$10:$BA$53,MATCH($C19,'[1]SALES PERTYPE'!$B$10:$B$53,0),MATCH("Y05e",'[1]SALES PERTYPE'!$D$8:$BA$8,0)),0)</f>
        <v>3</v>
      </c>
      <c r="Y19" s="33">
        <f>IFERROR(INDEX('[1]Sales per type Agustus'!$D$10:$BA$52,MATCH($C19,'[1]Sales per type Agustus'!$B$10:$B$52,0),MATCH("Y05e",'[1]Sales per type Agustus'!$D$8:$BA$8,0)),0)</f>
        <v>5</v>
      </c>
      <c r="Z19" s="33">
        <f t="shared" si="6"/>
        <v>-2</v>
      </c>
      <c r="AA19" s="33" cm="1">
        <f t="array" ref="AA19">IFERROR(INDEX('[1]SALES PERTYPE'!$D$10:$BA$53,MATCH($C19,'[1]SALES PERTYPE'!$B$10:$B$53,0),MATCH("Y05e",'[1]SALES PERTYPE'!$D$8:$BA$8,0)+1),0)</f>
        <v>6697000</v>
      </c>
      <c r="AB19" s="33" cm="1">
        <f t="array" ref="AB19">IFERROR(INDEX('[1]Sales per type Agustus'!$D$10:$BA$52,MATCH($C19,'[1]Sales per type Agustus'!$B$10:$B$52,0),MATCH("Y05e",'[1]Sales per type Agustus'!$D$8:$BA$8,0)+1),0)</f>
        <v>10495000</v>
      </c>
      <c r="AC19" s="33">
        <f t="shared" si="7"/>
        <v>-3798000</v>
      </c>
      <c r="AD19" s="33">
        <f>IFERROR(INDEX('[1]SALES PERTYPE'!$D$10:$BA$53,MATCH($C19,'[1]SALES PERTYPE'!$B$10:$B$53,0),MATCH("V70",'[1]SALES PERTYPE'!$D$8:$BA$8,0)),0)</f>
        <v>5</v>
      </c>
      <c r="AE19" s="33">
        <f>IFERROR(INDEX('[1]Sales per type Agustus'!$D$10:$BA$52,MATCH($C19,'[1]Sales per type Agustus'!$B$10:$B$52,0),MATCH("V70",'[1]Sales per type Agustus'!$D$8:$BA$8,0)),0)</f>
        <v>4</v>
      </c>
      <c r="AF19" s="33">
        <f t="shared" si="8"/>
        <v>1</v>
      </c>
      <c r="AG19" s="33" cm="1">
        <f t="array" ref="AG19">IFERROR(INDEX('[1]SALES PERTYPE'!$D$10:$BA$53,MATCH($C19,'[1]SALES PERTYPE'!$B$10:$B$53,0),MATCH("V70",'[1]SALES PERTYPE'!$D$8:$BA$8,0)+1),0)</f>
        <v>49995000</v>
      </c>
      <c r="AH19" s="33" cm="1">
        <f t="array" ref="AH19">IFERROR(INDEX('[1]Sales per type Agustus'!$D$10:$BA$52,MATCH($C19,'[1]Sales per type Agustus'!$B$10:$B$52,0),MATCH("V70",'[1]Sales per type Agustus'!$D$8:$BA$8,0)+1),0)</f>
        <v>39996000</v>
      </c>
      <c r="AI19" s="33">
        <f t="shared" si="9"/>
        <v>9999000</v>
      </c>
      <c r="AJ19" s="33">
        <f>IFERROR(INDEX('[1]SALES PERTYPE'!$D$10:$BA$53,MATCH($C19,'[1]SALES PERTYPE'!$B$10:$B$53,0),MATCH("Y31d Pro",'[1]SALES PERTYPE'!$D$8:$BA$8,0)),0)</f>
        <v>11</v>
      </c>
      <c r="AK19" s="33">
        <f>IFERROR(INDEX('[1]Sales per type Agustus'!$D$10:$BA$52,MATCH($C19,'[1]Sales per type Agustus'!$B$10:$B$52,0),MATCH("Y31d Pro",'[1]Sales per type Agustus'!$D$8:$BA$8,0)),0)</f>
        <v>6</v>
      </c>
      <c r="AL19" s="33">
        <f t="shared" si="10"/>
        <v>5</v>
      </c>
      <c r="AM19" s="33" cm="1">
        <f t="array" ref="AM19">IFERROR(INDEX('[1]SALES PERTYPE'!$D$10:$BA$53,MATCH($C19,'[1]SALES PERTYPE'!$B$10:$B$53,0),MATCH("Y31d Pro",'[1]SALES PERTYPE'!$D$8:$BA$8,0)+1),0)</f>
        <v>50689000</v>
      </c>
      <c r="AN19" s="33" cm="1">
        <f t="array" ref="AN19">IFERROR(INDEX('[1]Sales per type Agustus'!$D$10:$BA$52,MATCH($C19,'[1]Sales per type Agustus'!$B$10:$B$52,0),MATCH("Y31d Pro",'[1]Sales per type Agustus'!$D$8:$BA$8,0)+1),0)</f>
        <v>27194000</v>
      </c>
      <c r="AO19" s="33">
        <f t="shared" si="11"/>
        <v>23495000</v>
      </c>
      <c r="AP19" s="33" cm="1">
        <f t="array" ref="AP19">IFERROR(INDEX('[1]SALES PERTYPE'!$D$10:$BA$53,MATCH($C19,'[1]SALES PERTYPE'!$B$10:$B$53,0),$EI$3),0)</f>
        <v>5</v>
      </c>
      <c r="AQ19" s="33" cm="1">
        <f t="array" ref="AQ19">IFERROR(INDEX('[1]Sales per type Agustus'!$D$10:$BA$52,MATCH($C19,'[1]Sales per type Agustus'!$B$10:$B$52,0),$EI$2),0)</f>
        <v>0</v>
      </c>
      <c r="AR19" s="33">
        <f t="shared" si="12"/>
        <v>5</v>
      </c>
      <c r="AS19" s="33" cm="1">
        <f t="array" ref="AS19">IFERROR(INDEX('[1]SALES PERTYPE'!$D$10:$BA$53,MATCH($C19,'[1]SALES PERTYPE'!$B$10:$B$53,0),$EI$3+1),0)</f>
        <v>16995000</v>
      </c>
      <c r="AT19" s="33" cm="1">
        <f t="array" ref="AT19">IFERROR(INDEX('[1]Sales per type Agustus'!$D$10:$BA$52,MATCH($C19,'[1]Sales per type Agustus'!$B$10:$B$52,0),$EI$2+1),0)</f>
        <v>0</v>
      </c>
      <c r="AU19" s="33">
        <f t="shared" si="13"/>
        <v>16995000</v>
      </c>
      <c r="AV19" s="33">
        <f>IFERROR(INDEX('[1]SALES PERTYPE'!$D$10:$BA$53,MATCH($C19,'[1]SALES PERTYPE'!$B$10:$B$53,0),MATCH("Y31d ",'[1]SALES PERTYPE'!$D$8:$BA$8,0)),0)</f>
        <v>3</v>
      </c>
      <c r="AW19" s="33">
        <f>IFERROR(INDEX('[1]Sales per type Agustus'!$D$10:$BA$52,MATCH($C19,'[1]Sales per type Agustus'!$B$10:$B$52,0),MATCH("Y31d ",'[1]Sales per type Agustus'!$D$8:$BA$8,0)),0)</f>
        <v>0</v>
      </c>
      <c r="AX19" s="33">
        <f t="shared" si="14"/>
        <v>3</v>
      </c>
      <c r="AY19" s="33" cm="1">
        <f t="array" ref="AY19">IFERROR(INDEX('[1]SALES PERTYPE'!$D$10:$BA$53,MATCH($C19,'[1]SALES PERTYPE'!$B$10:$B$53,0),MATCH("Y31d ",'[1]SALES PERTYPE'!$D$8:$BA$8,0)+1),0)</f>
        <v>10797000</v>
      </c>
      <c r="AZ19" s="33" cm="1">
        <f t="array" ref="AZ19">IFERROR(INDEX('[1]Sales per type Agustus'!$D$10:$BA$52,MATCH($C19,'[1]Sales per type Agustus'!$B$10:$B$52,0),MATCH("Y31d ",'[1]Sales per type Agustus'!$D$8:$BA$8,0)+1),0)</f>
        <v>0</v>
      </c>
      <c r="BA19" s="33">
        <f t="shared" si="15"/>
        <v>10797000</v>
      </c>
      <c r="BB19" s="33">
        <f>IFERROR(INDEX('[1]SALES PERTYPE'!$D$10:$BA$53,MATCH($C19,'[1]SALES PERTYPE'!$B$10:$B$53,0),MATCH("V70 FE",'[1]SALES PERTYPE'!$D$8:$BA$8,0)),0)</f>
        <v>3</v>
      </c>
      <c r="BC19" s="33">
        <f>IFERROR(INDEX('[1]Sales per type Agustus'!$D$10:$BA$52,MATCH($C19,'[1]Sales per type Agustus'!$B$10:$B$52,0),MATCH("V70 FE",'[1]Sales per type Agustus'!$D$8:$BA$8,0)),0)</f>
        <v>3</v>
      </c>
      <c r="BD19" s="33">
        <f t="shared" si="16"/>
        <v>0</v>
      </c>
      <c r="BE19" s="33" cm="1">
        <f t="array" ref="BE19">IFERROR(INDEX('[1]SALES PERTYPE'!$D$10:$BA$53,MATCH($C19,'[1]SALES PERTYPE'!$B$10:$B$53,0),MATCH("V70 FE",'[1]SALES PERTYPE'!$D$8:$BA$8,0)+1),0)</f>
        <v>23997000</v>
      </c>
      <c r="BF19" s="33" cm="1">
        <f t="array" ref="BF19">IFERROR(INDEX('[1]Sales per type Agustus'!$D$10:$BA$52,MATCH($C19,'[1]Sales per type Agustus'!$B$10:$B$52,0),MATCH("V70 FE",'[1]Sales per type Agustus'!$D$8:$BA$8,0)+1),0)</f>
        <v>21497000</v>
      </c>
      <c r="BG19" s="33">
        <f t="shared" si="17"/>
        <v>2500000</v>
      </c>
      <c r="BH19" s="33">
        <f>IFERROR(INDEX('[1]SALES PERTYPE'!$D$10:$BA$53,MATCH($C19,'[1]SALES PERTYPE'!$B$10:$B$53,0),MATCH("Y31d",'[1]SALES PERTYPE'!$D$8:$BA$8,0)),0)</f>
        <v>1</v>
      </c>
      <c r="BI19" s="33">
        <f>IFERROR(INDEX('[1]Sales per type Agustus'!$D$10:$BA$52,MATCH($C19,'[1]Sales per type Agustus'!$B$10:$B$52,0),MATCH("Y31d",'[1]Sales per type Agustus'!$D$8:$BA$8,0)),0)</f>
        <v>1</v>
      </c>
      <c r="BJ19" s="33">
        <f t="shared" si="18"/>
        <v>0</v>
      </c>
      <c r="BK19" s="33" cm="1">
        <f t="array" ref="BK19">IFERROR(INDEX('[1]SALES PERTYPE'!$D$10:$BA$53,MATCH($C19,'[1]SALES PERTYPE'!$B$10:$B$53,0),MATCH("Y31d",'[1]SALES PERTYPE'!$D$8:$BA$8,0)+1),0)</f>
        <v>3599000</v>
      </c>
      <c r="BL19" s="33" cm="1">
        <f t="array" ref="BL19">IFERROR(INDEX('[1]Sales per type Agustus'!$D$10:$BA$52,MATCH($C19,'[1]Sales per type Agustus'!$B$10:$B$52,0),MATCH("Y31d",'[1]Sales per type Agustus'!$D$8:$BA$8,0)+1),0)</f>
        <v>3599000</v>
      </c>
      <c r="BM19" s="33">
        <f t="shared" si="19"/>
        <v>0</v>
      </c>
      <c r="BN19" s="33">
        <f>IFERROR(INDEX('[1]SALES PERTYPE'!$D$10:$BA$53,MATCH($C19,'[1]SALES PERTYPE'!$B$10:$B$53,0),MATCH("Y500",'[1]SALES PERTYPE'!$D$8:$BA$8,0)),0)</f>
        <v>0</v>
      </c>
      <c r="BO19" s="33">
        <f>IFERROR(INDEX('[1]Sales per type Agustus'!$D$10:$BA$52,MATCH($C19,'[1]Sales per type Agustus'!$B$10:$B$52,0),MATCH("Y500",'[1]Sales per type Agustus'!$D$8:$BA$8,0)),0)</f>
        <v>1</v>
      </c>
      <c r="BP19" s="33">
        <f t="shared" si="20"/>
        <v>-1</v>
      </c>
      <c r="BQ19" s="33" cm="1">
        <f t="array" ref="BQ19">IFERROR(INDEX('[1]SALES PERTYPE'!$D$10:$BA$53,MATCH($C19,'[1]SALES PERTYPE'!$B$10:$B$53,0),MATCH("Y500",'[1]SALES PERTYPE'!$D$8:$BA$8,0)+1),0)</f>
        <v>0</v>
      </c>
      <c r="BR19" s="33" cm="1">
        <f t="array" ref="BR19">IFERROR(INDEX('[1]Sales per type Agustus'!$D$10:$BA$52,MATCH($C19,'[1]Sales per type Agustus'!$B$10:$B$52,0),MATCH("Y500",'[1]Sales per type Agustus'!$D$8:$BA$8,0)+1),0)</f>
        <v>6299000</v>
      </c>
      <c r="BS19" s="33">
        <f t="shared" si="21"/>
        <v>-6299000</v>
      </c>
      <c r="BT19" s="33">
        <f>IFERROR(INDEX('[1]SALES PERTYPE'!$D$10:$BA$53,MATCH($C19,'[1]SALES PERTYPE'!$B$10:$B$53,0),MATCH("IQOO 15R",'[1]SALES PERTYPE'!$D$8:$BA$8,0)),0)</f>
        <v>0</v>
      </c>
      <c r="BU19" s="33">
        <f>IFERROR(INDEX('[1]Sales per type Agustus'!$D$10:$BA$52,MATCH($C19,'[1]Sales per type Agustus'!$B$10:$B$52,0),MATCH("IQOO 15R",'[1]Sales per type Agustus'!$D$8:$BA$8,0)),0)</f>
        <v>2</v>
      </c>
      <c r="BV19" s="33">
        <f t="shared" si="22"/>
        <v>-2</v>
      </c>
      <c r="BW19" s="33" cm="1">
        <f t="array" ref="BW19">IFERROR(INDEX('[1]SALES PERTYPE'!$D$10:$BA$53,MATCH($C19,'[1]SALES PERTYPE'!$B$10:$B$53,0),MATCH("IQOO 15R",'[1]SALES PERTYPE'!$D$8:$BA$8,0)+1),0)</f>
        <v>0</v>
      </c>
      <c r="BX19" s="33" cm="1">
        <f t="array" ref="BX19">IFERROR(INDEX('[1]Sales per type Agustus'!$D$10:$BA$52,MATCH($C19,'[1]Sales per type Agustus'!$B$10:$B$52,0),MATCH("IQOO 15R",'[1]Sales per type Agustus'!$D$8:$BA$8,0)+1),0)</f>
        <v>23998000</v>
      </c>
      <c r="BY19" s="33">
        <f t="shared" si="23"/>
        <v>-23998000</v>
      </c>
      <c r="BZ19" s="33">
        <f>IFERROR(INDEX('[1]SALES PERTYPE'!$D$10:$BA$53,MATCH($C19,'[1]SALES PERTYPE'!$B$10:$B$53,0),MATCH("V60 Lite",'[1]SALES PERTYPE'!$D$8:$BA$8,0)),0)</f>
        <v>2</v>
      </c>
      <c r="CA19" s="33">
        <f>IFERROR(INDEX('[1]Sales per type Agustus'!$D$10:$BA$52,MATCH($C19,'[1]Sales per type Agustus'!$B$10:$B$52,0),MATCH("V60 Lite",'[1]Sales per type Agustus'!$D$8:$BA$8,0)),0)</f>
        <v>1</v>
      </c>
      <c r="CB19" s="33">
        <f t="shared" si="24"/>
        <v>1</v>
      </c>
      <c r="CC19" s="33" cm="1">
        <f t="array" ref="CC19">IFERROR(INDEX('[1]SALES PERTYPE'!$D$10:$BA$53,MATCH($C19,'[1]SALES PERTYPE'!$B$10:$B$53,0),MATCH("V60 Lite",'[1]SALES PERTYPE'!$D$8:$BA$8,0)+1),0)</f>
        <v>11798000</v>
      </c>
      <c r="CD19" s="33" cm="1">
        <f t="array" ref="CD19">IFERROR(INDEX('[1]Sales per type Agustus'!$D$10:$BA$52,MATCH($C19,'[1]Sales per type Agustus'!$B$10:$B$52,0),MATCH("V60 Lite",'[1]Sales per type Agustus'!$D$8:$BA$8,0)+1),0)</f>
        <v>5299000</v>
      </c>
      <c r="CE19" s="33">
        <f t="shared" si="25"/>
        <v>6499000</v>
      </c>
      <c r="CF19" s="33">
        <f>IFERROR(INDEX('[1]SALES PERTYPE'!$D$10:$BA$53,MATCH($C19,'[1]SALES PERTYPE'!$B$10:$B$53,0),MATCH("X300 Ultra",'[1]SALES PERTYPE'!$D$8:$BA$8,0)),0)</f>
        <v>0</v>
      </c>
      <c r="CG19" s="33">
        <f>IFERROR(INDEX('[1]Sales per type Agustus'!$D$10:$BA$52,MATCH($C19,'[1]Sales per type Agustus'!$B$10:$B$52,0),MATCH("X300 Ultra",'[1]Sales per type Agustus'!$D$8:$BA$8,0)),0)</f>
        <v>0</v>
      </c>
      <c r="CH19" s="33">
        <f t="shared" si="26"/>
        <v>0</v>
      </c>
      <c r="CI19" s="33" cm="1">
        <f t="array" ref="CI19">IFERROR(INDEX('[1]SALES PERTYPE'!$D$10:$BA$53,MATCH($C19,'[1]SALES PERTYPE'!$B$10:$B$53,0),MATCH("X300 Ultra",'[1]SALES PERTYPE'!$D$8:$BA$8,0)+1),0)</f>
        <v>0</v>
      </c>
      <c r="CJ19" s="33" cm="1">
        <f t="array" ref="CJ19">IFERROR(INDEX('[1]Sales per type Agustus'!$D$10:$BA$52,MATCH($C19,'[1]Sales per type Agustus'!$B$10:$B$52,0),MATCH("X300 Ultra",'[1]Sales per type Agustus'!$D$8:$BA$8,0)+1),0)</f>
        <v>0</v>
      </c>
      <c r="CK19" s="33">
        <f t="shared" si="27"/>
        <v>0</v>
      </c>
      <c r="CL19" s="33">
        <f>IFERROR(INDEX('[1]SALES PERTYPE'!$D$10:$BA$53,MATCH($C19,'[1]SALES PERTYPE'!$B$10:$B$53,0),MATCH("IQOO 15",'[1]SALES PERTYPE'!$D$8:$BA$8,0)),0)</f>
        <v>0</v>
      </c>
      <c r="CM19" s="33">
        <f>IFERROR(INDEX('[1]Sales per type Agustus'!$D$10:$BA$52,MATCH($C19,'[1]Sales per type Agustus'!$B$10:$B$52,0),MATCH("IQOO 15",'[1]Sales per type Agustus'!$D$8:$BA$8,0)),0)</f>
        <v>0</v>
      </c>
      <c r="CN19" s="33">
        <f t="shared" si="28"/>
        <v>0</v>
      </c>
      <c r="CO19" s="33" cm="1">
        <f t="array" ref="CO19">IFERROR(INDEX('[1]SALES PERTYPE'!$D$10:$BA$53,MATCH($C19,'[1]SALES PERTYPE'!$B$10:$B$53,0),MATCH("IQOO 15",'[1]SALES PERTYPE'!$D$8:$BA$8,0)+1),0)</f>
        <v>0</v>
      </c>
      <c r="CP19" s="33" cm="1">
        <f t="array" ref="CP19">IFERROR(INDEX('[1]Sales per type Agustus'!$D$10:$BA$52,MATCH($C19,'[1]Sales per type Agustus'!$B$10:$B$52,0),MATCH("IQOO 15",'[1]Sales per type Agustus'!$D$8:$BA$8,0)+1),0)</f>
        <v>0</v>
      </c>
      <c r="CQ19" s="33">
        <f t="shared" si="29"/>
        <v>0</v>
      </c>
      <c r="CR19" s="33">
        <f>IFERROR(INDEX('[1]SALES PERTYPE'!$D$10:$BA$53,MATCH($C19,'[1]SALES PERTYPE'!$B$10:$B$53,0),MATCH("IQOO Z11x",'[1]SALES PERTYPE'!$D$8:$BA$8,0)),0)</f>
        <v>1</v>
      </c>
      <c r="CS19" s="33">
        <f>IFERROR(INDEX('[1]Sales per type Agustus'!$D$10:$BA$52,MATCH($C19,'[1]Sales per type Agustus'!$B$10:$B$52,0),MATCH("IQOO Z11x",'[1]Sales per type Agustus'!$D$8:$BA$8,0)),0)</f>
        <v>2</v>
      </c>
      <c r="CT19" s="33">
        <f t="shared" si="30"/>
        <v>-1</v>
      </c>
      <c r="CU19" s="33" cm="1">
        <f t="array" ref="CU19">IFERROR(INDEX('[1]SALES PERTYPE'!$D$10:$BA$53,MATCH($C19,'[1]SALES PERTYPE'!$B$10:$B$53,0),MATCH("IQOO Z11x",'[1]SALES PERTYPE'!$D$8:$BA$8,0)+1),0)</f>
        <v>4799000</v>
      </c>
      <c r="CV19" s="33" cm="1">
        <f t="array" ref="CV19">IFERROR(INDEX('[1]Sales per type Agustus'!$D$10:$BA$52,MATCH($C19,'[1]Sales per type Agustus'!$B$10:$B$52,0),MATCH("IQOO Z11x",'[1]Sales per type Agustus'!$D$8:$BA$8,0)+1),0)</f>
        <v>11398000</v>
      </c>
      <c r="CW19" s="33">
        <f t="shared" si="31"/>
        <v>-6599000</v>
      </c>
      <c r="CX19" s="33">
        <f>IFERROR(INDEX('[1]SALES PERTYPE'!$D$10:$BA$53,MATCH($C19,'[1]SALES PERTYPE'!$B$10:$B$53,0),MATCH("IQOO Z11",'[1]SALES PERTYPE'!$D$8:$BA$8,0)),0)</f>
        <v>4</v>
      </c>
      <c r="CY19" s="33">
        <f>IFERROR(INDEX('[1]Sales per type Agustus'!$D$10:$BA$52,MATCH($C19,'[1]Sales per type Agustus'!$B$10:$B$52,0),MATCH("IQOO Z11",'[1]Sales per type Agustus'!$D$8:$BA$8,0)),0)</f>
        <v>4</v>
      </c>
      <c r="CZ19" s="33">
        <f t="shared" si="32"/>
        <v>0</v>
      </c>
      <c r="DA19" s="33" cm="1">
        <f t="array" ref="DA19">IFERROR(INDEX('[1]SALES PERTYPE'!$D$10:$BA$53,MATCH($C19,'[1]SALES PERTYPE'!$B$10:$B$53,0),MATCH("IQOO Z11",'[1]SALES PERTYPE'!$D$8:$BA$8,0)+1),0)</f>
        <v>29096000</v>
      </c>
      <c r="DB19" s="33" cm="1">
        <f t="array" ref="DB19">IFERROR(INDEX('[1]Sales per type Agustus'!$D$10:$BA$52,MATCH($C19,'[1]Sales per type Agustus'!$B$10:$B$52,0),MATCH("IQOO Z11",'[1]Sales per type Agustus'!$D$8:$BA$8,0)+1),0)</f>
        <v>27596000</v>
      </c>
      <c r="DC19" s="33">
        <f t="shared" si="33"/>
        <v>1500000</v>
      </c>
      <c r="DD19" s="33">
        <f>IFERROR(INDEX('[1]SALES PERTYPE'!$D$10:$BA$53,MATCH($C19,'[1]SALES PERTYPE'!$B$10:$B$53,0),MATCH("WATCH 3",'[1]SALES PERTYPE'!$D$8:$BA$8,0)),0)</f>
        <v>0</v>
      </c>
      <c r="DE19" s="33">
        <f>IFERROR(INDEX('[1]Sales per type Agustus'!$D$10:$BA$52,MATCH($C19,'[1]Sales per type Agustus'!$B$10:$B$52,0),MATCH("WATCH 3",'[1]Sales per type Agustus'!$D$8:$BA$8,0)),0)</f>
        <v>0</v>
      </c>
      <c r="DF19" s="33">
        <f t="shared" si="34"/>
        <v>0</v>
      </c>
      <c r="DG19" s="33" cm="1">
        <f t="array" ref="DG19">IFERROR(INDEX('[1]SALES PERTYPE'!$D$10:$BA$53,MATCH($C19,'[1]SALES PERTYPE'!$B$10:$B$53,0),MATCH("WATCH 3",'[1]SALES PERTYPE'!$D$8:$BA$8,0)+1),0)</f>
        <v>0</v>
      </c>
      <c r="DH19" s="33" cm="1">
        <f t="array" ref="DH19">IFERROR(INDEX('[1]Sales per type Agustus'!$D$10:$BA$52,MATCH($C19,'[1]Sales per type Agustus'!$B$10:$B$52,0),MATCH("WATCH 3",'[1]Sales per type Agustus'!$D$8:$BA$8,0)+1),0)</f>
        <v>0</v>
      </c>
      <c r="DI19" s="33">
        <f t="shared" si="35"/>
        <v>0</v>
      </c>
      <c r="DJ19" s="33">
        <f>IFERROR(INDEX('[1]SALES PERTYPE'!$D$10:$BA$53,MATCH($C19,'[1]SALES PERTYPE'!$B$10:$B$53,0),MATCH("X Fold5",'[1]SALES PERTYPE'!$D$8:$BA$8,0)),0)</f>
        <v>0</v>
      </c>
      <c r="DK19" s="33">
        <f>IFERROR(INDEX('[1]Sales per type Agustus'!$D$10:$BA$52,MATCH($C19,'[1]Sales per type Agustus'!$B$10:$B$52,0),MATCH("X Fold5",'[1]Sales per type Agustus'!$D$8:$BA$8,0)),0)</f>
        <v>0</v>
      </c>
      <c r="DL19" s="33">
        <f t="shared" si="36"/>
        <v>0</v>
      </c>
      <c r="DM19" s="33" cm="1">
        <f t="array" ref="DM19">IFERROR(INDEX('[1]SALES PERTYPE'!$D$10:$BA$53,MATCH($C19,'[1]SALES PERTYPE'!$B$10:$B$53,0),MATCH("X Fold5",'[1]SALES PERTYPE'!$D$8:$BA$8,0)+1),0)</f>
        <v>0</v>
      </c>
      <c r="DN19" s="33" cm="1">
        <f t="array" ref="DN19">IFERROR(INDEX('[1]Sales per type Agustus'!$D$10:$BA$52,MATCH($C19,'[1]Sales per type Agustus'!$B$10:$B$52,0),MATCH("X Fold5",'[1]Sales per type Agustus'!$D$8:$BA$8,0)+1),0)</f>
        <v>0</v>
      </c>
      <c r="DO19" s="33">
        <f t="shared" si="37"/>
        <v>0</v>
      </c>
      <c r="DP19" s="33">
        <f>IFERROR(INDEX('[1]SALES PERTYPE'!$D$10:$BA$53,MATCH($C19,'[1]SALES PERTYPE'!$B$10:$B$53,0),MATCH("X300 PRO",'[1]SALES PERTYPE'!$D$8:$BA$8,0)),0)</f>
        <v>0</v>
      </c>
      <c r="DQ19" s="33">
        <f>IFERROR(INDEX('[1]Sales per type Agustus'!$D$10:$BA$52,MATCH($C19,'[1]Sales per type Agustus'!$B$10:$B$52,0),MATCH("X300 PRO",'[1]Sales per type Agustus'!$D$8:$BA$8,0)),0)</f>
        <v>0</v>
      </c>
      <c r="DR19" s="33">
        <f t="shared" si="38"/>
        <v>0</v>
      </c>
      <c r="DS19" s="33" cm="1">
        <f t="array" ref="DS19">IFERROR(INDEX('[1]SALES PERTYPE'!$D$10:$BA$53,MATCH($C19,'[1]SALES PERTYPE'!$B$10:$B$53,0),MATCH("X300 PRO",'[1]SALES PERTYPE'!$D$8:$BA$8,0)+1),0)</f>
        <v>0</v>
      </c>
      <c r="DT19" s="33" cm="1">
        <f t="array" ref="DT19">IFERROR(INDEX('[1]Sales per type Agustus'!$D$10:$BA$52,MATCH($C19,'[1]Sales per type Agustus'!$B$10:$B$52,0),MATCH("X300 PRO",'[1]Sales per type Agustus'!$D$8:$BA$8,0)+1),0)</f>
        <v>0</v>
      </c>
      <c r="DU19" s="33">
        <f t="shared" si="39"/>
        <v>0</v>
      </c>
      <c r="DV19" s="33">
        <f>IFERROR(INDEX('[1]SALES PERTYPE'!$D$10:$BA$53,MATCH($C19,'[1]SALES PERTYPE'!$B$10:$B$53,0),MATCH("X300 ",'[1]SALES PERTYPE'!$D$8:$BA$8,0)),0)</f>
        <v>0</v>
      </c>
      <c r="DW19" s="33">
        <f>IFERROR(INDEX('[1]Sales per type Agustus'!$D$10:$BA$52,MATCH($C19,'[1]Sales per type Agustus'!$B$10:$B$52,0),MATCH("X300 ",'[1]Sales per type Agustus'!$D$8:$BA$8,0)),0)</f>
        <v>0</v>
      </c>
      <c r="DX19" s="33">
        <f t="shared" si="40"/>
        <v>0</v>
      </c>
      <c r="DY19" s="33" cm="1">
        <f t="array" ref="DY19">IFERROR(INDEX('[1]SALES PERTYPE'!$D$10:$BA$53,MATCH($C19,'[1]SALES PERTYPE'!$B$10:$B$53,0),MATCH("X300 ",'[1]SALES PERTYPE'!$D$8:$BA$8,0)+1),0)</f>
        <v>0</v>
      </c>
      <c r="DZ19" s="33" cm="1">
        <f t="array" ref="DZ19">IFERROR(INDEX('[1]Sales per type Agustus'!$D$10:$BA$52,MATCH($C19,'[1]Sales per type Agustus'!$B$10:$B$52,0),MATCH("X300 ",'[1]Sales per type Agustus'!$D$8:$BA$8,0)+1),0)</f>
        <v>0</v>
      </c>
      <c r="EA19" s="33">
        <f t="shared" si="41"/>
        <v>0</v>
      </c>
      <c r="EB19" s="33">
        <f t="shared" si="42"/>
        <v>53</v>
      </c>
      <c r="EC19" s="33">
        <f t="shared" si="42"/>
        <v>38</v>
      </c>
      <c r="ED19" s="33">
        <f t="shared" si="43"/>
        <v>15</v>
      </c>
      <c r="EE19" s="33">
        <f t="shared" si="44"/>
        <v>245847000</v>
      </c>
      <c r="EF19" s="33">
        <f t="shared" si="44"/>
        <v>201862000</v>
      </c>
      <c r="EG19" s="33">
        <f t="shared" si="45"/>
        <v>43985000</v>
      </c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</row>
    <row r="20" spans="1:184" ht="16" x14ac:dyDescent="0.2">
      <c r="A20" s="214">
        <f>'[1]ACHIEVEMENT STORE'!A20</f>
        <v>16</v>
      </c>
      <c r="B20" s="215" t="str">
        <f>'[1]ACHIEVEMENT STORE'!B20</f>
        <v>605 勿加泗 BEKASI</v>
      </c>
      <c r="C20" s="214">
        <f>'[1]ACHIEVEMENT STORE'!C20</f>
        <v>6220701</v>
      </c>
      <c r="D20" s="215" t="str">
        <f>'[1]ACHIEVEMENT STORE'!D20</f>
        <v>6220701-MBH-VIP VIVO STORE-DD284</v>
      </c>
      <c r="E20" s="215" t="str">
        <f>'[1]ACHIEVEMENT STORE'!E20</f>
        <v>M RIZKI</v>
      </c>
      <c r="F20" s="33">
        <f>IFERROR(INDEX('[1]SALES PERTYPE'!$D$10:$BA$53,MATCH($C20,'[1]SALES PERTYPE'!$B$10:$B$53,0),MATCH("Y05",'[1]SALES PERTYPE'!$D$8:$BA$8,0)),0)</f>
        <v>15</v>
      </c>
      <c r="G20" s="33">
        <f>IFERROR(INDEX('[1]Sales per type Agustus'!$D$10:$BA$52,MATCH($C20,'[1]Sales per type Agustus'!$B$10:$B$52,0),MATCH("Y05",'[1]Sales per type Agustus'!$D$8:$BA$8,0)),0)</f>
        <v>18</v>
      </c>
      <c r="H20" s="33">
        <f t="shared" si="0"/>
        <v>-3</v>
      </c>
      <c r="I20" s="33" cm="1">
        <f t="array" ref="I20">IFERROR(INDEX('[1]SALES PERTYPE'!$D$10:$BA$53,MATCH($C20,'[1]SALES PERTYPE'!$B$10:$B$53,0),MATCH("Y05",'[1]SALES PERTYPE'!$D$8:$BA$8,0)+1),0)</f>
        <v>37185000</v>
      </c>
      <c r="J20" s="33" cm="1">
        <f t="array" ref="J20">IFERROR(INDEX('[1]Sales per type Agustus'!$D$10:$BA$52,MATCH($C20,'[1]Sales per type Agustus'!$B$10:$B$52,0),MATCH("Y05",'[1]Sales per type Agustus'!$D$8:$BA$8,0)+1),0)</f>
        <v>43182000</v>
      </c>
      <c r="K20" s="33">
        <f t="shared" si="1"/>
        <v>-5997000</v>
      </c>
      <c r="L20" s="33">
        <f>IFERROR(INDEX('[1]SALES PERTYPE'!$D$10:$BA$53,MATCH($C20,'[1]SALES PERTYPE'!$B$10:$B$53,0),MATCH("Y11d",'[1]SALES PERTYPE'!$D$8:$BA$8,0)),0)</f>
        <v>6</v>
      </c>
      <c r="M20" s="33">
        <f>IFERROR(INDEX('[1]Sales per type Agustus'!$D$10:$BA$52,MATCH($C20,'[1]Sales per type Agustus'!$B$10:$B$52,0),MATCH("Y11d",'[1]Sales per type Agustus'!$D$8:$BA$8,0)),0)</f>
        <v>14</v>
      </c>
      <c r="N20" s="33">
        <f t="shared" si="2"/>
        <v>-8</v>
      </c>
      <c r="O20" s="33" cm="1">
        <f t="array" ref="O20">IFERROR(INDEX('[1]SALES PERTYPE'!$D$10:$BA$53,MATCH($C20,'[1]SALES PERTYPE'!$B$10:$B$53,0),MATCH("Y11d",'[1]SALES PERTYPE'!$D$8:$BA$8,0)+1),0)</f>
        <v>16394000</v>
      </c>
      <c r="P20" s="33" cm="1">
        <f t="array" ref="P20">IFERROR(INDEX('[1]Sales per type Agustus'!$D$10:$BA$52,MATCH($C20,'[1]Sales per type Agustus'!$B$10:$B$52,0),MATCH("Y11d",'[1]Sales per type Agustus'!$D$8:$BA$8,0)+1),0)</f>
        <v>38386000</v>
      </c>
      <c r="Q20" s="33">
        <f t="shared" si="3"/>
        <v>-21992000</v>
      </c>
      <c r="R20" s="33">
        <f>IFERROR(INDEX('[1]SALES PERTYPE'!$D$10:$BA$53,MATCH($C20,'[1]SALES PERTYPE'!$B$10:$B$53,0),MATCH("Watch GT 2",'[1]SALES PERTYPE'!$D$8:$BA$8,0)),0)</f>
        <v>0</v>
      </c>
      <c r="S20" s="33">
        <f>IFERROR(INDEX('[1]Sales per type Agustus'!$D$10:$BA$52,MATCH($C20,'[1]Sales per type Agustus'!$B$10:$B$52,0),MATCH("Watch GT 2",'[1]Sales per type Agustus'!$D$8:$BA$8,0)),0)</f>
        <v>0</v>
      </c>
      <c r="T20" s="33">
        <f t="shared" si="4"/>
        <v>0</v>
      </c>
      <c r="U20" s="33" cm="1">
        <f t="array" ref="U20">IFERROR(INDEX('[1]SALES PERTYPE'!$D$10:$BA$53,MATCH($C20,'[1]SALES PERTYPE'!$B$10:$B$53,0),MATCH("Watch GT 2",'[1]SALES PERTYPE'!$D$8:$BA$8,0)+1),0)</f>
        <v>0</v>
      </c>
      <c r="V20" s="33" cm="1">
        <f t="array" ref="V20">IFERROR(INDEX('[1]Sales per type Agustus'!$D$10:$BA$52,MATCH($C20,'[1]Sales per type Agustus'!$B$10:$B$52,0),MATCH("Watch GT 2",'[1]Sales per type Agustus'!$D$8:$BA$8,0)+1),0)</f>
        <v>0</v>
      </c>
      <c r="W20" s="33">
        <f t="shared" si="5"/>
        <v>0</v>
      </c>
      <c r="X20" s="33">
        <f>IFERROR(INDEX('[1]SALES PERTYPE'!$D$10:$BA$53,MATCH($C20,'[1]SALES PERTYPE'!$B$10:$B$53,0),MATCH("Y05e",'[1]SALES PERTYPE'!$D$8:$BA$8,0)),0)</f>
        <v>3</v>
      </c>
      <c r="Y20" s="33">
        <f>IFERROR(INDEX('[1]Sales per type Agustus'!$D$10:$BA$52,MATCH($C20,'[1]Sales per type Agustus'!$B$10:$B$52,0),MATCH("Y05e",'[1]Sales per type Agustus'!$D$8:$BA$8,0)),0)</f>
        <v>4</v>
      </c>
      <c r="Z20" s="33">
        <f t="shared" si="6"/>
        <v>-1</v>
      </c>
      <c r="AA20" s="33" cm="1">
        <f t="array" ref="AA20">IFERROR(INDEX('[1]SALES PERTYPE'!$D$10:$BA$53,MATCH($C20,'[1]SALES PERTYPE'!$B$10:$B$53,0),MATCH("Y05e",'[1]SALES PERTYPE'!$D$8:$BA$8,0)+1),0)</f>
        <v>6497000</v>
      </c>
      <c r="AB20" s="33" cm="1">
        <f t="array" ref="AB20">IFERROR(INDEX('[1]Sales per type Agustus'!$D$10:$BA$52,MATCH($C20,'[1]Sales per type Agustus'!$B$10:$B$52,0),MATCH("Y05e",'[1]Sales per type Agustus'!$D$8:$BA$8,0)+1),0)</f>
        <v>8396000</v>
      </c>
      <c r="AC20" s="33">
        <f t="shared" si="7"/>
        <v>-1899000</v>
      </c>
      <c r="AD20" s="33">
        <f>IFERROR(INDEX('[1]SALES PERTYPE'!$D$10:$BA$53,MATCH($C20,'[1]SALES PERTYPE'!$B$10:$B$53,0),MATCH("V70",'[1]SALES PERTYPE'!$D$8:$BA$8,0)),0)</f>
        <v>4</v>
      </c>
      <c r="AE20" s="33">
        <f>IFERROR(INDEX('[1]Sales per type Agustus'!$D$10:$BA$52,MATCH($C20,'[1]Sales per type Agustus'!$B$10:$B$52,0),MATCH("V70",'[1]Sales per type Agustus'!$D$8:$BA$8,0)),0)</f>
        <v>2</v>
      </c>
      <c r="AF20" s="33">
        <f t="shared" si="8"/>
        <v>2</v>
      </c>
      <c r="AG20" s="33" cm="1">
        <f t="array" ref="AG20">IFERROR(INDEX('[1]SALES PERTYPE'!$D$10:$BA$53,MATCH($C20,'[1]SALES PERTYPE'!$B$10:$B$53,0),MATCH("V70",'[1]SALES PERTYPE'!$D$8:$BA$8,0)+1),0)</f>
        <v>39996000</v>
      </c>
      <c r="AH20" s="33" cm="1">
        <f t="array" ref="AH20">IFERROR(INDEX('[1]Sales per type Agustus'!$D$10:$BA$52,MATCH($C20,'[1]Sales per type Agustus'!$B$10:$B$52,0),MATCH("V70",'[1]Sales per type Agustus'!$D$8:$BA$8,0)+1),0)</f>
        <v>19998000</v>
      </c>
      <c r="AI20" s="33">
        <f t="shared" si="9"/>
        <v>19998000</v>
      </c>
      <c r="AJ20" s="33">
        <f>IFERROR(INDEX('[1]SALES PERTYPE'!$D$10:$BA$53,MATCH($C20,'[1]SALES PERTYPE'!$B$10:$B$53,0),MATCH("Y31d Pro",'[1]SALES PERTYPE'!$D$8:$BA$8,0)),0)</f>
        <v>11</v>
      </c>
      <c r="AK20" s="33">
        <f>IFERROR(INDEX('[1]Sales per type Agustus'!$D$10:$BA$52,MATCH($C20,'[1]Sales per type Agustus'!$B$10:$B$52,0),MATCH("Y31d Pro",'[1]Sales per type Agustus'!$D$8:$BA$8,0)),0)</f>
        <v>8</v>
      </c>
      <c r="AL20" s="33">
        <f t="shared" si="10"/>
        <v>3</v>
      </c>
      <c r="AM20" s="33" cm="1">
        <f t="array" ref="AM20">IFERROR(INDEX('[1]SALES PERTYPE'!$D$10:$BA$53,MATCH($C20,'[1]SALES PERTYPE'!$B$10:$B$53,0),MATCH("Y31d Pro",'[1]SALES PERTYPE'!$D$8:$BA$8,0)+1),0)</f>
        <v>48289000</v>
      </c>
      <c r="AN20" s="33" cm="1">
        <f t="array" ref="AN20">IFERROR(INDEX('[1]Sales per type Agustus'!$D$10:$BA$52,MATCH($C20,'[1]Sales per type Agustus'!$B$10:$B$52,0),MATCH("Y31d Pro",'[1]Sales per type Agustus'!$D$8:$BA$8,0)+1),0)</f>
        <v>34592000</v>
      </c>
      <c r="AO20" s="33">
        <f t="shared" si="11"/>
        <v>13697000</v>
      </c>
      <c r="AP20" s="33" cm="1">
        <f t="array" ref="AP20">IFERROR(INDEX('[1]SALES PERTYPE'!$D$10:$BA$53,MATCH($C20,'[1]SALES PERTYPE'!$B$10:$B$53,0),$EI$3),0)</f>
        <v>1</v>
      </c>
      <c r="AQ20" s="33" cm="1">
        <f t="array" ref="AQ20">IFERROR(INDEX('[1]Sales per type Agustus'!$D$10:$BA$52,MATCH($C20,'[1]Sales per type Agustus'!$B$10:$B$52,0),$EI$2),0)</f>
        <v>1</v>
      </c>
      <c r="AR20" s="33">
        <f t="shared" si="12"/>
        <v>0</v>
      </c>
      <c r="AS20" s="33" cm="1">
        <f t="array" ref="AS20">IFERROR(INDEX('[1]SALES PERTYPE'!$D$10:$BA$53,MATCH($C20,'[1]SALES PERTYPE'!$B$10:$B$53,0),$EI$3+1),0)</f>
        <v>3299000</v>
      </c>
      <c r="AT20" s="33" cm="1">
        <f t="array" ref="AT20">IFERROR(INDEX('[1]Sales per type Agustus'!$D$10:$BA$52,MATCH($C20,'[1]Sales per type Agustus'!$B$10:$B$52,0),$EI$2+1),0)</f>
        <v>3599000</v>
      </c>
      <c r="AU20" s="33">
        <f t="shared" si="13"/>
        <v>-300000</v>
      </c>
      <c r="AV20" s="33">
        <f>IFERROR(INDEX('[1]SALES PERTYPE'!$D$10:$BA$53,MATCH($C20,'[1]SALES PERTYPE'!$B$10:$B$53,0),MATCH("Y31d ",'[1]SALES PERTYPE'!$D$8:$BA$8,0)),0)</f>
        <v>3</v>
      </c>
      <c r="AW20" s="33">
        <f>IFERROR(INDEX('[1]Sales per type Agustus'!$D$10:$BA$52,MATCH($C20,'[1]Sales per type Agustus'!$B$10:$B$52,0),MATCH("Y31d ",'[1]Sales per type Agustus'!$D$8:$BA$8,0)),0)</f>
        <v>3</v>
      </c>
      <c r="AX20" s="33">
        <f t="shared" si="14"/>
        <v>0</v>
      </c>
      <c r="AY20" s="33" cm="1">
        <f t="array" ref="AY20">IFERROR(INDEX('[1]SALES PERTYPE'!$D$10:$BA$53,MATCH($C20,'[1]SALES PERTYPE'!$B$10:$B$53,0),MATCH("Y31d ",'[1]SALES PERTYPE'!$D$8:$BA$8,0)+1),0)</f>
        <v>10797000</v>
      </c>
      <c r="AZ20" s="33" cm="1">
        <f t="array" ref="AZ20">IFERROR(INDEX('[1]Sales per type Agustus'!$D$10:$BA$52,MATCH($C20,'[1]Sales per type Agustus'!$B$10:$B$52,0),MATCH("Y31d ",'[1]Sales per type Agustus'!$D$8:$BA$8,0)+1),0)</f>
        <v>10797000</v>
      </c>
      <c r="BA20" s="33">
        <f t="shared" si="15"/>
        <v>0</v>
      </c>
      <c r="BB20" s="33">
        <f>IFERROR(INDEX('[1]SALES PERTYPE'!$D$10:$BA$53,MATCH($C20,'[1]SALES PERTYPE'!$B$10:$B$53,0),MATCH("V70 FE",'[1]SALES PERTYPE'!$D$8:$BA$8,0)),0)</f>
        <v>3</v>
      </c>
      <c r="BC20" s="33">
        <f>IFERROR(INDEX('[1]Sales per type Agustus'!$D$10:$BA$52,MATCH($C20,'[1]Sales per type Agustus'!$B$10:$B$52,0),MATCH("V70 FE",'[1]Sales per type Agustus'!$D$8:$BA$8,0)),0)</f>
        <v>0</v>
      </c>
      <c r="BD20" s="33">
        <f t="shared" si="16"/>
        <v>3</v>
      </c>
      <c r="BE20" s="33" cm="1">
        <f t="array" ref="BE20">IFERROR(INDEX('[1]SALES PERTYPE'!$D$10:$BA$53,MATCH($C20,'[1]SALES PERTYPE'!$B$10:$B$53,0),MATCH("V70 FE",'[1]SALES PERTYPE'!$D$8:$BA$8,0)+1),0)</f>
        <v>21997000</v>
      </c>
      <c r="BF20" s="33" cm="1">
        <f t="array" ref="BF20">IFERROR(INDEX('[1]Sales per type Agustus'!$D$10:$BA$52,MATCH($C20,'[1]Sales per type Agustus'!$B$10:$B$52,0),MATCH("V70 FE",'[1]Sales per type Agustus'!$D$8:$BA$8,0)+1),0)</f>
        <v>0</v>
      </c>
      <c r="BG20" s="33">
        <f t="shared" si="17"/>
        <v>21997000</v>
      </c>
      <c r="BH20" s="33">
        <f>IFERROR(INDEX('[1]SALES PERTYPE'!$D$10:$BA$53,MATCH($C20,'[1]SALES PERTYPE'!$B$10:$B$53,0),MATCH("Y31d",'[1]SALES PERTYPE'!$D$8:$BA$8,0)),0)</f>
        <v>5</v>
      </c>
      <c r="BI20" s="33">
        <f>IFERROR(INDEX('[1]Sales per type Agustus'!$D$10:$BA$52,MATCH($C20,'[1]Sales per type Agustus'!$B$10:$B$52,0),MATCH("Y31d",'[1]Sales per type Agustus'!$D$8:$BA$8,0)),0)</f>
        <v>1</v>
      </c>
      <c r="BJ20" s="33">
        <f t="shared" si="18"/>
        <v>4</v>
      </c>
      <c r="BK20" s="33" cm="1">
        <f t="array" ref="BK20">IFERROR(INDEX('[1]SALES PERTYPE'!$D$10:$BA$53,MATCH($C20,'[1]SALES PERTYPE'!$B$10:$B$53,0),MATCH("Y31d",'[1]SALES PERTYPE'!$D$8:$BA$8,0)+1),0)</f>
        <v>17995000</v>
      </c>
      <c r="BL20" s="33" cm="1">
        <f t="array" ref="BL20">IFERROR(INDEX('[1]Sales per type Agustus'!$D$10:$BA$52,MATCH($C20,'[1]Sales per type Agustus'!$B$10:$B$52,0),MATCH("Y31d",'[1]Sales per type Agustus'!$D$8:$BA$8,0)+1),0)</f>
        <v>3599000</v>
      </c>
      <c r="BM20" s="33">
        <f t="shared" si="19"/>
        <v>14396000</v>
      </c>
      <c r="BN20" s="33">
        <f>IFERROR(INDEX('[1]SALES PERTYPE'!$D$10:$BA$53,MATCH($C20,'[1]SALES PERTYPE'!$B$10:$B$53,0),MATCH("Y500",'[1]SALES PERTYPE'!$D$8:$BA$8,0)),0)</f>
        <v>3</v>
      </c>
      <c r="BO20" s="33">
        <f>IFERROR(INDEX('[1]Sales per type Agustus'!$D$10:$BA$52,MATCH($C20,'[1]Sales per type Agustus'!$B$10:$B$52,0),MATCH("Y500",'[1]Sales per type Agustus'!$D$8:$BA$8,0)),0)</f>
        <v>1</v>
      </c>
      <c r="BP20" s="33">
        <f t="shared" si="20"/>
        <v>2</v>
      </c>
      <c r="BQ20" s="33" cm="1">
        <f t="array" ref="BQ20">IFERROR(INDEX('[1]SALES PERTYPE'!$D$10:$BA$53,MATCH($C20,'[1]SALES PERTYPE'!$B$10:$B$53,0),MATCH("Y500",'[1]SALES PERTYPE'!$D$8:$BA$8,0)+1),0)</f>
        <v>16497000</v>
      </c>
      <c r="BR20" s="33" cm="1">
        <f t="array" ref="BR20">IFERROR(INDEX('[1]Sales per type Agustus'!$D$10:$BA$52,MATCH($C20,'[1]Sales per type Agustus'!$B$10:$B$52,0),MATCH("Y500",'[1]Sales per type Agustus'!$D$8:$BA$8,0)+1),0)</f>
        <v>6299000</v>
      </c>
      <c r="BS20" s="33">
        <f t="shared" si="21"/>
        <v>10198000</v>
      </c>
      <c r="BT20" s="33">
        <f>IFERROR(INDEX('[1]SALES PERTYPE'!$D$10:$BA$53,MATCH($C20,'[1]SALES PERTYPE'!$B$10:$B$53,0),MATCH("IQOO 15R",'[1]SALES PERTYPE'!$D$8:$BA$8,0)),0)</f>
        <v>0</v>
      </c>
      <c r="BU20" s="33">
        <f>IFERROR(INDEX('[1]Sales per type Agustus'!$D$10:$BA$52,MATCH($C20,'[1]Sales per type Agustus'!$B$10:$B$52,0),MATCH("IQOO 15R",'[1]Sales per type Agustus'!$D$8:$BA$8,0)),0)</f>
        <v>0</v>
      </c>
      <c r="BV20" s="33">
        <f t="shared" si="22"/>
        <v>0</v>
      </c>
      <c r="BW20" s="33" cm="1">
        <f t="array" ref="BW20">IFERROR(INDEX('[1]SALES PERTYPE'!$D$10:$BA$53,MATCH($C20,'[1]SALES PERTYPE'!$B$10:$B$53,0),MATCH("IQOO 15R",'[1]SALES PERTYPE'!$D$8:$BA$8,0)+1),0)</f>
        <v>0</v>
      </c>
      <c r="BX20" s="33" cm="1">
        <f t="array" ref="BX20">IFERROR(INDEX('[1]Sales per type Agustus'!$D$10:$BA$52,MATCH($C20,'[1]Sales per type Agustus'!$B$10:$B$52,0),MATCH("IQOO 15R",'[1]Sales per type Agustus'!$D$8:$BA$8,0)+1),0)</f>
        <v>0</v>
      </c>
      <c r="BY20" s="33">
        <f t="shared" si="23"/>
        <v>0</v>
      </c>
      <c r="BZ20" s="33">
        <f>IFERROR(INDEX('[1]SALES PERTYPE'!$D$10:$BA$53,MATCH($C20,'[1]SALES PERTYPE'!$B$10:$B$53,0),MATCH("V60 Lite",'[1]SALES PERTYPE'!$D$8:$BA$8,0)),0)</f>
        <v>3</v>
      </c>
      <c r="CA20" s="33">
        <f>IFERROR(INDEX('[1]Sales per type Agustus'!$D$10:$BA$52,MATCH($C20,'[1]Sales per type Agustus'!$B$10:$B$52,0),MATCH("V60 Lite",'[1]Sales per type Agustus'!$D$8:$BA$8,0)),0)</f>
        <v>2</v>
      </c>
      <c r="CB20" s="33">
        <f t="shared" si="24"/>
        <v>1</v>
      </c>
      <c r="CC20" s="33" cm="1">
        <f t="array" ref="CC20">IFERROR(INDEX('[1]SALES PERTYPE'!$D$10:$BA$53,MATCH($C20,'[1]SALES PERTYPE'!$B$10:$B$53,0),MATCH("V60 Lite",'[1]SALES PERTYPE'!$D$8:$BA$8,0)+1),0)</f>
        <v>17697000</v>
      </c>
      <c r="CD20" s="33" cm="1">
        <f t="array" ref="CD20">IFERROR(INDEX('[1]Sales per type Agustus'!$D$10:$BA$52,MATCH($C20,'[1]Sales per type Agustus'!$B$10:$B$52,0),MATCH("V60 Lite",'[1]Sales per type Agustus'!$D$8:$BA$8,0)+1),0)</f>
        <v>11898000</v>
      </c>
      <c r="CE20" s="33">
        <f t="shared" si="25"/>
        <v>5799000</v>
      </c>
      <c r="CF20" s="33">
        <f>IFERROR(INDEX('[1]SALES PERTYPE'!$D$10:$BA$53,MATCH($C20,'[1]SALES PERTYPE'!$B$10:$B$53,0),MATCH("X300 Ultra",'[1]SALES PERTYPE'!$D$8:$BA$8,0)),0)</f>
        <v>0</v>
      </c>
      <c r="CG20" s="33">
        <f>IFERROR(INDEX('[1]Sales per type Agustus'!$D$10:$BA$52,MATCH($C20,'[1]Sales per type Agustus'!$B$10:$B$52,0),MATCH("X300 Ultra",'[1]Sales per type Agustus'!$D$8:$BA$8,0)),0)</f>
        <v>0</v>
      </c>
      <c r="CH20" s="33">
        <f t="shared" si="26"/>
        <v>0</v>
      </c>
      <c r="CI20" s="33" cm="1">
        <f t="array" ref="CI20">IFERROR(INDEX('[1]SALES PERTYPE'!$D$10:$BA$53,MATCH($C20,'[1]SALES PERTYPE'!$B$10:$B$53,0),MATCH("X300 Ultra",'[1]SALES PERTYPE'!$D$8:$BA$8,0)+1),0)</f>
        <v>0</v>
      </c>
      <c r="CJ20" s="33" cm="1">
        <f t="array" ref="CJ20">IFERROR(INDEX('[1]Sales per type Agustus'!$D$10:$BA$52,MATCH($C20,'[1]Sales per type Agustus'!$B$10:$B$52,0),MATCH("X300 Ultra",'[1]Sales per type Agustus'!$D$8:$BA$8,0)+1),0)</f>
        <v>0</v>
      </c>
      <c r="CK20" s="33">
        <f t="shared" si="27"/>
        <v>0</v>
      </c>
      <c r="CL20" s="33">
        <f>IFERROR(INDEX('[1]SALES PERTYPE'!$D$10:$BA$53,MATCH($C20,'[1]SALES PERTYPE'!$B$10:$B$53,0),MATCH("IQOO 15",'[1]SALES PERTYPE'!$D$8:$BA$8,0)),0)</f>
        <v>0</v>
      </c>
      <c r="CM20" s="33">
        <f>IFERROR(INDEX('[1]Sales per type Agustus'!$D$10:$BA$52,MATCH($C20,'[1]Sales per type Agustus'!$B$10:$B$52,0),MATCH("IQOO 15",'[1]Sales per type Agustus'!$D$8:$BA$8,0)),0)</f>
        <v>0</v>
      </c>
      <c r="CN20" s="33">
        <f t="shared" si="28"/>
        <v>0</v>
      </c>
      <c r="CO20" s="33" cm="1">
        <f t="array" ref="CO20">IFERROR(INDEX('[1]SALES PERTYPE'!$D$10:$BA$53,MATCH($C20,'[1]SALES PERTYPE'!$B$10:$B$53,0),MATCH("IQOO 15",'[1]SALES PERTYPE'!$D$8:$BA$8,0)+1),0)</f>
        <v>0</v>
      </c>
      <c r="CP20" s="33" cm="1">
        <f t="array" ref="CP20">IFERROR(INDEX('[1]Sales per type Agustus'!$D$10:$BA$52,MATCH($C20,'[1]Sales per type Agustus'!$B$10:$B$52,0),MATCH("IQOO 15",'[1]Sales per type Agustus'!$D$8:$BA$8,0)+1),0)</f>
        <v>0</v>
      </c>
      <c r="CQ20" s="33">
        <f t="shared" si="29"/>
        <v>0</v>
      </c>
      <c r="CR20" s="33">
        <f>IFERROR(INDEX('[1]SALES PERTYPE'!$D$10:$BA$53,MATCH($C20,'[1]SALES PERTYPE'!$B$10:$B$53,0),MATCH("IQOO Z11x",'[1]SALES PERTYPE'!$D$8:$BA$8,0)),0)</f>
        <v>1</v>
      </c>
      <c r="CS20" s="33">
        <f>IFERROR(INDEX('[1]Sales per type Agustus'!$D$10:$BA$52,MATCH($C20,'[1]Sales per type Agustus'!$B$10:$B$52,0),MATCH("IQOO Z11x",'[1]Sales per type Agustus'!$D$8:$BA$8,0)),0)</f>
        <v>2</v>
      </c>
      <c r="CT20" s="33">
        <f t="shared" si="30"/>
        <v>-1</v>
      </c>
      <c r="CU20" s="33" cm="1">
        <f t="array" ref="CU20">IFERROR(INDEX('[1]SALES PERTYPE'!$D$10:$BA$53,MATCH($C20,'[1]SALES PERTYPE'!$B$10:$B$53,0),MATCH("IQOO Z11x",'[1]SALES PERTYPE'!$D$8:$BA$8,0)+1),0)</f>
        <v>5699000</v>
      </c>
      <c r="CV20" s="33" cm="1">
        <f t="array" ref="CV20">IFERROR(INDEX('[1]Sales per type Agustus'!$D$10:$BA$52,MATCH($C20,'[1]Sales per type Agustus'!$B$10:$B$52,0),MATCH("IQOO Z11x",'[1]Sales per type Agustus'!$D$8:$BA$8,0)+1),0)</f>
        <v>11398000</v>
      </c>
      <c r="CW20" s="33">
        <f t="shared" si="31"/>
        <v>-5699000</v>
      </c>
      <c r="CX20" s="33">
        <f>IFERROR(INDEX('[1]SALES PERTYPE'!$D$10:$BA$53,MATCH($C20,'[1]SALES PERTYPE'!$B$10:$B$53,0),MATCH("IQOO Z11",'[1]SALES PERTYPE'!$D$8:$BA$8,0)),0)</f>
        <v>4</v>
      </c>
      <c r="CY20" s="33">
        <f>IFERROR(INDEX('[1]Sales per type Agustus'!$D$10:$BA$52,MATCH($C20,'[1]Sales per type Agustus'!$B$10:$B$52,0),MATCH("IQOO Z11",'[1]Sales per type Agustus'!$D$8:$BA$8,0)),0)</f>
        <v>1</v>
      </c>
      <c r="CZ20" s="33">
        <f t="shared" si="32"/>
        <v>3</v>
      </c>
      <c r="DA20" s="33" cm="1">
        <f t="array" ref="DA20">IFERROR(INDEX('[1]SALES PERTYPE'!$D$10:$BA$53,MATCH($C20,'[1]SALES PERTYPE'!$B$10:$B$53,0),MATCH("IQOO Z11",'[1]SALES PERTYPE'!$D$8:$BA$8,0)+1),0)</f>
        <v>30596000</v>
      </c>
      <c r="DB20" s="33" cm="1">
        <f t="array" ref="DB20">IFERROR(INDEX('[1]Sales per type Agustus'!$D$10:$BA$52,MATCH($C20,'[1]Sales per type Agustus'!$B$10:$B$52,0),MATCH("IQOO Z11",'[1]Sales per type Agustus'!$D$8:$BA$8,0)+1),0)</f>
        <v>8399000</v>
      </c>
      <c r="DC20" s="33">
        <f t="shared" si="33"/>
        <v>22197000</v>
      </c>
      <c r="DD20" s="33">
        <f>IFERROR(INDEX('[1]SALES PERTYPE'!$D$10:$BA$53,MATCH($C20,'[1]SALES PERTYPE'!$B$10:$B$53,0),MATCH("WATCH 3",'[1]SALES PERTYPE'!$D$8:$BA$8,0)),0)</f>
        <v>0</v>
      </c>
      <c r="DE20" s="33">
        <f>IFERROR(INDEX('[1]Sales per type Agustus'!$D$10:$BA$52,MATCH($C20,'[1]Sales per type Agustus'!$B$10:$B$52,0),MATCH("WATCH 3",'[1]Sales per type Agustus'!$D$8:$BA$8,0)),0)</f>
        <v>0</v>
      </c>
      <c r="DF20" s="33">
        <f t="shared" si="34"/>
        <v>0</v>
      </c>
      <c r="DG20" s="33" cm="1">
        <f t="array" ref="DG20">IFERROR(INDEX('[1]SALES PERTYPE'!$D$10:$BA$53,MATCH($C20,'[1]SALES PERTYPE'!$B$10:$B$53,0),MATCH("WATCH 3",'[1]SALES PERTYPE'!$D$8:$BA$8,0)+1),0)</f>
        <v>0</v>
      </c>
      <c r="DH20" s="33" cm="1">
        <f t="array" ref="DH20">IFERROR(INDEX('[1]Sales per type Agustus'!$D$10:$BA$52,MATCH($C20,'[1]Sales per type Agustus'!$B$10:$B$52,0),MATCH("WATCH 3",'[1]Sales per type Agustus'!$D$8:$BA$8,0)+1),0)</f>
        <v>0</v>
      </c>
      <c r="DI20" s="33">
        <f t="shared" si="35"/>
        <v>0</v>
      </c>
      <c r="DJ20" s="33">
        <f>IFERROR(INDEX('[1]SALES PERTYPE'!$D$10:$BA$53,MATCH($C20,'[1]SALES PERTYPE'!$B$10:$B$53,0),MATCH("X Fold5",'[1]SALES PERTYPE'!$D$8:$BA$8,0)),0)</f>
        <v>0</v>
      </c>
      <c r="DK20" s="33">
        <f>IFERROR(INDEX('[1]Sales per type Agustus'!$D$10:$BA$52,MATCH($C20,'[1]Sales per type Agustus'!$B$10:$B$52,0),MATCH("X Fold5",'[1]Sales per type Agustus'!$D$8:$BA$8,0)),0)</f>
        <v>0</v>
      </c>
      <c r="DL20" s="33">
        <f t="shared" si="36"/>
        <v>0</v>
      </c>
      <c r="DM20" s="33" cm="1">
        <f t="array" ref="DM20">IFERROR(INDEX('[1]SALES PERTYPE'!$D$10:$BA$53,MATCH($C20,'[1]SALES PERTYPE'!$B$10:$B$53,0),MATCH("X Fold5",'[1]SALES PERTYPE'!$D$8:$BA$8,0)+1),0)</f>
        <v>0</v>
      </c>
      <c r="DN20" s="33" cm="1">
        <f t="array" ref="DN20">IFERROR(INDEX('[1]Sales per type Agustus'!$D$10:$BA$52,MATCH($C20,'[1]Sales per type Agustus'!$B$10:$B$52,0),MATCH("X Fold5",'[1]Sales per type Agustus'!$D$8:$BA$8,0)+1),0)</f>
        <v>0</v>
      </c>
      <c r="DO20" s="33">
        <f t="shared" si="37"/>
        <v>0</v>
      </c>
      <c r="DP20" s="33">
        <f>IFERROR(INDEX('[1]SALES PERTYPE'!$D$10:$BA$53,MATCH($C20,'[1]SALES PERTYPE'!$B$10:$B$53,0),MATCH("X300 PRO",'[1]SALES PERTYPE'!$D$8:$BA$8,0)),0)</f>
        <v>0</v>
      </c>
      <c r="DQ20" s="33">
        <f>IFERROR(INDEX('[1]Sales per type Agustus'!$D$10:$BA$52,MATCH($C20,'[1]Sales per type Agustus'!$B$10:$B$52,0),MATCH("X300 PRO",'[1]Sales per type Agustus'!$D$8:$BA$8,0)),0)</f>
        <v>0</v>
      </c>
      <c r="DR20" s="33">
        <f t="shared" si="38"/>
        <v>0</v>
      </c>
      <c r="DS20" s="33" cm="1">
        <f t="array" ref="DS20">IFERROR(INDEX('[1]SALES PERTYPE'!$D$10:$BA$53,MATCH($C20,'[1]SALES PERTYPE'!$B$10:$B$53,0),MATCH("X300 PRO",'[1]SALES PERTYPE'!$D$8:$BA$8,0)+1),0)</f>
        <v>0</v>
      </c>
      <c r="DT20" s="33" cm="1">
        <f t="array" ref="DT20">IFERROR(INDEX('[1]Sales per type Agustus'!$D$10:$BA$52,MATCH($C20,'[1]Sales per type Agustus'!$B$10:$B$52,0),MATCH("X300 PRO",'[1]Sales per type Agustus'!$D$8:$BA$8,0)+1),0)</f>
        <v>0</v>
      </c>
      <c r="DU20" s="33">
        <f t="shared" si="39"/>
        <v>0</v>
      </c>
      <c r="DV20" s="33">
        <f>IFERROR(INDEX('[1]SALES PERTYPE'!$D$10:$BA$53,MATCH($C20,'[1]SALES PERTYPE'!$B$10:$B$53,0),MATCH("X300 ",'[1]SALES PERTYPE'!$D$8:$BA$8,0)),0)</f>
        <v>0</v>
      </c>
      <c r="DW20" s="33">
        <f>IFERROR(INDEX('[1]Sales per type Agustus'!$D$10:$BA$52,MATCH($C20,'[1]Sales per type Agustus'!$B$10:$B$52,0),MATCH("X300 ",'[1]Sales per type Agustus'!$D$8:$BA$8,0)),0)</f>
        <v>0</v>
      </c>
      <c r="DX20" s="33">
        <f t="shared" si="40"/>
        <v>0</v>
      </c>
      <c r="DY20" s="33" cm="1">
        <f t="array" ref="DY20">IFERROR(INDEX('[1]SALES PERTYPE'!$D$10:$BA$53,MATCH($C20,'[1]SALES PERTYPE'!$B$10:$B$53,0),MATCH("X300 ",'[1]SALES PERTYPE'!$D$8:$BA$8,0)+1),0)</f>
        <v>0</v>
      </c>
      <c r="DZ20" s="33" cm="1">
        <f t="array" ref="DZ20">IFERROR(INDEX('[1]Sales per type Agustus'!$D$10:$BA$52,MATCH($C20,'[1]Sales per type Agustus'!$B$10:$B$52,0),MATCH("X300 ",'[1]Sales per type Agustus'!$D$8:$BA$8,0)+1),0)</f>
        <v>0</v>
      </c>
      <c r="EA20" s="33">
        <f t="shared" si="41"/>
        <v>0</v>
      </c>
      <c r="EB20" s="33">
        <f t="shared" si="42"/>
        <v>62</v>
      </c>
      <c r="EC20" s="33">
        <f t="shared" si="42"/>
        <v>57</v>
      </c>
      <c r="ED20" s="33">
        <f t="shared" si="43"/>
        <v>5</v>
      </c>
      <c r="EE20" s="33">
        <f t="shared" si="44"/>
        <v>272938000</v>
      </c>
      <c r="EF20" s="33">
        <f t="shared" si="44"/>
        <v>200543000</v>
      </c>
      <c r="EG20" s="33">
        <f t="shared" si="45"/>
        <v>72395000</v>
      </c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</row>
    <row r="21" spans="1:184" ht="16" x14ac:dyDescent="0.2">
      <c r="A21" s="31">
        <f>'[1]ACHIEVEMENT STORE'!A21</f>
        <v>17</v>
      </c>
      <c r="B21" s="32" t="str">
        <f>'[1]ACHIEVEMENT STORE'!B21</f>
        <v>605 勿加泗 BEKASI</v>
      </c>
      <c r="C21" s="31">
        <f>'[1]ACHIEVEMENT STORE'!C21</f>
        <v>6050705</v>
      </c>
      <c r="D21" s="32" t="str">
        <f>'[1]ACHIEVEMENT STORE'!D21</f>
        <v>6050705-MBH 2F009</v>
      </c>
      <c r="E21" s="32" t="str">
        <f>'[1]ACHIEVEMENT STORE'!E21</f>
        <v>M RIZKI</v>
      </c>
      <c r="F21" s="33">
        <f>IFERROR(INDEX('[1]SALES PERTYPE'!$D$10:$BA$53,MATCH($C21,'[1]SALES PERTYPE'!$B$10:$B$53,0),MATCH("Y05",'[1]SALES PERTYPE'!$D$8:$BA$8,0)),0)</f>
        <v>2</v>
      </c>
      <c r="G21" s="33">
        <f>IFERROR(INDEX('[1]Sales per type Agustus'!$D$10:$BA$52,MATCH($C21,'[1]Sales per type Agustus'!$B$10:$B$52,0),MATCH("Y05",'[1]Sales per type Agustus'!$D$8:$BA$8,0)),0)</f>
        <v>0</v>
      </c>
      <c r="H21" s="33">
        <f t="shared" si="0"/>
        <v>2</v>
      </c>
      <c r="I21" s="33" cm="1">
        <f t="array" ref="I21">IFERROR(INDEX('[1]SALES PERTYPE'!$D$10:$BA$53,MATCH($C21,'[1]SALES PERTYPE'!$B$10:$B$53,0),MATCH("Y05",'[1]SALES PERTYPE'!$D$8:$BA$8,0)+1),0)</f>
        <v>4898000</v>
      </c>
      <c r="J21" s="33" cm="1">
        <f t="array" ref="J21">IFERROR(INDEX('[1]Sales per type Agustus'!$D$10:$BA$52,MATCH($C21,'[1]Sales per type Agustus'!$B$10:$B$52,0),MATCH("Y05",'[1]Sales per type Agustus'!$D$8:$BA$8,0)+1),0)</f>
        <v>0</v>
      </c>
      <c r="K21" s="33">
        <f t="shared" si="1"/>
        <v>4898000</v>
      </c>
      <c r="L21" s="33">
        <f>IFERROR(INDEX('[1]SALES PERTYPE'!$D$10:$BA$53,MATCH($C21,'[1]SALES PERTYPE'!$B$10:$B$53,0),MATCH("Y11d",'[1]SALES PERTYPE'!$D$8:$BA$8,0)),0)</f>
        <v>4</v>
      </c>
      <c r="M21" s="33">
        <f>IFERROR(INDEX('[1]Sales per type Agustus'!$D$10:$BA$52,MATCH($C21,'[1]Sales per type Agustus'!$B$10:$B$52,0),MATCH("Y11d",'[1]Sales per type Agustus'!$D$8:$BA$8,0)),0)</f>
        <v>4</v>
      </c>
      <c r="N21" s="33">
        <f t="shared" si="2"/>
        <v>0</v>
      </c>
      <c r="O21" s="33" cm="1">
        <f t="array" ref="O21">IFERROR(INDEX('[1]SALES PERTYPE'!$D$10:$BA$53,MATCH($C21,'[1]SALES PERTYPE'!$B$10:$B$53,0),MATCH("Y11d",'[1]SALES PERTYPE'!$D$8:$BA$8,0)+1),0)</f>
        <v>10396000</v>
      </c>
      <c r="P21" s="33" cm="1">
        <f t="array" ref="P21">IFERROR(INDEX('[1]Sales per type Agustus'!$D$10:$BA$52,MATCH($C21,'[1]Sales per type Agustus'!$B$10:$B$52,0),MATCH("Y11d",'[1]Sales per type Agustus'!$D$8:$BA$8,0)+1),0)</f>
        <v>10396000</v>
      </c>
      <c r="Q21" s="33">
        <f t="shared" si="3"/>
        <v>0</v>
      </c>
      <c r="R21" s="33">
        <f>IFERROR(INDEX('[1]SALES PERTYPE'!$D$10:$BA$53,MATCH($C21,'[1]SALES PERTYPE'!$B$10:$B$53,0),MATCH("Watch GT 2",'[1]SALES PERTYPE'!$D$8:$BA$8,0)),0)</f>
        <v>0</v>
      </c>
      <c r="S21" s="33">
        <f>IFERROR(INDEX('[1]Sales per type Agustus'!$D$10:$BA$52,MATCH($C21,'[1]Sales per type Agustus'!$B$10:$B$52,0),MATCH("Watch GT 2",'[1]Sales per type Agustus'!$D$8:$BA$8,0)),0)</f>
        <v>0</v>
      </c>
      <c r="T21" s="33">
        <f t="shared" si="4"/>
        <v>0</v>
      </c>
      <c r="U21" s="33" cm="1">
        <f t="array" ref="U21">IFERROR(INDEX('[1]SALES PERTYPE'!$D$10:$BA$53,MATCH($C21,'[1]SALES PERTYPE'!$B$10:$B$53,0),MATCH("Watch GT 2",'[1]SALES PERTYPE'!$D$8:$BA$8,0)+1),0)</f>
        <v>0</v>
      </c>
      <c r="V21" s="33" cm="1">
        <f t="array" ref="V21">IFERROR(INDEX('[1]Sales per type Agustus'!$D$10:$BA$52,MATCH($C21,'[1]Sales per type Agustus'!$B$10:$B$52,0),MATCH("Watch GT 2",'[1]Sales per type Agustus'!$D$8:$BA$8,0)+1),0)</f>
        <v>0</v>
      </c>
      <c r="W21" s="33">
        <f t="shared" si="5"/>
        <v>0</v>
      </c>
      <c r="X21" s="33">
        <f>IFERROR(INDEX('[1]SALES PERTYPE'!$D$10:$BA$53,MATCH($C21,'[1]SALES PERTYPE'!$B$10:$B$53,0),MATCH("Y05e",'[1]SALES PERTYPE'!$D$8:$BA$8,0)),0)</f>
        <v>2</v>
      </c>
      <c r="Y21" s="33">
        <f>IFERROR(INDEX('[1]Sales per type Agustus'!$D$10:$BA$52,MATCH($C21,'[1]Sales per type Agustus'!$B$10:$B$52,0),MATCH("Y05e",'[1]Sales per type Agustus'!$D$8:$BA$8,0)),0)</f>
        <v>2</v>
      </c>
      <c r="Z21" s="33">
        <f t="shared" si="6"/>
        <v>0</v>
      </c>
      <c r="AA21" s="33" cm="1">
        <f t="array" ref="AA21">IFERROR(INDEX('[1]SALES PERTYPE'!$D$10:$BA$53,MATCH($C21,'[1]SALES PERTYPE'!$B$10:$B$53,0),MATCH("Y05e",'[1]SALES PERTYPE'!$D$8:$BA$8,0)+1),0)</f>
        <v>4598000</v>
      </c>
      <c r="AB21" s="33" cm="1">
        <f t="array" ref="AB21">IFERROR(INDEX('[1]Sales per type Agustus'!$D$10:$BA$52,MATCH($C21,'[1]Sales per type Agustus'!$B$10:$B$52,0),MATCH("Y05e",'[1]Sales per type Agustus'!$D$8:$BA$8,0)+1),0)</f>
        <v>4198000</v>
      </c>
      <c r="AC21" s="33">
        <f t="shared" si="7"/>
        <v>400000</v>
      </c>
      <c r="AD21" s="33">
        <f>IFERROR(INDEX('[1]SALES PERTYPE'!$D$10:$BA$53,MATCH($C21,'[1]SALES PERTYPE'!$B$10:$B$53,0),MATCH("V70",'[1]SALES PERTYPE'!$D$8:$BA$8,0)),0)</f>
        <v>1</v>
      </c>
      <c r="AE21" s="33">
        <f>IFERROR(INDEX('[1]Sales per type Agustus'!$D$10:$BA$52,MATCH($C21,'[1]Sales per type Agustus'!$B$10:$B$52,0),MATCH("V70",'[1]Sales per type Agustus'!$D$8:$BA$8,0)),0)</f>
        <v>1</v>
      </c>
      <c r="AF21" s="33">
        <f t="shared" si="8"/>
        <v>0</v>
      </c>
      <c r="AG21" s="33" cm="1">
        <f t="array" ref="AG21">IFERROR(INDEX('[1]SALES PERTYPE'!$D$10:$BA$53,MATCH($C21,'[1]SALES PERTYPE'!$B$10:$B$53,0),MATCH("V70",'[1]SALES PERTYPE'!$D$8:$BA$8,0)+1),0)</f>
        <v>9999000</v>
      </c>
      <c r="AH21" s="33" cm="1">
        <f t="array" ref="AH21">IFERROR(INDEX('[1]Sales per type Agustus'!$D$10:$BA$52,MATCH($C21,'[1]Sales per type Agustus'!$B$10:$B$52,0),MATCH("V70",'[1]Sales per type Agustus'!$D$8:$BA$8,0)+1),0)</f>
        <v>9999000</v>
      </c>
      <c r="AI21" s="33">
        <f t="shared" si="9"/>
        <v>0</v>
      </c>
      <c r="AJ21" s="33">
        <f>IFERROR(INDEX('[1]SALES PERTYPE'!$D$10:$BA$53,MATCH($C21,'[1]SALES PERTYPE'!$B$10:$B$53,0),MATCH("Y31d Pro",'[1]SALES PERTYPE'!$D$8:$BA$8,0)),0)</f>
        <v>8</v>
      </c>
      <c r="AK21" s="33">
        <f>IFERROR(INDEX('[1]Sales per type Agustus'!$D$10:$BA$52,MATCH($C21,'[1]Sales per type Agustus'!$B$10:$B$52,0),MATCH("Y31d Pro",'[1]Sales per type Agustus'!$D$8:$BA$8,0)),0)</f>
        <v>7</v>
      </c>
      <c r="AL21" s="33">
        <f t="shared" si="10"/>
        <v>1</v>
      </c>
      <c r="AM21" s="33" cm="1">
        <f t="array" ref="AM21">IFERROR(INDEX('[1]SALES PERTYPE'!$D$10:$BA$53,MATCH($C21,'[1]SALES PERTYPE'!$B$10:$B$53,0),MATCH("Y31d Pro",'[1]SALES PERTYPE'!$D$8:$BA$8,0)+1),0)</f>
        <v>37592000</v>
      </c>
      <c r="AN21" s="33" cm="1">
        <f t="array" ref="AN21">IFERROR(INDEX('[1]Sales per type Agustus'!$D$10:$BA$52,MATCH($C21,'[1]Sales per type Agustus'!$B$10:$B$52,0),MATCH("Y31d Pro",'[1]Sales per type Agustus'!$D$8:$BA$8,0)+1),0)</f>
        <v>31293000</v>
      </c>
      <c r="AO21" s="33">
        <f t="shared" si="11"/>
        <v>6299000</v>
      </c>
      <c r="AP21" s="33" cm="1">
        <f t="array" ref="AP21">IFERROR(INDEX('[1]SALES PERTYPE'!$D$10:$BA$53,MATCH($C21,'[1]SALES PERTYPE'!$B$10:$B$53,0),$EI$3),0)</f>
        <v>4</v>
      </c>
      <c r="AQ21" s="33" cm="1">
        <f t="array" ref="AQ21">IFERROR(INDEX('[1]Sales per type Agustus'!$D$10:$BA$52,MATCH($C21,'[1]Sales per type Agustus'!$B$10:$B$52,0),$EI$2),0)</f>
        <v>1</v>
      </c>
      <c r="AR21" s="33">
        <f t="shared" si="12"/>
        <v>3</v>
      </c>
      <c r="AS21" s="33" cm="1">
        <f t="array" ref="AS21">IFERROR(INDEX('[1]SALES PERTYPE'!$D$10:$BA$53,MATCH($C21,'[1]SALES PERTYPE'!$B$10:$B$53,0),$EI$3+1),0)</f>
        <v>13196000</v>
      </c>
      <c r="AT21" s="33" cm="1">
        <f t="array" ref="AT21">IFERROR(INDEX('[1]Sales per type Agustus'!$D$10:$BA$52,MATCH($C21,'[1]Sales per type Agustus'!$B$10:$B$52,0),$EI$2+1),0)</f>
        <v>3599000</v>
      </c>
      <c r="AU21" s="33">
        <f t="shared" si="13"/>
        <v>9597000</v>
      </c>
      <c r="AV21" s="33">
        <f>IFERROR(INDEX('[1]SALES PERTYPE'!$D$10:$BA$53,MATCH($C21,'[1]SALES PERTYPE'!$B$10:$B$53,0),MATCH("Y31d ",'[1]SALES PERTYPE'!$D$8:$BA$8,0)),0)</f>
        <v>0</v>
      </c>
      <c r="AW21" s="33">
        <f>IFERROR(INDEX('[1]Sales per type Agustus'!$D$10:$BA$52,MATCH($C21,'[1]Sales per type Agustus'!$B$10:$B$52,0),MATCH("Y31d ",'[1]Sales per type Agustus'!$D$8:$BA$8,0)),0)</f>
        <v>1</v>
      </c>
      <c r="AX21" s="33">
        <f t="shared" si="14"/>
        <v>-1</v>
      </c>
      <c r="AY21" s="33" cm="1">
        <f t="array" ref="AY21">IFERROR(INDEX('[1]SALES PERTYPE'!$D$10:$BA$53,MATCH($C21,'[1]SALES PERTYPE'!$B$10:$B$53,0),MATCH("Y31d ",'[1]SALES PERTYPE'!$D$8:$BA$8,0)+1),0)</f>
        <v>0</v>
      </c>
      <c r="AZ21" s="33" cm="1">
        <f t="array" ref="AZ21">IFERROR(INDEX('[1]Sales per type Agustus'!$D$10:$BA$52,MATCH($C21,'[1]Sales per type Agustus'!$B$10:$B$52,0),MATCH("Y31d ",'[1]Sales per type Agustus'!$D$8:$BA$8,0)+1),0)</f>
        <v>3599000</v>
      </c>
      <c r="BA21" s="33">
        <f t="shared" si="15"/>
        <v>-3599000</v>
      </c>
      <c r="BB21" s="33">
        <f>IFERROR(INDEX('[1]SALES PERTYPE'!$D$10:$BA$53,MATCH($C21,'[1]SALES PERTYPE'!$B$10:$B$53,0),MATCH("V70 FE",'[1]SALES PERTYPE'!$D$8:$BA$8,0)),0)</f>
        <v>2</v>
      </c>
      <c r="BC21" s="33">
        <f>IFERROR(INDEX('[1]Sales per type Agustus'!$D$10:$BA$52,MATCH($C21,'[1]Sales per type Agustus'!$B$10:$B$52,0),MATCH("V70 FE",'[1]Sales per type Agustus'!$D$8:$BA$8,0)),0)</f>
        <v>0</v>
      </c>
      <c r="BD21" s="33">
        <f t="shared" si="16"/>
        <v>2</v>
      </c>
      <c r="BE21" s="33" cm="1">
        <f t="array" ref="BE21">IFERROR(INDEX('[1]SALES PERTYPE'!$D$10:$BA$53,MATCH($C21,'[1]SALES PERTYPE'!$B$10:$B$53,0),MATCH("V70 FE",'[1]SALES PERTYPE'!$D$8:$BA$8,0)+1),0)</f>
        <v>15998000</v>
      </c>
      <c r="BF21" s="33" cm="1">
        <f t="array" ref="BF21">IFERROR(INDEX('[1]Sales per type Agustus'!$D$10:$BA$52,MATCH($C21,'[1]Sales per type Agustus'!$B$10:$B$52,0),MATCH("V70 FE",'[1]Sales per type Agustus'!$D$8:$BA$8,0)+1),0)</f>
        <v>0</v>
      </c>
      <c r="BG21" s="33">
        <f t="shared" si="17"/>
        <v>15998000</v>
      </c>
      <c r="BH21" s="33">
        <f>IFERROR(INDEX('[1]SALES PERTYPE'!$D$10:$BA$53,MATCH($C21,'[1]SALES PERTYPE'!$B$10:$B$53,0),MATCH("Y31d",'[1]SALES PERTYPE'!$D$8:$BA$8,0)),0)</f>
        <v>0</v>
      </c>
      <c r="BI21" s="33">
        <f>IFERROR(INDEX('[1]Sales per type Agustus'!$D$10:$BA$52,MATCH($C21,'[1]Sales per type Agustus'!$B$10:$B$52,0),MATCH("Y31d",'[1]Sales per type Agustus'!$D$8:$BA$8,0)),0)</f>
        <v>0</v>
      </c>
      <c r="BJ21" s="33">
        <f t="shared" si="18"/>
        <v>0</v>
      </c>
      <c r="BK21" s="33" cm="1">
        <f t="array" ref="BK21">IFERROR(INDEX('[1]SALES PERTYPE'!$D$10:$BA$53,MATCH($C21,'[1]SALES PERTYPE'!$B$10:$B$53,0),MATCH("Y31d",'[1]SALES PERTYPE'!$D$8:$BA$8,0)+1),0)</f>
        <v>0</v>
      </c>
      <c r="BL21" s="33" cm="1">
        <f t="array" ref="BL21">IFERROR(INDEX('[1]Sales per type Agustus'!$D$10:$BA$52,MATCH($C21,'[1]Sales per type Agustus'!$B$10:$B$52,0),MATCH("Y31d",'[1]Sales per type Agustus'!$D$8:$BA$8,0)+1),0)</f>
        <v>0</v>
      </c>
      <c r="BM21" s="33">
        <f t="shared" si="19"/>
        <v>0</v>
      </c>
      <c r="BN21" s="33">
        <f>IFERROR(INDEX('[1]SALES PERTYPE'!$D$10:$BA$53,MATCH($C21,'[1]SALES PERTYPE'!$B$10:$B$53,0),MATCH("Y500",'[1]SALES PERTYPE'!$D$8:$BA$8,0)),0)</f>
        <v>0</v>
      </c>
      <c r="BO21" s="33">
        <f>IFERROR(INDEX('[1]Sales per type Agustus'!$D$10:$BA$52,MATCH($C21,'[1]Sales per type Agustus'!$B$10:$B$52,0),MATCH("Y500",'[1]Sales per type Agustus'!$D$8:$BA$8,0)),0)</f>
        <v>1</v>
      </c>
      <c r="BP21" s="33">
        <f t="shared" si="20"/>
        <v>-1</v>
      </c>
      <c r="BQ21" s="33" cm="1">
        <f t="array" ref="BQ21">IFERROR(INDEX('[1]SALES PERTYPE'!$D$10:$BA$53,MATCH($C21,'[1]SALES PERTYPE'!$B$10:$B$53,0),MATCH("Y500",'[1]SALES PERTYPE'!$D$8:$BA$8,0)+1),0)</f>
        <v>0</v>
      </c>
      <c r="BR21" s="33" cm="1">
        <f t="array" ref="BR21">IFERROR(INDEX('[1]Sales per type Agustus'!$D$10:$BA$52,MATCH($C21,'[1]Sales per type Agustus'!$B$10:$B$52,0),MATCH("Y500",'[1]Sales per type Agustus'!$D$8:$BA$8,0)+1),0)</f>
        <v>6299000</v>
      </c>
      <c r="BS21" s="33">
        <f t="shared" si="21"/>
        <v>-6299000</v>
      </c>
      <c r="BT21" s="33">
        <f>IFERROR(INDEX('[1]SALES PERTYPE'!$D$10:$BA$53,MATCH($C21,'[1]SALES PERTYPE'!$B$10:$B$53,0),MATCH("IQOO 15R",'[1]SALES PERTYPE'!$D$8:$BA$8,0)),0)</f>
        <v>1</v>
      </c>
      <c r="BU21" s="33">
        <f>IFERROR(INDEX('[1]Sales per type Agustus'!$D$10:$BA$52,MATCH($C21,'[1]Sales per type Agustus'!$B$10:$B$52,0),MATCH("IQOO 15R",'[1]Sales per type Agustus'!$D$8:$BA$8,0)),0)</f>
        <v>2</v>
      </c>
      <c r="BV21" s="33">
        <f t="shared" si="22"/>
        <v>-1</v>
      </c>
      <c r="BW21" s="33" cm="1">
        <f t="array" ref="BW21">IFERROR(INDEX('[1]SALES PERTYPE'!$D$10:$BA$53,MATCH($C21,'[1]SALES PERTYPE'!$B$10:$B$53,0),MATCH("IQOO 15R",'[1]SALES PERTYPE'!$D$8:$BA$8,0)+1),0)</f>
        <v>11999000</v>
      </c>
      <c r="BX21" s="33" cm="1">
        <f t="array" ref="BX21">IFERROR(INDEX('[1]Sales per type Agustus'!$D$10:$BA$52,MATCH($C21,'[1]Sales per type Agustus'!$B$10:$B$52,0),MATCH("IQOO 15R",'[1]Sales per type Agustus'!$D$8:$BA$8,0)+1),0)</f>
        <v>23998000</v>
      </c>
      <c r="BY21" s="33">
        <f t="shared" si="23"/>
        <v>-11999000</v>
      </c>
      <c r="BZ21" s="33">
        <f>IFERROR(INDEX('[1]SALES PERTYPE'!$D$10:$BA$53,MATCH($C21,'[1]SALES PERTYPE'!$B$10:$B$53,0),MATCH("V60 Lite",'[1]SALES PERTYPE'!$D$8:$BA$8,0)),0)</f>
        <v>0</v>
      </c>
      <c r="CA21" s="33">
        <f>IFERROR(INDEX('[1]Sales per type Agustus'!$D$10:$BA$52,MATCH($C21,'[1]Sales per type Agustus'!$B$10:$B$52,0),MATCH("V60 Lite",'[1]Sales per type Agustus'!$D$8:$BA$8,0)),0)</f>
        <v>0</v>
      </c>
      <c r="CB21" s="33">
        <f t="shared" si="24"/>
        <v>0</v>
      </c>
      <c r="CC21" s="33" cm="1">
        <f t="array" ref="CC21">IFERROR(INDEX('[1]SALES PERTYPE'!$D$10:$BA$53,MATCH($C21,'[1]SALES PERTYPE'!$B$10:$B$53,0),MATCH("V60 Lite",'[1]SALES PERTYPE'!$D$8:$BA$8,0)+1),0)</f>
        <v>0</v>
      </c>
      <c r="CD21" s="33" cm="1">
        <f t="array" ref="CD21">IFERROR(INDEX('[1]Sales per type Agustus'!$D$10:$BA$52,MATCH($C21,'[1]Sales per type Agustus'!$B$10:$B$52,0),MATCH("V60 Lite",'[1]Sales per type Agustus'!$D$8:$BA$8,0)+1),0)</f>
        <v>0</v>
      </c>
      <c r="CE21" s="33">
        <f t="shared" si="25"/>
        <v>0</v>
      </c>
      <c r="CF21" s="33">
        <f>IFERROR(INDEX('[1]SALES PERTYPE'!$D$10:$BA$53,MATCH($C21,'[1]SALES PERTYPE'!$B$10:$B$53,0),MATCH("X300 Ultra",'[1]SALES PERTYPE'!$D$8:$BA$8,0)),0)</f>
        <v>0</v>
      </c>
      <c r="CG21" s="33">
        <f>IFERROR(INDEX('[1]Sales per type Agustus'!$D$10:$BA$52,MATCH($C21,'[1]Sales per type Agustus'!$B$10:$B$52,0),MATCH("X300 Ultra",'[1]Sales per type Agustus'!$D$8:$BA$8,0)),0)</f>
        <v>0</v>
      </c>
      <c r="CH21" s="33">
        <f t="shared" si="26"/>
        <v>0</v>
      </c>
      <c r="CI21" s="33" cm="1">
        <f t="array" ref="CI21">IFERROR(INDEX('[1]SALES PERTYPE'!$D$10:$BA$53,MATCH($C21,'[1]SALES PERTYPE'!$B$10:$B$53,0),MATCH("X300 Ultra",'[1]SALES PERTYPE'!$D$8:$BA$8,0)+1),0)</f>
        <v>0</v>
      </c>
      <c r="CJ21" s="33" cm="1">
        <f t="array" ref="CJ21">IFERROR(INDEX('[1]Sales per type Agustus'!$D$10:$BA$52,MATCH($C21,'[1]Sales per type Agustus'!$B$10:$B$52,0),MATCH("X300 Ultra",'[1]Sales per type Agustus'!$D$8:$BA$8,0)+1),0)</f>
        <v>0</v>
      </c>
      <c r="CK21" s="33">
        <f t="shared" si="27"/>
        <v>0</v>
      </c>
      <c r="CL21" s="33">
        <f>IFERROR(INDEX('[1]SALES PERTYPE'!$D$10:$BA$53,MATCH($C21,'[1]SALES PERTYPE'!$B$10:$B$53,0),MATCH("IQOO 15",'[1]SALES PERTYPE'!$D$8:$BA$8,0)),0)</f>
        <v>0</v>
      </c>
      <c r="CM21" s="33">
        <f>IFERROR(INDEX('[1]Sales per type Agustus'!$D$10:$BA$52,MATCH($C21,'[1]Sales per type Agustus'!$B$10:$B$52,0),MATCH("IQOO 15",'[1]Sales per type Agustus'!$D$8:$BA$8,0)),0)</f>
        <v>0</v>
      </c>
      <c r="CN21" s="33">
        <f t="shared" si="28"/>
        <v>0</v>
      </c>
      <c r="CO21" s="33" cm="1">
        <f t="array" ref="CO21">IFERROR(INDEX('[1]SALES PERTYPE'!$D$10:$BA$53,MATCH($C21,'[1]SALES PERTYPE'!$B$10:$B$53,0),MATCH("IQOO 15",'[1]SALES PERTYPE'!$D$8:$BA$8,0)+1),0)</f>
        <v>0</v>
      </c>
      <c r="CP21" s="33" cm="1">
        <f t="array" ref="CP21">IFERROR(INDEX('[1]Sales per type Agustus'!$D$10:$BA$52,MATCH($C21,'[1]Sales per type Agustus'!$B$10:$B$52,0),MATCH("IQOO 15",'[1]Sales per type Agustus'!$D$8:$BA$8,0)+1),0)</f>
        <v>0</v>
      </c>
      <c r="CQ21" s="33">
        <f t="shared" si="29"/>
        <v>0</v>
      </c>
      <c r="CR21" s="33">
        <f>IFERROR(INDEX('[1]SALES PERTYPE'!$D$10:$BA$53,MATCH($C21,'[1]SALES PERTYPE'!$B$10:$B$53,0),MATCH("IQOO Z11x",'[1]SALES PERTYPE'!$D$8:$BA$8,0)),0)</f>
        <v>1</v>
      </c>
      <c r="CS21" s="33">
        <f>IFERROR(INDEX('[1]Sales per type Agustus'!$D$10:$BA$52,MATCH($C21,'[1]Sales per type Agustus'!$B$10:$B$52,0),MATCH("IQOO Z11x",'[1]Sales per type Agustus'!$D$8:$BA$8,0)),0)</f>
        <v>0</v>
      </c>
      <c r="CT21" s="33">
        <f t="shared" si="30"/>
        <v>1</v>
      </c>
      <c r="CU21" s="33" cm="1">
        <f t="array" ref="CU21">IFERROR(INDEX('[1]SALES PERTYPE'!$D$10:$BA$53,MATCH($C21,'[1]SALES PERTYPE'!$B$10:$B$53,0),MATCH("IQOO Z11x",'[1]SALES PERTYPE'!$D$8:$BA$8,0)+1),0)</f>
        <v>4799000</v>
      </c>
      <c r="CV21" s="33" cm="1">
        <f t="array" ref="CV21">IFERROR(INDEX('[1]Sales per type Agustus'!$D$10:$BA$52,MATCH($C21,'[1]Sales per type Agustus'!$B$10:$B$52,0),MATCH("IQOO Z11x",'[1]Sales per type Agustus'!$D$8:$BA$8,0)+1),0)</f>
        <v>0</v>
      </c>
      <c r="CW21" s="33">
        <f t="shared" si="31"/>
        <v>4799000</v>
      </c>
      <c r="CX21" s="33">
        <f>IFERROR(INDEX('[1]SALES PERTYPE'!$D$10:$BA$53,MATCH($C21,'[1]SALES PERTYPE'!$B$10:$B$53,0),MATCH("IQOO Z11",'[1]SALES PERTYPE'!$D$8:$BA$8,0)),0)</f>
        <v>1</v>
      </c>
      <c r="CY21" s="33">
        <f>IFERROR(INDEX('[1]Sales per type Agustus'!$D$10:$BA$52,MATCH($C21,'[1]Sales per type Agustus'!$B$10:$B$52,0),MATCH("IQOO Z11",'[1]Sales per type Agustus'!$D$8:$BA$8,0)),0)</f>
        <v>1</v>
      </c>
      <c r="CZ21" s="33">
        <f t="shared" si="32"/>
        <v>0</v>
      </c>
      <c r="DA21" s="33" cm="1">
        <f t="array" ref="DA21">IFERROR(INDEX('[1]SALES PERTYPE'!$D$10:$BA$53,MATCH($C21,'[1]SALES PERTYPE'!$B$10:$B$53,0),MATCH("IQOO Z11",'[1]SALES PERTYPE'!$D$8:$BA$8,0)+1),0)</f>
        <v>6899000</v>
      </c>
      <c r="DB21" s="33" cm="1">
        <f t="array" ref="DB21">IFERROR(INDEX('[1]Sales per type Agustus'!$D$10:$BA$52,MATCH($C21,'[1]Sales per type Agustus'!$B$10:$B$52,0),MATCH("IQOO Z11",'[1]Sales per type Agustus'!$D$8:$BA$8,0)+1),0)</f>
        <v>7999000</v>
      </c>
      <c r="DC21" s="33">
        <f t="shared" si="33"/>
        <v>-1100000</v>
      </c>
      <c r="DD21" s="33">
        <f>IFERROR(INDEX('[1]SALES PERTYPE'!$D$10:$BA$53,MATCH($C21,'[1]SALES PERTYPE'!$B$10:$B$53,0),MATCH("WATCH 3",'[1]SALES PERTYPE'!$D$8:$BA$8,0)),0)</f>
        <v>0</v>
      </c>
      <c r="DE21" s="33">
        <f>IFERROR(INDEX('[1]Sales per type Agustus'!$D$10:$BA$52,MATCH($C21,'[1]Sales per type Agustus'!$B$10:$B$52,0),MATCH("WATCH 3",'[1]Sales per type Agustus'!$D$8:$BA$8,0)),0)</f>
        <v>0</v>
      </c>
      <c r="DF21" s="33">
        <f t="shared" si="34"/>
        <v>0</v>
      </c>
      <c r="DG21" s="33" cm="1">
        <f t="array" ref="DG21">IFERROR(INDEX('[1]SALES PERTYPE'!$D$10:$BA$53,MATCH($C21,'[1]SALES PERTYPE'!$B$10:$B$53,0),MATCH("WATCH 3",'[1]SALES PERTYPE'!$D$8:$BA$8,0)+1),0)</f>
        <v>0</v>
      </c>
      <c r="DH21" s="33" cm="1">
        <f t="array" ref="DH21">IFERROR(INDEX('[1]Sales per type Agustus'!$D$10:$BA$52,MATCH($C21,'[1]Sales per type Agustus'!$B$10:$B$52,0),MATCH("WATCH 3",'[1]Sales per type Agustus'!$D$8:$BA$8,0)+1),0)</f>
        <v>0</v>
      </c>
      <c r="DI21" s="33">
        <f t="shared" si="35"/>
        <v>0</v>
      </c>
      <c r="DJ21" s="33">
        <f>IFERROR(INDEX('[1]SALES PERTYPE'!$D$10:$BA$53,MATCH($C21,'[1]SALES PERTYPE'!$B$10:$B$53,0),MATCH("X Fold5",'[1]SALES PERTYPE'!$D$8:$BA$8,0)),0)</f>
        <v>0</v>
      </c>
      <c r="DK21" s="33">
        <f>IFERROR(INDEX('[1]Sales per type Agustus'!$D$10:$BA$52,MATCH($C21,'[1]Sales per type Agustus'!$B$10:$B$52,0),MATCH("X Fold5",'[1]Sales per type Agustus'!$D$8:$BA$8,0)),0)</f>
        <v>0</v>
      </c>
      <c r="DL21" s="33">
        <f t="shared" si="36"/>
        <v>0</v>
      </c>
      <c r="DM21" s="33" cm="1">
        <f t="array" ref="DM21">IFERROR(INDEX('[1]SALES PERTYPE'!$D$10:$BA$53,MATCH($C21,'[1]SALES PERTYPE'!$B$10:$B$53,0),MATCH("X Fold5",'[1]SALES PERTYPE'!$D$8:$BA$8,0)+1),0)</f>
        <v>0</v>
      </c>
      <c r="DN21" s="33" cm="1">
        <f t="array" ref="DN21">IFERROR(INDEX('[1]Sales per type Agustus'!$D$10:$BA$52,MATCH($C21,'[1]Sales per type Agustus'!$B$10:$B$52,0),MATCH("X Fold5",'[1]Sales per type Agustus'!$D$8:$BA$8,0)+1),0)</f>
        <v>0</v>
      </c>
      <c r="DO21" s="33">
        <f t="shared" si="37"/>
        <v>0</v>
      </c>
      <c r="DP21" s="33">
        <f>IFERROR(INDEX('[1]SALES PERTYPE'!$D$10:$BA$53,MATCH($C21,'[1]SALES PERTYPE'!$B$10:$B$53,0),MATCH("X300 PRO",'[1]SALES PERTYPE'!$D$8:$BA$8,0)),0)</f>
        <v>0</v>
      </c>
      <c r="DQ21" s="33">
        <f>IFERROR(INDEX('[1]Sales per type Agustus'!$D$10:$BA$52,MATCH($C21,'[1]Sales per type Agustus'!$B$10:$B$52,0),MATCH("X300 PRO",'[1]Sales per type Agustus'!$D$8:$BA$8,0)),0)</f>
        <v>0</v>
      </c>
      <c r="DR21" s="33">
        <f t="shared" si="38"/>
        <v>0</v>
      </c>
      <c r="DS21" s="33" cm="1">
        <f t="array" ref="DS21">IFERROR(INDEX('[1]SALES PERTYPE'!$D$10:$BA$53,MATCH($C21,'[1]SALES PERTYPE'!$B$10:$B$53,0),MATCH("X300 PRO",'[1]SALES PERTYPE'!$D$8:$BA$8,0)+1),0)</f>
        <v>0</v>
      </c>
      <c r="DT21" s="33" cm="1">
        <f t="array" ref="DT21">IFERROR(INDEX('[1]Sales per type Agustus'!$D$10:$BA$52,MATCH($C21,'[1]Sales per type Agustus'!$B$10:$B$52,0),MATCH("X300 PRO",'[1]Sales per type Agustus'!$D$8:$BA$8,0)+1),0)</f>
        <v>0</v>
      </c>
      <c r="DU21" s="33">
        <f t="shared" si="39"/>
        <v>0</v>
      </c>
      <c r="DV21" s="33">
        <f>IFERROR(INDEX('[1]SALES PERTYPE'!$D$10:$BA$53,MATCH($C21,'[1]SALES PERTYPE'!$B$10:$B$53,0),MATCH("X300 ",'[1]SALES PERTYPE'!$D$8:$BA$8,0)),0)</f>
        <v>0</v>
      </c>
      <c r="DW21" s="33">
        <f>IFERROR(INDEX('[1]Sales per type Agustus'!$D$10:$BA$52,MATCH($C21,'[1]Sales per type Agustus'!$B$10:$B$52,0),MATCH("X300 ",'[1]Sales per type Agustus'!$D$8:$BA$8,0)),0)</f>
        <v>0</v>
      </c>
      <c r="DX21" s="33">
        <f t="shared" si="40"/>
        <v>0</v>
      </c>
      <c r="DY21" s="33" cm="1">
        <f t="array" ref="DY21">IFERROR(INDEX('[1]SALES PERTYPE'!$D$10:$BA$53,MATCH($C21,'[1]SALES PERTYPE'!$B$10:$B$53,0),MATCH("X300 ",'[1]SALES PERTYPE'!$D$8:$BA$8,0)+1),0)</f>
        <v>0</v>
      </c>
      <c r="DZ21" s="33" cm="1">
        <f t="array" ref="DZ21">IFERROR(INDEX('[1]Sales per type Agustus'!$D$10:$BA$52,MATCH($C21,'[1]Sales per type Agustus'!$B$10:$B$52,0),MATCH("X300 ",'[1]Sales per type Agustus'!$D$8:$BA$8,0)+1),0)</f>
        <v>0</v>
      </c>
      <c r="EA21" s="33">
        <f t="shared" si="41"/>
        <v>0</v>
      </c>
      <c r="EB21" s="33">
        <f t="shared" si="42"/>
        <v>26</v>
      </c>
      <c r="EC21" s="33">
        <f t="shared" si="42"/>
        <v>20</v>
      </c>
      <c r="ED21" s="33">
        <f t="shared" si="43"/>
        <v>6</v>
      </c>
      <c r="EE21" s="33">
        <f t="shared" si="44"/>
        <v>120374000</v>
      </c>
      <c r="EF21" s="33">
        <f t="shared" si="44"/>
        <v>101380000</v>
      </c>
      <c r="EG21" s="33">
        <f t="shared" si="45"/>
        <v>18994000</v>
      </c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</row>
    <row r="22" spans="1:184" ht="16" x14ac:dyDescent="0.2">
      <c r="A22" s="214">
        <f>'[1]ACHIEVEMENT STORE'!A22</f>
        <v>18</v>
      </c>
      <c r="B22" s="215" t="str">
        <f>'[1]ACHIEVEMENT STORE'!B22</f>
        <v>605 勿加泗 BEKASI</v>
      </c>
      <c r="C22" s="214">
        <f>'[1]ACHIEVEMENT STORE'!C22</f>
        <v>6050706</v>
      </c>
      <c r="D22" s="215" t="str">
        <f>'[1]ACHIEVEMENT STORE'!D22</f>
        <v>6050706-AEON MALL DELTAMAS 1F081</v>
      </c>
      <c r="E22" s="215" t="str">
        <f>'[1]ACHIEVEMENT STORE'!E22</f>
        <v>M RIZKI</v>
      </c>
      <c r="F22" s="33">
        <f>IFERROR(INDEX('[1]SALES PERTYPE'!$D$10:$BA$53,MATCH($C22,'[1]SALES PERTYPE'!$B$10:$B$53,0),MATCH("Y05",'[1]SALES PERTYPE'!$D$8:$BA$8,0)),0)</f>
        <v>2</v>
      </c>
      <c r="G22" s="33">
        <f>IFERROR(INDEX('[1]Sales per type Agustus'!$D$10:$BA$52,MATCH($C22,'[1]Sales per type Agustus'!$B$10:$B$52,0),MATCH("Y05",'[1]Sales per type Agustus'!$D$8:$BA$8,0)),0)</f>
        <v>7</v>
      </c>
      <c r="H22" s="33">
        <f t="shared" si="0"/>
        <v>-5</v>
      </c>
      <c r="I22" s="33" cm="1">
        <f t="array" ref="I22">IFERROR(INDEX('[1]SALES PERTYPE'!$D$10:$BA$53,MATCH($C22,'[1]SALES PERTYPE'!$B$10:$B$53,0),MATCH("Y05",'[1]SALES PERTYPE'!$D$8:$BA$8,0)+1),0)</f>
        <v>4898000</v>
      </c>
      <c r="J22" s="33" cm="1">
        <f t="array" ref="J22">IFERROR(INDEX('[1]Sales per type Agustus'!$D$10:$BA$52,MATCH($C22,'[1]Sales per type Agustus'!$B$10:$B$52,0),MATCH("Y05",'[1]Sales per type Agustus'!$D$8:$BA$8,0)+1),0)</f>
        <v>17893000</v>
      </c>
      <c r="K22" s="33">
        <f t="shared" si="1"/>
        <v>-12995000</v>
      </c>
      <c r="L22" s="33">
        <f>IFERROR(INDEX('[1]SALES PERTYPE'!$D$10:$BA$53,MATCH($C22,'[1]SALES PERTYPE'!$B$10:$B$53,0),MATCH("Y11d",'[1]SALES PERTYPE'!$D$8:$BA$8,0)),0)</f>
        <v>5</v>
      </c>
      <c r="M22" s="33">
        <f>IFERROR(INDEX('[1]Sales per type Agustus'!$D$10:$BA$52,MATCH($C22,'[1]Sales per type Agustus'!$B$10:$B$52,0),MATCH("Y11d",'[1]Sales per type Agustus'!$D$8:$BA$8,0)),0)</f>
        <v>12</v>
      </c>
      <c r="N22" s="33">
        <f t="shared" si="2"/>
        <v>-7</v>
      </c>
      <c r="O22" s="33" cm="1">
        <f t="array" ref="O22">IFERROR(INDEX('[1]SALES PERTYPE'!$D$10:$BA$53,MATCH($C22,'[1]SALES PERTYPE'!$B$10:$B$53,0),MATCH("Y11d",'[1]SALES PERTYPE'!$D$8:$BA$8,0)+1),0)</f>
        <v>13595000</v>
      </c>
      <c r="P22" s="33" cm="1">
        <f t="array" ref="P22">IFERROR(INDEX('[1]Sales per type Agustus'!$D$10:$BA$52,MATCH($C22,'[1]Sales per type Agustus'!$B$10:$B$52,0),MATCH("Y11d",'[1]Sales per type Agustus'!$D$8:$BA$8,0)+1),0)</f>
        <v>32388000</v>
      </c>
      <c r="Q22" s="33">
        <f t="shared" si="3"/>
        <v>-18793000</v>
      </c>
      <c r="R22" s="33">
        <f>IFERROR(INDEX('[1]SALES PERTYPE'!$D$10:$BA$53,MATCH($C22,'[1]SALES PERTYPE'!$B$10:$B$53,0),MATCH("Watch GT 2",'[1]SALES PERTYPE'!$D$8:$BA$8,0)),0)</f>
        <v>0</v>
      </c>
      <c r="S22" s="33">
        <f>IFERROR(INDEX('[1]Sales per type Agustus'!$D$10:$BA$52,MATCH($C22,'[1]Sales per type Agustus'!$B$10:$B$52,0),MATCH("Watch GT 2",'[1]Sales per type Agustus'!$D$8:$BA$8,0)),0)</f>
        <v>0</v>
      </c>
      <c r="T22" s="33">
        <f t="shared" si="4"/>
        <v>0</v>
      </c>
      <c r="U22" s="33" cm="1">
        <f t="array" ref="U22">IFERROR(INDEX('[1]SALES PERTYPE'!$D$10:$BA$53,MATCH($C22,'[1]SALES PERTYPE'!$B$10:$B$53,0),MATCH("Watch GT 2",'[1]SALES PERTYPE'!$D$8:$BA$8,0)+1),0)</f>
        <v>0</v>
      </c>
      <c r="V22" s="33" cm="1">
        <f t="array" ref="V22">IFERROR(INDEX('[1]Sales per type Agustus'!$D$10:$BA$52,MATCH($C22,'[1]Sales per type Agustus'!$B$10:$B$52,0),MATCH("Watch GT 2",'[1]Sales per type Agustus'!$D$8:$BA$8,0)+1),0)</f>
        <v>0</v>
      </c>
      <c r="W22" s="33">
        <f t="shared" si="5"/>
        <v>0</v>
      </c>
      <c r="X22" s="33">
        <f>IFERROR(INDEX('[1]SALES PERTYPE'!$D$10:$BA$53,MATCH($C22,'[1]SALES PERTYPE'!$B$10:$B$53,0),MATCH("Y05e",'[1]SALES PERTYPE'!$D$8:$BA$8,0)),0)</f>
        <v>3</v>
      </c>
      <c r="Y22" s="33">
        <f>IFERROR(INDEX('[1]Sales per type Agustus'!$D$10:$BA$52,MATCH($C22,'[1]Sales per type Agustus'!$B$10:$B$52,0),MATCH("Y05e",'[1]Sales per type Agustus'!$D$8:$BA$8,0)),0)</f>
        <v>3</v>
      </c>
      <c r="Z22" s="33">
        <f t="shared" si="6"/>
        <v>0</v>
      </c>
      <c r="AA22" s="33" cm="1">
        <f t="array" ref="AA22">IFERROR(INDEX('[1]SALES PERTYPE'!$D$10:$BA$53,MATCH($C22,'[1]SALES PERTYPE'!$B$10:$B$53,0),MATCH("Y05e",'[1]SALES PERTYPE'!$D$8:$BA$8,0)+1),0)</f>
        <v>6497000</v>
      </c>
      <c r="AB22" s="33" cm="1">
        <f t="array" ref="AB22">IFERROR(INDEX('[1]Sales per type Agustus'!$D$10:$BA$52,MATCH($C22,'[1]Sales per type Agustus'!$B$10:$B$52,0),MATCH("Y05e",'[1]Sales per type Agustus'!$D$8:$BA$8,0)+1),0)</f>
        <v>6297000</v>
      </c>
      <c r="AC22" s="33">
        <f t="shared" si="7"/>
        <v>200000</v>
      </c>
      <c r="AD22" s="33">
        <f>IFERROR(INDEX('[1]SALES PERTYPE'!$D$10:$BA$53,MATCH($C22,'[1]SALES PERTYPE'!$B$10:$B$53,0),MATCH("V70",'[1]SALES PERTYPE'!$D$8:$BA$8,0)),0)</f>
        <v>2</v>
      </c>
      <c r="AE22" s="33">
        <f>IFERROR(INDEX('[1]Sales per type Agustus'!$D$10:$BA$52,MATCH($C22,'[1]Sales per type Agustus'!$B$10:$B$52,0),MATCH("V70",'[1]Sales per type Agustus'!$D$8:$BA$8,0)),0)</f>
        <v>0</v>
      </c>
      <c r="AF22" s="33">
        <f t="shared" si="8"/>
        <v>2</v>
      </c>
      <c r="AG22" s="33" cm="1">
        <f t="array" ref="AG22">IFERROR(INDEX('[1]SALES PERTYPE'!$D$10:$BA$53,MATCH($C22,'[1]SALES PERTYPE'!$B$10:$B$53,0),MATCH("V70",'[1]SALES PERTYPE'!$D$8:$BA$8,0)+1),0)</f>
        <v>19998000</v>
      </c>
      <c r="AH22" s="33" cm="1">
        <f t="array" ref="AH22">IFERROR(INDEX('[1]Sales per type Agustus'!$D$10:$BA$52,MATCH($C22,'[1]Sales per type Agustus'!$B$10:$B$52,0),MATCH("V70",'[1]Sales per type Agustus'!$D$8:$BA$8,0)+1),0)</f>
        <v>0</v>
      </c>
      <c r="AI22" s="33">
        <f t="shared" si="9"/>
        <v>19998000</v>
      </c>
      <c r="AJ22" s="33">
        <f>IFERROR(INDEX('[1]SALES PERTYPE'!$D$10:$BA$53,MATCH($C22,'[1]SALES PERTYPE'!$B$10:$B$53,0),MATCH("Y31d Pro",'[1]SALES PERTYPE'!$D$8:$BA$8,0)),0)</f>
        <v>3</v>
      </c>
      <c r="AK22" s="33">
        <f>IFERROR(INDEX('[1]Sales per type Agustus'!$D$10:$BA$52,MATCH($C22,'[1]Sales per type Agustus'!$B$10:$B$52,0),MATCH("Y31d Pro",'[1]Sales per type Agustus'!$D$8:$BA$8,0)),0)</f>
        <v>5</v>
      </c>
      <c r="AL22" s="33">
        <f t="shared" si="10"/>
        <v>-2</v>
      </c>
      <c r="AM22" s="33" cm="1">
        <f t="array" ref="AM22">IFERROR(INDEX('[1]SALES PERTYPE'!$D$10:$BA$53,MATCH($C22,'[1]SALES PERTYPE'!$B$10:$B$53,0),MATCH("Y31d Pro",'[1]SALES PERTYPE'!$D$8:$BA$8,0)+1),0)</f>
        <v>12097000</v>
      </c>
      <c r="AN22" s="33" cm="1">
        <f t="array" ref="AN22">IFERROR(INDEX('[1]Sales per type Agustus'!$D$10:$BA$52,MATCH($C22,'[1]Sales per type Agustus'!$B$10:$B$52,0),MATCH("Y31d Pro",'[1]Sales per type Agustus'!$D$8:$BA$8,0)+1),0)</f>
        <v>21695000</v>
      </c>
      <c r="AO22" s="33">
        <f t="shared" si="11"/>
        <v>-9598000</v>
      </c>
      <c r="AP22" s="33" cm="1">
        <f t="array" ref="AP22">IFERROR(INDEX('[1]SALES PERTYPE'!$D$10:$BA$53,MATCH($C22,'[1]SALES PERTYPE'!$B$10:$B$53,0),$EI$3),0)</f>
        <v>1</v>
      </c>
      <c r="AQ22" s="33" cm="1">
        <f t="array" ref="AQ22">IFERROR(INDEX('[1]Sales per type Agustus'!$D$10:$BA$52,MATCH($C22,'[1]Sales per type Agustus'!$B$10:$B$52,0),$EI$2),0)</f>
        <v>0</v>
      </c>
      <c r="AR22" s="33">
        <f t="shared" si="12"/>
        <v>1</v>
      </c>
      <c r="AS22" s="33" cm="1">
        <f t="array" ref="AS22">IFERROR(INDEX('[1]SALES PERTYPE'!$D$10:$BA$53,MATCH($C22,'[1]SALES PERTYPE'!$B$10:$B$53,0),$EI$3+1),0)</f>
        <v>3299000</v>
      </c>
      <c r="AT22" s="33" cm="1">
        <f t="array" ref="AT22">IFERROR(INDEX('[1]Sales per type Agustus'!$D$10:$BA$52,MATCH($C22,'[1]Sales per type Agustus'!$B$10:$B$52,0),$EI$2+1),0)</f>
        <v>0</v>
      </c>
      <c r="AU22" s="33">
        <f t="shared" si="13"/>
        <v>3299000</v>
      </c>
      <c r="AV22" s="33">
        <f>IFERROR(INDEX('[1]SALES PERTYPE'!$D$10:$BA$53,MATCH($C22,'[1]SALES PERTYPE'!$B$10:$B$53,0),MATCH("Y31d ",'[1]SALES PERTYPE'!$D$8:$BA$8,0)),0)</f>
        <v>2</v>
      </c>
      <c r="AW22" s="33">
        <f>IFERROR(INDEX('[1]Sales per type Agustus'!$D$10:$BA$52,MATCH($C22,'[1]Sales per type Agustus'!$B$10:$B$52,0),MATCH("Y31d ",'[1]Sales per type Agustus'!$D$8:$BA$8,0)),0)</f>
        <v>1</v>
      </c>
      <c r="AX22" s="33">
        <f t="shared" si="14"/>
        <v>1</v>
      </c>
      <c r="AY22" s="33" cm="1">
        <f t="array" ref="AY22">IFERROR(INDEX('[1]SALES PERTYPE'!$D$10:$BA$53,MATCH($C22,'[1]SALES PERTYPE'!$B$10:$B$53,0),MATCH("Y31d ",'[1]SALES PERTYPE'!$D$8:$BA$8,0)+1),0)</f>
        <v>7198000</v>
      </c>
      <c r="AZ22" s="33" cm="1">
        <f t="array" ref="AZ22">IFERROR(INDEX('[1]Sales per type Agustus'!$D$10:$BA$52,MATCH($C22,'[1]Sales per type Agustus'!$B$10:$B$52,0),MATCH("Y31d ",'[1]Sales per type Agustus'!$D$8:$BA$8,0)+1),0)</f>
        <v>3599000</v>
      </c>
      <c r="BA22" s="33">
        <f t="shared" si="15"/>
        <v>3599000</v>
      </c>
      <c r="BB22" s="33">
        <f>IFERROR(INDEX('[1]SALES PERTYPE'!$D$10:$BA$53,MATCH($C22,'[1]SALES PERTYPE'!$B$10:$B$53,0),MATCH("V70 FE",'[1]SALES PERTYPE'!$D$8:$BA$8,0)),0)</f>
        <v>2</v>
      </c>
      <c r="BC22" s="33">
        <f>IFERROR(INDEX('[1]Sales per type Agustus'!$D$10:$BA$52,MATCH($C22,'[1]Sales per type Agustus'!$B$10:$B$52,0),MATCH("V70 FE",'[1]Sales per type Agustus'!$D$8:$BA$8,0)),0)</f>
        <v>3</v>
      </c>
      <c r="BD22" s="33">
        <f t="shared" si="16"/>
        <v>-1</v>
      </c>
      <c r="BE22" s="33" cm="1">
        <f t="array" ref="BE22">IFERROR(INDEX('[1]SALES PERTYPE'!$D$10:$BA$53,MATCH($C22,'[1]SALES PERTYPE'!$B$10:$B$53,0),MATCH("V70 FE",'[1]SALES PERTYPE'!$D$8:$BA$8,0)+1),0)</f>
        <v>15998000</v>
      </c>
      <c r="BF22" s="33" cm="1">
        <f t="array" ref="BF22">IFERROR(INDEX('[1]Sales per type Agustus'!$D$10:$BA$52,MATCH($C22,'[1]Sales per type Agustus'!$B$10:$B$52,0),MATCH("V70 FE",'[1]Sales per type Agustus'!$D$8:$BA$8,0)+1),0)</f>
        <v>21997000</v>
      </c>
      <c r="BG22" s="33">
        <f t="shared" si="17"/>
        <v>-5999000</v>
      </c>
      <c r="BH22" s="33">
        <f>IFERROR(INDEX('[1]SALES PERTYPE'!$D$10:$BA$53,MATCH($C22,'[1]SALES PERTYPE'!$B$10:$B$53,0),MATCH("Y31d",'[1]SALES PERTYPE'!$D$8:$BA$8,0)),0)</f>
        <v>0</v>
      </c>
      <c r="BI22" s="33">
        <f>IFERROR(INDEX('[1]Sales per type Agustus'!$D$10:$BA$52,MATCH($C22,'[1]Sales per type Agustus'!$B$10:$B$52,0),MATCH("Y31d",'[1]Sales per type Agustus'!$D$8:$BA$8,0)),0)</f>
        <v>0</v>
      </c>
      <c r="BJ22" s="33">
        <f t="shared" si="18"/>
        <v>0</v>
      </c>
      <c r="BK22" s="33" cm="1">
        <f t="array" ref="BK22">IFERROR(INDEX('[1]SALES PERTYPE'!$D$10:$BA$53,MATCH($C22,'[1]SALES PERTYPE'!$B$10:$B$53,0),MATCH("Y31d",'[1]SALES PERTYPE'!$D$8:$BA$8,0)+1),0)</f>
        <v>0</v>
      </c>
      <c r="BL22" s="33" cm="1">
        <f t="array" ref="BL22">IFERROR(INDEX('[1]Sales per type Agustus'!$D$10:$BA$52,MATCH($C22,'[1]Sales per type Agustus'!$B$10:$B$52,0),MATCH("Y31d",'[1]Sales per type Agustus'!$D$8:$BA$8,0)+1),0)</f>
        <v>0</v>
      </c>
      <c r="BM22" s="33">
        <f t="shared" si="19"/>
        <v>0</v>
      </c>
      <c r="BN22" s="33">
        <f>IFERROR(INDEX('[1]SALES PERTYPE'!$D$10:$BA$53,MATCH($C22,'[1]SALES PERTYPE'!$B$10:$B$53,0),MATCH("Y500",'[1]SALES PERTYPE'!$D$8:$BA$8,0)),0)</f>
        <v>2</v>
      </c>
      <c r="BO22" s="33">
        <f>IFERROR(INDEX('[1]Sales per type Agustus'!$D$10:$BA$52,MATCH($C22,'[1]Sales per type Agustus'!$B$10:$B$52,0),MATCH("Y500",'[1]Sales per type Agustus'!$D$8:$BA$8,0)),0)</f>
        <v>3</v>
      </c>
      <c r="BP22" s="33">
        <f t="shared" si="20"/>
        <v>-1</v>
      </c>
      <c r="BQ22" s="33" cm="1">
        <f t="array" ref="BQ22">IFERROR(INDEX('[1]SALES PERTYPE'!$D$10:$BA$53,MATCH($C22,'[1]SALES PERTYPE'!$B$10:$B$53,0),MATCH("Y500",'[1]SALES PERTYPE'!$D$8:$BA$8,0)+1),0)</f>
        <v>12598000</v>
      </c>
      <c r="BR22" s="33" cm="1">
        <f t="array" ref="BR22">IFERROR(INDEX('[1]Sales per type Agustus'!$D$10:$BA$52,MATCH($C22,'[1]Sales per type Agustus'!$B$10:$B$52,0),MATCH("Y500",'[1]Sales per type Agustus'!$D$8:$BA$8,0)+1),0)</f>
        <v>17297000</v>
      </c>
      <c r="BS22" s="33">
        <f t="shared" si="21"/>
        <v>-4699000</v>
      </c>
      <c r="BT22" s="33">
        <f>IFERROR(INDEX('[1]SALES PERTYPE'!$D$10:$BA$53,MATCH($C22,'[1]SALES PERTYPE'!$B$10:$B$53,0),MATCH("IQOO 15R",'[1]SALES PERTYPE'!$D$8:$BA$8,0)),0)</f>
        <v>0</v>
      </c>
      <c r="BU22" s="33">
        <f>IFERROR(INDEX('[1]Sales per type Agustus'!$D$10:$BA$52,MATCH($C22,'[1]Sales per type Agustus'!$B$10:$B$52,0),MATCH("IQOO 15R",'[1]Sales per type Agustus'!$D$8:$BA$8,0)),0)</f>
        <v>0</v>
      </c>
      <c r="BV22" s="33">
        <f t="shared" si="22"/>
        <v>0</v>
      </c>
      <c r="BW22" s="33" cm="1">
        <f t="array" ref="BW22">IFERROR(INDEX('[1]SALES PERTYPE'!$D$10:$BA$53,MATCH($C22,'[1]SALES PERTYPE'!$B$10:$B$53,0),MATCH("IQOO 15R",'[1]SALES PERTYPE'!$D$8:$BA$8,0)+1),0)</f>
        <v>0</v>
      </c>
      <c r="BX22" s="33" cm="1">
        <f t="array" ref="BX22">IFERROR(INDEX('[1]Sales per type Agustus'!$D$10:$BA$52,MATCH($C22,'[1]Sales per type Agustus'!$B$10:$B$52,0),MATCH("IQOO 15R",'[1]Sales per type Agustus'!$D$8:$BA$8,0)+1),0)</f>
        <v>0</v>
      </c>
      <c r="BY22" s="33">
        <f t="shared" si="23"/>
        <v>0</v>
      </c>
      <c r="BZ22" s="33">
        <f>IFERROR(INDEX('[1]SALES PERTYPE'!$D$10:$BA$53,MATCH($C22,'[1]SALES PERTYPE'!$B$10:$B$53,0),MATCH("V60 Lite",'[1]SALES PERTYPE'!$D$8:$BA$8,0)),0)</f>
        <v>4</v>
      </c>
      <c r="CA22" s="33">
        <f>IFERROR(INDEX('[1]Sales per type Agustus'!$D$10:$BA$52,MATCH($C22,'[1]Sales per type Agustus'!$B$10:$B$52,0),MATCH("V60 Lite",'[1]Sales per type Agustus'!$D$8:$BA$8,0)),0)</f>
        <v>0</v>
      </c>
      <c r="CB22" s="33">
        <f t="shared" si="24"/>
        <v>4</v>
      </c>
      <c r="CC22" s="33" cm="1">
        <f t="array" ref="CC22">IFERROR(INDEX('[1]SALES PERTYPE'!$D$10:$BA$53,MATCH($C22,'[1]SALES PERTYPE'!$B$10:$B$53,0),MATCH("V60 Lite",'[1]SALES PERTYPE'!$D$8:$BA$8,0)+1),0)</f>
        <v>23596000</v>
      </c>
      <c r="CD22" s="33" cm="1">
        <f t="array" ref="CD22">IFERROR(INDEX('[1]Sales per type Agustus'!$D$10:$BA$52,MATCH($C22,'[1]Sales per type Agustus'!$B$10:$B$52,0),MATCH("V60 Lite",'[1]Sales per type Agustus'!$D$8:$BA$8,0)+1),0)</f>
        <v>0</v>
      </c>
      <c r="CE22" s="33">
        <f t="shared" si="25"/>
        <v>23596000</v>
      </c>
      <c r="CF22" s="33">
        <f>IFERROR(INDEX('[1]SALES PERTYPE'!$D$10:$BA$53,MATCH($C22,'[1]SALES PERTYPE'!$B$10:$B$53,0),MATCH("X300 Ultra",'[1]SALES PERTYPE'!$D$8:$BA$8,0)),0)</f>
        <v>0</v>
      </c>
      <c r="CG22" s="33">
        <f>IFERROR(INDEX('[1]Sales per type Agustus'!$D$10:$BA$52,MATCH($C22,'[1]Sales per type Agustus'!$B$10:$B$52,0),MATCH("X300 Ultra",'[1]Sales per type Agustus'!$D$8:$BA$8,0)),0)</f>
        <v>0</v>
      </c>
      <c r="CH22" s="33">
        <f t="shared" si="26"/>
        <v>0</v>
      </c>
      <c r="CI22" s="33" cm="1">
        <f t="array" ref="CI22">IFERROR(INDEX('[1]SALES PERTYPE'!$D$10:$BA$53,MATCH($C22,'[1]SALES PERTYPE'!$B$10:$B$53,0),MATCH("X300 Ultra",'[1]SALES PERTYPE'!$D$8:$BA$8,0)+1),0)</f>
        <v>0</v>
      </c>
      <c r="CJ22" s="33" cm="1">
        <f t="array" ref="CJ22">IFERROR(INDEX('[1]Sales per type Agustus'!$D$10:$BA$52,MATCH($C22,'[1]Sales per type Agustus'!$B$10:$B$52,0),MATCH("X300 Ultra",'[1]Sales per type Agustus'!$D$8:$BA$8,0)+1),0)</f>
        <v>0</v>
      </c>
      <c r="CK22" s="33">
        <f t="shared" si="27"/>
        <v>0</v>
      </c>
      <c r="CL22" s="33">
        <f>IFERROR(INDEX('[1]SALES PERTYPE'!$D$10:$BA$53,MATCH($C22,'[1]SALES PERTYPE'!$B$10:$B$53,0),MATCH("IQOO 15",'[1]SALES PERTYPE'!$D$8:$BA$8,0)),0)</f>
        <v>0</v>
      </c>
      <c r="CM22" s="33">
        <f>IFERROR(INDEX('[1]Sales per type Agustus'!$D$10:$BA$52,MATCH($C22,'[1]Sales per type Agustus'!$B$10:$B$52,0),MATCH("IQOO 15",'[1]Sales per type Agustus'!$D$8:$BA$8,0)),0)</f>
        <v>0</v>
      </c>
      <c r="CN22" s="33">
        <f t="shared" si="28"/>
        <v>0</v>
      </c>
      <c r="CO22" s="33" cm="1">
        <f t="array" ref="CO22">IFERROR(INDEX('[1]SALES PERTYPE'!$D$10:$BA$53,MATCH($C22,'[1]SALES PERTYPE'!$B$10:$B$53,0),MATCH("IQOO 15",'[1]SALES PERTYPE'!$D$8:$BA$8,0)+1),0)</f>
        <v>0</v>
      </c>
      <c r="CP22" s="33" cm="1">
        <f t="array" ref="CP22">IFERROR(INDEX('[1]Sales per type Agustus'!$D$10:$BA$52,MATCH($C22,'[1]Sales per type Agustus'!$B$10:$B$52,0),MATCH("IQOO 15",'[1]Sales per type Agustus'!$D$8:$BA$8,0)+1),0)</f>
        <v>0</v>
      </c>
      <c r="CQ22" s="33">
        <f t="shared" si="29"/>
        <v>0</v>
      </c>
      <c r="CR22" s="33">
        <f>IFERROR(INDEX('[1]SALES PERTYPE'!$D$10:$BA$53,MATCH($C22,'[1]SALES PERTYPE'!$B$10:$B$53,0),MATCH("IQOO Z11x",'[1]SALES PERTYPE'!$D$8:$BA$8,0)),0)</f>
        <v>2</v>
      </c>
      <c r="CS22" s="33">
        <f>IFERROR(INDEX('[1]Sales per type Agustus'!$D$10:$BA$52,MATCH($C22,'[1]Sales per type Agustus'!$B$10:$B$52,0),MATCH("IQOO Z11x",'[1]Sales per type Agustus'!$D$8:$BA$8,0)),0)</f>
        <v>0</v>
      </c>
      <c r="CT22" s="33">
        <f t="shared" si="30"/>
        <v>2</v>
      </c>
      <c r="CU22" s="33" cm="1">
        <f t="array" ref="CU22">IFERROR(INDEX('[1]SALES PERTYPE'!$D$10:$BA$53,MATCH($C22,'[1]SALES PERTYPE'!$B$10:$B$53,0),MATCH("IQOO Z11x",'[1]SALES PERTYPE'!$D$8:$BA$8,0)+1),0)</f>
        <v>10498000</v>
      </c>
      <c r="CV22" s="33" cm="1">
        <f t="array" ref="CV22">IFERROR(INDEX('[1]Sales per type Agustus'!$D$10:$BA$52,MATCH($C22,'[1]Sales per type Agustus'!$B$10:$B$52,0),MATCH("IQOO Z11x",'[1]Sales per type Agustus'!$D$8:$BA$8,0)+1),0)</f>
        <v>0</v>
      </c>
      <c r="CW22" s="33">
        <f t="shared" si="31"/>
        <v>10498000</v>
      </c>
      <c r="CX22" s="33">
        <f>IFERROR(INDEX('[1]SALES PERTYPE'!$D$10:$BA$53,MATCH($C22,'[1]SALES PERTYPE'!$B$10:$B$53,0),MATCH("IQOO Z11",'[1]SALES PERTYPE'!$D$8:$BA$8,0)),0)</f>
        <v>1</v>
      </c>
      <c r="CY22" s="33">
        <f>IFERROR(INDEX('[1]Sales per type Agustus'!$D$10:$BA$52,MATCH($C22,'[1]Sales per type Agustus'!$B$10:$B$52,0),MATCH("IQOO Z11",'[1]Sales per type Agustus'!$D$8:$BA$8,0)),0)</f>
        <v>2</v>
      </c>
      <c r="CZ22" s="33">
        <f t="shared" si="32"/>
        <v>-1</v>
      </c>
      <c r="DA22" s="33" cm="1">
        <f t="array" ref="DA22">IFERROR(INDEX('[1]SALES PERTYPE'!$D$10:$BA$53,MATCH($C22,'[1]SALES PERTYPE'!$B$10:$B$53,0),MATCH("IQOO Z11",'[1]SALES PERTYPE'!$D$8:$BA$8,0)+1),0)</f>
        <v>6899000</v>
      </c>
      <c r="DB22" s="33" cm="1">
        <f t="array" ref="DB22">IFERROR(INDEX('[1]Sales per type Agustus'!$D$10:$BA$52,MATCH($C22,'[1]Sales per type Agustus'!$B$10:$B$52,0),MATCH("IQOO Z11",'[1]Sales per type Agustus'!$D$8:$BA$8,0)+1),0)</f>
        <v>13798000</v>
      </c>
      <c r="DC22" s="33">
        <f t="shared" si="33"/>
        <v>-6899000</v>
      </c>
      <c r="DD22" s="33">
        <f>IFERROR(INDEX('[1]SALES PERTYPE'!$D$10:$BA$53,MATCH($C22,'[1]SALES PERTYPE'!$B$10:$B$53,0),MATCH("WATCH 3",'[1]SALES PERTYPE'!$D$8:$BA$8,0)),0)</f>
        <v>0</v>
      </c>
      <c r="DE22" s="33">
        <f>IFERROR(INDEX('[1]Sales per type Agustus'!$D$10:$BA$52,MATCH($C22,'[1]Sales per type Agustus'!$B$10:$B$52,0),MATCH("WATCH 3",'[1]Sales per type Agustus'!$D$8:$BA$8,0)),0)</f>
        <v>0</v>
      </c>
      <c r="DF22" s="33">
        <f t="shared" si="34"/>
        <v>0</v>
      </c>
      <c r="DG22" s="33" cm="1">
        <f t="array" ref="DG22">IFERROR(INDEX('[1]SALES PERTYPE'!$D$10:$BA$53,MATCH($C22,'[1]SALES PERTYPE'!$B$10:$B$53,0),MATCH("WATCH 3",'[1]SALES PERTYPE'!$D$8:$BA$8,0)+1),0)</f>
        <v>0</v>
      </c>
      <c r="DH22" s="33" cm="1">
        <f t="array" ref="DH22">IFERROR(INDEX('[1]Sales per type Agustus'!$D$10:$BA$52,MATCH($C22,'[1]Sales per type Agustus'!$B$10:$B$52,0),MATCH("WATCH 3",'[1]Sales per type Agustus'!$D$8:$BA$8,0)+1),0)</f>
        <v>0</v>
      </c>
      <c r="DI22" s="33">
        <f t="shared" si="35"/>
        <v>0</v>
      </c>
      <c r="DJ22" s="33">
        <f>IFERROR(INDEX('[1]SALES PERTYPE'!$D$10:$BA$53,MATCH($C22,'[1]SALES PERTYPE'!$B$10:$B$53,0),MATCH("X Fold5",'[1]SALES PERTYPE'!$D$8:$BA$8,0)),0)</f>
        <v>0</v>
      </c>
      <c r="DK22" s="33">
        <f>IFERROR(INDEX('[1]Sales per type Agustus'!$D$10:$BA$52,MATCH($C22,'[1]Sales per type Agustus'!$B$10:$B$52,0),MATCH("X Fold5",'[1]Sales per type Agustus'!$D$8:$BA$8,0)),0)</f>
        <v>0</v>
      </c>
      <c r="DL22" s="33">
        <f t="shared" si="36"/>
        <v>0</v>
      </c>
      <c r="DM22" s="33" cm="1">
        <f t="array" ref="DM22">IFERROR(INDEX('[1]SALES PERTYPE'!$D$10:$BA$53,MATCH($C22,'[1]SALES PERTYPE'!$B$10:$B$53,0),MATCH("X Fold5",'[1]SALES PERTYPE'!$D$8:$BA$8,0)+1),0)</f>
        <v>0</v>
      </c>
      <c r="DN22" s="33" cm="1">
        <f t="array" ref="DN22">IFERROR(INDEX('[1]Sales per type Agustus'!$D$10:$BA$52,MATCH($C22,'[1]Sales per type Agustus'!$B$10:$B$52,0),MATCH("X Fold5",'[1]Sales per type Agustus'!$D$8:$BA$8,0)+1),0)</f>
        <v>0</v>
      </c>
      <c r="DO22" s="33">
        <f t="shared" si="37"/>
        <v>0</v>
      </c>
      <c r="DP22" s="33">
        <f>IFERROR(INDEX('[1]SALES PERTYPE'!$D$10:$BA$53,MATCH($C22,'[1]SALES PERTYPE'!$B$10:$B$53,0),MATCH("X300 PRO",'[1]SALES PERTYPE'!$D$8:$BA$8,0)),0)</f>
        <v>0</v>
      </c>
      <c r="DQ22" s="33">
        <f>IFERROR(INDEX('[1]Sales per type Agustus'!$D$10:$BA$52,MATCH($C22,'[1]Sales per type Agustus'!$B$10:$B$52,0),MATCH("X300 PRO",'[1]Sales per type Agustus'!$D$8:$BA$8,0)),0)</f>
        <v>0</v>
      </c>
      <c r="DR22" s="33">
        <f t="shared" si="38"/>
        <v>0</v>
      </c>
      <c r="DS22" s="33" cm="1">
        <f t="array" ref="DS22">IFERROR(INDEX('[1]SALES PERTYPE'!$D$10:$BA$53,MATCH($C22,'[1]SALES PERTYPE'!$B$10:$B$53,0),MATCH("X300 PRO",'[1]SALES PERTYPE'!$D$8:$BA$8,0)+1),0)</f>
        <v>0</v>
      </c>
      <c r="DT22" s="33" cm="1">
        <f t="array" ref="DT22">IFERROR(INDEX('[1]Sales per type Agustus'!$D$10:$BA$52,MATCH($C22,'[1]Sales per type Agustus'!$B$10:$B$52,0),MATCH("X300 PRO",'[1]Sales per type Agustus'!$D$8:$BA$8,0)+1),0)</f>
        <v>0</v>
      </c>
      <c r="DU22" s="33">
        <f t="shared" si="39"/>
        <v>0</v>
      </c>
      <c r="DV22" s="33">
        <f>IFERROR(INDEX('[1]SALES PERTYPE'!$D$10:$BA$53,MATCH($C22,'[1]SALES PERTYPE'!$B$10:$B$53,0),MATCH("X300 ",'[1]SALES PERTYPE'!$D$8:$BA$8,0)),0)</f>
        <v>0</v>
      </c>
      <c r="DW22" s="33">
        <f>IFERROR(INDEX('[1]Sales per type Agustus'!$D$10:$BA$52,MATCH($C22,'[1]Sales per type Agustus'!$B$10:$B$52,0),MATCH("X300 ",'[1]Sales per type Agustus'!$D$8:$BA$8,0)),0)</f>
        <v>0</v>
      </c>
      <c r="DX22" s="33">
        <f t="shared" si="40"/>
        <v>0</v>
      </c>
      <c r="DY22" s="33" cm="1">
        <f t="array" ref="DY22">IFERROR(INDEX('[1]SALES PERTYPE'!$D$10:$BA$53,MATCH($C22,'[1]SALES PERTYPE'!$B$10:$B$53,0),MATCH("X300 ",'[1]SALES PERTYPE'!$D$8:$BA$8,0)+1),0)</f>
        <v>0</v>
      </c>
      <c r="DZ22" s="33" cm="1">
        <f t="array" ref="DZ22">IFERROR(INDEX('[1]Sales per type Agustus'!$D$10:$BA$52,MATCH($C22,'[1]Sales per type Agustus'!$B$10:$B$52,0),MATCH("X300 ",'[1]Sales per type Agustus'!$D$8:$BA$8,0)+1),0)</f>
        <v>0</v>
      </c>
      <c r="EA22" s="33">
        <f t="shared" si="41"/>
        <v>0</v>
      </c>
      <c r="EB22" s="33">
        <f t="shared" si="42"/>
        <v>29</v>
      </c>
      <c r="EC22" s="33">
        <f t="shared" si="42"/>
        <v>36</v>
      </c>
      <c r="ED22" s="33">
        <f t="shared" si="43"/>
        <v>-7</v>
      </c>
      <c r="EE22" s="33">
        <f t="shared" si="44"/>
        <v>137171000</v>
      </c>
      <c r="EF22" s="33">
        <f t="shared" si="44"/>
        <v>134964000</v>
      </c>
      <c r="EG22" s="33">
        <f t="shared" si="45"/>
        <v>2207000</v>
      </c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</row>
    <row r="23" spans="1:184" ht="16" x14ac:dyDescent="0.2">
      <c r="A23" s="31">
        <f>'[1]ACHIEVEMENT STORE'!A23</f>
        <v>19</v>
      </c>
      <c r="B23" s="32" t="str">
        <f>'[1]ACHIEVEMENT STORE'!B23</f>
        <v>618 茂物 BOGOR</v>
      </c>
      <c r="C23" s="31">
        <f>'[1]ACHIEVEMENT STORE'!C23</f>
        <v>6180706</v>
      </c>
      <c r="D23" s="32" t="str">
        <f>'[1]ACHIEVEMENT STORE'!D23</f>
        <v>6180706-MALL CCM VIVO STORE</v>
      </c>
      <c r="E23" s="32" t="str">
        <f>'[1]ACHIEVEMENT STORE'!E23</f>
        <v>DANDI SURYA</v>
      </c>
      <c r="F23" s="33">
        <f>IFERROR(INDEX('[1]SALES PERTYPE'!$D$10:$BA$53,MATCH($C23,'[1]SALES PERTYPE'!$B$10:$B$53,0),MATCH("Y05",'[1]SALES PERTYPE'!$D$8:$BA$8,0)),0)</f>
        <v>15</v>
      </c>
      <c r="G23" s="33">
        <f>IFERROR(INDEX('[1]Sales per type Agustus'!$D$10:$BA$52,MATCH($C23,'[1]Sales per type Agustus'!$B$10:$B$52,0),MATCH("Y05",'[1]Sales per type Agustus'!$D$8:$BA$8,0)),0)</f>
        <v>13</v>
      </c>
      <c r="H23" s="33">
        <f t="shared" si="0"/>
        <v>2</v>
      </c>
      <c r="I23" s="33" cm="1">
        <f t="array" ref="I23">IFERROR(INDEX('[1]SALES PERTYPE'!$D$10:$BA$53,MATCH($C23,'[1]SALES PERTYPE'!$B$10:$B$53,0),MATCH("Y05",'[1]SALES PERTYPE'!$D$8:$BA$8,0)+1),0)</f>
        <v>36285000</v>
      </c>
      <c r="J23" s="33" cm="1">
        <f t="array" ref="J23">IFERROR(INDEX('[1]Sales per type Agustus'!$D$10:$BA$52,MATCH($C23,'[1]Sales per type Agustus'!$B$10:$B$52,0),MATCH("Y05",'[1]Sales per type Agustus'!$D$8:$BA$8,0)+1),0)</f>
        <v>31987000</v>
      </c>
      <c r="K23" s="33">
        <f t="shared" si="1"/>
        <v>4298000</v>
      </c>
      <c r="L23" s="33">
        <f>IFERROR(INDEX('[1]SALES PERTYPE'!$D$10:$BA$53,MATCH($C23,'[1]SALES PERTYPE'!$B$10:$B$53,0),MATCH("Y11d",'[1]SALES PERTYPE'!$D$8:$BA$8,0)),0)</f>
        <v>13</v>
      </c>
      <c r="M23" s="33">
        <f>IFERROR(INDEX('[1]Sales per type Agustus'!$D$10:$BA$52,MATCH($C23,'[1]Sales per type Agustus'!$B$10:$B$52,0),MATCH("Y11d",'[1]Sales per type Agustus'!$D$8:$BA$8,0)),0)</f>
        <v>21</v>
      </c>
      <c r="N23" s="33">
        <f t="shared" si="2"/>
        <v>-8</v>
      </c>
      <c r="O23" s="33" cm="1">
        <f t="array" ref="O23">IFERROR(INDEX('[1]SALES PERTYPE'!$D$10:$BA$53,MATCH($C23,'[1]SALES PERTYPE'!$B$10:$B$53,0),MATCH("Y11d",'[1]SALES PERTYPE'!$D$8:$BA$8,0)+1),0)</f>
        <v>35587000</v>
      </c>
      <c r="P23" s="33" cm="1">
        <f t="array" ref="P23">IFERROR(INDEX('[1]Sales per type Agustus'!$D$10:$BA$52,MATCH($C23,'[1]Sales per type Agustus'!$B$10:$B$52,0),MATCH("Y11d",'[1]Sales per type Agustus'!$D$8:$BA$8,0)+1),0)</f>
        <v>55579000</v>
      </c>
      <c r="Q23" s="33">
        <f t="shared" si="3"/>
        <v>-19992000</v>
      </c>
      <c r="R23" s="33">
        <f>IFERROR(INDEX('[1]SALES PERTYPE'!$D$10:$BA$53,MATCH($C23,'[1]SALES PERTYPE'!$B$10:$B$53,0),MATCH("Watch GT 2",'[1]SALES PERTYPE'!$D$8:$BA$8,0)),0)</f>
        <v>0</v>
      </c>
      <c r="S23" s="33">
        <f>IFERROR(INDEX('[1]Sales per type Agustus'!$D$10:$BA$52,MATCH($C23,'[1]Sales per type Agustus'!$B$10:$B$52,0),MATCH("Watch GT 2",'[1]Sales per type Agustus'!$D$8:$BA$8,0)),0)</f>
        <v>0</v>
      </c>
      <c r="T23" s="33">
        <f t="shared" si="4"/>
        <v>0</v>
      </c>
      <c r="U23" s="33" cm="1">
        <f t="array" ref="U23">IFERROR(INDEX('[1]SALES PERTYPE'!$D$10:$BA$53,MATCH($C23,'[1]SALES PERTYPE'!$B$10:$B$53,0),MATCH("Watch GT 2",'[1]SALES PERTYPE'!$D$8:$BA$8,0)+1),0)</f>
        <v>0</v>
      </c>
      <c r="V23" s="33" cm="1">
        <f t="array" ref="V23">IFERROR(INDEX('[1]Sales per type Agustus'!$D$10:$BA$52,MATCH($C23,'[1]Sales per type Agustus'!$B$10:$B$52,0),MATCH("Watch GT 2",'[1]Sales per type Agustus'!$D$8:$BA$8,0)+1),0)</f>
        <v>0</v>
      </c>
      <c r="W23" s="33">
        <f t="shared" si="5"/>
        <v>0</v>
      </c>
      <c r="X23" s="33">
        <f>IFERROR(INDEX('[1]SALES PERTYPE'!$D$10:$BA$53,MATCH($C23,'[1]SALES PERTYPE'!$B$10:$B$53,0),MATCH("Y05e",'[1]SALES PERTYPE'!$D$8:$BA$8,0)),0)</f>
        <v>8</v>
      </c>
      <c r="Y23" s="33">
        <f>IFERROR(INDEX('[1]Sales per type Agustus'!$D$10:$BA$52,MATCH($C23,'[1]Sales per type Agustus'!$B$10:$B$52,0),MATCH("Y05e",'[1]Sales per type Agustus'!$D$8:$BA$8,0)),0)</f>
        <v>20</v>
      </c>
      <c r="Z23" s="33">
        <f t="shared" si="6"/>
        <v>-12</v>
      </c>
      <c r="AA23" s="33" cm="1">
        <f t="array" ref="AA23">IFERROR(INDEX('[1]SALES PERTYPE'!$D$10:$BA$53,MATCH($C23,'[1]SALES PERTYPE'!$B$10:$B$53,0),MATCH("Y05e",'[1]SALES PERTYPE'!$D$8:$BA$8,0)+1),0)</f>
        <v>17192000</v>
      </c>
      <c r="AB23" s="33" cm="1">
        <f t="array" ref="AB23">IFERROR(INDEX('[1]Sales per type Agustus'!$D$10:$BA$52,MATCH($C23,'[1]Sales per type Agustus'!$B$10:$B$52,0),MATCH("Y05e",'[1]Sales per type Agustus'!$D$8:$BA$8,0)+1),0)</f>
        <v>41980000</v>
      </c>
      <c r="AC23" s="33">
        <f t="shared" si="7"/>
        <v>-24788000</v>
      </c>
      <c r="AD23" s="33">
        <f>IFERROR(INDEX('[1]SALES PERTYPE'!$D$10:$BA$53,MATCH($C23,'[1]SALES PERTYPE'!$B$10:$B$53,0),MATCH("V70",'[1]SALES PERTYPE'!$D$8:$BA$8,0)),0)</f>
        <v>4</v>
      </c>
      <c r="AE23" s="33">
        <f>IFERROR(INDEX('[1]Sales per type Agustus'!$D$10:$BA$52,MATCH($C23,'[1]Sales per type Agustus'!$B$10:$B$52,0),MATCH("V70",'[1]Sales per type Agustus'!$D$8:$BA$8,0)),0)</f>
        <v>2</v>
      </c>
      <c r="AF23" s="33">
        <f t="shared" si="8"/>
        <v>2</v>
      </c>
      <c r="AG23" s="33" cm="1">
        <f t="array" ref="AG23">IFERROR(INDEX('[1]SALES PERTYPE'!$D$10:$BA$53,MATCH($C23,'[1]SALES PERTYPE'!$B$10:$B$53,0),MATCH("V70",'[1]SALES PERTYPE'!$D$8:$BA$8,0)+1),0)</f>
        <v>39996000</v>
      </c>
      <c r="AH23" s="33" cm="1">
        <f t="array" ref="AH23">IFERROR(INDEX('[1]Sales per type Agustus'!$D$10:$BA$52,MATCH($C23,'[1]Sales per type Agustus'!$B$10:$B$52,0),MATCH("V70",'[1]Sales per type Agustus'!$D$8:$BA$8,0)+1),0)</f>
        <v>19998000</v>
      </c>
      <c r="AI23" s="33">
        <f t="shared" si="9"/>
        <v>19998000</v>
      </c>
      <c r="AJ23" s="33">
        <f>IFERROR(INDEX('[1]SALES PERTYPE'!$D$10:$BA$53,MATCH($C23,'[1]SALES PERTYPE'!$B$10:$B$53,0),MATCH("Y31d Pro",'[1]SALES PERTYPE'!$D$8:$BA$8,0)),0)</f>
        <v>12</v>
      </c>
      <c r="AK23" s="33">
        <f>IFERROR(INDEX('[1]Sales per type Agustus'!$D$10:$BA$52,MATCH($C23,'[1]Sales per type Agustus'!$B$10:$B$52,0),MATCH("Y31d Pro",'[1]Sales per type Agustus'!$D$8:$BA$8,0)),0)</f>
        <v>14</v>
      </c>
      <c r="AL23" s="33">
        <f t="shared" si="10"/>
        <v>-2</v>
      </c>
      <c r="AM23" s="33" cm="1">
        <f t="array" ref="AM23">IFERROR(INDEX('[1]SALES PERTYPE'!$D$10:$BA$53,MATCH($C23,'[1]SALES PERTYPE'!$B$10:$B$53,0),MATCH("Y31d Pro",'[1]SALES PERTYPE'!$D$8:$BA$8,0)+1),0)</f>
        <v>54388000</v>
      </c>
      <c r="AN23" s="33" cm="1">
        <f t="array" ref="AN23">IFERROR(INDEX('[1]Sales per type Agustus'!$D$10:$BA$52,MATCH($C23,'[1]Sales per type Agustus'!$B$10:$B$52,0),MATCH("Y31d Pro",'[1]Sales per type Agustus'!$D$8:$BA$8,0)+1),0)</f>
        <v>63186000</v>
      </c>
      <c r="AO23" s="33">
        <f t="shared" si="11"/>
        <v>-8798000</v>
      </c>
      <c r="AP23" s="33" cm="1">
        <f t="array" ref="AP23">IFERROR(INDEX('[1]SALES PERTYPE'!$D$10:$BA$53,MATCH($C23,'[1]SALES PERTYPE'!$B$10:$B$53,0),$EI$3),0)</f>
        <v>5</v>
      </c>
      <c r="AQ23" s="33" cm="1">
        <f t="array" ref="AQ23">IFERROR(INDEX('[1]Sales per type Agustus'!$D$10:$BA$52,MATCH($C23,'[1]Sales per type Agustus'!$B$10:$B$52,0),$EI$2),0)</f>
        <v>0</v>
      </c>
      <c r="AR23" s="33">
        <f t="shared" si="12"/>
        <v>5</v>
      </c>
      <c r="AS23" s="33" cm="1">
        <f t="array" ref="AS23">IFERROR(INDEX('[1]SALES PERTYPE'!$D$10:$BA$53,MATCH($C23,'[1]SALES PERTYPE'!$B$10:$B$53,0),$EI$3+1),0)</f>
        <v>16795000</v>
      </c>
      <c r="AT23" s="33" cm="1">
        <f t="array" ref="AT23">IFERROR(INDEX('[1]Sales per type Agustus'!$D$10:$BA$52,MATCH($C23,'[1]Sales per type Agustus'!$B$10:$B$52,0),$EI$2+1),0)</f>
        <v>0</v>
      </c>
      <c r="AU23" s="33">
        <f t="shared" si="13"/>
        <v>16795000</v>
      </c>
      <c r="AV23" s="33">
        <f>IFERROR(INDEX('[1]SALES PERTYPE'!$D$10:$BA$53,MATCH($C23,'[1]SALES PERTYPE'!$B$10:$B$53,0),MATCH("Y31d ",'[1]SALES PERTYPE'!$D$8:$BA$8,0)),0)</f>
        <v>1</v>
      </c>
      <c r="AW23" s="33">
        <f>IFERROR(INDEX('[1]Sales per type Agustus'!$D$10:$BA$52,MATCH($C23,'[1]Sales per type Agustus'!$B$10:$B$52,0),MATCH("Y31d ",'[1]Sales per type Agustus'!$D$8:$BA$8,0)),0)</f>
        <v>2</v>
      </c>
      <c r="AX23" s="33">
        <f t="shared" si="14"/>
        <v>-1</v>
      </c>
      <c r="AY23" s="33" cm="1">
        <f t="array" ref="AY23">IFERROR(INDEX('[1]SALES PERTYPE'!$D$10:$BA$53,MATCH($C23,'[1]SALES PERTYPE'!$B$10:$B$53,0),MATCH("Y31d ",'[1]SALES PERTYPE'!$D$8:$BA$8,0)+1),0)</f>
        <v>3599000</v>
      </c>
      <c r="AZ23" s="33" cm="1">
        <f t="array" ref="AZ23">IFERROR(INDEX('[1]Sales per type Agustus'!$D$10:$BA$52,MATCH($C23,'[1]Sales per type Agustus'!$B$10:$B$52,0),MATCH("Y31d ",'[1]Sales per type Agustus'!$D$8:$BA$8,0)+1),0)</f>
        <v>7198000</v>
      </c>
      <c r="BA23" s="33">
        <f t="shared" si="15"/>
        <v>-3599000</v>
      </c>
      <c r="BB23" s="33">
        <f>IFERROR(INDEX('[1]SALES PERTYPE'!$D$10:$BA$53,MATCH($C23,'[1]SALES PERTYPE'!$B$10:$B$53,0),MATCH("V70 FE",'[1]SALES PERTYPE'!$D$8:$BA$8,0)),0)</f>
        <v>1</v>
      </c>
      <c r="BC23" s="33">
        <f>IFERROR(INDEX('[1]Sales per type Agustus'!$D$10:$BA$52,MATCH($C23,'[1]Sales per type Agustus'!$B$10:$B$52,0),MATCH("V70 FE",'[1]Sales per type Agustus'!$D$8:$BA$8,0)),0)</f>
        <v>7</v>
      </c>
      <c r="BD23" s="33">
        <f t="shared" si="16"/>
        <v>-6</v>
      </c>
      <c r="BE23" s="33" cm="1">
        <f t="array" ref="BE23">IFERROR(INDEX('[1]SALES PERTYPE'!$D$10:$BA$53,MATCH($C23,'[1]SALES PERTYPE'!$B$10:$B$53,0),MATCH("V70 FE",'[1]SALES PERTYPE'!$D$8:$BA$8,0)+1),0)</f>
        <v>7999000</v>
      </c>
      <c r="BF23" s="33" cm="1">
        <f t="array" ref="BF23">IFERROR(INDEX('[1]Sales per type Agustus'!$D$10:$BA$52,MATCH($C23,'[1]Sales per type Agustus'!$B$10:$B$52,0),MATCH("V70 FE",'[1]Sales per type Agustus'!$D$8:$BA$8,0)+1),0)</f>
        <v>55993000</v>
      </c>
      <c r="BG23" s="33">
        <f t="shared" si="17"/>
        <v>-47994000</v>
      </c>
      <c r="BH23" s="33">
        <f>IFERROR(INDEX('[1]SALES PERTYPE'!$D$10:$BA$53,MATCH($C23,'[1]SALES PERTYPE'!$B$10:$B$53,0),MATCH("Y31d",'[1]SALES PERTYPE'!$D$8:$BA$8,0)),0)</f>
        <v>2</v>
      </c>
      <c r="BI23" s="33">
        <f>IFERROR(INDEX('[1]Sales per type Agustus'!$D$10:$BA$52,MATCH($C23,'[1]Sales per type Agustus'!$B$10:$B$52,0),MATCH("Y31d",'[1]Sales per type Agustus'!$D$8:$BA$8,0)),0)</f>
        <v>4</v>
      </c>
      <c r="BJ23" s="33">
        <f t="shared" si="18"/>
        <v>-2</v>
      </c>
      <c r="BK23" s="33" cm="1">
        <f t="array" ref="BK23">IFERROR(INDEX('[1]SALES PERTYPE'!$D$10:$BA$53,MATCH($C23,'[1]SALES PERTYPE'!$B$10:$B$53,0),MATCH("Y31d",'[1]SALES PERTYPE'!$D$8:$BA$8,0)+1),0)</f>
        <v>7198000</v>
      </c>
      <c r="BL23" s="33" cm="1">
        <f t="array" ref="BL23">IFERROR(INDEX('[1]Sales per type Agustus'!$D$10:$BA$52,MATCH($C23,'[1]Sales per type Agustus'!$B$10:$B$52,0),MATCH("Y31d",'[1]Sales per type Agustus'!$D$8:$BA$8,0)+1),0)</f>
        <v>14396000</v>
      </c>
      <c r="BM23" s="33">
        <f t="shared" si="19"/>
        <v>-7198000</v>
      </c>
      <c r="BN23" s="33">
        <f>IFERROR(INDEX('[1]SALES PERTYPE'!$D$10:$BA$53,MATCH($C23,'[1]SALES PERTYPE'!$B$10:$B$53,0),MATCH("Y500",'[1]SALES PERTYPE'!$D$8:$BA$8,0)),0)</f>
        <v>1</v>
      </c>
      <c r="BO23" s="33">
        <f>IFERROR(INDEX('[1]Sales per type Agustus'!$D$10:$BA$52,MATCH($C23,'[1]Sales per type Agustus'!$B$10:$B$52,0),MATCH("Y500",'[1]Sales per type Agustus'!$D$8:$BA$8,0)),0)</f>
        <v>2</v>
      </c>
      <c r="BP23" s="33">
        <f t="shared" si="20"/>
        <v>-1</v>
      </c>
      <c r="BQ23" s="33" cm="1">
        <f t="array" ref="BQ23">IFERROR(INDEX('[1]SALES PERTYPE'!$D$10:$BA$53,MATCH($C23,'[1]SALES PERTYPE'!$B$10:$B$53,0),MATCH("Y500",'[1]SALES PERTYPE'!$D$8:$BA$8,0)+1),0)</f>
        <v>5499000</v>
      </c>
      <c r="BR23" s="33" cm="1">
        <f t="array" ref="BR23">IFERROR(INDEX('[1]Sales per type Agustus'!$D$10:$BA$52,MATCH($C23,'[1]Sales per type Agustus'!$B$10:$B$52,0),MATCH("Y500",'[1]Sales per type Agustus'!$D$8:$BA$8,0)+1),0)</f>
        <v>11798000</v>
      </c>
      <c r="BS23" s="33">
        <f t="shared" si="21"/>
        <v>-6299000</v>
      </c>
      <c r="BT23" s="33">
        <f>IFERROR(INDEX('[1]SALES PERTYPE'!$D$10:$BA$53,MATCH($C23,'[1]SALES PERTYPE'!$B$10:$B$53,0),MATCH("IQOO 15R",'[1]SALES PERTYPE'!$D$8:$BA$8,0)),0)</f>
        <v>0</v>
      </c>
      <c r="BU23" s="33">
        <f>IFERROR(INDEX('[1]Sales per type Agustus'!$D$10:$BA$52,MATCH($C23,'[1]Sales per type Agustus'!$B$10:$B$52,0),MATCH("IQOO 15R",'[1]Sales per type Agustus'!$D$8:$BA$8,0)),0)</f>
        <v>1</v>
      </c>
      <c r="BV23" s="33">
        <f t="shared" si="22"/>
        <v>-1</v>
      </c>
      <c r="BW23" s="33" cm="1">
        <f t="array" ref="BW23">IFERROR(INDEX('[1]SALES PERTYPE'!$D$10:$BA$53,MATCH($C23,'[1]SALES PERTYPE'!$B$10:$B$53,0),MATCH("IQOO 15R",'[1]SALES PERTYPE'!$D$8:$BA$8,0)+1),0)</f>
        <v>0</v>
      </c>
      <c r="BX23" s="33" cm="1">
        <f t="array" ref="BX23">IFERROR(INDEX('[1]Sales per type Agustus'!$D$10:$BA$52,MATCH($C23,'[1]Sales per type Agustus'!$B$10:$B$52,0),MATCH("IQOO 15R",'[1]Sales per type Agustus'!$D$8:$BA$8,0)+1),0)</f>
        <v>11999000</v>
      </c>
      <c r="BY23" s="33">
        <f t="shared" si="23"/>
        <v>-11999000</v>
      </c>
      <c r="BZ23" s="33">
        <f>IFERROR(INDEX('[1]SALES PERTYPE'!$D$10:$BA$53,MATCH($C23,'[1]SALES PERTYPE'!$B$10:$B$53,0),MATCH("V60 Lite",'[1]SALES PERTYPE'!$D$8:$BA$8,0)),0)</f>
        <v>6</v>
      </c>
      <c r="CA23" s="33">
        <f>IFERROR(INDEX('[1]Sales per type Agustus'!$D$10:$BA$52,MATCH($C23,'[1]Sales per type Agustus'!$B$10:$B$52,0),MATCH("V60 Lite",'[1]Sales per type Agustus'!$D$8:$BA$8,0)),0)</f>
        <v>9</v>
      </c>
      <c r="CB23" s="33">
        <f t="shared" si="24"/>
        <v>-3</v>
      </c>
      <c r="CC23" s="33" cm="1">
        <f t="array" ref="CC23">IFERROR(INDEX('[1]SALES PERTYPE'!$D$10:$BA$53,MATCH($C23,'[1]SALES PERTYPE'!$B$10:$B$53,0),MATCH("V60 Lite",'[1]SALES PERTYPE'!$D$8:$BA$8,0)+1),0)</f>
        <v>35394000</v>
      </c>
      <c r="CD23" s="33" cm="1">
        <f t="array" ref="CD23">IFERROR(INDEX('[1]Sales per type Agustus'!$D$10:$BA$52,MATCH($C23,'[1]Sales per type Agustus'!$B$10:$B$52,0),MATCH("V60 Lite",'[1]Sales per type Agustus'!$D$8:$BA$8,0)+1),0)</f>
        <v>51891000</v>
      </c>
      <c r="CE23" s="33">
        <f t="shared" si="25"/>
        <v>-16497000</v>
      </c>
      <c r="CF23" s="33">
        <f>IFERROR(INDEX('[1]SALES PERTYPE'!$D$10:$BA$53,MATCH($C23,'[1]SALES PERTYPE'!$B$10:$B$53,0),MATCH("X300 Ultra",'[1]SALES PERTYPE'!$D$8:$BA$8,0)),0)</f>
        <v>0</v>
      </c>
      <c r="CG23" s="33">
        <f>IFERROR(INDEX('[1]Sales per type Agustus'!$D$10:$BA$52,MATCH($C23,'[1]Sales per type Agustus'!$B$10:$B$52,0),MATCH("X300 Ultra",'[1]Sales per type Agustus'!$D$8:$BA$8,0)),0)</f>
        <v>0</v>
      </c>
      <c r="CH23" s="33">
        <f t="shared" si="26"/>
        <v>0</v>
      </c>
      <c r="CI23" s="33" cm="1">
        <f t="array" ref="CI23">IFERROR(INDEX('[1]SALES PERTYPE'!$D$10:$BA$53,MATCH($C23,'[1]SALES PERTYPE'!$B$10:$B$53,0),MATCH("X300 Ultra",'[1]SALES PERTYPE'!$D$8:$BA$8,0)+1),0)</f>
        <v>0</v>
      </c>
      <c r="CJ23" s="33" cm="1">
        <f t="array" ref="CJ23">IFERROR(INDEX('[1]Sales per type Agustus'!$D$10:$BA$52,MATCH($C23,'[1]Sales per type Agustus'!$B$10:$B$52,0),MATCH("X300 Ultra",'[1]Sales per type Agustus'!$D$8:$BA$8,0)+1),0)</f>
        <v>0</v>
      </c>
      <c r="CK23" s="33">
        <f t="shared" si="27"/>
        <v>0</v>
      </c>
      <c r="CL23" s="33">
        <f>IFERROR(INDEX('[1]SALES PERTYPE'!$D$10:$BA$53,MATCH($C23,'[1]SALES PERTYPE'!$B$10:$B$53,0),MATCH("IQOO 15",'[1]SALES PERTYPE'!$D$8:$BA$8,0)),0)</f>
        <v>0</v>
      </c>
      <c r="CM23" s="33">
        <f>IFERROR(INDEX('[1]Sales per type Agustus'!$D$10:$BA$52,MATCH($C23,'[1]Sales per type Agustus'!$B$10:$B$52,0),MATCH("IQOO 15",'[1]Sales per type Agustus'!$D$8:$BA$8,0)),0)</f>
        <v>0</v>
      </c>
      <c r="CN23" s="33">
        <f t="shared" si="28"/>
        <v>0</v>
      </c>
      <c r="CO23" s="33" cm="1">
        <f t="array" ref="CO23">IFERROR(INDEX('[1]SALES PERTYPE'!$D$10:$BA$53,MATCH($C23,'[1]SALES PERTYPE'!$B$10:$B$53,0),MATCH("IQOO 15",'[1]SALES PERTYPE'!$D$8:$BA$8,0)+1),0)</f>
        <v>0</v>
      </c>
      <c r="CP23" s="33" cm="1">
        <f t="array" ref="CP23">IFERROR(INDEX('[1]Sales per type Agustus'!$D$10:$BA$52,MATCH($C23,'[1]Sales per type Agustus'!$B$10:$B$52,0),MATCH("IQOO 15",'[1]Sales per type Agustus'!$D$8:$BA$8,0)+1),0)</f>
        <v>0</v>
      </c>
      <c r="CQ23" s="33">
        <f t="shared" si="29"/>
        <v>0</v>
      </c>
      <c r="CR23" s="33">
        <f>IFERROR(INDEX('[1]SALES PERTYPE'!$D$10:$BA$53,MATCH($C23,'[1]SALES PERTYPE'!$B$10:$B$53,0),MATCH("IQOO Z11x",'[1]SALES PERTYPE'!$D$8:$BA$8,0)),0)</f>
        <v>7</v>
      </c>
      <c r="CS23" s="33">
        <f>IFERROR(INDEX('[1]Sales per type Agustus'!$D$10:$BA$52,MATCH($C23,'[1]Sales per type Agustus'!$B$10:$B$52,0),MATCH("IQOO Z11x",'[1]Sales per type Agustus'!$D$8:$BA$8,0)),0)</f>
        <v>3</v>
      </c>
      <c r="CT23" s="33">
        <f t="shared" si="30"/>
        <v>4</v>
      </c>
      <c r="CU23" s="33" cm="1">
        <f t="array" ref="CU23">IFERROR(INDEX('[1]SALES PERTYPE'!$D$10:$BA$53,MATCH($C23,'[1]SALES PERTYPE'!$B$10:$B$53,0),MATCH("IQOO Z11x",'[1]SALES PERTYPE'!$D$8:$BA$8,0)+1),0)</f>
        <v>33593000</v>
      </c>
      <c r="CV23" s="33" cm="1">
        <f t="array" ref="CV23">IFERROR(INDEX('[1]Sales per type Agustus'!$D$10:$BA$52,MATCH($C23,'[1]Sales per type Agustus'!$B$10:$B$52,0),MATCH("IQOO Z11x",'[1]Sales per type Agustus'!$D$8:$BA$8,0)+1),0)</f>
        <v>17097000</v>
      </c>
      <c r="CW23" s="33">
        <f t="shared" si="31"/>
        <v>16496000</v>
      </c>
      <c r="CX23" s="33">
        <f>IFERROR(INDEX('[1]SALES PERTYPE'!$D$10:$BA$53,MATCH($C23,'[1]SALES PERTYPE'!$B$10:$B$53,0),MATCH("IQOO Z11",'[1]SALES PERTYPE'!$D$8:$BA$8,0)),0)</f>
        <v>6</v>
      </c>
      <c r="CY23" s="33">
        <f>IFERROR(INDEX('[1]Sales per type Agustus'!$D$10:$BA$52,MATCH($C23,'[1]Sales per type Agustus'!$B$10:$B$52,0),MATCH("IQOO Z11",'[1]Sales per type Agustus'!$D$8:$BA$8,0)),0)</f>
        <v>2</v>
      </c>
      <c r="CZ23" s="33">
        <f t="shared" si="32"/>
        <v>4</v>
      </c>
      <c r="DA23" s="33" cm="1">
        <f t="array" ref="DA23">IFERROR(INDEX('[1]SALES PERTYPE'!$D$10:$BA$53,MATCH($C23,'[1]SALES PERTYPE'!$B$10:$B$53,0),MATCH("IQOO Z11",'[1]SALES PERTYPE'!$D$8:$BA$8,0)+1),0)</f>
        <v>45894000</v>
      </c>
      <c r="DB23" s="33" cm="1">
        <f t="array" ref="DB23">IFERROR(INDEX('[1]Sales per type Agustus'!$D$10:$BA$52,MATCH($C23,'[1]Sales per type Agustus'!$B$10:$B$52,0),MATCH("IQOO Z11",'[1]Sales per type Agustus'!$D$8:$BA$8,0)+1),0)</f>
        <v>13798000</v>
      </c>
      <c r="DC23" s="33">
        <f t="shared" si="33"/>
        <v>32096000</v>
      </c>
      <c r="DD23" s="33">
        <f>IFERROR(INDEX('[1]SALES PERTYPE'!$D$10:$BA$53,MATCH($C23,'[1]SALES PERTYPE'!$B$10:$B$53,0),MATCH("WATCH 3",'[1]SALES PERTYPE'!$D$8:$BA$8,0)),0)</f>
        <v>0</v>
      </c>
      <c r="DE23" s="33">
        <f>IFERROR(INDEX('[1]Sales per type Agustus'!$D$10:$BA$52,MATCH($C23,'[1]Sales per type Agustus'!$B$10:$B$52,0),MATCH("WATCH 3",'[1]Sales per type Agustus'!$D$8:$BA$8,0)),0)</f>
        <v>0</v>
      </c>
      <c r="DF23" s="33">
        <f t="shared" si="34"/>
        <v>0</v>
      </c>
      <c r="DG23" s="33" cm="1">
        <f t="array" ref="DG23">IFERROR(INDEX('[1]SALES PERTYPE'!$D$10:$BA$53,MATCH($C23,'[1]SALES PERTYPE'!$B$10:$B$53,0),MATCH("WATCH 3",'[1]SALES PERTYPE'!$D$8:$BA$8,0)+1),0)</f>
        <v>0</v>
      </c>
      <c r="DH23" s="33" cm="1">
        <f t="array" ref="DH23">IFERROR(INDEX('[1]Sales per type Agustus'!$D$10:$BA$52,MATCH($C23,'[1]Sales per type Agustus'!$B$10:$B$52,0),MATCH("WATCH 3",'[1]Sales per type Agustus'!$D$8:$BA$8,0)+1),0)</f>
        <v>0</v>
      </c>
      <c r="DI23" s="33">
        <f t="shared" si="35"/>
        <v>0</v>
      </c>
      <c r="DJ23" s="33">
        <f>IFERROR(INDEX('[1]SALES PERTYPE'!$D$10:$BA$53,MATCH($C23,'[1]SALES PERTYPE'!$B$10:$B$53,0),MATCH("X Fold5",'[1]SALES PERTYPE'!$D$8:$BA$8,0)),0)</f>
        <v>0</v>
      </c>
      <c r="DK23" s="33">
        <f>IFERROR(INDEX('[1]Sales per type Agustus'!$D$10:$BA$52,MATCH($C23,'[1]Sales per type Agustus'!$B$10:$B$52,0),MATCH("X Fold5",'[1]Sales per type Agustus'!$D$8:$BA$8,0)),0)</f>
        <v>0</v>
      </c>
      <c r="DL23" s="33">
        <f t="shared" si="36"/>
        <v>0</v>
      </c>
      <c r="DM23" s="33" cm="1">
        <f t="array" ref="DM23">IFERROR(INDEX('[1]SALES PERTYPE'!$D$10:$BA$53,MATCH($C23,'[1]SALES PERTYPE'!$B$10:$B$53,0),MATCH("X Fold5",'[1]SALES PERTYPE'!$D$8:$BA$8,0)+1),0)</f>
        <v>0</v>
      </c>
      <c r="DN23" s="33" cm="1">
        <f t="array" ref="DN23">IFERROR(INDEX('[1]Sales per type Agustus'!$D$10:$BA$52,MATCH($C23,'[1]Sales per type Agustus'!$B$10:$B$52,0),MATCH("X Fold5",'[1]Sales per type Agustus'!$D$8:$BA$8,0)+1),0)</f>
        <v>0</v>
      </c>
      <c r="DO23" s="33">
        <f t="shared" si="37"/>
        <v>0</v>
      </c>
      <c r="DP23" s="33">
        <f>IFERROR(INDEX('[1]SALES PERTYPE'!$D$10:$BA$53,MATCH($C23,'[1]SALES PERTYPE'!$B$10:$B$53,0),MATCH("X300 PRO",'[1]SALES PERTYPE'!$D$8:$BA$8,0)),0)</f>
        <v>0</v>
      </c>
      <c r="DQ23" s="33">
        <f>IFERROR(INDEX('[1]Sales per type Agustus'!$D$10:$BA$52,MATCH($C23,'[1]Sales per type Agustus'!$B$10:$B$52,0),MATCH("X300 PRO",'[1]Sales per type Agustus'!$D$8:$BA$8,0)),0)</f>
        <v>0</v>
      </c>
      <c r="DR23" s="33">
        <f t="shared" si="38"/>
        <v>0</v>
      </c>
      <c r="DS23" s="33" cm="1">
        <f t="array" ref="DS23">IFERROR(INDEX('[1]SALES PERTYPE'!$D$10:$BA$53,MATCH($C23,'[1]SALES PERTYPE'!$B$10:$B$53,0),MATCH("X300 PRO",'[1]SALES PERTYPE'!$D$8:$BA$8,0)+1),0)</f>
        <v>0</v>
      </c>
      <c r="DT23" s="33" cm="1">
        <f t="array" ref="DT23">IFERROR(INDEX('[1]Sales per type Agustus'!$D$10:$BA$52,MATCH($C23,'[1]Sales per type Agustus'!$B$10:$B$52,0),MATCH("X300 PRO",'[1]Sales per type Agustus'!$D$8:$BA$8,0)+1),0)</f>
        <v>0</v>
      </c>
      <c r="DU23" s="33">
        <f t="shared" si="39"/>
        <v>0</v>
      </c>
      <c r="DV23" s="33">
        <f>IFERROR(INDEX('[1]SALES PERTYPE'!$D$10:$BA$53,MATCH($C23,'[1]SALES PERTYPE'!$B$10:$B$53,0),MATCH("X300 ",'[1]SALES PERTYPE'!$D$8:$BA$8,0)),0)</f>
        <v>0</v>
      </c>
      <c r="DW23" s="33">
        <f>IFERROR(INDEX('[1]Sales per type Agustus'!$D$10:$BA$52,MATCH($C23,'[1]Sales per type Agustus'!$B$10:$B$52,0),MATCH("X300 ",'[1]Sales per type Agustus'!$D$8:$BA$8,0)),0)</f>
        <v>0</v>
      </c>
      <c r="DX23" s="33">
        <f t="shared" si="40"/>
        <v>0</v>
      </c>
      <c r="DY23" s="33" cm="1">
        <f t="array" ref="DY23">IFERROR(INDEX('[1]SALES PERTYPE'!$D$10:$BA$53,MATCH($C23,'[1]SALES PERTYPE'!$B$10:$B$53,0),MATCH("X300 ",'[1]SALES PERTYPE'!$D$8:$BA$8,0)+1),0)</f>
        <v>0</v>
      </c>
      <c r="DZ23" s="33" cm="1">
        <f t="array" ref="DZ23">IFERROR(INDEX('[1]Sales per type Agustus'!$D$10:$BA$52,MATCH($C23,'[1]Sales per type Agustus'!$B$10:$B$52,0),MATCH("X300 ",'[1]Sales per type Agustus'!$D$8:$BA$8,0)+1),0)</f>
        <v>0</v>
      </c>
      <c r="EA23" s="33">
        <f t="shared" si="41"/>
        <v>0</v>
      </c>
      <c r="EB23" s="33">
        <f t="shared" si="42"/>
        <v>81</v>
      </c>
      <c r="EC23" s="33">
        <f t="shared" si="42"/>
        <v>100</v>
      </c>
      <c r="ED23" s="33">
        <f t="shared" si="43"/>
        <v>-19</v>
      </c>
      <c r="EE23" s="33">
        <f t="shared" si="44"/>
        <v>339419000</v>
      </c>
      <c r="EF23" s="33">
        <f t="shared" si="44"/>
        <v>396900000</v>
      </c>
      <c r="EG23" s="33">
        <f t="shared" si="45"/>
        <v>-57481000</v>
      </c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</row>
    <row r="24" spans="1:184" ht="16" x14ac:dyDescent="0.2">
      <c r="A24" s="214">
        <f>'[1]ACHIEVEMENT STORE'!A24</f>
        <v>20</v>
      </c>
      <c r="B24" s="215" t="str">
        <f>'[1]ACHIEVEMENT STORE'!B24</f>
        <v>618 茂物 BOGOR</v>
      </c>
      <c r="C24" s="214">
        <f>'[1]ACHIEVEMENT STORE'!C24</f>
        <v>6180707</v>
      </c>
      <c r="D24" s="215" t="str">
        <f>'[1]ACHIEVEMENT STORE'!D24</f>
        <v>6180707-BTM SC VIVO STORE</v>
      </c>
      <c r="E24" s="215" t="str">
        <f>'[1]ACHIEVEMENT STORE'!E24</f>
        <v>DANDI SURYA</v>
      </c>
      <c r="F24" s="33">
        <f>IFERROR(INDEX('[1]SALES PERTYPE'!$D$10:$BA$53,MATCH($C24,'[1]SALES PERTYPE'!$B$10:$B$53,0),MATCH("Y05",'[1]SALES PERTYPE'!$D$8:$BA$8,0)),0)</f>
        <v>6</v>
      </c>
      <c r="G24" s="33">
        <f>IFERROR(INDEX('[1]Sales per type Agustus'!$D$10:$BA$52,MATCH($C24,'[1]Sales per type Agustus'!$B$10:$B$52,0),MATCH("Y05",'[1]Sales per type Agustus'!$D$8:$BA$8,0)),0)</f>
        <v>4</v>
      </c>
      <c r="H24" s="33">
        <f t="shared" si="0"/>
        <v>2</v>
      </c>
      <c r="I24" s="33" cm="1">
        <f t="array" ref="I24">IFERROR(INDEX('[1]SALES PERTYPE'!$D$10:$BA$53,MATCH($C24,'[1]SALES PERTYPE'!$B$10:$B$53,0),MATCH("Y05",'[1]SALES PERTYPE'!$D$8:$BA$8,0)+1),0)</f>
        <v>14694000</v>
      </c>
      <c r="J24" s="33" cm="1">
        <f t="array" ref="J24">IFERROR(INDEX('[1]Sales per type Agustus'!$D$10:$BA$52,MATCH($C24,'[1]Sales per type Agustus'!$B$10:$B$52,0),MATCH("Y05",'[1]Sales per type Agustus'!$D$8:$BA$8,0)+1),0)</f>
        <v>9796000</v>
      </c>
      <c r="K24" s="33">
        <f t="shared" si="1"/>
        <v>4898000</v>
      </c>
      <c r="L24" s="33">
        <f>IFERROR(INDEX('[1]SALES PERTYPE'!$D$10:$BA$53,MATCH($C24,'[1]SALES PERTYPE'!$B$10:$B$53,0),MATCH("Y11d",'[1]SALES PERTYPE'!$D$8:$BA$8,0)),0)</f>
        <v>3</v>
      </c>
      <c r="M24" s="33">
        <f>IFERROR(INDEX('[1]Sales per type Agustus'!$D$10:$BA$52,MATCH($C24,'[1]Sales per type Agustus'!$B$10:$B$52,0),MATCH("Y11d",'[1]Sales per type Agustus'!$D$8:$BA$8,0)),0)</f>
        <v>6</v>
      </c>
      <c r="N24" s="33">
        <f t="shared" si="2"/>
        <v>-3</v>
      </c>
      <c r="O24" s="33" cm="1">
        <f t="array" ref="O24">IFERROR(INDEX('[1]SALES PERTYPE'!$D$10:$BA$53,MATCH($C24,'[1]SALES PERTYPE'!$B$10:$B$53,0),MATCH("Y11d",'[1]SALES PERTYPE'!$D$8:$BA$8,0)+1),0)</f>
        <v>8397000</v>
      </c>
      <c r="P24" s="33" cm="1">
        <f t="array" ref="P24">IFERROR(INDEX('[1]Sales per type Agustus'!$D$10:$BA$52,MATCH($C24,'[1]Sales per type Agustus'!$B$10:$B$52,0),MATCH("Y11d",'[1]Sales per type Agustus'!$D$8:$BA$8,0)+1),0)</f>
        <v>15594000</v>
      </c>
      <c r="Q24" s="33">
        <f t="shared" si="3"/>
        <v>-7197000</v>
      </c>
      <c r="R24" s="33">
        <f>IFERROR(INDEX('[1]SALES PERTYPE'!$D$10:$BA$53,MATCH($C24,'[1]SALES PERTYPE'!$B$10:$B$53,0),MATCH("Watch GT 2",'[1]SALES PERTYPE'!$D$8:$BA$8,0)),0)</f>
        <v>0</v>
      </c>
      <c r="S24" s="33">
        <f>IFERROR(INDEX('[1]Sales per type Agustus'!$D$10:$BA$52,MATCH($C24,'[1]Sales per type Agustus'!$B$10:$B$52,0),MATCH("Watch GT 2",'[1]Sales per type Agustus'!$D$8:$BA$8,0)),0)</f>
        <v>0</v>
      </c>
      <c r="T24" s="33">
        <f t="shared" si="4"/>
        <v>0</v>
      </c>
      <c r="U24" s="33" cm="1">
        <f t="array" ref="U24">IFERROR(INDEX('[1]SALES PERTYPE'!$D$10:$BA$53,MATCH($C24,'[1]SALES PERTYPE'!$B$10:$B$53,0),MATCH("Watch GT 2",'[1]SALES PERTYPE'!$D$8:$BA$8,0)+1),0)</f>
        <v>0</v>
      </c>
      <c r="V24" s="33" cm="1">
        <f t="array" ref="V24">IFERROR(INDEX('[1]Sales per type Agustus'!$D$10:$BA$52,MATCH($C24,'[1]Sales per type Agustus'!$B$10:$B$52,0),MATCH("Watch GT 2",'[1]Sales per type Agustus'!$D$8:$BA$8,0)+1),0)</f>
        <v>0</v>
      </c>
      <c r="W24" s="33">
        <f t="shared" si="5"/>
        <v>0</v>
      </c>
      <c r="X24" s="33">
        <f>IFERROR(INDEX('[1]SALES PERTYPE'!$D$10:$BA$53,MATCH($C24,'[1]SALES PERTYPE'!$B$10:$B$53,0),MATCH("Y05e",'[1]SALES PERTYPE'!$D$8:$BA$8,0)),0)</f>
        <v>2</v>
      </c>
      <c r="Y24" s="33">
        <f>IFERROR(INDEX('[1]Sales per type Agustus'!$D$10:$BA$52,MATCH($C24,'[1]Sales per type Agustus'!$B$10:$B$52,0),MATCH("Y05e",'[1]Sales per type Agustus'!$D$8:$BA$8,0)),0)</f>
        <v>1</v>
      </c>
      <c r="Z24" s="33">
        <f t="shared" si="6"/>
        <v>1</v>
      </c>
      <c r="AA24" s="33" cm="1">
        <f t="array" ref="AA24">IFERROR(INDEX('[1]SALES PERTYPE'!$D$10:$BA$53,MATCH($C24,'[1]SALES PERTYPE'!$B$10:$B$53,0),MATCH("Y05e",'[1]SALES PERTYPE'!$D$8:$BA$8,0)+1),0)</f>
        <v>4398000</v>
      </c>
      <c r="AB24" s="33" cm="1">
        <f t="array" ref="AB24">IFERROR(INDEX('[1]Sales per type Agustus'!$D$10:$BA$52,MATCH($C24,'[1]Sales per type Agustus'!$B$10:$B$52,0),MATCH("Y05e",'[1]Sales per type Agustus'!$D$8:$BA$8,0)+1),0)</f>
        <v>2099000</v>
      </c>
      <c r="AC24" s="33">
        <f t="shared" si="7"/>
        <v>2299000</v>
      </c>
      <c r="AD24" s="33">
        <f>IFERROR(INDEX('[1]SALES PERTYPE'!$D$10:$BA$53,MATCH($C24,'[1]SALES PERTYPE'!$B$10:$B$53,0),MATCH("V70",'[1]SALES PERTYPE'!$D$8:$BA$8,0)),0)</f>
        <v>2</v>
      </c>
      <c r="AE24" s="33">
        <f>IFERROR(INDEX('[1]Sales per type Agustus'!$D$10:$BA$52,MATCH($C24,'[1]Sales per type Agustus'!$B$10:$B$52,0),MATCH("V70",'[1]Sales per type Agustus'!$D$8:$BA$8,0)),0)</f>
        <v>0</v>
      </c>
      <c r="AF24" s="33">
        <f t="shared" si="8"/>
        <v>2</v>
      </c>
      <c r="AG24" s="33" cm="1">
        <f t="array" ref="AG24">IFERROR(INDEX('[1]SALES PERTYPE'!$D$10:$BA$53,MATCH($C24,'[1]SALES PERTYPE'!$B$10:$B$53,0),MATCH("V70",'[1]SALES PERTYPE'!$D$8:$BA$8,0)+1),0)</f>
        <v>19998000</v>
      </c>
      <c r="AH24" s="33" cm="1">
        <f t="array" ref="AH24">IFERROR(INDEX('[1]Sales per type Agustus'!$D$10:$BA$52,MATCH($C24,'[1]Sales per type Agustus'!$B$10:$B$52,0),MATCH("V70",'[1]Sales per type Agustus'!$D$8:$BA$8,0)+1),0)</f>
        <v>0</v>
      </c>
      <c r="AI24" s="33">
        <f t="shared" si="9"/>
        <v>19998000</v>
      </c>
      <c r="AJ24" s="33">
        <f>IFERROR(INDEX('[1]SALES PERTYPE'!$D$10:$BA$53,MATCH($C24,'[1]SALES PERTYPE'!$B$10:$B$53,0),MATCH("Y31d Pro",'[1]SALES PERTYPE'!$D$8:$BA$8,0)),0)</f>
        <v>3</v>
      </c>
      <c r="AK24" s="33">
        <f>IFERROR(INDEX('[1]Sales per type Agustus'!$D$10:$BA$52,MATCH($C24,'[1]Sales per type Agustus'!$B$10:$B$52,0),MATCH("Y31d Pro",'[1]Sales per type Agustus'!$D$8:$BA$8,0)),0)</f>
        <v>2</v>
      </c>
      <c r="AL24" s="33">
        <f t="shared" si="10"/>
        <v>1</v>
      </c>
      <c r="AM24" s="33" cm="1">
        <f t="array" ref="AM24">IFERROR(INDEX('[1]SALES PERTYPE'!$D$10:$BA$53,MATCH($C24,'[1]SALES PERTYPE'!$B$10:$B$53,0),MATCH("Y31d Pro",'[1]SALES PERTYPE'!$D$8:$BA$8,0)+1),0)</f>
        <v>13497000</v>
      </c>
      <c r="AN24" s="33" cm="1">
        <f t="array" ref="AN24">IFERROR(INDEX('[1]Sales per type Agustus'!$D$10:$BA$52,MATCH($C24,'[1]Sales per type Agustus'!$B$10:$B$52,0),MATCH("Y31d Pro",'[1]Sales per type Agustus'!$D$8:$BA$8,0)+1),0)</f>
        <v>9798000</v>
      </c>
      <c r="AO24" s="33">
        <f t="shared" si="11"/>
        <v>3699000</v>
      </c>
      <c r="AP24" s="33" cm="1">
        <f t="array" ref="AP24">IFERROR(INDEX('[1]SALES PERTYPE'!$D$10:$BA$53,MATCH($C24,'[1]SALES PERTYPE'!$B$10:$B$53,0),$EI$3),0)</f>
        <v>2</v>
      </c>
      <c r="AQ24" s="33" cm="1">
        <f t="array" ref="AQ24">IFERROR(INDEX('[1]Sales per type Agustus'!$D$10:$BA$52,MATCH($C24,'[1]Sales per type Agustus'!$B$10:$B$52,0),$EI$2),0)</f>
        <v>0</v>
      </c>
      <c r="AR24" s="33">
        <f t="shared" si="12"/>
        <v>2</v>
      </c>
      <c r="AS24" s="33" cm="1">
        <f t="array" ref="AS24">IFERROR(INDEX('[1]SALES PERTYPE'!$D$10:$BA$53,MATCH($C24,'[1]SALES PERTYPE'!$B$10:$B$53,0),$EI$3+1),0)</f>
        <v>6598000</v>
      </c>
      <c r="AT24" s="33" cm="1">
        <f t="array" ref="AT24">IFERROR(INDEX('[1]Sales per type Agustus'!$D$10:$BA$52,MATCH($C24,'[1]Sales per type Agustus'!$B$10:$B$52,0),$EI$2+1),0)</f>
        <v>0</v>
      </c>
      <c r="AU24" s="33">
        <f t="shared" si="13"/>
        <v>6598000</v>
      </c>
      <c r="AV24" s="33">
        <f>IFERROR(INDEX('[1]SALES PERTYPE'!$D$10:$BA$53,MATCH($C24,'[1]SALES PERTYPE'!$B$10:$B$53,0),MATCH("Y31d ",'[1]SALES PERTYPE'!$D$8:$BA$8,0)),0)</f>
        <v>1</v>
      </c>
      <c r="AW24" s="33">
        <f>IFERROR(INDEX('[1]Sales per type Agustus'!$D$10:$BA$52,MATCH($C24,'[1]Sales per type Agustus'!$B$10:$B$52,0),MATCH("Y31d ",'[1]Sales per type Agustus'!$D$8:$BA$8,0)),0)</f>
        <v>1</v>
      </c>
      <c r="AX24" s="33">
        <f t="shared" si="14"/>
        <v>0</v>
      </c>
      <c r="AY24" s="33" cm="1">
        <f t="array" ref="AY24">IFERROR(INDEX('[1]SALES PERTYPE'!$D$10:$BA$53,MATCH($C24,'[1]SALES PERTYPE'!$B$10:$B$53,0),MATCH("Y31d ",'[1]SALES PERTYPE'!$D$8:$BA$8,0)+1),0)</f>
        <v>3599000</v>
      </c>
      <c r="AZ24" s="33" cm="1">
        <f t="array" ref="AZ24">IFERROR(INDEX('[1]Sales per type Agustus'!$D$10:$BA$52,MATCH($C24,'[1]Sales per type Agustus'!$B$10:$B$52,0),MATCH("Y31d ",'[1]Sales per type Agustus'!$D$8:$BA$8,0)+1),0)</f>
        <v>3599000</v>
      </c>
      <c r="BA24" s="33">
        <f t="shared" si="15"/>
        <v>0</v>
      </c>
      <c r="BB24" s="33">
        <f>IFERROR(INDEX('[1]SALES PERTYPE'!$D$10:$BA$53,MATCH($C24,'[1]SALES PERTYPE'!$B$10:$B$53,0),MATCH("V70 FE",'[1]SALES PERTYPE'!$D$8:$BA$8,0)),0)</f>
        <v>0</v>
      </c>
      <c r="BC24" s="33">
        <f>IFERROR(INDEX('[1]Sales per type Agustus'!$D$10:$BA$52,MATCH($C24,'[1]Sales per type Agustus'!$B$10:$B$52,0),MATCH("V70 FE",'[1]Sales per type Agustus'!$D$8:$BA$8,0)),0)</f>
        <v>3</v>
      </c>
      <c r="BD24" s="33">
        <f t="shared" si="16"/>
        <v>-3</v>
      </c>
      <c r="BE24" s="33" cm="1">
        <f t="array" ref="BE24">IFERROR(INDEX('[1]SALES PERTYPE'!$D$10:$BA$53,MATCH($C24,'[1]SALES PERTYPE'!$B$10:$B$53,0),MATCH("V70 FE",'[1]SALES PERTYPE'!$D$8:$BA$8,0)+1),0)</f>
        <v>0</v>
      </c>
      <c r="BF24" s="33" cm="1">
        <f t="array" ref="BF24">IFERROR(INDEX('[1]Sales per type Agustus'!$D$10:$BA$52,MATCH($C24,'[1]Sales per type Agustus'!$B$10:$B$52,0),MATCH("V70 FE",'[1]Sales per type Agustus'!$D$8:$BA$8,0)+1),0)</f>
        <v>21997000</v>
      </c>
      <c r="BG24" s="33">
        <f t="shared" si="17"/>
        <v>-21997000</v>
      </c>
      <c r="BH24" s="33">
        <f>IFERROR(INDEX('[1]SALES PERTYPE'!$D$10:$BA$53,MATCH($C24,'[1]SALES PERTYPE'!$B$10:$B$53,0),MATCH("Y31d",'[1]SALES PERTYPE'!$D$8:$BA$8,0)),0)</f>
        <v>1</v>
      </c>
      <c r="BI24" s="33">
        <f>IFERROR(INDEX('[1]Sales per type Agustus'!$D$10:$BA$52,MATCH($C24,'[1]Sales per type Agustus'!$B$10:$B$52,0),MATCH("Y31d",'[1]Sales per type Agustus'!$D$8:$BA$8,0)),0)</f>
        <v>2</v>
      </c>
      <c r="BJ24" s="33">
        <f t="shared" si="18"/>
        <v>-1</v>
      </c>
      <c r="BK24" s="33" cm="1">
        <f t="array" ref="BK24">IFERROR(INDEX('[1]SALES PERTYPE'!$D$10:$BA$53,MATCH($C24,'[1]SALES PERTYPE'!$B$10:$B$53,0),MATCH("Y31d",'[1]SALES PERTYPE'!$D$8:$BA$8,0)+1),0)</f>
        <v>3599000</v>
      </c>
      <c r="BL24" s="33" cm="1">
        <f t="array" ref="BL24">IFERROR(INDEX('[1]Sales per type Agustus'!$D$10:$BA$52,MATCH($C24,'[1]Sales per type Agustus'!$B$10:$B$52,0),MATCH("Y31d",'[1]Sales per type Agustus'!$D$8:$BA$8,0)+1),0)</f>
        <v>7198000</v>
      </c>
      <c r="BM24" s="33">
        <f t="shared" si="19"/>
        <v>-3599000</v>
      </c>
      <c r="BN24" s="33">
        <f>IFERROR(INDEX('[1]SALES PERTYPE'!$D$10:$BA$53,MATCH($C24,'[1]SALES PERTYPE'!$B$10:$B$53,0),MATCH("Y500",'[1]SALES PERTYPE'!$D$8:$BA$8,0)),0)</f>
        <v>2</v>
      </c>
      <c r="BO24" s="33">
        <f>IFERROR(INDEX('[1]Sales per type Agustus'!$D$10:$BA$52,MATCH($C24,'[1]Sales per type Agustus'!$B$10:$B$52,0),MATCH("Y500",'[1]Sales per type Agustus'!$D$8:$BA$8,0)),0)</f>
        <v>3</v>
      </c>
      <c r="BP24" s="33">
        <f t="shared" si="20"/>
        <v>-1</v>
      </c>
      <c r="BQ24" s="33" cm="1">
        <f t="array" ref="BQ24">IFERROR(INDEX('[1]SALES PERTYPE'!$D$10:$BA$53,MATCH($C24,'[1]SALES PERTYPE'!$B$10:$B$53,0),MATCH("Y500",'[1]SALES PERTYPE'!$D$8:$BA$8,0)+1),0)</f>
        <v>11798000</v>
      </c>
      <c r="BR24" s="33" cm="1">
        <f t="array" ref="BR24">IFERROR(INDEX('[1]Sales per type Agustus'!$D$10:$BA$52,MATCH($C24,'[1]Sales per type Agustus'!$B$10:$B$52,0),MATCH("Y500",'[1]Sales per type Agustus'!$D$8:$BA$8,0)+1),0)</f>
        <v>17297000</v>
      </c>
      <c r="BS24" s="33">
        <f t="shared" si="21"/>
        <v>-5499000</v>
      </c>
      <c r="BT24" s="33">
        <f>IFERROR(INDEX('[1]SALES PERTYPE'!$D$10:$BA$53,MATCH($C24,'[1]SALES PERTYPE'!$B$10:$B$53,0),MATCH("IQOO 15R",'[1]SALES PERTYPE'!$D$8:$BA$8,0)),0)</f>
        <v>0</v>
      </c>
      <c r="BU24" s="33">
        <f>IFERROR(INDEX('[1]Sales per type Agustus'!$D$10:$BA$52,MATCH($C24,'[1]Sales per type Agustus'!$B$10:$B$52,0),MATCH("IQOO 15R",'[1]Sales per type Agustus'!$D$8:$BA$8,0)),0)</f>
        <v>0</v>
      </c>
      <c r="BV24" s="33">
        <f t="shared" si="22"/>
        <v>0</v>
      </c>
      <c r="BW24" s="33" cm="1">
        <f t="array" ref="BW24">IFERROR(INDEX('[1]SALES PERTYPE'!$D$10:$BA$53,MATCH($C24,'[1]SALES PERTYPE'!$B$10:$B$53,0),MATCH("IQOO 15R",'[1]SALES PERTYPE'!$D$8:$BA$8,0)+1),0)</f>
        <v>0</v>
      </c>
      <c r="BX24" s="33" cm="1">
        <f t="array" ref="BX24">IFERROR(INDEX('[1]Sales per type Agustus'!$D$10:$BA$52,MATCH($C24,'[1]Sales per type Agustus'!$B$10:$B$52,0),MATCH("IQOO 15R",'[1]Sales per type Agustus'!$D$8:$BA$8,0)+1),0)</f>
        <v>0</v>
      </c>
      <c r="BY24" s="33">
        <f t="shared" si="23"/>
        <v>0</v>
      </c>
      <c r="BZ24" s="33">
        <f>IFERROR(INDEX('[1]SALES PERTYPE'!$D$10:$BA$53,MATCH($C24,'[1]SALES PERTYPE'!$B$10:$B$53,0),MATCH("V60 Lite",'[1]SALES PERTYPE'!$D$8:$BA$8,0)),0)</f>
        <v>2</v>
      </c>
      <c r="CA24" s="33">
        <f>IFERROR(INDEX('[1]Sales per type Agustus'!$D$10:$BA$52,MATCH($C24,'[1]Sales per type Agustus'!$B$10:$B$52,0),MATCH("V60 Lite",'[1]Sales per type Agustus'!$D$8:$BA$8,0)),0)</f>
        <v>1</v>
      </c>
      <c r="CB24" s="33">
        <f t="shared" si="24"/>
        <v>1</v>
      </c>
      <c r="CC24" s="33" cm="1">
        <f t="array" ref="CC24">IFERROR(INDEX('[1]SALES PERTYPE'!$D$10:$BA$53,MATCH($C24,'[1]SALES PERTYPE'!$B$10:$B$53,0),MATCH("V60 Lite",'[1]SALES PERTYPE'!$D$8:$BA$8,0)+1),0)</f>
        <v>11798000</v>
      </c>
      <c r="CD24" s="33" cm="1">
        <f t="array" ref="CD24">IFERROR(INDEX('[1]Sales per type Agustus'!$D$10:$BA$52,MATCH($C24,'[1]Sales per type Agustus'!$B$10:$B$52,0),MATCH("V60 Lite",'[1]Sales per type Agustus'!$D$8:$BA$8,0)+1),0)</f>
        <v>5899000</v>
      </c>
      <c r="CE24" s="33">
        <f t="shared" si="25"/>
        <v>5899000</v>
      </c>
      <c r="CF24" s="33">
        <f>IFERROR(INDEX('[1]SALES PERTYPE'!$D$10:$BA$53,MATCH($C24,'[1]SALES PERTYPE'!$B$10:$B$53,0),MATCH("X300 Ultra",'[1]SALES PERTYPE'!$D$8:$BA$8,0)),0)</f>
        <v>0</v>
      </c>
      <c r="CG24" s="33">
        <f>IFERROR(INDEX('[1]Sales per type Agustus'!$D$10:$BA$52,MATCH($C24,'[1]Sales per type Agustus'!$B$10:$B$52,0),MATCH("X300 Ultra",'[1]Sales per type Agustus'!$D$8:$BA$8,0)),0)</f>
        <v>0</v>
      </c>
      <c r="CH24" s="33">
        <f t="shared" si="26"/>
        <v>0</v>
      </c>
      <c r="CI24" s="33" cm="1">
        <f t="array" ref="CI24">IFERROR(INDEX('[1]SALES PERTYPE'!$D$10:$BA$53,MATCH($C24,'[1]SALES PERTYPE'!$B$10:$B$53,0),MATCH("X300 Ultra",'[1]SALES PERTYPE'!$D$8:$BA$8,0)+1),0)</f>
        <v>0</v>
      </c>
      <c r="CJ24" s="33" cm="1">
        <f t="array" ref="CJ24">IFERROR(INDEX('[1]Sales per type Agustus'!$D$10:$BA$52,MATCH($C24,'[1]Sales per type Agustus'!$B$10:$B$52,0),MATCH("X300 Ultra",'[1]Sales per type Agustus'!$D$8:$BA$8,0)+1),0)</f>
        <v>0</v>
      </c>
      <c r="CK24" s="33">
        <f t="shared" si="27"/>
        <v>0</v>
      </c>
      <c r="CL24" s="33">
        <f>IFERROR(INDEX('[1]SALES PERTYPE'!$D$10:$BA$53,MATCH($C24,'[1]SALES PERTYPE'!$B$10:$B$53,0),MATCH("IQOO 15",'[1]SALES PERTYPE'!$D$8:$BA$8,0)),0)</f>
        <v>0</v>
      </c>
      <c r="CM24" s="33">
        <f>IFERROR(INDEX('[1]Sales per type Agustus'!$D$10:$BA$52,MATCH($C24,'[1]Sales per type Agustus'!$B$10:$B$52,0),MATCH("IQOO 15",'[1]Sales per type Agustus'!$D$8:$BA$8,0)),0)</f>
        <v>0</v>
      </c>
      <c r="CN24" s="33">
        <f t="shared" si="28"/>
        <v>0</v>
      </c>
      <c r="CO24" s="33" cm="1">
        <f t="array" ref="CO24">IFERROR(INDEX('[1]SALES PERTYPE'!$D$10:$BA$53,MATCH($C24,'[1]SALES PERTYPE'!$B$10:$B$53,0),MATCH("IQOO 15",'[1]SALES PERTYPE'!$D$8:$BA$8,0)+1),0)</f>
        <v>0</v>
      </c>
      <c r="CP24" s="33" cm="1">
        <f t="array" ref="CP24">IFERROR(INDEX('[1]Sales per type Agustus'!$D$10:$BA$52,MATCH($C24,'[1]Sales per type Agustus'!$B$10:$B$52,0),MATCH("IQOO 15",'[1]Sales per type Agustus'!$D$8:$BA$8,0)+1),0)</f>
        <v>0</v>
      </c>
      <c r="CQ24" s="33">
        <f t="shared" si="29"/>
        <v>0</v>
      </c>
      <c r="CR24" s="33">
        <f>IFERROR(INDEX('[1]SALES PERTYPE'!$D$10:$BA$53,MATCH($C24,'[1]SALES PERTYPE'!$B$10:$B$53,0),MATCH("IQOO Z11x",'[1]SALES PERTYPE'!$D$8:$BA$8,0)),0)</f>
        <v>0</v>
      </c>
      <c r="CS24" s="33">
        <f>IFERROR(INDEX('[1]Sales per type Agustus'!$D$10:$BA$52,MATCH($C24,'[1]Sales per type Agustus'!$B$10:$B$52,0),MATCH("IQOO Z11x",'[1]Sales per type Agustus'!$D$8:$BA$8,0)),0)</f>
        <v>0</v>
      </c>
      <c r="CT24" s="33">
        <f t="shared" si="30"/>
        <v>0</v>
      </c>
      <c r="CU24" s="33" cm="1">
        <f t="array" ref="CU24">IFERROR(INDEX('[1]SALES PERTYPE'!$D$10:$BA$53,MATCH($C24,'[1]SALES PERTYPE'!$B$10:$B$53,0),MATCH("IQOO Z11x",'[1]SALES PERTYPE'!$D$8:$BA$8,0)+1),0)</f>
        <v>0</v>
      </c>
      <c r="CV24" s="33" cm="1">
        <f t="array" ref="CV24">IFERROR(INDEX('[1]Sales per type Agustus'!$D$10:$BA$52,MATCH($C24,'[1]Sales per type Agustus'!$B$10:$B$52,0),MATCH("IQOO Z11x",'[1]Sales per type Agustus'!$D$8:$BA$8,0)+1),0)</f>
        <v>0</v>
      </c>
      <c r="CW24" s="33">
        <f t="shared" si="31"/>
        <v>0</v>
      </c>
      <c r="CX24" s="33">
        <f>IFERROR(INDEX('[1]SALES PERTYPE'!$D$10:$BA$53,MATCH($C24,'[1]SALES PERTYPE'!$B$10:$B$53,0),MATCH("IQOO Z11",'[1]SALES PERTYPE'!$D$8:$BA$8,0)),0)</f>
        <v>0</v>
      </c>
      <c r="CY24" s="33">
        <f>IFERROR(INDEX('[1]Sales per type Agustus'!$D$10:$BA$52,MATCH($C24,'[1]Sales per type Agustus'!$B$10:$B$52,0),MATCH("IQOO Z11",'[1]Sales per type Agustus'!$D$8:$BA$8,0)),0)</f>
        <v>0</v>
      </c>
      <c r="CZ24" s="33">
        <f t="shared" si="32"/>
        <v>0</v>
      </c>
      <c r="DA24" s="33" cm="1">
        <f t="array" ref="DA24">IFERROR(INDEX('[1]SALES PERTYPE'!$D$10:$BA$53,MATCH($C24,'[1]SALES PERTYPE'!$B$10:$B$53,0),MATCH("IQOO Z11",'[1]SALES PERTYPE'!$D$8:$BA$8,0)+1),0)</f>
        <v>0</v>
      </c>
      <c r="DB24" s="33" cm="1">
        <f t="array" ref="DB24">IFERROR(INDEX('[1]Sales per type Agustus'!$D$10:$BA$52,MATCH($C24,'[1]Sales per type Agustus'!$B$10:$B$52,0),MATCH("IQOO Z11",'[1]Sales per type Agustus'!$D$8:$BA$8,0)+1),0)</f>
        <v>0</v>
      </c>
      <c r="DC24" s="33">
        <f t="shared" si="33"/>
        <v>0</v>
      </c>
      <c r="DD24" s="33">
        <f>IFERROR(INDEX('[1]SALES PERTYPE'!$D$10:$BA$53,MATCH($C24,'[1]SALES PERTYPE'!$B$10:$B$53,0),MATCH("WATCH 3",'[1]SALES PERTYPE'!$D$8:$BA$8,0)),0)</f>
        <v>0</v>
      </c>
      <c r="DE24" s="33">
        <f>IFERROR(INDEX('[1]Sales per type Agustus'!$D$10:$BA$52,MATCH($C24,'[1]Sales per type Agustus'!$B$10:$B$52,0),MATCH("WATCH 3",'[1]Sales per type Agustus'!$D$8:$BA$8,0)),0)</f>
        <v>0</v>
      </c>
      <c r="DF24" s="33">
        <f t="shared" si="34"/>
        <v>0</v>
      </c>
      <c r="DG24" s="33" cm="1">
        <f t="array" ref="DG24">IFERROR(INDEX('[1]SALES PERTYPE'!$D$10:$BA$53,MATCH($C24,'[1]SALES PERTYPE'!$B$10:$B$53,0),MATCH("WATCH 3",'[1]SALES PERTYPE'!$D$8:$BA$8,0)+1),0)</f>
        <v>0</v>
      </c>
      <c r="DH24" s="33" cm="1">
        <f t="array" ref="DH24">IFERROR(INDEX('[1]Sales per type Agustus'!$D$10:$BA$52,MATCH($C24,'[1]Sales per type Agustus'!$B$10:$B$52,0),MATCH("WATCH 3",'[1]Sales per type Agustus'!$D$8:$BA$8,0)+1),0)</f>
        <v>0</v>
      </c>
      <c r="DI24" s="33">
        <f t="shared" si="35"/>
        <v>0</v>
      </c>
      <c r="DJ24" s="33">
        <f>IFERROR(INDEX('[1]SALES PERTYPE'!$D$10:$BA$53,MATCH($C24,'[1]SALES PERTYPE'!$B$10:$B$53,0),MATCH("X Fold5",'[1]SALES PERTYPE'!$D$8:$BA$8,0)),0)</f>
        <v>0</v>
      </c>
      <c r="DK24" s="33">
        <f>IFERROR(INDEX('[1]Sales per type Agustus'!$D$10:$BA$52,MATCH($C24,'[1]Sales per type Agustus'!$B$10:$B$52,0),MATCH("X Fold5",'[1]Sales per type Agustus'!$D$8:$BA$8,0)),0)</f>
        <v>0</v>
      </c>
      <c r="DL24" s="33">
        <f t="shared" si="36"/>
        <v>0</v>
      </c>
      <c r="DM24" s="33" cm="1">
        <f t="array" ref="DM24">IFERROR(INDEX('[1]SALES PERTYPE'!$D$10:$BA$53,MATCH($C24,'[1]SALES PERTYPE'!$B$10:$B$53,0),MATCH("X Fold5",'[1]SALES PERTYPE'!$D$8:$BA$8,0)+1),0)</f>
        <v>0</v>
      </c>
      <c r="DN24" s="33" cm="1">
        <f t="array" ref="DN24">IFERROR(INDEX('[1]Sales per type Agustus'!$D$10:$BA$52,MATCH($C24,'[1]Sales per type Agustus'!$B$10:$B$52,0),MATCH("X Fold5",'[1]Sales per type Agustus'!$D$8:$BA$8,0)+1),0)</f>
        <v>0</v>
      </c>
      <c r="DO24" s="33">
        <f t="shared" si="37"/>
        <v>0</v>
      </c>
      <c r="DP24" s="33">
        <f>IFERROR(INDEX('[1]SALES PERTYPE'!$D$10:$BA$53,MATCH($C24,'[1]SALES PERTYPE'!$B$10:$B$53,0),MATCH("X300 PRO",'[1]SALES PERTYPE'!$D$8:$BA$8,0)),0)</f>
        <v>0</v>
      </c>
      <c r="DQ24" s="33">
        <f>IFERROR(INDEX('[1]Sales per type Agustus'!$D$10:$BA$52,MATCH($C24,'[1]Sales per type Agustus'!$B$10:$B$52,0),MATCH("X300 PRO",'[1]Sales per type Agustus'!$D$8:$BA$8,0)),0)</f>
        <v>0</v>
      </c>
      <c r="DR24" s="33">
        <f t="shared" si="38"/>
        <v>0</v>
      </c>
      <c r="DS24" s="33" cm="1">
        <f t="array" ref="DS24">IFERROR(INDEX('[1]SALES PERTYPE'!$D$10:$BA$53,MATCH($C24,'[1]SALES PERTYPE'!$B$10:$B$53,0),MATCH("X300 PRO",'[1]SALES PERTYPE'!$D$8:$BA$8,0)+1),0)</f>
        <v>0</v>
      </c>
      <c r="DT24" s="33" cm="1">
        <f t="array" ref="DT24">IFERROR(INDEX('[1]Sales per type Agustus'!$D$10:$BA$52,MATCH($C24,'[1]Sales per type Agustus'!$B$10:$B$52,0),MATCH("X300 PRO",'[1]Sales per type Agustus'!$D$8:$BA$8,0)+1),0)</f>
        <v>0</v>
      </c>
      <c r="DU24" s="33">
        <f t="shared" si="39"/>
        <v>0</v>
      </c>
      <c r="DV24" s="33">
        <f>IFERROR(INDEX('[1]SALES PERTYPE'!$D$10:$BA$53,MATCH($C24,'[1]SALES PERTYPE'!$B$10:$B$53,0),MATCH("X300 ",'[1]SALES PERTYPE'!$D$8:$BA$8,0)),0)</f>
        <v>0</v>
      </c>
      <c r="DW24" s="33">
        <f>IFERROR(INDEX('[1]Sales per type Agustus'!$D$10:$BA$52,MATCH($C24,'[1]Sales per type Agustus'!$B$10:$B$52,0),MATCH("X300 ",'[1]Sales per type Agustus'!$D$8:$BA$8,0)),0)</f>
        <v>0</v>
      </c>
      <c r="DX24" s="33">
        <f t="shared" si="40"/>
        <v>0</v>
      </c>
      <c r="DY24" s="33" cm="1">
        <f t="array" ref="DY24">IFERROR(INDEX('[1]SALES PERTYPE'!$D$10:$BA$53,MATCH($C24,'[1]SALES PERTYPE'!$B$10:$B$53,0),MATCH("X300 ",'[1]SALES PERTYPE'!$D$8:$BA$8,0)+1),0)</f>
        <v>0</v>
      </c>
      <c r="DZ24" s="33" cm="1">
        <f t="array" ref="DZ24">IFERROR(INDEX('[1]Sales per type Agustus'!$D$10:$BA$52,MATCH($C24,'[1]Sales per type Agustus'!$B$10:$B$52,0),MATCH("X300 ",'[1]Sales per type Agustus'!$D$8:$BA$8,0)+1),0)</f>
        <v>0</v>
      </c>
      <c r="EA24" s="33">
        <f t="shared" si="41"/>
        <v>0</v>
      </c>
      <c r="EB24" s="33">
        <f t="shared" si="42"/>
        <v>24</v>
      </c>
      <c r="EC24" s="33">
        <f t="shared" si="42"/>
        <v>23</v>
      </c>
      <c r="ED24" s="33">
        <f t="shared" si="43"/>
        <v>1</v>
      </c>
      <c r="EE24" s="33">
        <f t="shared" si="44"/>
        <v>98376000</v>
      </c>
      <c r="EF24" s="33">
        <f t="shared" si="44"/>
        <v>93277000</v>
      </c>
      <c r="EG24" s="33">
        <f t="shared" si="45"/>
        <v>5099000</v>
      </c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</row>
    <row r="25" spans="1:184" ht="16" x14ac:dyDescent="0.2">
      <c r="A25" s="31">
        <f>'[1]ACHIEVEMENT STORE'!A25</f>
        <v>21</v>
      </c>
      <c r="B25" s="32" t="str">
        <f>'[1]ACHIEVEMENT STORE'!B25</f>
        <v>624-万丹BANTEN</v>
      </c>
      <c r="C25" s="31">
        <f>'[1]ACHIEVEMENT STORE'!C25</f>
        <v>6170707</v>
      </c>
      <c r="D25" s="32" t="str">
        <f>'[1]ACHIEVEMENT STORE'!D25</f>
        <v>6170707-TANGCITY LG BLOK D NO. 01D</v>
      </c>
      <c r="E25" s="32" t="str">
        <f>'[1]ACHIEVEMENT STORE'!E25</f>
        <v>ARIES FITRIYANTO</v>
      </c>
      <c r="F25" s="33">
        <f>IFERROR(INDEX('[1]SALES PERTYPE'!$D$10:$BA$53,MATCH($C25,'[1]SALES PERTYPE'!$B$10:$B$53,0),MATCH("Y05",'[1]SALES PERTYPE'!$D$8:$BA$8,0)),0)</f>
        <v>40</v>
      </c>
      <c r="G25" s="33">
        <f>IFERROR(INDEX('[1]Sales per type Agustus'!$D$10:$BA$52,MATCH($C25,'[1]Sales per type Agustus'!$B$10:$B$52,0),MATCH("Y05",'[1]Sales per type Agustus'!$D$8:$BA$8,0)),0)</f>
        <v>21</v>
      </c>
      <c r="H25" s="33">
        <f t="shared" si="0"/>
        <v>19</v>
      </c>
      <c r="I25" s="33" cm="1">
        <f t="array" ref="I25">IFERROR(INDEX('[1]SALES PERTYPE'!$D$10:$BA$53,MATCH($C25,'[1]SALES PERTYPE'!$B$10:$B$53,0),MATCH("Y05",'[1]SALES PERTYPE'!$D$8:$BA$8,0)+1),0)</f>
        <v>97660000</v>
      </c>
      <c r="J25" s="33" cm="1">
        <f t="array" ref="J25">IFERROR(INDEX('[1]Sales per type Agustus'!$D$10:$BA$52,MATCH($C25,'[1]Sales per type Agustus'!$B$10:$B$52,0),MATCH("Y05",'[1]Sales per type Agustus'!$D$8:$BA$8,0)+1),0)</f>
        <v>51579000</v>
      </c>
      <c r="K25" s="33">
        <f t="shared" si="1"/>
        <v>46081000</v>
      </c>
      <c r="L25" s="33">
        <f>IFERROR(INDEX('[1]SALES PERTYPE'!$D$10:$BA$53,MATCH($C25,'[1]SALES PERTYPE'!$B$10:$B$53,0),MATCH("Y11d",'[1]SALES PERTYPE'!$D$8:$BA$8,0)),0)</f>
        <v>10</v>
      </c>
      <c r="M25" s="33">
        <f>IFERROR(INDEX('[1]Sales per type Agustus'!$D$10:$BA$52,MATCH($C25,'[1]Sales per type Agustus'!$B$10:$B$52,0),MATCH("Y11d",'[1]Sales per type Agustus'!$D$8:$BA$8,0)),0)</f>
        <v>20</v>
      </c>
      <c r="N25" s="33">
        <f t="shared" si="2"/>
        <v>-10</v>
      </c>
      <c r="O25" s="33" cm="1">
        <f t="array" ref="O25">IFERROR(INDEX('[1]SALES PERTYPE'!$D$10:$BA$53,MATCH($C25,'[1]SALES PERTYPE'!$B$10:$B$53,0),MATCH("Y11d",'[1]SALES PERTYPE'!$D$8:$BA$8,0)+1),0)</f>
        <v>26390000</v>
      </c>
      <c r="P25" s="33" cm="1">
        <f t="array" ref="P25">IFERROR(INDEX('[1]Sales per type Agustus'!$D$10:$BA$52,MATCH($C25,'[1]Sales per type Agustus'!$B$10:$B$52,0),MATCH("Y11d",'[1]Sales per type Agustus'!$D$8:$BA$8,0)+1),0)</f>
        <v>53580000</v>
      </c>
      <c r="Q25" s="33">
        <f t="shared" si="3"/>
        <v>-27190000</v>
      </c>
      <c r="R25" s="33">
        <f>IFERROR(INDEX('[1]SALES PERTYPE'!$D$10:$BA$53,MATCH($C25,'[1]SALES PERTYPE'!$B$10:$B$53,0),MATCH("Watch GT 2",'[1]SALES PERTYPE'!$D$8:$BA$8,0)),0)</f>
        <v>0</v>
      </c>
      <c r="S25" s="33">
        <f>IFERROR(INDEX('[1]Sales per type Agustus'!$D$10:$BA$52,MATCH($C25,'[1]Sales per type Agustus'!$B$10:$B$52,0),MATCH("Watch GT 2",'[1]Sales per type Agustus'!$D$8:$BA$8,0)),0)</f>
        <v>0</v>
      </c>
      <c r="T25" s="33">
        <f t="shared" si="4"/>
        <v>0</v>
      </c>
      <c r="U25" s="33" cm="1">
        <f t="array" ref="U25">IFERROR(INDEX('[1]SALES PERTYPE'!$D$10:$BA$53,MATCH($C25,'[1]SALES PERTYPE'!$B$10:$B$53,0),MATCH("Watch GT 2",'[1]SALES PERTYPE'!$D$8:$BA$8,0)+1),0)</f>
        <v>0</v>
      </c>
      <c r="V25" s="33" cm="1">
        <f t="array" ref="V25">IFERROR(INDEX('[1]Sales per type Agustus'!$D$10:$BA$52,MATCH($C25,'[1]Sales per type Agustus'!$B$10:$B$52,0),MATCH("Watch GT 2",'[1]Sales per type Agustus'!$D$8:$BA$8,0)+1),0)</f>
        <v>0</v>
      </c>
      <c r="W25" s="33">
        <f t="shared" si="5"/>
        <v>0</v>
      </c>
      <c r="X25" s="33">
        <f>IFERROR(INDEX('[1]SALES PERTYPE'!$D$10:$BA$53,MATCH($C25,'[1]SALES PERTYPE'!$B$10:$B$53,0),MATCH("Y05e",'[1]SALES PERTYPE'!$D$8:$BA$8,0)),0)</f>
        <v>10</v>
      </c>
      <c r="Y25" s="33">
        <f>IFERROR(INDEX('[1]Sales per type Agustus'!$D$10:$BA$52,MATCH($C25,'[1]Sales per type Agustus'!$B$10:$B$52,0),MATCH("Y05e",'[1]Sales per type Agustus'!$D$8:$BA$8,0)),0)</f>
        <v>10</v>
      </c>
      <c r="Z25" s="33">
        <f t="shared" si="6"/>
        <v>0</v>
      </c>
      <c r="AA25" s="33" cm="1">
        <f t="array" ref="AA25">IFERROR(INDEX('[1]SALES PERTYPE'!$D$10:$BA$53,MATCH($C25,'[1]SALES PERTYPE'!$B$10:$B$53,0),MATCH("Y05e",'[1]SALES PERTYPE'!$D$8:$BA$8,0)+1),0)</f>
        <v>22190000</v>
      </c>
      <c r="AB25" s="33" cm="1">
        <f t="array" ref="AB25">IFERROR(INDEX('[1]Sales per type Agustus'!$D$10:$BA$52,MATCH($C25,'[1]Sales per type Agustus'!$B$10:$B$52,0),MATCH("Y05e",'[1]Sales per type Agustus'!$D$8:$BA$8,0)+1),0)</f>
        <v>20990000</v>
      </c>
      <c r="AC25" s="33">
        <f t="shared" si="7"/>
        <v>1200000</v>
      </c>
      <c r="AD25" s="33">
        <f>IFERROR(INDEX('[1]SALES PERTYPE'!$D$10:$BA$53,MATCH($C25,'[1]SALES PERTYPE'!$B$10:$B$53,0),MATCH("V70",'[1]SALES PERTYPE'!$D$8:$BA$8,0)),0)</f>
        <v>3</v>
      </c>
      <c r="AE25" s="33">
        <f>IFERROR(INDEX('[1]Sales per type Agustus'!$D$10:$BA$52,MATCH($C25,'[1]Sales per type Agustus'!$B$10:$B$52,0),MATCH("V70",'[1]Sales per type Agustus'!$D$8:$BA$8,0)),0)</f>
        <v>0</v>
      </c>
      <c r="AF25" s="33">
        <f t="shared" si="8"/>
        <v>3</v>
      </c>
      <c r="AG25" s="33" cm="1">
        <f t="array" ref="AG25">IFERROR(INDEX('[1]SALES PERTYPE'!$D$10:$BA$53,MATCH($C25,'[1]SALES PERTYPE'!$B$10:$B$53,0),MATCH("V70",'[1]SALES PERTYPE'!$D$8:$BA$8,0)+1),0)</f>
        <v>27997000</v>
      </c>
      <c r="AH25" s="33" cm="1">
        <f t="array" ref="AH25">IFERROR(INDEX('[1]Sales per type Agustus'!$D$10:$BA$52,MATCH($C25,'[1]Sales per type Agustus'!$B$10:$B$52,0),MATCH("V70",'[1]Sales per type Agustus'!$D$8:$BA$8,0)+1),0)</f>
        <v>0</v>
      </c>
      <c r="AI25" s="33">
        <f t="shared" si="9"/>
        <v>27997000</v>
      </c>
      <c r="AJ25" s="33">
        <f>IFERROR(INDEX('[1]SALES PERTYPE'!$D$10:$BA$53,MATCH($C25,'[1]SALES PERTYPE'!$B$10:$B$53,0),MATCH("Y31d Pro",'[1]SALES PERTYPE'!$D$8:$BA$8,0)),0)</f>
        <v>12</v>
      </c>
      <c r="AK25" s="33">
        <f>IFERROR(INDEX('[1]Sales per type Agustus'!$D$10:$BA$52,MATCH($C25,'[1]Sales per type Agustus'!$B$10:$B$52,0),MATCH("Y31d Pro",'[1]Sales per type Agustus'!$D$8:$BA$8,0)),0)</f>
        <v>7</v>
      </c>
      <c r="AL25" s="33">
        <f t="shared" si="10"/>
        <v>5</v>
      </c>
      <c r="AM25" s="33" cm="1">
        <f t="array" ref="AM25">IFERROR(INDEX('[1]SALES PERTYPE'!$D$10:$BA$53,MATCH($C25,'[1]SALES PERTYPE'!$B$10:$B$53,0),MATCH("Y31d Pro",'[1]SALES PERTYPE'!$D$8:$BA$8,0)+1),0)</f>
        <v>47988000</v>
      </c>
      <c r="AN25" s="33" cm="1">
        <f t="array" ref="AN25">IFERROR(INDEX('[1]Sales per type Agustus'!$D$10:$BA$52,MATCH($C25,'[1]Sales per type Agustus'!$B$10:$B$52,0),MATCH("Y31d Pro",'[1]Sales per type Agustus'!$D$8:$BA$8,0)+1),0)</f>
        <v>32693000</v>
      </c>
      <c r="AO25" s="33">
        <f t="shared" si="11"/>
        <v>15295000</v>
      </c>
      <c r="AP25" s="33" cm="1">
        <f t="array" ref="AP25">IFERROR(INDEX('[1]SALES PERTYPE'!$D$10:$BA$53,MATCH($C25,'[1]SALES PERTYPE'!$B$10:$B$53,0),$EI$3),0)</f>
        <v>6</v>
      </c>
      <c r="AQ25" s="33" cm="1">
        <f t="array" ref="AQ25">IFERROR(INDEX('[1]Sales per type Agustus'!$D$10:$BA$52,MATCH($C25,'[1]Sales per type Agustus'!$B$10:$B$52,0),$EI$2),0)</f>
        <v>0</v>
      </c>
      <c r="AR25" s="33">
        <f t="shared" si="12"/>
        <v>6</v>
      </c>
      <c r="AS25" s="33" cm="1">
        <f t="array" ref="AS25">IFERROR(INDEX('[1]SALES PERTYPE'!$D$10:$BA$53,MATCH($C25,'[1]SALES PERTYPE'!$B$10:$B$53,0),$EI$3+1),0)</f>
        <v>20094000</v>
      </c>
      <c r="AT25" s="33" cm="1">
        <f t="array" ref="AT25">IFERROR(INDEX('[1]Sales per type Agustus'!$D$10:$BA$52,MATCH($C25,'[1]Sales per type Agustus'!$B$10:$B$52,0),$EI$2+1),0)</f>
        <v>0</v>
      </c>
      <c r="AU25" s="33">
        <f t="shared" si="13"/>
        <v>20094000</v>
      </c>
      <c r="AV25" s="33">
        <f>IFERROR(INDEX('[1]SALES PERTYPE'!$D$10:$BA$53,MATCH($C25,'[1]SALES PERTYPE'!$B$10:$B$53,0),MATCH("Y31d ",'[1]SALES PERTYPE'!$D$8:$BA$8,0)),0)</f>
        <v>0</v>
      </c>
      <c r="AW25" s="33">
        <f>IFERROR(INDEX('[1]Sales per type Agustus'!$D$10:$BA$52,MATCH($C25,'[1]Sales per type Agustus'!$B$10:$B$52,0),MATCH("Y31d ",'[1]Sales per type Agustus'!$D$8:$BA$8,0)),0)</f>
        <v>1</v>
      </c>
      <c r="AX25" s="33">
        <f t="shared" si="14"/>
        <v>-1</v>
      </c>
      <c r="AY25" s="33" cm="1">
        <f t="array" ref="AY25">IFERROR(INDEX('[1]SALES PERTYPE'!$D$10:$BA$53,MATCH($C25,'[1]SALES PERTYPE'!$B$10:$B$53,0),MATCH("Y31d ",'[1]SALES PERTYPE'!$D$8:$BA$8,0)+1),0)</f>
        <v>0</v>
      </c>
      <c r="AZ25" s="33" cm="1">
        <f t="array" ref="AZ25">IFERROR(INDEX('[1]Sales per type Agustus'!$D$10:$BA$52,MATCH($C25,'[1]Sales per type Agustus'!$B$10:$B$52,0),MATCH("Y31d ",'[1]Sales per type Agustus'!$D$8:$BA$8,0)+1),0)</f>
        <v>3599000</v>
      </c>
      <c r="BA25" s="33">
        <f t="shared" si="15"/>
        <v>-3599000</v>
      </c>
      <c r="BB25" s="33">
        <f>IFERROR(INDEX('[1]SALES PERTYPE'!$D$10:$BA$53,MATCH($C25,'[1]SALES PERTYPE'!$B$10:$B$53,0),MATCH("V70 FE",'[1]SALES PERTYPE'!$D$8:$BA$8,0)),0)</f>
        <v>1</v>
      </c>
      <c r="BC25" s="33">
        <f>IFERROR(INDEX('[1]Sales per type Agustus'!$D$10:$BA$52,MATCH($C25,'[1]Sales per type Agustus'!$B$10:$B$52,0),MATCH("V70 FE",'[1]Sales per type Agustus'!$D$8:$BA$8,0)),0)</f>
        <v>2</v>
      </c>
      <c r="BD25" s="33">
        <f t="shared" si="16"/>
        <v>-1</v>
      </c>
      <c r="BE25" s="33" cm="1">
        <f t="array" ref="BE25">IFERROR(INDEX('[1]SALES PERTYPE'!$D$10:$BA$53,MATCH($C25,'[1]SALES PERTYPE'!$B$10:$B$53,0),MATCH("V70 FE",'[1]SALES PERTYPE'!$D$8:$BA$8,0)+1),0)</f>
        <v>6999000</v>
      </c>
      <c r="BF25" s="33" cm="1">
        <f t="array" ref="BF25">IFERROR(INDEX('[1]Sales per type Agustus'!$D$10:$BA$52,MATCH($C25,'[1]Sales per type Agustus'!$B$10:$B$52,0),MATCH("V70 FE",'[1]Sales per type Agustus'!$D$8:$BA$8,0)+1),0)</f>
        <v>14998000</v>
      </c>
      <c r="BG25" s="33">
        <f t="shared" si="17"/>
        <v>-7999000</v>
      </c>
      <c r="BH25" s="33">
        <f>IFERROR(INDEX('[1]SALES PERTYPE'!$D$10:$BA$53,MATCH($C25,'[1]SALES PERTYPE'!$B$10:$B$53,0),MATCH("Y31d",'[1]SALES PERTYPE'!$D$8:$BA$8,0)),0)</f>
        <v>0</v>
      </c>
      <c r="BI25" s="33">
        <f>IFERROR(INDEX('[1]Sales per type Agustus'!$D$10:$BA$52,MATCH($C25,'[1]Sales per type Agustus'!$B$10:$B$52,0),MATCH("Y31d",'[1]Sales per type Agustus'!$D$8:$BA$8,0)),0)</f>
        <v>0</v>
      </c>
      <c r="BJ25" s="33">
        <f t="shared" si="18"/>
        <v>0</v>
      </c>
      <c r="BK25" s="33" cm="1">
        <f t="array" ref="BK25">IFERROR(INDEX('[1]SALES PERTYPE'!$D$10:$BA$53,MATCH($C25,'[1]SALES PERTYPE'!$B$10:$B$53,0),MATCH("Y31d",'[1]SALES PERTYPE'!$D$8:$BA$8,0)+1),0)</f>
        <v>0</v>
      </c>
      <c r="BL25" s="33" cm="1">
        <f t="array" ref="BL25">IFERROR(INDEX('[1]Sales per type Agustus'!$D$10:$BA$52,MATCH($C25,'[1]Sales per type Agustus'!$B$10:$B$52,0),MATCH("Y31d",'[1]Sales per type Agustus'!$D$8:$BA$8,0)+1),0)</f>
        <v>0</v>
      </c>
      <c r="BM25" s="33">
        <f t="shared" si="19"/>
        <v>0</v>
      </c>
      <c r="BN25" s="33">
        <f>IFERROR(INDEX('[1]SALES PERTYPE'!$D$10:$BA$53,MATCH($C25,'[1]SALES PERTYPE'!$B$10:$B$53,0),MATCH("Y500",'[1]SALES PERTYPE'!$D$8:$BA$8,0)),0)</f>
        <v>0</v>
      </c>
      <c r="BO25" s="33">
        <f>IFERROR(INDEX('[1]Sales per type Agustus'!$D$10:$BA$52,MATCH($C25,'[1]Sales per type Agustus'!$B$10:$B$52,0),MATCH("Y500",'[1]Sales per type Agustus'!$D$8:$BA$8,0)),0)</f>
        <v>2</v>
      </c>
      <c r="BP25" s="33">
        <f t="shared" si="20"/>
        <v>-2</v>
      </c>
      <c r="BQ25" s="33" cm="1">
        <f t="array" ref="BQ25">IFERROR(INDEX('[1]SALES PERTYPE'!$D$10:$BA$53,MATCH($C25,'[1]SALES PERTYPE'!$B$10:$B$53,0),MATCH("Y500",'[1]SALES PERTYPE'!$D$8:$BA$8,0)+1),0)</f>
        <v>0</v>
      </c>
      <c r="BR25" s="33" cm="1">
        <f t="array" ref="BR25">IFERROR(INDEX('[1]Sales per type Agustus'!$D$10:$BA$52,MATCH($C25,'[1]Sales per type Agustus'!$B$10:$B$52,0),MATCH("Y500",'[1]Sales per type Agustus'!$D$8:$BA$8,0)+1),0)</f>
        <v>10998000</v>
      </c>
      <c r="BS25" s="33">
        <f t="shared" si="21"/>
        <v>-10998000</v>
      </c>
      <c r="BT25" s="33">
        <f>IFERROR(INDEX('[1]SALES PERTYPE'!$D$10:$BA$53,MATCH($C25,'[1]SALES PERTYPE'!$B$10:$B$53,0),MATCH("IQOO 15R",'[1]SALES PERTYPE'!$D$8:$BA$8,0)),0)</f>
        <v>0</v>
      </c>
      <c r="BU25" s="33">
        <f>IFERROR(INDEX('[1]Sales per type Agustus'!$D$10:$BA$52,MATCH($C25,'[1]Sales per type Agustus'!$B$10:$B$52,0),MATCH("IQOO 15R",'[1]Sales per type Agustus'!$D$8:$BA$8,0)),0)</f>
        <v>0</v>
      </c>
      <c r="BV25" s="33">
        <f t="shared" si="22"/>
        <v>0</v>
      </c>
      <c r="BW25" s="33" cm="1">
        <f t="array" ref="BW25">IFERROR(INDEX('[1]SALES PERTYPE'!$D$10:$BA$53,MATCH($C25,'[1]SALES PERTYPE'!$B$10:$B$53,0),MATCH("IQOO 15R",'[1]SALES PERTYPE'!$D$8:$BA$8,0)+1),0)</f>
        <v>0</v>
      </c>
      <c r="BX25" s="33" cm="1">
        <f t="array" ref="BX25">IFERROR(INDEX('[1]Sales per type Agustus'!$D$10:$BA$52,MATCH($C25,'[1]Sales per type Agustus'!$B$10:$B$52,0),MATCH("IQOO 15R",'[1]Sales per type Agustus'!$D$8:$BA$8,0)+1),0)</f>
        <v>0</v>
      </c>
      <c r="BY25" s="33">
        <f t="shared" si="23"/>
        <v>0</v>
      </c>
      <c r="BZ25" s="33">
        <f>IFERROR(INDEX('[1]SALES PERTYPE'!$D$10:$BA$53,MATCH($C25,'[1]SALES PERTYPE'!$B$10:$B$53,0),MATCH("V60 Lite",'[1]SALES PERTYPE'!$D$8:$BA$8,0)),0)</f>
        <v>11</v>
      </c>
      <c r="CA25" s="33">
        <f>IFERROR(INDEX('[1]Sales per type Agustus'!$D$10:$BA$52,MATCH($C25,'[1]Sales per type Agustus'!$B$10:$B$52,0),MATCH("V60 Lite",'[1]Sales per type Agustus'!$D$8:$BA$8,0)),0)</f>
        <v>5</v>
      </c>
      <c r="CB25" s="33">
        <f t="shared" si="24"/>
        <v>6</v>
      </c>
      <c r="CC25" s="33" cm="1">
        <f t="array" ref="CC25">IFERROR(INDEX('[1]SALES PERTYPE'!$D$10:$BA$53,MATCH($C25,'[1]SALES PERTYPE'!$B$10:$B$53,0),MATCH("V60 Lite",'[1]SALES PERTYPE'!$D$8:$BA$8,0)+1),0)</f>
        <v>64889000</v>
      </c>
      <c r="CD25" s="33" cm="1">
        <f t="array" ref="CD25">IFERROR(INDEX('[1]Sales per type Agustus'!$D$10:$BA$52,MATCH($C25,'[1]Sales per type Agustus'!$B$10:$B$52,0),MATCH("V60 Lite",'[1]Sales per type Agustus'!$D$8:$BA$8,0)+1),0)</f>
        <v>28895000</v>
      </c>
      <c r="CE25" s="33">
        <f t="shared" si="25"/>
        <v>35994000</v>
      </c>
      <c r="CF25" s="33">
        <f>IFERROR(INDEX('[1]SALES PERTYPE'!$D$10:$BA$53,MATCH($C25,'[1]SALES PERTYPE'!$B$10:$B$53,0),MATCH("X300 Ultra",'[1]SALES PERTYPE'!$D$8:$BA$8,0)),0)</f>
        <v>0</v>
      </c>
      <c r="CG25" s="33">
        <f>IFERROR(INDEX('[1]Sales per type Agustus'!$D$10:$BA$52,MATCH($C25,'[1]Sales per type Agustus'!$B$10:$B$52,0),MATCH("X300 Ultra",'[1]Sales per type Agustus'!$D$8:$BA$8,0)),0)</f>
        <v>0</v>
      </c>
      <c r="CH25" s="33">
        <f t="shared" si="26"/>
        <v>0</v>
      </c>
      <c r="CI25" s="33" cm="1">
        <f t="array" ref="CI25">IFERROR(INDEX('[1]SALES PERTYPE'!$D$10:$BA$53,MATCH($C25,'[1]SALES PERTYPE'!$B$10:$B$53,0),MATCH("X300 Ultra",'[1]SALES PERTYPE'!$D$8:$BA$8,0)+1),0)</f>
        <v>0</v>
      </c>
      <c r="CJ25" s="33" cm="1">
        <f t="array" ref="CJ25">IFERROR(INDEX('[1]Sales per type Agustus'!$D$10:$BA$52,MATCH($C25,'[1]Sales per type Agustus'!$B$10:$B$52,0),MATCH("X300 Ultra",'[1]Sales per type Agustus'!$D$8:$BA$8,0)+1),0)</f>
        <v>0</v>
      </c>
      <c r="CK25" s="33">
        <f t="shared" si="27"/>
        <v>0</v>
      </c>
      <c r="CL25" s="33">
        <f>IFERROR(INDEX('[1]SALES PERTYPE'!$D$10:$BA$53,MATCH($C25,'[1]SALES PERTYPE'!$B$10:$B$53,0),MATCH("IQOO 15",'[1]SALES PERTYPE'!$D$8:$BA$8,0)),0)</f>
        <v>0</v>
      </c>
      <c r="CM25" s="33">
        <f>IFERROR(INDEX('[1]Sales per type Agustus'!$D$10:$BA$52,MATCH($C25,'[1]Sales per type Agustus'!$B$10:$B$52,0),MATCH("IQOO 15",'[1]Sales per type Agustus'!$D$8:$BA$8,0)),0)</f>
        <v>0</v>
      </c>
      <c r="CN25" s="33">
        <f t="shared" si="28"/>
        <v>0</v>
      </c>
      <c r="CO25" s="33" cm="1">
        <f t="array" ref="CO25">IFERROR(INDEX('[1]SALES PERTYPE'!$D$10:$BA$53,MATCH($C25,'[1]SALES PERTYPE'!$B$10:$B$53,0),MATCH("IQOO 15",'[1]SALES PERTYPE'!$D$8:$BA$8,0)+1),0)</f>
        <v>0</v>
      </c>
      <c r="CP25" s="33" cm="1">
        <f t="array" ref="CP25">IFERROR(INDEX('[1]Sales per type Agustus'!$D$10:$BA$52,MATCH($C25,'[1]Sales per type Agustus'!$B$10:$B$52,0),MATCH("IQOO 15",'[1]Sales per type Agustus'!$D$8:$BA$8,0)+1),0)</f>
        <v>0</v>
      </c>
      <c r="CQ25" s="33">
        <f t="shared" si="29"/>
        <v>0</v>
      </c>
      <c r="CR25" s="33">
        <f>IFERROR(INDEX('[1]SALES PERTYPE'!$D$10:$BA$53,MATCH($C25,'[1]SALES PERTYPE'!$B$10:$B$53,0),MATCH("IQOO Z11x",'[1]SALES PERTYPE'!$D$8:$BA$8,0)),0)</f>
        <v>3</v>
      </c>
      <c r="CS25" s="33">
        <f>IFERROR(INDEX('[1]Sales per type Agustus'!$D$10:$BA$52,MATCH($C25,'[1]Sales per type Agustus'!$B$10:$B$52,0),MATCH("IQOO Z11x",'[1]Sales per type Agustus'!$D$8:$BA$8,0)),0)</f>
        <v>0</v>
      </c>
      <c r="CT25" s="33">
        <f t="shared" si="30"/>
        <v>3</v>
      </c>
      <c r="CU25" s="33" cm="1">
        <f t="array" ref="CU25">IFERROR(INDEX('[1]SALES PERTYPE'!$D$10:$BA$53,MATCH($C25,'[1]SALES PERTYPE'!$B$10:$B$53,0),MATCH("IQOO Z11x",'[1]SALES PERTYPE'!$D$8:$BA$8,0)+1),0)</f>
        <v>14397000</v>
      </c>
      <c r="CV25" s="33" cm="1">
        <f t="array" ref="CV25">IFERROR(INDEX('[1]Sales per type Agustus'!$D$10:$BA$52,MATCH($C25,'[1]Sales per type Agustus'!$B$10:$B$52,0),MATCH("IQOO Z11x",'[1]Sales per type Agustus'!$D$8:$BA$8,0)+1),0)</f>
        <v>0</v>
      </c>
      <c r="CW25" s="33">
        <f t="shared" si="31"/>
        <v>14397000</v>
      </c>
      <c r="CX25" s="33">
        <f>IFERROR(INDEX('[1]SALES PERTYPE'!$D$10:$BA$53,MATCH($C25,'[1]SALES PERTYPE'!$B$10:$B$53,0),MATCH("IQOO Z11",'[1]SALES PERTYPE'!$D$8:$BA$8,0)),0)</f>
        <v>0</v>
      </c>
      <c r="CY25" s="33">
        <f>IFERROR(INDEX('[1]Sales per type Agustus'!$D$10:$BA$52,MATCH($C25,'[1]Sales per type Agustus'!$B$10:$B$52,0),MATCH("IQOO Z11",'[1]Sales per type Agustus'!$D$8:$BA$8,0)),0)</f>
        <v>2</v>
      </c>
      <c r="CZ25" s="33">
        <f t="shared" si="32"/>
        <v>-2</v>
      </c>
      <c r="DA25" s="33" cm="1">
        <f t="array" ref="DA25">IFERROR(INDEX('[1]SALES PERTYPE'!$D$10:$BA$53,MATCH($C25,'[1]SALES PERTYPE'!$B$10:$B$53,0),MATCH("IQOO Z11",'[1]SALES PERTYPE'!$D$8:$BA$8,0)+1),0)</f>
        <v>0</v>
      </c>
      <c r="DB25" s="33" cm="1">
        <f t="array" ref="DB25">IFERROR(INDEX('[1]Sales per type Agustus'!$D$10:$BA$52,MATCH($C25,'[1]Sales per type Agustus'!$B$10:$B$52,0),MATCH("IQOO Z11",'[1]Sales per type Agustus'!$D$8:$BA$8,0)+1),0)</f>
        <v>13798000</v>
      </c>
      <c r="DC25" s="33">
        <f t="shared" si="33"/>
        <v>-13798000</v>
      </c>
      <c r="DD25" s="33">
        <f>IFERROR(INDEX('[1]SALES PERTYPE'!$D$10:$BA$53,MATCH($C25,'[1]SALES PERTYPE'!$B$10:$B$53,0),MATCH("WATCH 3",'[1]SALES PERTYPE'!$D$8:$BA$8,0)),0)</f>
        <v>0</v>
      </c>
      <c r="DE25" s="33">
        <f>IFERROR(INDEX('[1]Sales per type Agustus'!$D$10:$BA$52,MATCH($C25,'[1]Sales per type Agustus'!$B$10:$B$52,0),MATCH("WATCH 3",'[1]Sales per type Agustus'!$D$8:$BA$8,0)),0)</f>
        <v>0</v>
      </c>
      <c r="DF25" s="33">
        <f t="shared" si="34"/>
        <v>0</v>
      </c>
      <c r="DG25" s="33" cm="1">
        <f t="array" ref="DG25">IFERROR(INDEX('[1]SALES PERTYPE'!$D$10:$BA$53,MATCH($C25,'[1]SALES PERTYPE'!$B$10:$B$53,0),MATCH("WATCH 3",'[1]SALES PERTYPE'!$D$8:$BA$8,0)+1),0)</f>
        <v>0</v>
      </c>
      <c r="DH25" s="33" cm="1">
        <f t="array" ref="DH25">IFERROR(INDEX('[1]Sales per type Agustus'!$D$10:$BA$52,MATCH($C25,'[1]Sales per type Agustus'!$B$10:$B$52,0),MATCH("WATCH 3",'[1]Sales per type Agustus'!$D$8:$BA$8,0)+1),0)</f>
        <v>0</v>
      </c>
      <c r="DI25" s="33">
        <f t="shared" si="35"/>
        <v>0</v>
      </c>
      <c r="DJ25" s="33">
        <f>IFERROR(INDEX('[1]SALES PERTYPE'!$D$10:$BA$53,MATCH($C25,'[1]SALES PERTYPE'!$B$10:$B$53,0),MATCH("X Fold5",'[1]SALES PERTYPE'!$D$8:$BA$8,0)),0)</f>
        <v>0</v>
      </c>
      <c r="DK25" s="33">
        <f>IFERROR(INDEX('[1]Sales per type Agustus'!$D$10:$BA$52,MATCH($C25,'[1]Sales per type Agustus'!$B$10:$B$52,0),MATCH("X Fold5",'[1]Sales per type Agustus'!$D$8:$BA$8,0)),0)</f>
        <v>0</v>
      </c>
      <c r="DL25" s="33">
        <f t="shared" si="36"/>
        <v>0</v>
      </c>
      <c r="DM25" s="33" cm="1">
        <f t="array" ref="DM25">IFERROR(INDEX('[1]SALES PERTYPE'!$D$10:$BA$53,MATCH($C25,'[1]SALES PERTYPE'!$B$10:$B$53,0),MATCH("X Fold5",'[1]SALES PERTYPE'!$D$8:$BA$8,0)+1),0)</f>
        <v>0</v>
      </c>
      <c r="DN25" s="33" cm="1">
        <f t="array" ref="DN25">IFERROR(INDEX('[1]Sales per type Agustus'!$D$10:$BA$52,MATCH($C25,'[1]Sales per type Agustus'!$B$10:$B$52,0),MATCH("X Fold5",'[1]Sales per type Agustus'!$D$8:$BA$8,0)+1),0)</f>
        <v>0</v>
      </c>
      <c r="DO25" s="33">
        <f t="shared" si="37"/>
        <v>0</v>
      </c>
      <c r="DP25" s="33">
        <f>IFERROR(INDEX('[1]SALES PERTYPE'!$D$10:$BA$53,MATCH($C25,'[1]SALES PERTYPE'!$B$10:$B$53,0),MATCH("X300 PRO",'[1]SALES PERTYPE'!$D$8:$BA$8,0)),0)</f>
        <v>0</v>
      </c>
      <c r="DQ25" s="33">
        <f>IFERROR(INDEX('[1]Sales per type Agustus'!$D$10:$BA$52,MATCH($C25,'[1]Sales per type Agustus'!$B$10:$B$52,0),MATCH("X300 PRO",'[1]Sales per type Agustus'!$D$8:$BA$8,0)),0)</f>
        <v>0</v>
      </c>
      <c r="DR25" s="33">
        <f t="shared" si="38"/>
        <v>0</v>
      </c>
      <c r="DS25" s="33" cm="1">
        <f t="array" ref="DS25">IFERROR(INDEX('[1]SALES PERTYPE'!$D$10:$BA$53,MATCH($C25,'[1]SALES PERTYPE'!$B$10:$B$53,0),MATCH("X300 PRO",'[1]SALES PERTYPE'!$D$8:$BA$8,0)+1),0)</f>
        <v>0</v>
      </c>
      <c r="DT25" s="33" cm="1">
        <f t="array" ref="DT25">IFERROR(INDEX('[1]Sales per type Agustus'!$D$10:$BA$52,MATCH($C25,'[1]Sales per type Agustus'!$B$10:$B$52,0),MATCH("X300 PRO",'[1]Sales per type Agustus'!$D$8:$BA$8,0)+1),0)</f>
        <v>0</v>
      </c>
      <c r="DU25" s="33">
        <f t="shared" si="39"/>
        <v>0</v>
      </c>
      <c r="DV25" s="33">
        <f>IFERROR(INDEX('[1]SALES PERTYPE'!$D$10:$BA$53,MATCH($C25,'[1]SALES PERTYPE'!$B$10:$B$53,0),MATCH("X300 ",'[1]SALES PERTYPE'!$D$8:$BA$8,0)),0)</f>
        <v>0</v>
      </c>
      <c r="DW25" s="33">
        <f>IFERROR(INDEX('[1]Sales per type Agustus'!$D$10:$BA$52,MATCH($C25,'[1]Sales per type Agustus'!$B$10:$B$52,0),MATCH("X300 ",'[1]Sales per type Agustus'!$D$8:$BA$8,0)),0)</f>
        <v>0</v>
      </c>
      <c r="DX25" s="33">
        <f t="shared" si="40"/>
        <v>0</v>
      </c>
      <c r="DY25" s="33" cm="1">
        <f t="array" ref="DY25">IFERROR(INDEX('[1]SALES PERTYPE'!$D$10:$BA$53,MATCH($C25,'[1]SALES PERTYPE'!$B$10:$B$53,0),MATCH("X300 ",'[1]SALES PERTYPE'!$D$8:$BA$8,0)+1),0)</f>
        <v>0</v>
      </c>
      <c r="DZ25" s="33" cm="1">
        <f t="array" ref="DZ25">IFERROR(INDEX('[1]Sales per type Agustus'!$D$10:$BA$52,MATCH($C25,'[1]Sales per type Agustus'!$B$10:$B$52,0),MATCH("X300 ",'[1]Sales per type Agustus'!$D$8:$BA$8,0)+1),0)</f>
        <v>0</v>
      </c>
      <c r="EA25" s="33">
        <f t="shared" si="41"/>
        <v>0</v>
      </c>
      <c r="EB25" s="33">
        <f t="shared" si="42"/>
        <v>96</v>
      </c>
      <c r="EC25" s="33">
        <f t="shared" si="42"/>
        <v>70</v>
      </c>
      <c r="ED25" s="33">
        <f t="shared" si="43"/>
        <v>26</v>
      </c>
      <c r="EE25" s="33">
        <f t="shared" si="44"/>
        <v>328604000</v>
      </c>
      <c r="EF25" s="33">
        <f t="shared" si="44"/>
        <v>231130000</v>
      </c>
      <c r="EG25" s="33">
        <f t="shared" si="45"/>
        <v>97474000</v>
      </c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</row>
    <row r="26" spans="1:184" ht="16" x14ac:dyDescent="0.2">
      <c r="A26" s="214">
        <f>'[1]ACHIEVEMENT STORE'!A26</f>
        <v>22</v>
      </c>
      <c r="B26" s="215" t="str">
        <f>'[1]ACHIEVEMENT STORE'!B26</f>
        <v>624-万丹BANTEN</v>
      </c>
      <c r="C26" s="214">
        <f>'[1]ACHIEVEMENT STORE'!C26</f>
        <v>6240702</v>
      </c>
      <c r="D26" s="215" t="str">
        <f>'[1]ACHIEVEMENT STORE'!D26</f>
        <v>6240702-TANGCITY LG BLOK B NO. 01B</v>
      </c>
      <c r="E26" s="215" t="str">
        <f>'[1]ACHIEVEMENT STORE'!E26</f>
        <v>ARIES FITRIYANTO</v>
      </c>
      <c r="F26" s="33">
        <f>IFERROR(INDEX('[1]SALES PERTYPE'!$D$10:$BA$53,MATCH($C26,'[1]SALES PERTYPE'!$B$10:$B$53,0),MATCH("Y05",'[1]SALES PERTYPE'!$D$8:$BA$8,0)),0)</f>
        <v>24</v>
      </c>
      <c r="G26" s="33">
        <f>IFERROR(INDEX('[1]Sales per type Agustus'!$D$10:$BA$52,MATCH($C26,'[1]Sales per type Agustus'!$B$10:$B$52,0),MATCH("Y05",'[1]Sales per type Agustus'!$D$8:$BA$8,0)),0)</f>
        <v>12</v>
      </c>
      <c r="H26" s="33">
        <f t="shared" si="0"/>
        <v>12</v>
      </c>
      <c r="I26" s="33" cm="1">
        <f t="array" ref="I26">IFERROR(INDEX('[1]SALES PERTYPE'!$D$10:$BA$53,MATCH($C26,'[1]SALES PERTYPE'!$B$10:$B$53,0),MATCH("Y05",'[1]SALES PERTYPE'!$D$8:$BA$8,0)+1),0)</f>
        <v>58776000</v>
      </c>
      <c r="J26" s="33" cm="1">
        <f t="array" ref="J26">IFERROR(INDEX('[1]Sales per type Agustus'!$D$10:$BA$52,MATCH($C26,'[1]Sales per type Agustus'!$B$10:$B$52,0),MATCH("Y05",'[1]Sales per type Agustus'!$D$8:$BA$8,0)+1),0)</f>
        <v>29688000</v>
      </c>
      <c r="K26" s="33">
        <f t="shared" si="1"/>
        <v>29088000</v>
      </c>
      <c r="L26" s="33">
        <f>IFERROR(INDEX('[1]SALES PERTYPE'!$D$10:$BA$53,MATCH($C26,'[1]SALES PERTYPE'!$B$10:$B$53,0),MATCH("Y11d",'[1]SALES PERTYPE'!$D$8:$BA$8,0)),0)</f>
        <v>19</v>
      </c>
      <c r="M26" s="33">
        <f>IFERROR(INDEX('[1]Sales per type Agustus'!$D$10:$BA$52,MATCH($C26,'[1]Sales per type Agustus'!$B$10:$B$52,0),MATCH("Y11d",'[1]Sales per type Agustus'!$D$8:$BA$8,0)),0)</f>
        <v>24</v>
      </c>
      <c r="N26" s="33">
        <f t="shared" si="2"/>
        <v>-5</v>
      </c>
      <c r="O26" s="33" cm="1">
        <f t="array" ref="O26">IFERROR(INDEX('[1]SALES PERTYPE'!$D$10:$BA$53,MATCH($C26,'[1]SALES PERTYPE'!$B$10:$B$53,0),MATCH("Y11d",'[1]SALES PERTYPE'!$D$8:$BA$8,0)+1),0)</f>
        <v>50781000</v>
      </c>
      <c r="P26" s="33" cm="1">
        <f t="array" ref="P26">IFERROR(INDEX('[1]Sales per type Agustus'!$D$10:$BA$52,MATCH($C26,'[1]Sales per type Agustus'!$B$10:$B$52,0),MATCH("Y11d",'[1]Sales per type Agustus'!$D$8:$BA$8,0)+1),0)</f>
        <v>63176000</v>
      </c>
      <c r="Q26" s="33">
        <f t="shared" si="3"/>
        <v>-12395000</v>
      </c>
      <c r="R26" s="33">
        <f>IFERROR(INDEX('[1]SALES PERTYPE'!$D$10:$BA$53,MATCH($C26,'[1]SALES PERTYPE'!$B$10:$B$53,0),MATCH("Watch GT 2",'[1]SALES PERTYPE'!$D$8:$BA$8,0)),0)</f>
        <v>0</v>
      </c>
      <c r="S26" s="33">
        <f>IFERROR(INDEX('[1]Sales per type Agustus'!$D$10:$BA$52,MATCH($C26,'[1]Sales per type Agustus'!$B$10:$B$52,0),MATCH("Watch GT 2",'[1]Sales per type Agustus'!$D$8:$BA$8,0)),0)</f>
        <v>0</v>
      </c>
      <c r="T26" s="33">
        <f t="shared" si="4"/>
        <v>0</v>
      </c>
      <c r="U26" s="33" cm="1">
        <f t="array" ref="U26">IFERROR(INDEX('[1]SALES PERTYPE'!$D$10:$BA$53,MATCH($C26,'[1]SALES PERTYPE'!$B$10:$B$53,0),MATCH("Watch GT 2",'[1]SALES PERTYPE'!$D$8:$BA$8,0)+1),0)</f>
        <v>0</v>
      </c>
      <c r="V26" s="33" cm="1">
        <f t="array" ref="V26">IFERROR(INDEX('[1]Sales per type Agustus'!$D$10:$BA$52,MATCH($C26,'[1]Sales per type Agustus'!$B$10:$B$52,0),MATCH("Watch GT 2",'[1]Sales per type Agustus'!$D$8:$BA$8,0)+1),0)</f>
        <v>0</v>
      </c>
      <c r="W26" s="33">
        <f t="shared" si="5"/>
        <v>0</v>
      </c>
      <c r="X26" s="33">
        <f>IFERROR(INDEX('[1]SALES PERTYPE'!$D$10:$BA$53,MATCH($C26,'[1]SALES PERTYPE'!$B$10:$B$53,0),MATCH("Y05e",'[1]SALES PERTYPE'!$D$8:$BA$8,0)),0)</f>
        <v>3</v>
      </c>
      <c r="Y26" s="33">
        <f>IFERROR(INDEX('[1]Sales per type Agustus'!$D$10:$BA$52,MATCH($C26,'[1]Sales per type Agustus'!$B$10:$B$52,0),MATCH("Y05e",'[1]Sales per type Agustus'!$D$8:$BA$8,0)),0)</f>
        <v>15</v>
      </c>
      <c r="Z26" s="33">
        <f t="shared" si="6"/>
        <v>-12</v>
      </c>
      <c r="AA26" s="33" cm="1">
        <f t="array" ref="AA26">IFERROR(INDEX('[1]SALES PERTYPE'!$D$10:$BA$53,MATCH($C26,'[1]SALES PERTYPE'!$B$10:$B$53,0),MATCH("Y05e",'[1]SALES PERTYPE'!$D$8:$BA$8,0)+1),0)</f>
        <v>6497000</v>
      </c>
      <c r="AB26" s="33" cm="1">
        <f t="array" ref="AB26">IFERROR(INDEX('[1]Sales per type Agustus'!$D$10:$BA$52,MATCH($C26,'[1]Sales per type Agustus'!$B$10:$B$52,0),MATCH("Y05e",'[1]Sales per type Agustus'!$D$8:$BA$8,0)+1),0)</f>
        <v>31485000</v>
      </c>
      <c r="AC26" s="33">
        <f t="shared" si="7"/>
        <v>-24988000</v>
      </c>
      <c r="AD26" s="33">
        <f>IFERROR(INDEX('[1]SALES PERTYPE'!$D$10:$BA$53,MATCH($C26,'[1]SALES PERTYPE'!$B$10:$B$53,0),MATCH("V70",'[1]SALES PERTYPE'!$D$8:$BA$8,0)),0)</f>
        <v>7</v>
      </c>
      <c r="AE26" s="33">
        <f>IFERROR(INDEX('[1]Sales per type Agustus'!$D$10:$BA$52,MATCH($C26,'[1]Sales per type Agustus'!$B$10:$B$52,0),MATCH("V70",'[1]Sales per type Agustus'!$D$8:$BA$8,0)),0)</f>
        <v>3</v>
      </c>
      <c r="AF26" s="33">
        <f t="shared" si="8"/>
        <v>4</v>
      </c>
      <c r="AG26" s="33" cm="1">
        <f t="array" ref="AG26">IFERROR(INDEX('[1]SALES PERTYPE'!$D$10:$BA$53,MATCH($C26,'[1]SALES PERTYPE'!$B$10:$B$53,0),MATCH("V70",'[1]SALES PERTYPE'!$D$8:$BA$8,0)+1),0)</f>
        <v>67993000</v>
      </c>
      <c r="AH26" s="33" cm="1">
        <f t="array" ref="AH26">IFERROR(INDEX('[1]Sales per type Agustus'!$D$10:$BA$52,MATCH($C26,'[1]Sales per type Agustus'!$B$10:$B$52,0),MATCH("V70",'[1]Sales per type Agustus'!$D$8:$BA$8,0)+1),0)</f>
        <v>28997000</v>
      </c>
      <c r="AI26" s="33">
        <f t="shared" si="9"/>
        <v>38996000</v>
      </c>
      <c r="AJ26" s="33">
        <f>IFERROR(INDEX('[1]SALES PERTYPE'!$D$10:$BA$53,MATCH($C26,'[1]SALES PERTYPE'!$B$10:$B$53,0),MATCH("Y31d Pro",'[1]SALES PERTYPE'!$D$8:$BA$8,0)),0)</f>
        <v>8</v>
      </c>
      <c r="AK26" s="33">
        <f>IFERROR(INDEX('[1]Sales per type Agustus'!$D$10:$BA$52,MATCH($C26,'[1]Sales per type Agustus'!$B$10:$B$52,0),MATCH("Y31d Pro",'[1]Sales per type Agustus'!$D$8:$BA$8,0)),0)</f>
        <v>11</v>
      </c>
      <c r="AL26" s="33">
        <f t="shared" si="10"/>
        <v>-3</v>
      </c>
      <c r="AM26" s="33" cm="1">
        <f t="array" ref="AM26">IFERROR(INDEX('[1]SALES PERTYPE'!$D$10:$BA$53,MATCH($C26,'[1]SALES PERTYPE'!$B$10:$B$53,0),MATCH("Y31d Pro",'[1]SALES PERTYPE'!$D$8:$BA$8,0)+1),0)</f>
        <v>37592000</v>
      </c>
      <c r="AN26" s="33" cm="1">
        <f t="array" ref="AN26">IFERROR(INDEX('[1]Sales per type Agustus'!$D$10:$BA$52,MATCH($C26,'[1]Sales per type Agustus'!$B$10:$B$52,0),MATCH("Y31d Pro",'[1]Sales per type Agustus'!$D$8:$BA$8,0)+1),0)</f>
        <v>49089000</v>
      </c>
      <c r="AO26" s="33">
        <f t="shared" si="11"/>
        <v>-11497000</v>
      </c>
      <c r="AP26" s="33" cm="1">
        <f t="array" ref="AP26">IFERROR(INDEX('[1]SALES PERTYPE'!$D$10:$BA$53,MATCH($C26,'[1]SALES PERTYPE'!$B$10:$B$53,0),$EI$3),0)</f>
        <v>6</v>
      </c>
      <c r="AQ26" s="33" cm="1">
        <f t="array" ref="AQ26">IFERROR(INDEX('[1]Sales per type Agustus'!$D$10:$BA$52,MATCH($C26,'[1]Sales per type Agustus'!$B$10:$B$52,0),$EI$2),0)</f>
        <v>1</v>
      </c>
      <c r="AR26" s="33">
        <f t="shared" si="12"/>
        <v>5</v>
      </c>
      <c r="AS26" s="33" cm="1">
        <f t="array" ref="AS26">IFERROR(INDEX('[1]SALES PERTYPE'!$D$10:$BA$53,MATCH($C26,'[1]SALES PERTYPE'!$B$10:$B$53,0),$EI$3+1),0)</f>
        <v>19794000</v>
      </c>
      <c r="AT26" s="33" cm="1">
        <f t="array" ref="AT26">IFERROR(INDEX('[1]Sales per type Agustus'!$D$10:$BA$52,MATCH($C26,'[1]Sales per type Agustus'!$B$10:$B$52,0),$EI$2+1),0)</f>
        <v>3599000</v>
      </c>
      <c r="AU26" s="33">
        <f t="shared" si="13"/>
        <v>16195000</v>
      </c>
      <c r="AV26" s="33">
        <f>IFERROR(INDEX('[1]SALES PERTYPE'!$D$10:$BA$53,MATCH($C26,'[1]SALES PERTYPE'!$B$10:$B$53,0),MATCH("Y31d ",'[1]SALES PERTYPE'!$D$8:$BA$8,0)),0)</f>
        <v>1</v>
      </c>
      <c r="AW26" s="33">
        <f>IFERROR(INDEX('[1]Sales per type Agustus'!$D$10:$BA$52,MATCH($C26,'[1]Sales per type Agustus'!$B$10:$B$52,0),MATCH("Y31d ",'[1]Sales per type Agustus'!$D$8:$BA$8,0)),0)</f>
        <v>2</v>
      </c>
      <c r="AX26" s="33">
        <f t="shared" si="14"/>
        <v>-1</v>
      </c>
      <c r="AY26" s="33" cm="1">
        <f t="array" ref="AY26">IFERROR(INDEX('[1]SALES PERTYPE'!$D$10:$BA$53,MATCH($C26,'[1]SALES PERTYPE'!$B$10:$B$53,0),MATCH("Y31d ",'[1]SALES PERTYPE'!$D$8:$BA$8,0)+1),0)</f>
        <v>3599000</v>
      </c>
      <c r="AZ26" s="33" cm="1">
        <f t="array" ref="AZ26">IFERROR(INDEX('[1]Sales per type Agustus'!$D$10:$BA$52,MATCH($C26,'[1]Sales per type Agustus'!$B$10:$B$52,0),MATCH("Y31d ",'[1]Sales per type Agustus'!$D$8:$BA$8,0)+1),0)</f>
        <v>7198000</v>
      </c>
      <c r="BA26" s="33">
        <f t="shared" si="15"/>
        <v>-3599000</v>
      </c>
      <c r="BB26" s="33">
        <f>IFERROR(INDEX('[1]SALES PERTYPE'!$D$10:$BA$53,MATCH($C26,'[1]SALES PERTYPE'!$B$10:$B$53,0),MATCH("V70 FE",'[1]SALES PERTYPE'!$D$8:$BA$8,0)),0)</f>
        <v>2</v>
      </c>
      <c r="BC26" s="33">
        <f>IFERROR(INDEX('[1]Sales per type Agustus'!$D$10:$BA$52,MATCH($C26,'[1]Sales per type Agustus'!$B$10:$B$52,0),MATCH("V70 FE",'[1]Sales per type Agustus'!$D$8:$BA$8,0)),0)</f>
        <v>8</v>
      </c>
      <c r="BD26" s="33">
        <f t="shared" si="16"/>
        <v>-6</v>
      </c>
      <c r="BE26" s="33" cm="1">
        <f t="array" ref="BE26">IFERROR(INDEX('[1]SALES PERTYPE'!$D$10:$BA$53,MATCH($C26,'[1]SALES PERTYPE'!$B$10:$B$53,0),MATCH("V70 FE",'[1]SALES PERTYPE'!$D$8:$BA$8,0)+1),0)</f>
        <v>14998000</v>
      </c>
      <c r="BF26" s="33" cm="1">
        <f t="array" ref="BF26">IFERROR(INDEX('[1]Sales per type Agustus'!$D$10:$BA$52,MATCH($C26,'[1]Sales per type Agustus'!$B$10:$B$52,0),MATCH("V70 FE",'[1]Sales per type Agustus'!$D$8:$BA$8,0)+1),0)</f>
        <v>63992000</v>
      </c>
      <c r="BG26" s="33">
        <f t="shared" si="17"/>
        <v>-48994000</v>
      </c>
      <c r="BH26" s="33">
        <f>IFERROR(INDEX('[1]SALES PERTYPE'!$D$10:$BA$53,MATCH($C26,'[1]SALES PERTYPE'!$B$10:$B$53,0),MATCH("Y31d",'[1]SALES PERTYPE'!$D$8:$BA$8,0)),0)</f>
        <v>0</v>
      </c>
      <c r="BI26" s="33">
        <f>IFERROR(INDEX('[1]Sales per type Agustus'!$D$10:$BA$52,MATCH($C26,'[1]Sales per type Agustus'!$B$10:$B$52,0),MATCH("Y31d",'[1]Sales per type Agustus'!$D$8:$BA$8,0)),0)</f>
        <v>3</v>
      </c>
      <c r="BJ26" s="33">
        <f t="shared" si="18"/>
        <v>-3</v>
      </c>
      <c r="BK26" s="33" cm="1">
        <f t="array" ref="BK26">IFERROR(INDEX('[1]SALES PERTYPE'!$D$10:$BA$53,MATCH($C26,'[1]SALES PERTYPE'!$B$10:$B$53,0),MATCH("Y31d",'[1]SALES PERTYPE'!$D$8:$BA$8,0)+1),0)</f>
        <v>0</v>
      </c>
      <c r="BL26" s="33" cm="1">
        <f t="array" ref="BL26">IFERROR(INDEX('[1]Sales per type Agustus'!$D$10:$BA$52,MATCH($C26,'[1]Sales per type Agustus'!$B$10:$B$52,0),MATCH("Y31d",'[1]Sales per type Agustus'!$D$8:$BA$8,0)+1),0)</f>
        <v>10797000</v>
      </c>
      <c r="BM26" s="33">
        <f t="shared" si="19"/>
        <v>-10797000</v>
      </c>
      <c r="BN26" s="33">
        <f>IFERROR(INDEX('[1]SALES PERTYPE'!$D$10:$BA$53,MATCH($C26,'[1]SALES PERTYPE'!$B$10:$B$53,0),MATCH("Y500",'[1]SALES PERTYPE'!$D$8:$BA$8,0)),0)</f>
        <v>0</v>
      </c>
      <c r="BO26" s="33">
        <f>IFERROR(INDEX('[1]Sales per type Agustus'!$D$10:$BA$52,MATCH($C26,'[1]Sales per type Agustus'!$B$10:$B$52,0),MATCH("Y500",'[1]Sales per type Agustus'!$D$8:$BA$8,0)),0)</f>
        <v>2</v>
      </c>
      <c r="BP26" s="33">
        <f t="shared" si="20"/>
        <v>-2</v>
      </c>
      <c r="BQ26" s="33" cm="1">
        <f t="array" ref="BQ26">IFERROR(INDEX('[1]SALES PERTYPE'!$D$10:$BA$53,MATCH($C26,'[1]SALES PERTYPE'!$B$10:$B$53,0),MATCH("Y500",'[1]SALES PERTYPE'!$D$8:$BA$8,0)+1),0)</f>
        <v>0</v>
      </c>
      <c r="BR26" s="33" cm="1">
        <f t="array" ref="BR26">IFERROR(INDEX('[1]Sales per type Agustus'!$D$10:$BA$52,MATCH($C26,'[1]Sales per type Agustus'!$B$10:$B$52,0),MATCH("Y500",'[1]Sales per type Agustus'!$D$8:$BA$8,0)+1),0)</f>
        <v>10998000</v>
      </c>
      <c r="BS26" s="33">
        <f t="shared" si="21"/>
        <v>-10998000</v>
      </c>
      <c r="BT26" s="33">
        <f>IFERROR(INDEX('[1]SALES PERTYPE'!$D$10:$BA$53,MATCH($C26,'[1]SALES PERTYPE'!$B$10:$B$53,0),MATCH("IQOO 15R",'[1]SALES PERTYPE'!$D$8:$BA$8,0)),0)</f>
        <v>1</v>
      </c>
      <c r="BU26" s="33">
        <f>IFERROR(INDEX('[1]Sales per type Agustus'!$D$10:$BA$52,MATCH($C26,'[1]Sales per type Agustus'!$B$10:$B$52,0),MATCH("IQOO 15R",'[1]Sales per type Agustus'!$D$8:$BA$8,0)),0)</f>
        <v>1</v>
      </c>
      <c r="BV26" s="33">
        <f t="shared" si="22"/>
        <v>0</v>
      </c>
      <c r="BW26" s="33" cm="1">
        <f t="array" ref="BW26">IFERROR(INDEX('[1]SALES PERTYPE'!$D$10:$BA$53,MATCH($C26,'[1]SALES PERTYPE'!$B$10:$B$53,0),MATCH("IQOO 15R",'[1]SALES PERTYPE'!$D$8:$BA$8,0)+1),0)</f>
        <v>11999000</v>
      </c>
      <c r="BX26" s="33" cm="1">
        <f t="array" ref="BX26">IFERROR(INDEX('[1]Sales per type Agustus'!$D$10:$BA$52,MATCH($C26,'[1]Sales per type Agustus'!$B$10:$B$52,0),MATCH("IQOO 15R",'[1]Sales per type Agustus'!$D$8:$BA$8,0)+1),0)</f>
        <v>11999000</v>
      </c>
      <c r="BY26" s="33">
        <f t="shared" si="23"/>
        <v>0</v>
      </c>
      <c r="BZ26" s="33">
        <f>IFERROR(INDEX('[1]SALES PERTYPE'!$D$10:$BA$53,MATCH($C26,'[1]SALES PERTYPE'!$B$10:$B$53,0),MATCH("V60 Lite",'[1]SALES PERTYPE'!$D$8:$BA$8,0)),0)</f>
        <v>5</v>
      </c>
      <c r="CA26" s="33">
        <f>IFERROR(INDEX('[1]Sales per type Agustus'!$D$10:$BA$52,MATCH($C26,'[1]Sales per type Agustus'!$B$10:$B$52,0),MATCH("V60 Lite",'[1]Sales per type Agustus'!$D$8:$BA$8,0)),0)</f>
        <v>5</v>
      </c>
      <c r="CB26" s="33">
        <f t="shared" si="24"/>
        <v>0</v>
      </c>
      <c r="CC26" s="33" cm="1">
        <f t="array" ref="CC26">IFERROR(INDEX('[1]SALES PERTYPE'!$D$10:$BA$53,MATCH($C26,'[1]SALES PERTYPE'!$B$10:$B$53,0),MATCH("V60 Lite",'[1]SALES PERTYPE'!$D$8:$BA$8,0)+1),0)</f>
        <v>29495000</v>
      </c>
      <c r="CD26" s="33" cm="1">
        <f t="array" ref="CD26">IFERROR(INDEX('[1]Sales per type Agustus'!$D$10:$BA$52,MATCH($C26,'[1]Sales per type Agustus'!$B$10:$B$52,0),MATCH("V60 Lite",'[1]Sales per type Agustus'!$D$8:$BA$8,0)+1),0)</f>
        <v>28295000</v>
      </c>
      <c r="CE26" s="33">
        <f t="shared" si="25"/>
        <v>1200000</v>
      </c>
      <c r="CF26" s="33">
        <f>IFERROR(INDEX('[1]SALES PERTYPE'!$D$10:$BA$53,MATCH($C26,'[1]SALES PERTYPE'!$B$10:$B$53,0),MATCH("X300 Ultra",'[1]SALES PERTYPE'!$D$8:$BA$8,0)),0)</f>
        <v>1</v>
      </c>
      <c r="CG26" s="33">
        <f>IFERROR(INDEX('[1]Sales per type Agustus'!$D$10:$BA$52,MATCH($C26,'[1]Sales per type Agustus'!$B$10:$B$52,0),MATCH("X300 Ultra",'[1]Sales per type Agustus'!$D$8:$BA$8,0)),0)</f>
        <v>0</v>
      </c>
      <c r="CH26" s="33">
        <f t="shared" si="26"/>
        <v>1</v>
      </c>
      <c r="CI26" s="33" cm="1">
        <f t="array" ref="CI26">IFERROR(INDEX('[1]SALES PERTYPE'!$D$10:$BA$53,MATCH($C26,'[1]SALES PERTYPE'!$B$10:$B$53,0),MATCH("X300 Ultra",'[1]SALES PERTYPE'!$D$8:$BA$8,0)+1),0)</f>
        <v>29999000</v>
      </c>
      <c r="CJ26" s="33" cm="1">
        <f t="array" ref="CJ26">IFERROR(INDEX('[1]Sales per type Agustus'!$D$10:$BA$52,MATCH($C26,'[1]Sales per type Agustus'!$B$10:$B$52,0),MATCH("X300 Ultra",'[1]Sales per type Agustus'!$D$8:$BA$8,0)+1),0)</f>
        <v>0</v>
      </c>
      <c r="CK26" s="33">
        <f t="shared" si="27"/>
        <v>29999000</v>
      </c>
      <c r="CL26" s="33">
        <f>IFERROR(INDEX('[1]SALES PERTYPE'!$D$10:$BA$53,MATCH($C26,'[1]SALES PERTYPE'!$B$10:$B$53,0),MATCH("IQOO 15",'[1]SALES PERTYPE'!$D$8:$BA$8,0)),0)</f>
        <v>0</v>
      </c>
      <c r="CM26" s="33">
        <f>IFERROR(INDEX('[1]Sales per type Agustus'!$D$10:$BA$52,MATCH($C26,'[1]Sales per type Agustus'!$B$10:$B$52,0),MATCH("IQOO 15",'[1]Sales per type Agustus'!$D$8:$BA$8,0)),0)</f>
        <v>0</v>
      </c>
      <c r="CN26" s="33">
        <f t="shared" si="28"/>
        <v>0</v>
      </c>
      <c r="CO26" s="33" cm="1">
        <f t="array" ref="CO26">IFERROR(INDEX('[1]SALES PERTYPE'!$D$10:$BA$53,MATCH($C26,'[1]SALES PERTYPE'!$B$10:$B$53,0),MATCH("IQOO 15",'[1]SALES PERTYPE'!$D$8:$BA$8,0)+1),0)</f>
        <v>0</v>
      </c>
      <c r="CP26" s="33" cm="1">
        <f t="array" ref="CP26">IFERROR(INDEX('[1]Sales per type Agustus'!$D$10:$BA$52,MATCH($C26,'[1]Sales per type Agustus'!$B$10:$B$52,0),MATCH("IQOO 15",'[1]Sales per type Agustus'!$D$8:$BA$8,0)+1),0)</f>
        <v>0</v>
      </c>
      <c r="CQ26" s="33">
        <f t="shared" si="29"/>
        <v>0</v>
      </c>
      <c r="CR26" s="33">
        <f>IFERROR(INDEX('[1]SALES PERTYPE'!$D$10:$BA$53,MATCH($C26,'[1]SALES PERTYPE'!$B$10:$B$53,0),MATCH("IQOO Z11x",'[1]SALES PERTYPE'!$D$8:$BA$8,0)),0)</f>
        <v>0</v>
      </c>
      <c r="CS26" s="33">
        <f>IFERROR(INDEX('[1]Sales per type Agustus'!$D$10:$BA$52,MATCH($C26,'[1]Sales per type Agustus'!$B$10:$B$52,0),MATCH("IQOO Z11x",'[1]Sales per type Agustus'!$D$8:$BA$8,0)),0)</f>
        <v>0</v>
      </c>
      <c r="CT26" s="33">
        <f t="shared" si="30"/>
        <v>0</v>
      </c>
      <c r="CU26" s="33" cm="1">
        <f t="array" ref="CU26">IFERROR(INDEX('[1]SALES PERTYPE'!$D$10:$BA$53,MATCH($C26,'[1]SALES PERTYPE'!$B$10:$B$53,0),MATCH("IQOO Z11x",'[1]SALES PERTYPE'!$D$8:$BA$8,0)+1),0)</f>
        <v>0</v>
      </c>
      <c r="CV26" s="33" cm="1">
        <f t="array" ref="CV26">IFERROR(INDEX('[1]Sales per type Agustus'!$D$10:$BA$52,MATCH($C26,'[1]Sales per type Agustus'!$B$10:$B$52,0),MATCH("IQOO Z11x",'[1]Sales per type Agustus'!$D$8:$BA$8,0)+1),0)</f>
        <v>0</v>
      </c>
      <c r="CW26" s="33">
        <f t="shared" si="31"/>
        <v>0</v>
      </c>
      <c r="CX26" s="33">
        <f>IFERROR(INDEX('[1]SALES PERTYPE'!$D$10:$BA$53,MATCH($C26,'[1]SALES PERTYPE'!$B$10:$B$53,0),MATCH("IQOO Z11",'[1]SALES PERTYPE'!$D$8:$BA$8,0)),0)</f>
        <v>5</v>
      </c>
      <c r="CY26" s="33">
        <f>IFERROR(INDEX('[1]Sales per type Agustus'!$D$10:$BA$52,MATCH($C26,'[1]Sales per type Agustus'!$B$10:$B$52,0),MATCH("IQOO Z11",'[1]Sales per type Agustus'!$D$8:$BA$8,0)),0)</f>
        <v>0</v>
      </c>
      <c r="CZ26" s="33">
        <f t="shared" si="32"/>
        <v>5</v>
      </c>
      <c r="DA26" s="33" cm="1">
        <f t="array" ref="DA26">IFERROR(INDEX('[1]SALES PERTYPE'!$D$10:$BA$53,MATCH($C26,'[1]SALES PERTYPE'!$B$10:$B$53,0),MATCH("IQOO Z11",'[1]SALES PERTYPE'!$D$8:$BA$8,0)+1),0)</f>
        <v>34495000</v>
      </c>
      <c r="DB26" s="33" cm="1">
        <f t="array" ref="DB26">IFERROR(INDEX('[1]Sales per type Agustus'!$D$10:$BA$52,MATCH($C26,'[1]Sales per type Agustus'!$B$10:$B$52,0),MATCH("IQOO Z11",'[1]Sales per type Agustus'!$D$8:$BA$8,0)+1),0)</f>
        <v>0</v>
      </c>
      <c r="DC26" s="33">
        <f t="shared" si="33"/>
        <v>34495000</v>
      </c>
      <c r="DD26" s="33">
        <f>IFERROR(INDEX('[1]SALES PERTYPE'!$D$10:$BA$53,MATCH($C26,'[1]SALES PERTYPE'!$B$10:$B$53,0),MATCH("WATCH 3",'[1]SALES PERTYPE'!$D$8:$BA$8,0)),0)</f>
        <v>0</v>
      </c>
      <c r="DE26" s="33">
        <f>IFERROR(INDEX('[1]Sales per type Agustus'!$D$10:$BA$52,MATCH($C26,'[1]Sales per type Agustus'!$B$10:$B$52,0),MATCH("WATCH 3",'[1]Sales per type Agustus'!$D$8:$BA$8,0)),0)</f>
        <v>0</v>
      </c>
      <c r="DF26" s="33">
        <f t="shared" si="34"/>
        <v>0</v>
      </c>
      <c r="DG26" s="33" cm="1">
        <f t="array" ref="DG26">IFERROR(INDEX('[1]SALES PERTYPE'!$D$10:$BA$53,MATCH($C26,'[1]SALES PERTYPE'!$B$10:$B$53,0),MATCH("WATCH 3",'[1]SALES PERTYPE'!$D$8:$BA$8,0)+1),0)</f>
        <v>0</v>
      </c>
      <c r="DH26" s="33" cm="1">
        <f t="array" ref="DH26">IFERROR(INDEX('[1]Sales per type Agustus'!$D$10:$BA$52,MATCH($C26,'[1]Sales per type Agustus'!$B$10:$B$52,0),MATCH("WATCH 3",'[1]Sales per type Agustus'!$D$8:$BA$8,0)+1),0)</f>
        <v>0</v>
      </c>
      <c r="DI26" s="33">
        <f t="shared" si="35"/>
        <v>0</v>
      </c>
      <c r="DJ26" s="33">
        <f>IFERROR(INDEX('[1]SALES PERTYPE'!$D$10:$BA$53,MATCH($C26,'[1]SALES PERTYPE'!$B$10:$B$53,0),MATCH("X Fold5",'[1]SALES PERTYPE'!$D$8:$BA$8,0)),0)</f>
        <v>0</v>
      </c>
      <c r="DK26" s="33">
        <f>IFERROR(INDEX('[1]Sales per type Agustus'!$D$10:$BA$52,MATCH($C26,'[1]Sales per type Agustus'!$B$10:$B$52,0),MATCH("X Fold5",'[1]Sales per type Agustus'!$D$8:$BA$8,0)),0)</f>
        <v>0</v>
      </c>
      <c r="DL26" s="33">
        <f t="shared" si="36"/>
        <v>0</v>
      </c>
      <c r="DM26" s="33" cm="1">
        <f t="array" ref="DM26">IFERROR(INDEX('[1]SALES PERTYPE'!$D$10:$BA$53,MATCH($C26,'[1]SALES PERTYPE'!$B$10:$B$53,0),MATCH("X Fold5",'[1]SALES PERTYPE'!$D$8:$BA$8,0)+1),0)</f>
        <v>0</v>
      </c>
      <c r="DN26" s="33" cm="1">
        <f t="array" ref="DN26">IFERROR(INDEX('[1]Sales per type Agustus'!$D$10:$BA$52,MATCH($C26,'[1]Sales per type Agustus'!$B$10:$B$52,0),MATCH("X Fold5",'[1]Sales per type Agustus'!$D$8:$BA$8,0)+1),0)</f>
        <v>0</v>
      </c>
      <c r="DO26" s="33">
        <f t="shared" si="37"/>
        <v>0</v>
      </c>
      <c r="DP26" s="33">
        <f>IFERROR(INDEX('[1]SALES PERTYPE'!$D$10:$BA$53,MATCH($C26,'[1]SALES PERTYPE'!$B$10:$B$53,0),MATCH("X300 PRO",'[1]SALES PERTYPE'!$D$8:$BA$8,0)),0)</f>
        <v>0</v>
      </c>
      <c r="DQ26" s="33">
        <f>IFERROR(INDEX('[1]Sales per type Agustus'!$D$10:$BA$52,MATCH($C26,'[1]Sales per type Agustus'!$B$10:$B$52,0),MATCH("X300 PRO",'[1]Sales per type Agustus'!$D$8:$BA$8,0)),0)</f>
        <v>0</v>
      </c>
      <c r="DR26" s="33">
        <f t="shared" si="38"/>
        <v>0</v>
      </c>
      <c r="DS26" s="33" cm="1">
        <f t="array" ref="DS26">IFERROR(INDEX('[1]SALES PERTYPE'!$D$10:$BA$53,MATCH($C26,'[1]SALES PERTYPE'!$B$10:$B$53,0),MATCH("X300 PRO",'[1]SALES PERTYPE'!$D$8:$BA$8,0)+1),0)</f>
        <v>0</v>
      </c>
      <c r="DT26" s="33" cm="1">
        <f t="array" ref="DT26">IFERROR(INDEX('[1]Sales per type Agustus'!$D$10:$BA$52,MATCH($C26,'[1]Sales per type Agustus'!$B$10:$B$52,0),MATCH("X300 PRO",'[1]Sales per type Agustus'!$D$8:$BA$8,0)+1),0)</f>
        <v>0</v>
      </c>
      <c r="DU26" s="33">
        <f t="shared" si="39"/>
        <v>0</v>
      </c>
      <c r="DV26" s="33">
        <f>IFERROR(INDEX('[1]SALES PERTYPE'!$D$10:$BA$53,MATCH($C26,'[1]SALES PERTYPE'!$B$10:$B$53,0),MATCH("X300 ",'[1]SALES PERTYPE'!$D$8:$BA$8,0)),0)</f>
        <v>0</v>
      </c>
      <c r="DW26" s="33">
        <f>IFERROR(INDEX('[1]Sales per type Agustus'!$D$10:$BA$52,MATCH($C26,'[1]Sales per type Agustus'!$B$10:$B$52,0),MATCH("X300 ",'[1]Sales per type Agustus'!$D$8:$BA$8,0)),0)</f>
        <v>0</v>
      </c>
      <c r="DX26" s="33">
        <f t="shared" si="40"/>
        <v>0</v>
      </c>
      <c r="DY26" s="33" cm="1">
        <f t="array" ref="DY26">IFERROR(INDEX('[1]SALES PERTYPE'!$D$10:$BA$53,MATCH($C26,'[1]SALES PERTYPE'!$B$10:$B$53,0),MATCH("X300 ",'[1]SALES PERTYPE'!$D$8:$BA$8,0)+1),0)</f>
        <v>0</v>
      </c>
      <c r="DZ26" s="33" cm="1">
        <f t="array" ref="DZ26">IFERROR(INDEX('[1]Sales per type Agustus'!$D$10:$BA$52,MATCH($C26,'[1]Sales per type Agustus'!$B$10:$B$52,0),MATCH("X300 ",'[1]Sales per type Agustus'!$D$8:$BA$8,0)+1),0)</f>
        <v>0</v>
      </c>
      <c r="EA26" s="33">
        <f t="shared" si="41"/>
        <v>0</v>
      </c>
      <c r="EB26" s="33">
        <f t="shared" si="42"/>
        <v>82</v>
      </c>
      <c r="EC26" s="33">
        <f t="shared" si="42"/>
        <v>87</v>
      </c>
      <c r="ED26" s="33">
        <f t="shared" si="43"/>
        <v>-5</v>
      </c>
      <c r="EE26" s="33">
        <f t="shared" si="44"/>
        <v>366018000</v>
      </c>
      <c r="EF26" s="33">
        <f t="shared" si="44"/>
        <v>339313000</v>
      </c>
      <c r="EG26" s="33">
        <f t="shared" si="45"/>
        <v>26705000</v>
      </c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</row>
    <row r="27" spans="1:184" ht="16" x14ac:dyDescent="0.2">
      <c r="A27" s="31">
        <f>'[1]ACHIEVEMENT STORE'!A27</f>
        <v>23</v>
      </c>
      <c r="B27" s="32" t="str">
        <f>'[1]ACHIEVEMENT STORE'!B27</f>
        <v>624-万丹BANTEN</v>
      </c>
      <c r="C27" s="31">
        <f>'[1]ACHIEVEMENT STORE'!C27</f>
        <v>6240704</v>
      </c>
      <c r="D27" s="32" t="str">
        <f>'[1]ACHIEVEMENT STORE'!D27</f>
        <v>6240704-TANGCITY LG017</v>
      </c>
      <c r="E27" s="32" t="str">
        <f>'[1]ACHIEVEMENT STORE'!E27</f>
        <v>ARIES FITRIYANTO</v>
      </c>
      <c r="F27" s="33">
        <f>IFERROR(INDEX('[1]SALES PERTYPE'!$D$10:$BA$53,MATCH($C27,'[1]SALES PERTYPE'!$B$10:$B$53,0),MATCH("Y05",'[1]SALES PERTYPE'!$D$8:$BA$8,0)),0)</f>
        <v>2</v>
      </c>
      <c r="G27" s="33">
        <f>IFERROR(INDEX('[1]Sales per type Agustus'!$D$10:$BA$52,MATCH($C27,'[1]Sales per type Agustus'!$B$10:$B$52,0),MATCH("Y05",'[1]Sales per type Agustus'!$D$8:$BA$8,0)),0)</f>
        <v>3</v>
      </c>
      <c r="H27" s="33">
        <f t="shared" si="0"/>
        <v>-1</v>
      </c>
      <c r="I27" s="33" cm="1">
        <f t="array" ref="I27">IFERROR(INDEX('[1]SALES PERTYPE'!$D$10:$BA$53,MATCH($C27,'[1]SALES PERTYPE'!$B$10:$B$53,0),MATCH("Y05",'[1]SALES PERTYPE'!$D$8:$BA$8,0)+1),0)</f>
        <v>4898000</v>
      </c>
      <c r="J27" s="33" cm="1">
        <f t="array" ref="J27">IFERROR(INDEX('[1]Sales per type Agustus'!$D$10:$BA$52,MATCH($C27,'[1]Sales per type Agustus'!$B$10:$B$52,0),MATCH("Y05",'[1]Sales per type Agustus'!$D$8:$BA$8,0)+1),0)</f>
        <v>7497000</v>
      </c>
      <c r="K27" s="33">
        <f t="shared" si="1"/>
        <v>-2599000</v>
      </c>
      <c r="L27" s="33">
        <f>IFERROR(INDEX('[1]SALES PERTYPE'!$D$10:$BA$53,MATCH($C27,'[1]SALES PERTYPE'!$B$10:$B$53,0),MATCH("Y11d",'[1]SALES PERTYPE'!$D$8:$BA$8,0)),0)</f>
        <v>0</v>
      </c>
      <c r="M27" s="33">
        <f>IFERROR(INDEX('[1]Sales per type Agustus'!$D$10:$BA$52,MATCH($C27,'[1]Sales per type Agustus'!$B$10:$B$52,0),MATCH("Y11d",'[1]Sales per type Agustus'!$D$8:$BA$8,0)),0)</f>
        <v>6</v>
      </c>
      <c r="N27" s="33">
        <f t="shared" si="2"/>
        <v>-6</v>
      </c>
      <c r="O27" s="33" cm="1">
        <f t="array" ref="O27">IFERROR(INDEX('[1]SALES PERTYPE'!$D$10:$BA$53,MATCH($C27,'[1]SALES PERTYPE'!$B$10:$B$53,0),MATCH("Y11d",'[1]SALES PERTYPE'!$D$8:$BA$8,0)+1),0)</f>
        <v>0</v>
      </c>
      <c r="P27" s="33" cm="1">
        <f t="array" ref="P27">IFERROR(INDEX('[1]Sales per type Agustus'!$D$10:$BA$52,MATCH($C27,'[1]Sales per type Agustus'!$B$10:$B$52,0),MATCH("Y11d",'[1]Sales per type Agustus'!$D$8:$BA$8,0)+1),0)</f>
        <v>16794000</v>
      </c>
      <c r="Q27" s="33">
        <f t="shared" si="3"/>
        <v>-16794000</v>
      </c>
      <c r="R27" s="33">
        <f>IFERROR(INDEX('[1]SALES PERTYPE'!$D$10:$BA$53,MATCH($C27,'[1]SALES PERTYPE'!$B$10:$B$53,0),MATCH("Watch GT 2",'[1]SALES PERTYPE'!$D$8:$BA$8,0)),0)</f>
        <v>0</v>
      </c>
      <c r="S27" s="33">
        <f>IFERROR(INDEX('[1]Sales per type Agustus'!$D$10:$BA$52,MATCH($C27,'[1]Sales per type Agustus'!$B$10:$B$52,0),MATCH("Watch GT 2",'[1]Sales per type Agustus'!$D$8:$BA$8,0)),0)</f>
        <v>0</v>
      </c>
      <c r="T27" s="33">
        <f t="shared" si="4"/>
        <v>0</v>
      </c>
      <c r="U27" s="33" cm="1">
        <f t="array" ref="U27">IFERROR(INDEX('[1]SALES PERTYPE'!$D$10:$BA$53,MATCH($C27,'[1]SALES PERTYPE'!$B$10:$B$53,0),MATCH("Watch GT 2",'[1]SALES PERTYPE'!$D$8:$BA$8,0)+1),0)</f>
        <v>0</v>
      </c>
      <c r="V27" s="33" cm="1">
        <f t="array" ref="V27">IFERROR(INDEX('[1]Sales per type Agustus'!$D$10:$BA$52,MATCH($C27,'[1]Sales per type Agustus'!$B$10:$B$52,0),MATCH("Watch GT 2",'[1]Sales per type Agustus'!$D$8:$BA$8,0)+1),0)</f>
        <v>0</v>
      </c>
      <c r="W27" s="33">
        <f t="shared" si="5"/>
        <v>0</v>
      </c>
      <c r="X27" s="33">
        <f>IFERROR(INDEX('[1]SALES PERTYPE'!$D$10:$BA$53,MATCH($C27,'[1]SALES PERTYPE'!$B$10:$B$53,0),MATCH("Y05e",'[1]SALES PERTYPE'!$D$8:$BA$8,0)),0)</f>
        <v>4</v>
      </c>
      <c r="Y27" s="33">
        <f>IFERROR(INDEX('[1]Sales per type Agustus'!$D$10:$BA$52,MATCH($C27,'[1]Sales per type Agustus'!$B$10:$B$52,0),MATCH("Y05e",'[1]Sales per type Agustus'!$D$8:$BA$8,0)),0)</f>
        <v>6</v>
      </c>
      <c r="Z27" s="33">
        <f t="shared" si="6"/>
        <v>-2</v>
      </c>
      <c r="AA27" s="33" cm="1">
        <f t="array" ref="AA27">IFERROR(INDEX('[1]SALES PERTYPE'!$D$10:$BA$53,MATCH($C27,'[1]SALES PERTYPE'!$B$10:$B$53,0),MATCH("Y05e",'[1]SALES PERTYPE'!$D$8:$BA$8,0)+1),0)</f>
        <v>9196000</v>
      </c>
      <c r="AB27" s="33" cm="1">
        <f t="array" ref="AB27">IFERROR(INDEX('[1]Sales per type Agustus'!$D$10:$BA$52,MATCH($C27,'[1]Sales per type Agustus'!$B$10:$B$52,0),MATCH("Y05e",'[1]Sales per type Agustus'!$D$8:$BA$8,0)+1),0)</f>
        <v>12594000</v>
      </c>
      <c r="AC27" s="33">
        <f t="shared" si="7"/>
        <v>-3398000</v>
      </c>
      <c r="AD27" s="33">
        <f>IFERROR(INDEX('[1]SALES PERTYPE'!$D$10:$BA$53,MATCH($C27,'[1]SALES PERTYPE'!$B$10:$B$53,0),MATCH("V70",'[1]SALES PERTYPE'!$D$8:$BA$8,0)),0)</f>
        <v>2</v>
      </c>
      <c r="AE27" s="33">
        <f>IFERROR(INDEX('[1]Sales per type Agustus'!$D$10:$BA$52,MATCH($C27,'[1]Sales per type Agustus'!$B$10:$B$52,0),MATCH("V70",'[1]Sales per type Agustus'!$D$8:$BA$8,0)),0)</f>
        <v>0</v>
      </c>
      <c r="AF27" s="33">
        <f t="shared" si="8"/>
        <v>2</v>
      </c>
      <c r="AG27" s="33" cm="1">
        <f t="array" ref="AG27">IFERROR(INDEX('[1]SALES PERTYPE'!$D$10:$BA$53,MATCH($C27,'[1]SALES PERTYPE'!$B$10:$B$53,0),MATCH("V70",'[1]SALES PERTYPE'!$D$8:$BA$8,0)+1),0)</f>
        <v>19998000</v>
      </c>
      <c r="AH27" s="33" cm="1">
        <f t="array" ref="AH27">IFERROR(INDEX('[1]Sales per type Agustus'!$D$10:$BA$52,MATCH($C27,'[1]Sales per type Agustus'!$B$10:$B$52,0),MATCH("V70",'[1]Sales per type Agustus'!$D$8:$BA$8,0)+1),0)</f>
        <v>0</v>
      </c>
      <c r="AI27" s="33">
        <f t="shared" si="9"/>
        <v>19998000</v>
      </c>
      <c r="AJ27" s="33">
        <f>IFERROR(INDEX('[1]SALES PERTYPE'!$D$10:$BA$53,MATCH($C27,'[1]SALES PERTYPE'!$B$10:$B$53,0),MATCH("Y31d Pro",'[1]SALES PERTYPE'!$D$8:$BA$8,0)),0)</f>
        <v>2</v>
      </c>
      <c r="AK27" s="33">
        <f>IFERROR(INDEX('[1]Sales per type Agustus'!$D$10:$BA$52,MATCH($C27,'[1]Sales per type Agustus'!$B$10:$B$52,0),MATCH("Y31d Pro",'[1]Sales per type Agustus'!$D$8:$BA$8,0)),0)</f>
        <v>3</v>
      </c>
      <c r="AL27" s="33">
        <f t="shared" si="10"/>
        <v>-1</v>
      </c>
      <c r="AM27" s="33" cm="1">
        <f t="array" ref="AM27">IFERROR(INDEX('[1]SALES PERTYPE'!$D$10:$BA$53,MATCH($C27,'[1]SALES PERTYPE'!$B$10:$B$53,0),MATCH("Y31d Pro",'[1]SALES PERTYPE'!$D$8:$BA$8,0)+1),0)</f>
        <v>8598000</v>
      </c>
      <c r="AN27" s="33" cm="1">
        <f t="array" ref="AN27">IFERROR(INDEX('[1]Sales per type Agustus'!$D$10:$BA$52,MATCH($C27,'[1]Sales per type Agustus'!$B$10:$B$52,0),MATCH("Y31d Pro",'[1]Sales per type Agustus'!$D$8:$BA$8,0)+1),0)</f>
        <v>12897000</v>
      </c>
      <c r="AO27" s="33">
        <f t="shared" si="11"/>
        <v>-4299000</v>
      </c>
      <c r="AP27" s="33" cm="1">
        <f t="array" ref="AP27">IFERROR(INDEX('[1]SALES PERTYPE'!$D$10:$BA$53,MATCH($C27,'[1]SALES PERTYPE'!$B$10:$B$53,0),$EI$3),0)</f>
        <v>5</v>
      </c>
      <c r="AQ27" s="33" cm="1">
        <f t="array" ref="AQ27">IFERROR(INDEX('[1]Sales per type Agustus'!$D$10:$BA$52,MATCH($C27,'[1]Sales per type Agustus'!$B$10:$B$52,0),$EI$2),0)</f>
        <v>0</v>
      </c>
      <c r="AR27" s="33">
        <f t="shared" si="12"/>
        <v>5</v>
      </c>
      <c r="AS27" s="33" cm="1">
        <f t="array" ref="AS27">IFERROR(INDEX('[1]SALES PERTYPE'!$D$10:$BA$53,MATCH($C27,'[1]SALES PERTYPE'!$B$10:$B$53,0),$EI$3+1),0)</f>
        <v>16795000</v>
      </c>
      <c r="AT27" s="33" cm="1">
        <f t="array" ref="AT27">IFERROR(INDEX('[1]Sales per type Agustus'!$D$10:$BA$52,MATCH($C27,'[1]Sales per type Agustus'!$B$10:$B$52,0),$EI$2+1),0)</f>
        <v>0</v>
      </c>
      <c r="AU27" s="33">
        <f t="shared" si="13"/>
        <v>16795000</v>
      </c>
      <c r="AV27" s="33">
        <f>IFERROR(INDEX('[1]SALES PERTYPE'!$D$10:$BA$53,MATCH($C27,'[1]SALES PERTYPE'!$B$10:$B$53,0),MATCH("Y31d ",'[1]SALES PERTYPE'!$D$8:$BA$8,0)),0)</f>
        <v>0</v>
      </c>
      <c r="AW27" s="33">
        <f>IFERROR(INDEX('[1]Sales per type Agustus'!$D$10:$BA$52,MATCH($C27,'[1]Sales per type Agustus'!$B$10:$B$52,0),MATCH("Y31d ",'[1]Sales per type Agustus'!$D$8:$BA$8,0)),0)</f>
        <v>0</v>
      </c>
      <c r="AX27" s="33">
        <f t="shared" si="14"/>
        <v>0</v>
      </c>
      <c r="AY27" s="33" cm="1">
        <f t="array" ref="AY27">IFERROR(INDEX('[1]SALES PERTYPE'!$D$10:$BA$53,MATCH($C27,'[1]SALES PERTYPE'!$B$10:$B$53,0),MATCH("Y31d ",'[1]SALES PERTYPE'!$D$8:$BA$8,0)+1),0)</f>
        <v>0</v>
      </c>
      <c r="AZ27" s="33" cm="1">
        <f t="array" ref="AZ27">IFERROR(INDEX('[1]Sales per type Agustus'!$D$10:$BA$52,MATCH($C27,'[1]Sales per type Agustus'!$B$10:$B$52,0),MATCH("Y31d ",'[1]Sales per type Agustus'!$D$8:$BA$8,0)+1),0)</f>
        <v>0</v>
      </c>
      <c r="BA27" s="33">
        <f t="shared" si="15"/>
        <v>0</v>
      </c>
      <c r="BB27" s="33">
        <f>IFERROR(INDEX('[1]SALES PERTYPE'!$D$10:$BA$53,MATCH($C27,'[1]SALES PERTYPE'!$B$10:$B$53,0),MATCH("V70 FE",'[1]SALES PERTYPE'!$D$8:$BA$8,0)),0)</f>
        <v>2</v>
      </c>
      <c r="BC27" s="33">
        <f>IFERROR(INDEX('[1]Sales per type Agustus'!$D$10:$BA$52,MATCH($C27,'[1]Sales per type Agustus'!$B$10:$B$52,0),MATCH("V70 FE",'[1]Sales per type Agustus'!$D$8:$BA$8,0)),0)</f>
        <v>0</v>
      </c>
      <c r="BD27" s="33">
        <f t="shared" si="16"/>
        <v>2</v>
      </c>
      <c r="BE27" s="33" cm="1">
        <f t="array" ref="BE27">IFERROR(INDEX('[1]SALES PERTYPE'!$D$10:$BA$53,MATCH($C27,'[1]SALES PERTYPE'!$B$10:$B$53,0),MATCH("V70 FE",'[1]SALES PERTYPE'!$D$8:$BA$8,0)+1),0)</f>
        <v>13998000</v>
      </c>
      <c r="BF27" s="33" cm="1">
        <f t="array" ref="BF27">IFERROR(INDEX('[1]Sales per type Agustus'!$D$10:$BA$52,MATCH($C27,'[1]Sales per type Agustus'!$B$10:$B$52,0),MATCH("V70 FE",'[1]Sales per type Agustus'!$D$8:$BA$8,0)+1),0)</f>
        <v>0</v>
      </c>
      <c r="BG27" s="33">
        <f t="shared" si="17"/>
        <v>13998000</v>
      </c>
      <c r="BH27" s="33">
        <f>IFERROR(INDEX('[1]SALES PERTYPE'!$D$10:$BA$53,MATCH($C27,'[1]SALES PERTYPE'!$B$10:$B$53,0),MATCH("Y31d",'[1]SALES PERTYPE'!$D$8:$BA$8,0)),0)</f>
        <v>0</v>
      </c>
      <c r="BI27" s="33">
        <f>IFERROR(INDEX('[1]Sales per type Agustus'!$D$10:$BA$52,MATCH($C27,'[1]Sales per type Agustus'!$B$10:$B$52,0),MATCH("Y31d",'[1]Sales per type Agustus'!$D$8:$BA$8,0)),0)</f>
        <v>0</v>
      </c>
      <c r="BJ27" s="33">
        <f t="shared" si="18"/>
        <v>0</v>
      </c>
      <c r="BK27" s="33" cm="1">
        <f t="array" ref="BK27">IFERROR(INDEX('[1]SALES PERTYPE'!$D$10:$BA$53,MATCH($C27,'[1]SALES PERTYPE'!$B$10:$B$53,0),MATCH("Y31d",'[1]SALES PERTYPE'!$D$8:$BA$8,0)+1),0)</f>
        <v>0</v>
      </c>
      <c r="BL27" s="33" cm="1">
        <f t="array" ref="BL27">IFERROR(INDEX('[1]Sales per type Agustus'!$D$10:$BA$52,MATCH($C27,'[1]Sales per type Agustus'!$B$10:$B$52,0),MATCH("Y31d",'[1]Sales per type Agustus'!$D$8:$BA$8,0)+1),0)</f>
        <v>0</v>
      </c>
      <c r="BM27" s="33">
        <f t="shared" si="19"/>
        <v>0</v>
      </c>
      <c r="BN27" s="33">
        <f>IFERROR(INDEX('[1]SALES PERTYPE'!$D$10:$BA$53,MATCH($C27,'[1]SALES PERTYPE'!$B$10:$B$53,0),MATCH("Y500",'[1]SALES PERTYPE'!$D$8:$BA$8,0)),0)</f>
        <v>0</v>
      </c>
      <c r="BO27" s="33">
        <f>IFERROR(INDEX('[1]Sales per type Agustus'!$D$10:$BA$52,MATCH($C27,'[1]Sales per type Agustus'!$B$10:$B$52,0),MATCH("Y500",'[1]Sales per type Agustus'!$D$8:$BA$8,0)),0)</f>
        <v>1</v>
      </c>
      <c r="BP27" s="33">
        <f t="shared" si="20"/>
        <v>-1</v>
      </c>
      <c r="BQ27" s="33" cm="1">
        <f t="array" ref="BQ27">IFERROR(INDEX('[1]SALES PERTYPE'!$D$10:$BA$53,MATCH($C27,'[1]SALES PERTYPE'!$B$10:$B$53,0),MATCH("Y500",'[1]SALES PERTYPE'!$D$8:$BA$8,0)+1),0)</f>
        <v>0</v>
      </c>
      <c r="BR27" s="33" cm="1">
        <f t="array" ref="BR27">IFERROR(INDEX('[1]Sales per type Agustus'!$D$10:$BA$52,MATCH($C27,'[1]Sales per type Agustus'!$B$10:$B$52,0),MATCH("Y500",'[1]Sales per type Agustus'!$D$8:$BA$8,0)+1),0)</f>
        <v>5499000</v>
      </c>
      <c r="BS27" s="33">
        <f t="shared" si="21"/>
        <v>-5499000</v>
      </c>
      <c r="BT27" s="33">
        <f>IFERROR(INDEX('[1]SALES PERTYPE'!$D$10:$BA$53,MATCH($C27,'[1]SALES PERTYPE'!$B$10:$B$53,0),MATCH("IQOO 15R",'[1]SALES PERTYPE'!$D$8:$BA$8,0)),0)</f>
        <v>0</v>
      </c>
      <c r="BU27" s="33">
        <f>IFERROR(INDEX('[1]Sales per type Agustus'!$D$10:$BA$52,MATCH($C27,'[1]Sales per type Agustus'!$B$10:$B$52,0),MATCH("IQOO 15R",'[1]Sales per type Agustus'!$D$8:$BA$8,0)),0)</f>
        <v>0</v>
      </c>
      <c r="BV27" s="33">
        <f t="shared" si="22"/>
        <v>0</v>
      </c>
      <c r="BW27" s="33" cm="1">
        <f t="array" ref="BW27">IFERROR(INDEX('[1]SALES PERTYPE'!$D$10:$BA$53,MATCH($C27,'[1]SALES PERTYPE'!$B$10:$B$53,0),MATCH("IQOO 15R",'[1]SALES PERTYPE'!$D$8:$BA$8,0)+1),0)</f>
        <v>0</v>
      </c>
      <c r="BX27" s="33" cm="1">
        <f t="array" ref="BX27">IFERROR(INDEX('[1]Sales per type Agustus'!$D$10:$BA$52,MATCH($C27,'[1]Sales per type Agustus'!$B$10:$B$52,0),MATCH("IQOO 15R",'[1]Sales per type Agustus'!$D$8:$BA$8,0)+1),0)</f>
        <v>0</v>
      </c>
      <c r="BY27" s="33">
        <f t="shared" si="23"/>
        <v>0</v>
      </c>
      <c r="BZ27" s="33">
        <f>IFERROR(INDEX('[1]SALES PERTYPE'!$D$10:$BA$53,MATCH($C27,'[1]SALES PERTYPE'!$B$10:$B$53,0),MATCH("V60 Lite",'[1]SALES PERTYPE'!$D$8:$BA$8,0)),0)</f>
        <v>2</v>
      </c>
      <c r="CA27" s="33">
        <f>IFERROR(INDEX('[1]Sales per type Agustus'!$D$10:$BA$52,MATCH($C27,'[1]Sales per type Agustus'!$B$10:$B$52,0),MATCH("V60 Lite",'[1]Sales per type Agustus'!$D$8:$BA$8,0)),0)</f>
        <v>0</v>
      </c>
      <c r="CB27" s="33">
        <f t="shared" si="24"/>
        <v>2</v>
      </c>
      <c r="CC27" s="33" cm="1">
        <f t="array" ref="CC27">IFERROR(INDEX('[1]SALES PERTYPE'!$D$10:$BA$53,MATCH($C27,'[1]SALES PERTYPE'!$B$10:$B$53,0),MATCH("V60 Lite",'[1]SALES PERTYPE'!$D$8:$BA$8,0)+1),0)</f>
        <v>11798000</v>
      </c>
      <c r="CD27" s="33" cm="1">
        <f t="array" ref="CD27">IFERROR(INDEX('[1]Sales per type Agustus'!$D$10:$BA$52,MATCH($C27,'[1]Sales per type Agustus'!$B$10:$B$52,0),MATCH("V60 Lite",'[1]Sales per type Agustus'!$D$8:$BA$8,0)+1),0)</f>
        <v>0</v>
      </c>
      <c r="CE27" s="33">
        <f t="shared" si="25"/>
        <v>11798000</v>
      </c>
      <c r="CF27" s="33">
        <f>IFERROR(INDEX('[1]SALES PERTYPE'!$D$10:$BA$53,MATCH($C27,'[1]SALES PERTYPE'!$B$10:$B$53,0),MATCH("X300 Ultra",'[1]SALES PERTYPE'!$D$8:$BA$8,0)),0)</f>
        <v>0</v>
      </c>
      <c r="CG27" s="33">
        <f>IFERROR(INDEX('[1]Sales per type Agustus'!$D$10:$BA$52,MATCH($C27,'[1]Sales per type Agustus'!$B$10:$B$52,0),MATCH("X300 Ultra",'[1]Sales per type Agustus'!$D$8:$BA$8,0)),0)</f>
        <v>0</v>
      </c>
      <c r="CH27" s="33">
        <f t="shared" si="26"/>
        <v>0</v>
      </c>
      <c r="CI27" s="33" cm="1">
        <f t="array" ref="CI27">IFERROR(INDEX('[1]SALES PERTYPE'!$D$10:$BA$53,MATCH($C27,'[1]SALES PERTYPE'!$B$10:$B$53,0),MATCH("X300 Ultra",'[1]SALES PERTYPE'!$D$8:$BA$8,0)+1),0)</f>
        <v>0</v>
      </c>
      <c r="CJ27" s="33" cm="1">
        <f t="array" ref="CJ27">IFERROR(INDEX('[1]Sales per type Agustus'!$D$10:$BA$52,MATCH($C27,'[1]Sales per type Agustus'!$B$10:$B$52,0),MATCH("X300 Ultra",'[1]Sales per type Agustus'!$D$8:$BA$8,0)+1),0)</f>
        <v>0</v>
      </c>
      <c r="CK27" s="33">
        <f t="shared" si="27"/>
        <v>0</v>
      </c>
      <c r="CL27" s="33">
        <f>IFERROR(INDEX('[1]SALES PERTYPE'!$D$10:$BA$53,MATCH($C27,'[1]SALES PERTYPE'!$B$10:$B$53,0),MATCH("IQOO 15",'[1]SALES PERTYPE'!$D$8:$BA$8,0)),0)</f>
        <v>0</v>
      </c>
      <c r="CM27" s="33">
        <f>IFERROR(INDEX('[1]Sales per type Agustus'!$D$10:$BA$52,MATCH($C27,'[1]Sales per type Agustus'!$B$10:$B$52,0),MATCH("IQOO 15",'[1]Sales per type Agustus'!$D$8:$BA$8,0)),0)</f>
        <v>0</v>
      </c>
      <c r="CN27" s="33">
        <f t="shared" si="28"/>
        <v>0</v>
      </c>
      <c r="CO27" s="33" cm="1">
        <f t="array" ref="CO27">IFERROR(INDEX('[1]SALES PERTYPE'!$D$10:$BA$53,MATCH($C27,'[1]SALES PERTYPE'!$B$10:$B$53,0),MATCH("IQOO 15",'[1]SALES PERTYPE'!$D$8:$BA$8,0)+1),0)</f>
        <v>0</v>
      </c>
      <c r="CP27" s="33" cm="1">
        <f t="array" ref="CP27">IFERROR(INDEX('[1]Sales per type Agustus'!$D$10:$BA$52,MATCH($C27,'[1]Sales per type Agustus'!$B$10:$B$52,0),MATCH("IQOO 15",'[1]Sales per type Agustus'!$D$8:$BA$8,0)+1),0)</f>
        <v>0</v>
      </c>
      <c r="CQ27" s="33">
        <f t="shared" si="29"/>
        <v>0</v>
      </c>
      <c r="CR27" s="33">
        <f>IFERROR(INDEX('[1]SALES PERTYPE'!$D$10:$BA$53,MATCH($C27,'[1]SALES PERTYPE'!$B$10:$B$53,0),MATCH("IQOO Z11x",'[1]SALES PERTYPE'!$D$8:$BA$8,0)),0)</f>
        <v>0</v>
      </c>
      <c r="CS27" s="33">
        <f>IFERROR(INDEX('[1]Sales per type Agustus'!$D$10:$BA$52,MATCH($C27,'[1]Sales per type Agustus'!$B$10:$B$52,0),MATCH("IQOO Z11x",'[1]Sales per type Agustus'!$D$8:$BA$8,0)),0)</f>
        <v>0</v>
      </c>
      <c r="CT27" s="33">
        <f t="shared" si="30"/>
        <v>0</v>
      </c>
      <c r="CU27" s="33" cm="1">
        <f t="array" ref="CU27">IFERROR(INDEX('[1]SALES PERTYPE'!$D$10:$BA$53,MATCH($C27,'[1]SALES PERTYPE'!$B$10:$B$53,0),MATCH("IQOO Z11x",'[1]SALES PERTYPE'!$D$8:$BA$8,0)+1),0)</f>
        <v>0</v>
      </c>
      <c r="CV27" s="33" cm="1">
        <f t="array" ref="CV27">IFERROR(INDEX('[1]Sales per type Agustus'!$D$10:$BA$52,MATCH($C27,'[1]Sales per type Agustus'!$B$10:$B$52,0),MATCH("IQOO Z11x",'[1]Sales per type Agustus'!$D$8:$BA$8,0)+1),0)</f>
        <v>0</v>
      </c>
      <c r="CW27" s="33">
        <f t="shared" si="31"/>
        <v>0</v>
      </c>
      <c r="CX27" s="33">
        <f>IFERROR(INDEX('[1]SALES PERTYPE'!$D$10:$BA$53,MATCH($C27,'[1]SALES PERTYPE'!$B$10:$B$53,0),MATCH("IQOO Z11",'[1]SALES PERTYPE'!$D$8:$BA$8,0)),0)</f>
        <v>1</v>
      </c>
      <c r="CY27" s="33">
        <f>IFERROR(INDEX('[1]Sales per type Agustus'!$D$10:$BA$52,MATCH($C27,'[1]Sales per type Agustus'!$B$10:$B$52,0),MATCH("IQOO Z11",'[1]Sales per type Agustus'!$D$8:$BA$8,0)),0)</f>
        <v>0</v>
      </c>
      <c r="CZ27" s="33">
        <f t="shared" si="32"/>
        <v>1</v>
      </c>
      <c r="DA27" s="33" cm="1">
        <f t="array" ref="DA27">IFERROR(INDEX('[1]SALES PERTYPE'!$D$10:$BA$53,MATCH($C27,'[1]SALES PERTYPE'!$B$10:$B$53,0),MATCH("IQOO Z11",'[1]SALES PERTYPE'!$D$8:$BA$8,0)+1),0)</f>
        <v>6899000</v>
      </c>
      <c r="DB27" s="33" cm="1">
        <f t="array" ref="DB27">IFERROR(INDEX('[1]Sales per type Agustus'!$D$10:$BA$52,MATCH($C27,'[1]Sales per type Agustus'!$B$10:$B$52,0),MATCH("IQOO Z11",'[1]Sales per type Agustus'!$D$8:$BA$8,0)+1),0)</f>
        <v>0</v>
      </c>
      <c r="DC27" s="33">
        <f t="shared" si="33"/>
        <v>6899000</v>
      </c>
      <c r="DD27" s="33">
        <f>IFERROR(INDEX('[1]SALES PERTYPE'!$D$10:$BA$53,MATCH($C27,'[1]SALES PERTYPE'!$B$10:$B$53,0),MATCH("WATCH 3",'[1]SALES PERTYPE'!$D$8:$BA$8,0)),0)</f>
        <v>0</v>
      </c>
      <c r="DE27" s="33">
        <f>IFERROR(INDEX('[1]Sales per type Agustus'!$D$10:$BA$52,MATCH($C27,'[1]Sales per type Agustus'!$B$10:$B$52,0),MATCH("WATCH 3",'[1]Sales per type Agustus'!$D$8:$BA$8,0)),0)</f>
        <v>0</v>
      </c>
      <c r="DF27" s="33">
        <f t="shared" si="34"/>
        <v>0</v>
      </c>
      <c r="DG27" s="33" cm="1">
        <f t="array" ref="DG27">IFERROR(INDEX('[1]SALES PERTYPE'!$D$10:$BA$53,MATCH($C27,'[1]SALES PERTYPE'!$B$10:$B$53,0),MATCH("WATCH 3",'[1]SALES PERTYPE'!$D$8:$BA$8,0)+1),0)</f>
        <v>0</v>
      </c>
      <c r="DH27" s="33" cm="1">
        <f t="array" ref="DH27">IFERROR(INDEX('[1]Sales per type Agustus'!$D$10:$BA$52,MATCH($C27,'[1]Sales per type Agustus'!$B$10:$B$52,0),MATCH("WATCH 3",'[1]Sales per type Agustus'!$D$8:$BA$8,0)+1),0)</f>
        <v>0</v>
      </c>
      <c r="DI27" s="33">
        <f t="shared" si="35"/>
        <v>0</v>
      </c>
      <c r="DJ27" s="33">
        <f>IFERROR(INDEX('[1]SALES PERTYPE'!$D$10:$BA$53,MATCH($C27,'[1]SALES PERTYPE'!$B$10:$B$53,0),MATCH("X Fold5",'[1]SALES PERTYPE'!$D$8:$BA$8,0)),0)</f>
        <v>0</v>
      </c>
      <c r="DK27" s="33">
        <f>IFERROR(INDEX('[1]Sales per type Agustus'!$D$10:$BA$52,MATCH($C27,'[1]Sales per type Agustus'!$B$10:$B$52,0),MATCH("X Fold5",'[1]Sales per type Agustus'!$D$8:$BA$8,0)),0)</f>
        <v>0</v>
      </c>
      <c r="DL27" s="33">
        <f t="shared" si="36"/>
        <v>0</v>
      </c>
      <c r="DM27" s="33" cm="1">
        <f t="array" ref="DM27">IFERROR(INDEX('[1]SALES PERTYPE'!$D$10:$BA$53,MATCH($C27,'[1]SALES PERTYPE'!$B$10:$B$53,0),MATCH("X Fold5",'[1]SALES PERTYPE'!$D$8:$BA$8,0)+1),0)</f>
        <v>0</v>
      </c>
      <c r="DN27" s="33" cm="1">
        <f t="array" ref="DN27">IFERROR(INDEX('[1]Sales per type Agustus'!$D$10:$BA$52,MATCH($C27,'[1]Sales per type Agustus'!$B$10:$B$52,0),MATCH("X Fold5",'[1]Sales per type Agustus'!$D$8:$BA$8,0)+1),0)</f>
        <v>0</v>
      </c>
      <c r="DO27" s="33">
        <f t="shared" si="37"/>
        <v>0</v>
      </c>
      <c r="DP27" s="33">
        <f>IFERROR(INDEX('[1]SALES PERTYPE'!$D$10:$BA$53,MATCH($C27,'[1]SALES PERTYPE'!$B$10:$B$53,0),MATCH("X300 PRO",'[1]SALES PERTYPE'!$D$8:$BA$8,0)),0)</f>
        <v>0</v>
      </c>
      <c r="DQ27" s="33">
        <f>IFERROR(INDEX('[1]Sales per type Agustus'!$D$10:$BA$52,MATCH($C27,'[1]Sales per type Agustus'!$B$10:$B$52,0),MATCH("X300 PRO",'[1]Sales per type Agustus'!$D$8:$BA$8,0)),0)</f>
        <v>0</v>
      </c>
      <c r="DR27" s="33">
        <f t="shared" si="38"/>
        <v>0</v>
      </c>
      <c r="DS27" s="33" cm="1">
        <f t="array" ref="DS27">IFERROR(INDEX('[1]SALES PERTYPE'!$D$10:$BA$53,MATCH($C27,'[1]SALES PERTYPE'!$B$10:$B$53,0),MATCH("X300 PRO",'[1]SALES PERTYPE'!$D$8:$BA$8,0)+1),0)</f>
        <v>0</v>
      </c>
      <c r="DT27" s="33" cm="1">
        <f t="array" ref="DT27">IFERROR(INDEX('[1]Sales per type Agustus'!$D$10:$BA$52,MATCH($C27,'[1]Sales per type Agustus'!$B$10:$B$52,0),MATCH("X300 PRO",'[1]Sales per type Agustus'!$D$8:$BA$8,0)+1),0)</f>
        <v>0</v>
      </c>
      <c r="DU27" s="33">
        <f t="shared" si="39"/>
        <v>0</v>
      </c>
      <c r="DV27" s="33">
        <f>IFERROR(INDEX('[1]SALES PERTYPE'!$D$10:$BA$53,MATCH($C27,'[1]SALES PERTYPE'!$B$10:$B$53,0),MATCH("X300 ",'[1]SALES PERTYPE'!$D$8:$BA$8,0)),0)</f>
        <v>0</v>
      </c>
      <c r="DW27" s="33">
        <f>IFERROR(INDEX('[1]Sales per type Agustus'!$D$10:$BA$52,MATCH($C27,'[1]Sales per type Agustus'!$B$10:$B$52,0),MATCH("X300 ",'[1]Sales per type Agustus'!$D$8:$BA$8,0)),0)</f>
        <v>0</v>
      </c>
      <c r="DX27" s="33">
        <f t="shared" si="40"/>
        <v>0</v>
      </c>
      <c r="DY27" s="33" cm="1">
        <f t="array" ref="DY27">IFERROR(INDEX('[1]SALES PERTYPE'!$D$10:$BA$53,MATCH($C27,'[1]SALES PERTYPE'!$B$10:$B$53,0),MATCH("X300 ",'[1]SALES PERTYPE'!$D$8:$BA$8,0)+1),0)</f>
        <v>0</v>
      </c>
      <c r="DZ27" s="33" cm="1">
        <f t="array" ref="DZ27">IFERROR(INDEX('[1]Sales per type Agustus'!$D$10:$BA$52,MATCH($C27,'[1]Sales per type Agustus'!$B$10:$B$52,0),MATCH("X300 ",'[1]Sales per type Agustus'!$D$8:$BA$8,0)+1),0)</f>
        <v>0</v>
      </c>
      <c r="EA27" s="33">
        <f t="shared" si="41"/>
        <v>0</v>
      </c>
      <c r="EB27" s="33">
        <f t="shared" si="42"/>
        <v>20</v>
      </c>
      <c r="EC27" s="33">
        <f t="shared" si="42"/>
        <v>19</v>
      </c>
      <c r="ED27" s="33">
        <f t="shared" si="43"/>
        <v>1</v>
      </c>
      <c r="EE27" s="33">
        <f t="shared" si="44"/>
        <v>92180000</v>
      </c>
      <c r="EF27" s="33">
        <f t="shared" si="44"/>
        <v>55281000</v>
      </c>
      <c r="EG27" s="33">
        <f t="shared" si="45"/>
        <v>36899000</v>
      </c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</row>
    <row r="28" spans="1:184" ht="16" x14ac:dyDescent="0.2">
      <c r="A28" s="214">
        <f>'[1]ACHIEVEMENT STORE'!A28</f>
        <v>24</v>
      </c>
      <c r="B28" s="215" t="str">
        <f>'[1]ACHIEVEMENT STORE'!B28</f>
        <v>624-万丹BANTEN</v>
      </c>
      <c r="C28" s="214">
        <f>'[1]ACHIEVEMENT STORE'!C28</f>
        <v>6240701</v>
      </c>
      <c r="D28" s="215" t="str">
        <f>'[1]ACHIEVEMENT STORE'!D28</f>
        <v>6240701-TANGCITY LG BLOK A-B NO. 12</v>
      </c>
      <c r="E28" s="215" t="str">
        <f>'[1]ACHIEVEMENT STORE'!E28</f>
        <v>DHANI EKO NUGROHO</v>
      </c>
      <c r="F28" s="33">
        <f>IFERROR(INDEX('[1]SALES PERTYPE'!$D$10:$BA$53,MATCH($C28,'[1]SALES PERTYPE'!$B$10:$B$53,0),MATCH("Y05",'[1]SALES PERTYPE'!$D$8:$BA$8,0)),0)</f>
        <v>14</v>
      </c>
      <c r="G28" s="33">
        <f>IFERROR(INDEX('[1]Sales per type Agustus'!$D$10:$BA$52,MATCH($C28,'[1]Sales per type Agustus'!$B$10:$B$52,0),MATCH("Y05",'[1]Sales per type Agustus'!$D$8:$BA$8,0)),0)</f>
        <v>16</v>
      </c>
      <c r="H28" s="33">
        <f t="shared" si="0"/>
        <v>-2</v>
      </c>
      <c r="I28" s="33" cm="1">
        <f t="array" ref="I28">IFERROR(INDEX('[1]SALES PERTYPE'!$D$10:$BA$53,MATCH($C28,'[1]SALES PERTYPE'!$B$10:$B$53,0),MATCH("Y05",'[1]SALES PERTYPE'!$D$8:$BA$8,0)+1),0)</f>
        <v>34886000</v>
      </c>
      <c r="J28" s="33" cm="1">
        <f t="array" ref="J28">IFERROR(INDEX('[1]Sales per type Agustus'!$D$10:$BA$52,MATCH($C28,'[1]Sales per type Agustus'!$B$10:$B$52,0),MATCH("Y05",'[1]Sales per type Agustus'!$D$8:$BA$8,0)+1),0)</f>
        <v>39484000</v>
      </c>
      <c r="K28" s="33">
        <f t="shared" si="1"/>
        <v>-4598000</v>
      </c>
      <c r="L28" s="33">
        <f>IFERROR(INDEX('[1]SALES PERTYPE'!$D$10:$BA$53,MATCH($C28,'[1]SALES PERTYPE'!$B$10:$B$53,0),MATCH("Y11d",'[1]SALES PERTYPE'!$D$8:$BA$8,0)),0)</f>
        <v>14</v>
      </c>
      <c r="M28" s="33">
        <f>IFERROR(INDEX('[1]Sales per type Agustus'!$D$10:$BA$52,MATCH($C28,'[1]Sales per type Agustus'!$B$10:$B$52,0),MATCH("Y11d",'[1]Sales per type Agustus'!$D$8:$BA$8,0)),0)</f>
        <v>25</v>
      </c>
      <c r="N28" s="33">
        <f t="shared" si="2"/>
        <v>-11</v>
      </c>
      <c r="O28" s="33" cm="1">
        <f t="array" ref="O28">IFERROR(INDEX('[1]SALES PERTYPE'!$D$10:$BA$53,MATCH($C28,'[1]SALES PERTYPE'!$B$10:$B$53,0),MATCH("Y11d",'[1]SALES PERTYPE'!$D$8:$BA$8,0)+1),0)</f>
        <v>36786000</v>
      </c>
      <c r="P28" s="33" cm="1">
        <f t="array" ref="P28">IFERROR(INDEX('[1]Sales per type Agustus'!$D$10:$BA$52,MATCH($C28,'[1]Sales per type Agustus'!$B$10:$B$52,0),MATCH("Y11d",'[1]Sales per type Agustus'!$D$8:$BA$8,0)+1),0)</f>
        <v>66375000</v>
      </c>
      <c r="Q28" s="33">
        <f t="shared" si="3"/>
        <v>-29589000</v>
      </c>
      <c r="R28" s="33">
        <f>IFERROR(INDEX('[1]SALES PERTYPE'!$D$10:$BA$53,MATCH($C28,'[1]SALES PERTYPE'!$B$10:$B$53,0),MATCH("Watch GT 2",'[1]SALES PERTYPE'!$D$8:$BA$8,0)),0)</f>
        <v>0</v>
      </c>
      <c r="S28" s="33">
        <f>IFERROR(INDEX('[1]Sales per type Agustus'!$D$10:$BA$52,MATCH($C28,'[1]Sales per type Agustus'!$B$10:$B$52,0),MATCH("Watch GT 2",'[1]Sales per type Agustus'!$D$8:$BA$8,0)),0)</f>
        <v>0</v>
      </c>
      <c r="T28" s="33">
        <f t="shared" si="4"/>
        <v>0</v>
      </c>
      <c r="U28" s="33" cm="1">
        <f t="array" ref="U28">IFERROR(INDEX('[1]SALES PERTYPE'!$D$10:$BA$53,MATCH($C28,'[1]SALES PERTYPE'!$B$10:$B$53,0),MATCH("Watch GT 2",'[1]SALES PERTYPE'!$D$8:$BA$8,0)+1),0)</f>
        <v>0</v>
      </c>
      <c r="V28" s="33" cm="1">
        <f t="array" ref="V28">IFERROR(INDEX('[1]Sales per type Agustus'!$D$10:$BA$52,MATCH($C28,'[1]Sales per type Agustus'!$B$10:$B$52,0),MATCH("Watch GT 2",'[1]Sales per type Agustus'!$D$8:$BA$8,0)+1),0)</f>
        <v>0</v>
      </c>
      <c r="W28" s="33">
        <f t="shared" si="5"/>
        <v>0</v>
      </c>
      <c r="X28" s="33">
        <f>IFERROR(INDEX('[1]SALES PERTYPE'!$D$10:$BA$53,MATCH($C28,'[1]SALES PERTYPE'!$B$10:$B$53,0),MATCH("Y05e",'[1]SALES PERTYPE'!$D$8:$BA$8,0)),0)</f>
        <v>7</v>
      </c>
      <c r="Y28" s="33">
        <f>IFERROR(INDEX('[1]Sales per type Agustus'!$D$10:$BA$52,MATCH($C28,'[1]Sales per type Agustus'!$B$10:$B$52,0),MATCH("Y05e",'[1]Sales per type Agustus'!$D$8:$BA$8,0)),0)</f>
        <v>11</v>
      </c>
      <c r="Z28" s="33">
        <f t="shared" si="6"/>
        <v>-4</v>
      </c>
      <c r="AA28" s="33" cm="1">
        <f t="array" ref="AA28">IFERROR(INDEX('[1]SALES PERTYPE'!$D$10:$BA$53,MATCH($C28,'[1]SALES PERTYPE'!$B$10:$B$53,0),MATCH("Y05e",'[1]SALES PERTYPE'!$D$8:$BA$8,0)+1),0)</f>
        <v>14693000</v>
      </c>
      <c r="AB28" s="33" cm="1">
        <f t="array" ref="AB28">IFERROR(INDEX('[1]Sales per type Agustus'!$D$10:$BA$52,MATCH($C28,'[1]Sales per type Agustus'!$B$10:$B$52,0),MATCH("Y05e",'[1]Sales per type Agustus'!$D$8:$BA$8,0)+1),0)</f>
        <v>23089000</v>
      </c>
      <c r="AC28" s="33">
        <f t="shared" si="7"/>
        <v>-8396000</v>
      </c>
      <c r="AD28" s="33">
        <f>IFERROR(INDEX('[1]SALES PERTYPE'!$D$10:$BA$53,MATCH($C28,'[1]SALES PERTYPE'!$B$10:$B$53,0),MATCH("V70",'[1]SALES PERTYPE'!$D$8:$BA$8,0)),0)</f>
        <v>4</v>
      </c>
      <c r="AE28" s="33">
        <f>IFERROR(INDEX('[1]Sales per type Agustus'!$D$10:$BA$52,MATCH($C28,'[1]Sales per type Agustus'!$B$10:$B$52,0),MATCH("V70",'[1]Sales per type Agustus'!$D$8:$BA$8,0)),0)</f>
        <v>1</v>
      </c>
      <c r="AF28" s="33">
        <f t="shared" si="8"/>
        <v>3</v>
      </c>
      <c r="AG28" s="33" cm="1">
        <f t="array" ref="AG28">IFERROR(INDEX('[1]SALES PERTYPE'!$D$10:$BA$53,MATCH($C28,'[1]SALES PERTYPE'!$B$10:$B$53,0),MATCH("V70",'[1]SALES PERTYPE'!$D$8:$BA$8,0)+1),0)</f>
        <v>36996000</v>
      </c>
      <c r="AH28" s="33" cm="1">
        <f t="array" ref="AH28">IFERROR(INDEX('[1]Sales per type Agustus'!$D$10:$BA$52,MATCH($C28,'[1]Sales per type Agustus'!$B$10:$B$52,0),MATCH("V70",'[1]Sales per type Agustus'!$D$8:$BA$8,0)+1),0)</f>
        <v>9999000</v>
      </c>
      <c r="AI28" s="33">
        <f t="shared" si="9"/>
        <v>26997000</v>
      </c>
      <c r="AJ28" s="33">
        <f>IFERROR(INDEX('[1]SALES PERTYPE'!$D$10:$BA$53,MATCH($C28,'[1]SALES PERTYPE'!$B$10:$B$53,0),MATCH("Y31d Pro",'[1]SALES PERTYPE'!$D$8:$BA$8,0)),0)</f>
        <v>11</v>
      </c>
      <c r="AK28" s="33">
        <f>IFERROR(INDEX('[1]Sales per type Agustus'!$D$10:$BA$52,MATCH($C28,'[1]Sales per type Agustus'!$B$10:$B$52,0),MATCH("Y31d Pro",'[1]Sales per type Agustus'!$D$8:$BA$8,0)),0)</f>
        <v>21</v>
      </c>
      <c r="AL28" s="33">
        <f t="shared" si="10"/>
        <v>-10</v>
      </c>
      <c r="AM28" s="33" cm="1">
        <f t="array" ref="AM28">IFERROR(INDEX('[1]SALES PERTYPE'!$D$10:$BA$53,MATCH($C28,'[1]SALES PERTYPE'!$B$10:$B$53,0),MATCH("Y31d Pro",'[1]SALES PERTYPE'!$D$8:$BA$8,0)+1),0)</f>
        <v>45489000</v>
      </c>
      <c r="AN28" s="33" cm="1">
        <f t="array" ref="AN28">IFERROR(INDEX('[1]Sales per type Agustus'!$D$10:$BA$52,MATCH($C28,'[1]Sales per type Agustus'!$B$10:$B$52,0),MATCH("Y31d Pro",'[1]Sales per type Agustus'!$D$8:$BA$8,0)+1),0)</f>
        <v>94079000</v>
      </c>
      <c r="AO28" s="33">
        <f t="shared" si="11"/>
        <v>-48590000</v>
      </c>
      <c r="AP28" s="33" cm="1">
        <f t="array" ref="AP28">IFERROR(INDEX('[1]SALES PERTYPE'!$D$10:$BA$53,MATCH($C28,'[1]SALES PERTYPE'!$B$10:$B$53,0),$EI$3),0)</f>
        <v>4</v>
      </c>
      <c r="AQ28" s="33" cm="1">
        <f t="array" ref="AQ28">IFERROR(INDEX('[1]Sales per type Agustus'!$D$10:$BA$52,MATCH($C28,'[1]Sales per type Agustus'!$B$10:$B$52,0),$EI$2),0)</f>
        <v>0</v>
      </c>
      <c r="AR28" s="33">
        <f t="shared" si="12"/>
        <v>4</v>
      </c>
      <c r="AS28" s="33" cm="1">
        <f t="array" ref="AS28">IFERROR(INDEX('[1]SALES PERTYPE'!$D$10:$BA$53,MATCH($C28,'[1]SALES PERTYPE'!$B$10:$B$53,0),$EI$3+1),0)</f>
        <v>13196000</v>
      </c>
      <c r="AT28" s="33" cm="1">
        <f t="array" ref="AT28">IFERROR(INDEX('[1]Sales per type Agustus'!$D$10:$BA$52,MATCH($C28,'[1]Sales per type Agustus'!$B$10:$B$52,0),$EI$2+1),0)</f>
        <v>0</v>
      </c>
      <c r="AU28" s="33">
        <f t="shared" si="13"/>
        <v>13196000</v>
      </c>
      <c r="AV28" s="33">
        <f>IFERROR(INDEX('[1]SALES PERTYPE'!$D$10:$BA$53,MATCH($C28,'[1]SALES PERTYPE'!$B$10:$B$53,0),MATCH("Y31d ",'[1]SALES PERTYPE'!$D$8:$BA$8,0)),0)</f>
        <v>2</v>
      </c>
      <c r="AW28" s="33">
        <f>IFERROR(INDEX('[1]Sales per type Agustus'!$D$10:$BA$52,MATCH($C28,'[1]Sales per type Agustus'!$B$10:$B$52,0),MATCH("Y31d ",'[1]Sales per type Agustus'!$D$8:$BA$8,0)),0)</f>
        <v>5</v>
      </c>
      <c r="AX28" s="33">
        <f t="shared" si="14"/>
        <v>-3</v>
      </c>
      <c r="AY28" s="33" cm="1">
        <f t="array" ref="AY28">IFERROR(INDEX('[1]SALES PERTYPE'!$D$10:$BA$53,MATCH($C28,'[1]SALES PERTYPE'!$B$10:$B$53,0),MATCH("Y31d ",'[1]SALES PERTYPE'!$D$8:$BA$8,0)+1),0)</f>
        <v>7198000</v>
      </c>
      <c r="AZ28" s="33" cm="1">
        <f t="array" ref="AZ28">IFERROR(INDEX('[1]Sales per type Agustus'!$D$10:$BA$52,MATCH($C28,'[1]Sales per type Agustus'!$B$10:$B$52,0),MATCH("Y31d ",'[1]Sales per type Agustus'!$D$8:$BA$8,0)+1),0)</f>
        <v>17995000</v>
      </c>
      <c r="BA28" s="33">
        <f t="shared" si="15"/>
        <v>-10797000</v>
      </c>
      <c r="BB28" s="33">
        <f>IFERROR(INDEX('[1]SALES PERTYPE'!$D$10:$BA$53,MATCH($C28,'[1]SALES PERTYPE'!$B$10:$B$53,0),MATCH("V70 FE",'[1]SALES PERTYPE'!$D$8:$BA$8,0)),0)</f>
        <v>2</v>
      </c>
      <c r="BC28" s="33">
        <f>IFERROR(INDEX('[1]Sales per type Agustus'!$D$10:$BA$52,MATCH($C28,'[1]Sales per type Agustus'!$B$10:$B$52,0),MATCH("V70 FE",'[1]Sales per type Agustus'!$D$8:$BA$8,0)),0)</f>
        <v>1</v>
      </c>
      <c r="BD28" s="33">
        <f t="shared" si="16"/>
        <v>1</v>
      </c>
      <c r="BE28" s="33" cm="1">
        <f t="array" ref="BE28">IFERROR(INDEX('[1]SALES PERTYPE'!$D$10:$BA$53,MATCH($C28,'[1]SALES PERTYPE'!$B$10:$B$53,0),MATCH("V70 FE",'[1]SALES PERTYPE'!$D$8:$BA$8,0)+1),0)</f>
        <v>13998000</v>
      </c>
      <c r="BF28" s="33" cm="1">
        <f t="array" ref="BF28">IFERROR(INDEX('[1]Sales per type Agustus'!$D$10:$BA$52,MATCH($C28,'[1]Sales per type Agustus'!$B$10:$B$52,0),MATCH("V70 FE",'[1]Sales per type Agustus'!$D$8:$BA$8,0)+1),0)</f>
        <v>6499000</v>
      </c>
      <c r="BG28" s="33">
        <f t="shared" si="17"/>
        <v>7499000</v>
      </c>
      <c r="BH28" s="33">
        <f>IFERROR(INDEX('[1]SALES PERTYPE'!$D$10:$BA$53,MATCH($C28,'[1]SALES PERTYPE'!$B$10:$B$53,0),MATCH("Y31d",'[1]SALES PERTYPE'!$D$8:$BA$8,0)),0)</f>
        <v>0</v>
      </c>
      <c r="BI28" s="33">
        <f>IFERROR(INDEX('[1]Sales per type Agustus'!$D$10:$BA$52,MATCH($C28,'[1]Sales per type Agustus'!$B$10:$B$52,0),MATCH("Y31d",'[1]Sales per type Agustus'!$D$8:$BA$8,0)),0)</f>
        <v>2</v>
      </c>
      <c r="BJ28" s="33">
        <f t="shared" si="18"/>
        <v>-2</v>
      </c>
      <c r="BK28" s="33" cm="1">
        <f t="array" ref="BK28">IFERROR(INDEX('[1]SALES PERTYPE'!$D$10:$BA$53,MATCH($C28,'[1]SALES PERTYPE'!$B$10:$B$53,0),MATCH("Y31d",'[1]SALES PERTYPE'!$D$8:$BA$8,0)+1),0)</f>
        <v>0</v>
      </c>
      <c r="BL28" s="33" cm="1">
        <f t="array" ref="BL28">IFERROR(INDEX('[1]Sales per type Agustus'!$D$10:$BA$52,MATCH($C28,'[1]Sales per type Agustus'!$B$10:$B$52,0),MATCH("Y31d",'[1]Sales per type Agustus'!$D$8:$BA$8,0)+1),0)</f>
        <v>7198000</v>
      </c>
      <c r="BM28" s="33">
        <f t="shared" si="19"/>
        <v>-7198000</v>
      </c>
      <c r="BN28" s="33">
        <f>IFERROR(INDEX('[1]SALES PERTYPE'!$D$10:$BA$53,MATCH($C28,'[1]SALES PERTYPE'!$B$10:$B$53,0),MATCH("Y500",'[1]SALES PERTYPE'!$D$8:$BA$8,0)),0)</f>
        <v>0</v>
      </c>
      <c r="BO28" s="33">
        <f>IFERROR(INDEX('[1]Sales per type Agustus'!$D$10:$BA$52,MATCH($C28,'[1]Sales per type Agustus'!$B$10:$B$52,0),MATCH("Y500",'[1]Sales per type Agustus'!$D$8:$BA$8,0)),0)</f>
        <v>3</v>
      </c>
      <c r="BP28" s="33">
        <f t="shared" si="20"/>
        <v>-3</v>
      </c>
      <c r="BQ28" s="33" cm="1">
        <f t="array" ref="BQ28">IFERROR(INDEX('[1]SALES PERTYPE'!$D$10:$BA$53,MATCH($C28,'[1]SALES PERTYPE'!$B$10:$B$53,0),MATCH("Y500",'[1]SALES PERTYPE'!$D$8:$BA$8,0)+1),0)</f>
        <v>0</v>
      </c>
      <c r="BR28" s="33" cm="1">
        <f t="array" ref="BR28">IFERROR(INDEX('[1]Sales per type Agustus'!$D$10:$BA$52,MATCH($C28,'[1]Sales per type Agustus'!$B$10:$B$52,0),MATCH("Y500",'[1]Sales per type Agustus'!$D$8:$BA$8,0)+1),0)</f>
        <v>17297000</v>
      </c>
      <c r="BS28" s="33">
        <f t="shared" si="21"/>
        <v>-17297000</v>
      </c>
      <c r="BT28" s="33">
        <f>IFERROR(INDEX('[1]SALES PERTYPE'!$D$10:$BA$53,MATCH($C28,'[1]SALES PERTYPE'!$B$10:$B$53,0),MATCH("IQOO 15R",'[1]SALES PERTYPE'!$D$8:$BA$8,0)),0)</f>
        <v>0</v>
      </c>
      <c r="BU28" s="33">
        <f>IFERROR(INDEX('[1]Sales per type Agustus'!$D$10:$BA$52,MATCH($C28,'[1]Sales per type Agustus'!$B$10:$B$52,0),MATCH("IQOO 15R",'[1]Sales per type Agustus'!$D$8:$BA$8,0)),0)</f>
        <v>0</v>
      </c>
      <c r="BV28" s="33">
        <f t="shared" si="22"/>
        <v>0</v>
      </c>
      <c r="BW28" s="33" cm="1">
        <f t="array" ref="BW28">IFERROR(INDEX('[1]SALES PERTYPE'!$D$10:$BA$53,MATCH($C28,'[1]SALES PERTYPE'!$B$10:$B$53,0),MATCH("IQOO 15R",'[1]SALES PERTYPE'!$D$8:$BA$8,0)+1),0)</f>
        <v>0</v>
      </c>
      <c r="BX28" s="33" cm="1">
        <f t="array" ref="BX28">IFERROR(INDEX('[1]Sales per type Agustus'!$D$10:$BA$52,MATCH($C28,'[1]Sales per type Agustus'!$B$10:$B$52,0),MATCH("IQOO 15R",'[1]Sales per type Agustus'!$D$8:$BA$8,0)+1),0)</f>
        <v>0</v>
      </c>
      <c r="BY28" s="33">
        <f t="shared" si="23"/>
        <v>0</v>
      </c>
      <c r="BZ28" s="33">
        <f>IFERROR(INDEX('[1]SALES PERTYPE'!$D$10:$BA$53,MATCH($C28,'[1]SALES PERTYPE'!$B$10:$B$53,0),MATCH("V60 Lite",'[1]SALES PERTYPE'!$D$8:$BA$8,0)),0)</f>
        <v>3</v>
      </c>
      <c r="CA28" s="33">
        <f>IFERROR(INDEX('[1]Sales per type Agustus'!$D$10:$BA$52,MATCH($C28,'[1]Sales per type Agustus'!$B$10:$B$52,0),MATCH("V60 Lite",'[1]Sales per type Agustus'!$D$8:$BA$8,0)),0)</f>
        <v>2</v>
      </c>
      <c r="CB28" s="33">
        <f t="shared" si="24"/>
        <v>1</v>
      </c>
      <c r="CC28" s="33" cm="1">
        <f t="array" ref="CC28">IFERROR(INDEX('[1]SALES PERTYPE'!$D$10:$BA$53,MATCH($C28,'[1]SALES PERTYPE'!$B$10:$B$53,0),MATCH("V60 Lite",'[1]SALES PERTYPE'!$D$8:$BA$8,0)+1),0)</f>
        <v>17697000</v>
      </c>
      <c r="CD28" s="33" cm="1">
        <f t="array" ref="CD28">IFERROR(INDEX('[1]Sales per type Agustus'!$D$10:$BA$52,MATCH($C28,'[1]Sales per type Agustus'!$B$10:$B$52,0),MATCH("V60 Lite",'[1]Sales per type Agustus'!$D$8:$BA$8,0)+1),0)</f>
        <v>11798000</v>
      </c>
      <c r="CE28" s="33">
        <f t="shared" si="25"/>
        <v>5899000</v>
      </c>
      <c r="CF28" s="33">
        <f>IFERROR(INDEX('[1]SALES PERTYPE'!$D$10:$BA$53,MATCH($C28,'[1]SALES PERTYPE'!$B$10:$B$53,0),MATCH("X300 Ultra",'[1]SALES PERTYPE'!$D$8:$BA$8,0)),0)</f>
        <v>0</v>
      </c>
      <c r="CG28" s="33">
        <f>IFERROR(INDEX('[1]Sales per type Agustus'!$D$10:$BA$52,MATCH($C28,'[1]Sales per type Agustus'!$B$10:$B$52,0),MATCH("X300 Ultra",'[1]Sales per type Agustus'!$D$8:$BA$8,0)),0)</f>
        <v>0</v>
      </c>
      <c r="CH28" s="33">
        <f t="shared" si="26"/>
        <v>0</v>
      </c>
      <c r="CI28" s="33" cm="1">
        <f t="array" ref="CI28">IFERROR(INDEX('[1]SALES PERTYPE'!$D$10:$BA$53,MATCH($C28,'[1]SALES PERTYPE'!$B$10:$B$53,0),MATCH("X300 Ultra",'[1]SALES PERTYPE'!$D$8:$BA$8,0)+1),0)</f>
        <v>0</v>
      </c>
      <c r="CJ28" s="33" cm="1">
        <f t="array" ref="CJ28">IFERROR(INDEX('[1]Sales per type Agustus'!$D$10:$BA$52,MATCH($C28,'[1]Sales per type Agustus'!$B$10:$B$52,0),MATCH("X300 Ultra",'[1]Sales per type Agustus'!$D$8:$BA$8,0)+1),0)</f>
        <v>0</v>
      </c>
      <c r="CK28" s="33">
        <f t="shared" si="27"/>
        <v>0</v>
      </c>
      <c r="CL28" s="33">
        <f>IFERROR(INDEX('[1]SALES PERTYPE'!$D$10:$BA$53,MATCH($C28,'[1]SALES PERTYPE'!$B$10:$B$53,0),MATCH("IQOO 15",'[1]SALES PERTYPE'!$D$8:$BA$8,0)),0)</f>
        <v>0</v>
      </c>
      <c r="CM28" s="33">
        <f>IFERROR(INDEX('[1]Sales per type Agustus'!$D$10:$BA$52,MATCH($C28,'[1]Sales per type Agustus'!$B$10:$B$52,0),MATCH("IQOO 15",'[1]Sales per type Agustus'!$D$8:$BA$8,0)),0)</f>
        <v>0</v>
      </c>
      <c r="CN28" s="33">
        <f t="shared" si="28"/>
        <v>0</v>
      </c>
      <c r="CO28" s="33" cm="1">
        <f t="array" ref="CO28">IFERROR(INDEX('[1]SALES PERTYPE'!$D$10:$BA$53,MATCH($C28,'[1]SALES PERTYPE'!$B$10:$B$53,0),MATCH("IQOO 15",'[1]SALES PERTYPE'!$D$8:$BA$8,0)+1),0)</f>
        <v>0</v>
      </c>
      <c r="CP28" s="33" cm="1">
        <f t="array" ref="CP28">IFERROR(INDEX('[1]Sales per type Agustus'!$D$10:$BA$52,MATCH($C28,'[1]Sales per type Agustus'!$B$10:$B$52,0),MATCH("IQOO 15",'[1]Sales per type Agustus'!$D$8:$BA$8,0)+1),0)</f>
        <v>0</v>
      </c>
      <c r="CQ28" s="33">
        <f t="shared" si="29"/>
        <v>0</v>
      </c>
      <c r="CR28" s="33">
        <f>IFERROR(INDEX('[1]SALES PERTYPE'!$D$10:$BA$53,MATCH($C28,'[1]SALES PERTYPE'!$B$10:$B$53,0),MATCH("IQOO Z11x",'[1]SALES PERTYPE'!$D$8:$BA$8,0)),0)</f>
        <v>0</v>
      </c>
      <c r="CS28" s="33">
        <f>IFERROR(INDEX('[1]Sales per type Agustus'!$D$10:$BA$52,MATCH($C28,'[1]Sales per type Agustus'!$B$10:$B$52,0),MATCH("IQOO Z11x",'[1]Sales per type Agustus'!$D$8:$BA$8,0)),0)</f>
        <v>1</v>
      </c>
      <c r="CT28" s="33">
        <f t="shared" si="30"/>
        <v>-1</v>
      </c>
      <c r="CU28" s="33" cm="1">
        <f t="array" ref="CU28">IFERROR(INDEX('[1]SALES PERTYPE'!$D$10:$BA$53,MATCH($C28,'[1]SALES PERTYPE'!$B$10:$B$53,0),MATCH("IQOO Z11x",'[1]SALES PERTYPE'!$D$8:$BA$8,0)+1),0)</f>
        <v>0</v>
      </c>
      <c r="CV28" s="33" cm="1">
        <f t="array" ref="CV28">IFERROR(INDEX('[1]Sales per type Agustus'!$D$10:$BA$52,MATCH($C28,'[1]Sales per type Agustus'!$B$10:$B$52,0),MATCH("IQOO Z11x",'[1]Sales per type Agustus'!$D$8:$BA$8,0)+1),0)</f>
        <v>5699000</v>
      </c>
      <c r="CW28" s="33">
        <f t="shared" si="31"/>
        <v>-5699000</v>
      </c>
      <c r="CX28" s="33">
        <f>IFERROR(INDEX('[1]SALES PERTYPE'!$D$10:$BA$53,MATCH($C28,'[1]SALES PERTYPE'!$B$10:$B$53,0),MATCH("IQOO Z11",'[1]SALES PERTYPE'!$D$8:$BA$8,0)),0)</f>
        <v>1</v>
      </c>
      <c r="CY28" s="33">
        <f>IFERROR(INDEX('[1]Sales per type Agustus'!$D$10:$BA$52,MATCH($C28,'[1]Sales per type Agustus'!$B$10:$B$52,0),MATCH("IQOO Z11",'[1]Sales per type Agustus'!$D$8:$BA$8,0)),0)</f>
        <v>0</v>
      </c>
      <c r="CZ28" s="33">
        <f t="shared" si="32"/>
        <v>1</v>
      </c>
      <c r="DA28" s="33" cm="1">
        <f t="array" ref="DA28">IFERROR(INDEX('[1]SALES PERTYPE'!$D$10:$BA$53,MATCH($C28,'[1]SALES PERTYPE'!$B$10:$B$53,0),MATCH("IQOO Z11",'[1]SALES PERTYPE'!$D$8:$BA$8,0)+1),0)</f>
        <v>8399000</v>
      </c>
      <c r="DB28" s="33" cm="1">
        <f t="array" ref="DB28">IFERROR(INDEX('[1]Sales per type Agustus'!$D$10:$BA$52,MATCH($C28,'[1]Sales per type Agustus'!$B$10:$B$52,0),MATCH("IQOO Z11",'[1]Sales per type Agustus'!$D$8:$BA$8,0)+1),0)</f>
        <v>0</v>
      </c>
      <c r="DC28" s="33">
        <f t="shared" si="33"/>
        <v>8399000</v>
      </c>
      <c r="DD28" s="33">
        <f>IFERROR(INDEX('[1]SALES PERTYPE'!$D$10:$BA$53,MATCH($C28,'[1]SALES PERTYPE'!$B$10:$B$53,0),MATCH("WATCH 3",'[1]SALES PERTYPE'!$D$8:$BA$8,0)),0)</f>
        <v>0</v>
      </c>
      <c r="DE28" s="33">
        <f>IFERROR(INDEX('[1]Sales per type Agustus'!$D$10:$BA$52,MATCH($C28,'[1]Sales per type Agustus'!$B$10:$B$52,0),MATCH("WATCH 3",'[1]Sales per type Agustus'!$D$8:$BA$8,0)),0)</f>
        <v>0</v>
      </c>
      <c r="DF28" s="33">
        <f t="shared" si="34"/>
        <v>0</v>
      </c>
      <c r="DG28" s="33" cm="1">
        <f t="array" ref="DG28">IFERROR(INDEX('[1]SALES PERTYPE'!$D$10:$BA$53,MATCH($C28,'[1]SALES PERTYPE'!$B$10:$B$53,0),MATCH("WATCH 3",'[1]SALES PERTYPE'!$D$8:$BA$8,0)+1),0)</f>
        <v>0</v>
      </c>
      <c r="DH28" s="33" cm="1">
        <f t="array" ref="DH28">IFERROR(INDEX('[1]Sales per type Agustus'!$D$10:$BA$52,MATCH($C28,'[1]Sales per type Agustus'!$B$10:$B$52,0),MATCH("WATCH 3",'[1]Sales per type Agustus'!$D$8:$BA$8,0)+1),0)</f>
        <v>0</v>
      </c>
      <c r="DI28" s="33">
        <f t="shared" si="35"/>
        <v>0</v>
      </c>
      <c r="DJ28" s="33">
        <f>IFERROR(INDEX('[1]SALES PERTYPE'!$D$10:$BA$53,MATCH($C28,'[1]SALES PERTYPE'!$B$10:$B$53,0),MATCH("X Fold5",'[1]SALES PERTYPE'!$D$8:$BA$8,0)),0)</f>
        <v>0</v>
      </c>
      <c r="DK28" s="33">
        <f>IFERROR(INDEX('[1]Sales per type Agustus'!$D$10:$BA$52,MATCH($C28,'[1]Sales per type Agustus'!$B$10:$B$52,0),MATCH("X Fold5",'[1]Sales per type Agustus'!$D$8:$BA$8,0)),0)</f>
        <v>0</v>
      </c>
      <c r="DL28" s="33">
        <f t="shared" si="36"/>
        <v>0</v>
      </c>
      <c r="DM28" s="33" cm="1">
        <f t="array" ref="DM28">IFERROR(INDEX('[1]SALES PERTYPE'!$D$10:$BA$53,MATCH($C28,'[1]SALES PERTYPE'!$B$10:$B$53,0),MATCH("X Fold5",'[1]SALES PERTYPE'!$D$8:$BA$8,0)+1),0)</f>
        <v>0</v>
      </c>
      <c r="DN28" s="33" cm="1">
        <f t="array" ref="DN28">IFERROR(INDEX('[1]Sales per type Agustus'!$D$10:$BA$52,MATCH($C28,'[1]Sales per type Agustus'!$B$10:$B$52,0),MATCH("X Fold5",'[1]Sales per type Agustus'!$D$8:$BA$8,0)+1),0)</f>
        <v>0</v>
      </c>
      <c r="DO28" s="33">
        <f t="shared" si="37"/>
        <v>0</v>
      </c>
      <c r="DP28" s="33">
        <f>IFERROR(INDEX('[1]SALES PERTYPE'!$D$10:$BA$53,MATCH($C28,'[1]SALES PERTYPE'!$B$10:$B$53,0),MATCH("X300 PRO",'[1]SALES PERTYPE'!$D$8:$BA$8,0)),0)</f>
        <v>0</v>
      </c>
      <c r="DQ28" s="33">
        <f>IFERROR(INDEX('[1]Sales per type Agustus'!$D$10:$BA$52,MATCH($C28,'[1]Sales per type Agustus'!$B$10:$B$52,0),MATCH("X300 PRO",'[1]Sales per type Agustus'!$D$8:$BA$8,0)),0)</f>
        <v>0</v>
      </c>
      <c r="DR28" s="33">
        <f t="shared" si="38"/>
        <v>0</v>
      </c>
      <c r="DS28" s="33" cm="1">
        <f t="array" ref="DS28">IFERROR(INDEX('[1]SALES PERTYPE'!$D$10:$BA$53,MATCH($C28,'[1]SALES PERTYPE'!$B$10:$B$53,0),MATCH("X300 PRO",'[1]SALES PERTYPE'!$D$8:$BA$8,0)+1),0)</f>
        <v>0</v>
      </c>
      <c r="DT28" s="33" cm="1">
        <f t="array" ref="DT28">IFERROR(INDEX('[1]Sales per type Agustus'!$D$10:$BA$52,MATCH($C28,'[1]Sales per type Agustus'!$B$10:$B$52,0),MATCH("X300 PRO",'[1]Sales per type Agustus'!$D$8:$BA$8,0)+1),0)</f>
        <v>0</v>
      </c>
      <c r="DU28" s="33">
        <f t="shared" si="39"/>
        <v>0</v>
      </c>
      <c r="DV28" s="33">
        <f>IFERROR(INDEX('[1]SALES PERTYPE'!$D$10:$BA$53,MATCH($C28,'[1]SALES PERTYPE'!$B$10:$B$53,0),MATCH("X300 ",'[1]SALES PERTYPE'!$D$8:$BA$8,0)),0)</f>
        <v>0</v>
      </c>
      <c r="DW28" s="33">
        <f>IFERROR(INDEX('[1]Sales per type Agustus'!$D$10:$BA$52,MATCH($C28,'[1]Sales per type Agustus'!$B$10:$B$52,0),MATCH("X300 ",'[1]Sales per type Agustus'!$D$8:$BA$8,0)),0)</f>
        <v>0</v>
      </c>
      <c r="DX28" s="33">
        <f t="shared" si="40"/>
        <v>0</v>
      </c>
      <c r="DY28" s="33" cm="1">
        <f t="array" ref="DY28">IFERROR(INDEX('[1]SALES PERTYPE'!$D$10:$BA$53,MATCH($C28,'[1]SALES PERTYPE'!$B$10:$B$53,0),MATCH("X300 ",'[1]SALES PERTYPE'!$D$8:$BA$8,0)+1),0)</f>
        <v>0</v>
      </c>
      <c r="DZ28" s="33" cm="1">
        <f t="array" ref="DZ28">IFERROR(INDEX('[1]Sales per type Agustus'!$D$10:$BA$52,MATCH($C28,'[1]Sales per type Agustus'!$B$10:$B$52,0),MATCH("X300 ",'[1]Sales per type Agustus'!$D$8:$BA$8,0)+1),0)</f>
        <v>0</v>
      </c>
      <c r="EA28" s="33">
        <f t="shared" si="41"/>
        <v>0</v>
      </c>
      <c r="EB28" s="33">
        <f t="shared" si="42"/>
        <v>62</v>
      </c>
      <c r="EC28" s="33">
        <f t="shared" si="42"/>
        <v>88</v>
      </c>
      <c r="ED28" s="33">
        <f t="shared" si="43"/>
        <v>-26</v>
      </c>
      <c r="EE28" s="33">
        <f t="shared" si="44"/>
        <v>229338000</v>
      </c>
      <c r="EF28" s="33">
        <f t="shared" si="44"/>
        <v>299512000</v>
      </c>
      <c r="EG28" s="33">
        <f t="shared" si="45"/>
        <v>-70174000</v>
      </c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</row>
    <row r="29" spans="1:184" ht="16" x14ac:dyDescent="0.2">
      <c r="A29" s="31">
        <f>'[1]ACHIEVEMENT STORE'!A29</f>
        <v>25</v>
      </c>
      <c r="B29" s="32" t="str">
        <f>'[1]ACHIEVEMENT STORE'!B29</f>
        <v>624-万丹BANTEN</v>
      </c>
      <c r="C29" s="31">
        <f>'[1]ACHIEVEMENT STORE'!C29</f>
        <v>6170706</v>
      </c>
      <c r="D29" s="32" t="str">
        <f>'[1]ACHIEVEMENT STORE'!D29</f>
        <v>6170706-TANGCITY CHARLES</v>
      </c>
      <c r="E29" s="32" t="str">
        <f>'[1]ACHIEVEMENT STORE'!E29</f>
        <v>DHANI EKO NUGROHO</v>
      </c>
      <c r="F29" s="33">
        <f>IFERROR(INDEX('[1]SALES PERTYPE'!$D$10:$BA$53,MATCH($C29,'[1]SALES PERTYPE'!$B$10:$B$53,0),MATCH("Y05",'[1]SALES PERTYPE'!$D$8:$BA$8,0)),0)</f>
        <v>20</v>
      </c>
      <c r="G29" s="33">
        <f>IFERROR(INDEX('[1]Sales per type Agustus'!$D$10:$BA$52,MATCH($C29,'[1]Sales per type Agustus'!$B$10:$B$52,0),MATCH("Y05",'[1]Sales per type Agustus'!$D$8:$BA$8,0)),0)</f>
        <v>18</v>
      </c>
      <c r="H29" s="33">
        <f t="shared" si="0"/>
        <v>2</v>
      </c>
      <c r="I29" s="33" cm="1">
        <f t="array" ref="I29">IFERROR(INDEX('[1]SALES PERTYPE'!$D$10:$BA$53,MATCH($C29,'[1]SALES PERTYPE'!$B$10:$B$53,0),MATCH("Y05",'[1]SALES PERTYPE'!$D$8:$BA$8,0)+1),0)</f>
        <v>47480000</v>
      </c>
      <c r="J29" s="33" cm="1">
        <f t="array" ref="J29">IFERROR(INDEX('[1]Sales per type Agustus'!$D$10:$BA$52,MATCH($C29,'[1]Sales per type Agustus'!$B$10:$B$52,0),MATCH("Y05",'[1]Sales per type Agustus'!$D$8:$BA$8,0)+1),0)</f>
        <v>43782000</v>
      </c>
      <c r="K29" s="33">
        <f t="shared" si="1"/>
        <v>3698000</v>
      </c>
      <c r="L29" s="33">
        <f>IFERROR(INDEX('[1]SALES PERTYPE'!$D$10:$BA$53,MATCH($C29,'[1]SALES PERTYPE'!$B$10:$B$53,0),MATCH("Y11d",'[1]SALES PERTYPE'!$D$8:$BA$8,0)),0)</f>
        <v>12</v>
      </c>
      <c r="M29" s="33">
        <f>IFERROR(INDEX('[1]Sales per type Agustus'!$D$10:$BA$52,MATCH($C29,'[1]Sales per type Agustus'!$B$10:$B$52,0),MATCH("Y11d",'[1]Sales per type Agustus'!$D$8:$BA$8,0)),0)</f>
        <v>33</v>
      </c>
      <c r="N29" s="33">
        <f t="shared" si="2"/>
        <v>-21</v>
      </c>
      <c r="O29" s="33" cm="1">
        <f t="array" ref="O29">IFERROR(INDEX('[1]SALES PERTYPE'!$D$10:$BA$53,MATCH($C29,'[1]SALES PERTYPE'!$B$10:$B$53,0),MATCH("Y11d",'[1]SALES PERTYPE'!$D$8:$BA$8,0)+1),0)</f>
        <v>31988000</v>
      </c>
      <c r="P29" s="33" cm="1">
        <f t="array" ref="P29">IFERROR(INDEX('[1]Sales per type Agustus'!$D$10:$BA$52,MATCH($C29,'[1]Sales per type Agustus'!$B$10:$B$52,0),MATCH("Y11d",'[1]Sales per type Agustus'!$D$8:$BA$8,0)+1),0)</f>
        <v>88367000</v>
      </c>
      <c r="Q29" s="33">
        <f t="shared" si="3"/>
        <v>-56379000</v>
      </c>
      <c r="R29" s="33">
        <f>IFERROR(INDEX('[1]SALES PERTYPE'!$D$10:$BA$53,MATCH($C29,'[1]SALES PERTYPE'!$B$10:$B$53,0),MATCH("Watch GT 2",'[1]SALES PERTYPE'!$D$8:$BA$8,0)),0)</f>
        <v>0</v>
      </c>
      <c r="S29" s="33">
        <f>IFERROR(INDEX('[1]Sales per type Agustus'!$D$10:$BA$52,MATCH($C29,'[1]Sales per type Agustus'!$B$10:$B$52,0),MATCH("Watch GT 2",'[1]Sales per type Agustus'!$D$8:$BA$8,0)),0)</f>
        <v>0</v>
      </c>
      <c r="T29" s="33">
        <f t="shared" si="4"/>
        <v>0</v>
      </c>
      <c r="U29" s="33" cm="1">
        <f t="array" ref="U29">IFERROR(INDEX('[1]SALES PERTYPE'!$D$10:$BA$53,MATCH($C29,'[1]SALES PERTYPE'!$B$10:$B$53,0),MATCH("Watch GT 2",'[1]SALES PERTYPE'!$D$8:$BA$8,0)+1),0)</f>
        <v>0</v>
      </c>
      <c r="V29" s="33" cm="1">
        <f t="array" ref="V29">IFERROR(INDEX('[1]Sales per type Agustus'!$D$10:$BA$52,MATCH($C29,'[1]Sales per type Agustus'!$B$10:$B$52,0),MATCH("Watch GT 2",'[1]Sales per type Agustus'!$D$8:$BA$8,0)+1),0)</f>
        <v>0</v>
      </c>
      <c r="W29" s="33">
        <f t="shared" si="5"/>
        <v>0</v>
      </c>
      <c r="X29" s="33">
        <f>IFERROR(INDEX('[1]SALES PERTYPE'!$D$10:$BA$53,MATCH($C29,'[1]SALES PERTYPE'!$B$10:$B$53,0),MATCH("Y05e",'[1]SALES PERTYPE'!$D$8:$BA$8,0)),0)</f>
        <v>5</v>
      </c>
      <c r="Y29" s="33">
        <f>IFERROR(INDEX('[1]Sales per type Agustus'!$D$10:$BA$52,MATCH($C29,'[1]Sales per type Agustus'!$B$10:$B$52,0),MATCH("Y05e",'[1]Sales per type Agustus'!$D$8:$BA$8,0)),0)</f>
        <v>11</v>
      </c>
      <c r="Z29" s="33">
        <f t="shared" si="6"/>
        <v>-6</v>
      </c>
      <c r="AA29" s="33" cm="1">
        <f t="array" ref="AA29">IFERROR(INDEX('[1]SALES PERTYPE'!$D$10:$BA$53,MATCH($C29,'[1]SALES PERTYPE'!$B$10:$B$53,0),MATCH("Y05e",'[1]SALES PERTYPE'!$D$8:$BA$8,0)+1),0)</f>
        <v>10695000</v>
      </c>
      <c r="AB29" s="33" cm="1">
        <f t="array" ref="AB29">IFERROR(INDEX('[1]Sales per type Agustus'!$D$10:$BA$52,MATCH($C29,'[1]Sales per type Agustus'!$B$10:$B$52,0),MATCH("Y05e",'[1]Sales per type Agustus'!$D$8:$BA$8,0)+1),0)</f>
        <v>23089000</v>
      </c>
      <c r="AC29" s="33">
        <f t="shared" si="7"/>
        <v>-12394000</v>
      </c>
      <c r="AD29" s="33">
        <f>IFERROR(INDEX('[1]SALES PERTYPE'!$D$10:$BA$53,MATCH($C29,'[1]SALES PERTYPE'!$B$10:$B$53,0),MATCH("V70",'[1]SALES PERTYPE'!$D$8:$BA$8,0)),0)</f>
        <v>1</v>
      </c>
      <c r="AE29" s="33">
        <f>IFERROR(INDEX('[1]Sales per type Agustus'!$D$10:$BA$52,MATCH($C29,'[1]Sales per type Agustus'!$B$10:$B$52,0),MATCH("V70",'[1]Sales per type Agustus'!$D$8:$BA$8,0)),0)</f>
        <v>0</v>
      </c>
      <c r="AF29" s="33">
        <f t="shared" si="8"/>
        <v>1</v>
      </c>
      <c r="AG29" s="33" cm="1">
        <f t="array" ref="AG29">IFERROR(INDEX('[1]SALES PERTYPE'!$D$10:$BA$53,MATCH($C29,'[1]SALES PERTYPE'!$B$10:$B$53,0),MATCH("V70",'[1]SALES PERTYPE'!$D$8:$BA$8,0)+1),0)</f>
        <v>9999000</v>
      </c>
      <c r="AH29" s="33" cm="1">
        <f t="array" ref="AH29">IFERROR(INDEX('[1]Sales per type Agustus'!$D$10:$BA$52,MATCH($C29,'[1]Sales per type Agustus'!$B$10:$B$52,0),MATCH("V70",'[1]Sales per type Agustus'!$D$8:$BA$8,0)+1),0)</f>
        <v>0</v>
      </c>
      <c r="AI29" s="33">
        <f t="shared" si="9"/>
        <v>9999000</v>
      </c>
      <c r="AJ29" s="33">
        <f>IFERROR(INDEX('[1]SALES PERTYPE'!$D$10:$BA$53,MATCH($C29,'[1]SALES PERTYPE'!$B$10:$B$53,0),MATCH("Y31d Pro",'[1]SALES PERTYPE'!$D$8:$BA$8,0)),0)</f>
        <v>10</v>
      </c>
      <c r="AK29" s="33">
        <f>IFERROR(INDEX('[1]Sales per type Agustus'!$D$10:$BA$52,MATCH($C29,'[1]Sales per type Agustus'!$B$10:$B$52,0),MATCH("Y31d Pro",'[1]Sales per type Agustus'!$D$8:$BA$8,0)),0)</f>
        <v>5</v>
      </c>
      <c r="AL29" s="33">
        <f t="shared" si="10"/>
        <v>5</v>
      </c>
      <c r="AM29" s="33" cm="1">
        <f t="array" ref="AM29">IFERROR(INDEX('[1]SALES PERTYPE'!$D$10:$BA$53,MATCH($C29,'[1]SALES PERTYPE'!$B$10:$B$53,0),MATCH("Y31d Pro",'[1]SALES PERTYPE'!$D$8:$BA$8,0)+1),0)</f>
        <v>44790000</v>
      </c>
      <c r="AN29" s="33" cm="1">
        <f t="array" ref="AN29">IFERROR(INDEX('[1]Sales per type Agustus'!$D$10:$BA$52,MATCH($C29,'[1]Sales per type Agustus'!$B$10:$B$52,0),MATCH("Y31d Pro",'[1]Sales per type Agustus'!$D$8:$BA$8,0)+1),0)</f>
        <v>20295000</v>
      </c>
      <c r="AO29" s="33">
        <f t="shared" si="11"/>
        <v>24495000</v>
      </c>
      <c r="AP29" s="33" cm="1">
        <f t="array" ref="AP29">IFERROR(INDEX('[1]SALES PERTYPE'!$D$10:$BA$53,MATCH($C29,'[1]SALES PERTYPE'!$B$10:$B$53,0),$EI$3),0)</f>
        <v>3</v>
      </c>
      <c r="AQ29" s="33" cm="1">
        <f t="array" ref="AQ29">IFERROR(INDEX('[1]Sales per type Agustus'!$D$10:$BA$52,MATCH($C29,'[1]Sales per type Agustus'!$B$10:$B$52,0),$EI$2),0)</f>
        <v>0</v>
      </c>
      <c r="AR29" s="33">
        <f t="shared" si="12"/>
        <v>3</v>
      </c>
      <c r="AS29" s="33" cm="1">
        <f t="array" ref="AS29">IFERROR(INDEX('[1]SALES PERTYPE'!$D$10:$BA$53,MATCH($C29,'[1]SALES PERTYPE'!$B$10:$B$53,0),$EI$3+1),0)</f>
        <v>9897000</v>
      </c>
      <c r="AT29" s="33" cm="1">
        <f t="array" ref="AT29">IFERROR(INDEX('[1]Sales per type Agustus'!$D$10:$BA$52,MATCH($C29,'[1]Sales per type Agustus'!$B$10:$B$52,0),$EI$2+1),0)</f>
        <v>0</v>
      </c>
      <c r="AU29" s="33">
        <f t="shared" si="13"/>
        <v>9897000</v>
      </c>
      <c r="AV29" s="33">
        <f>IFERROR(INDEX('[1]SALES PERTYPE'!$D$10:$BA$53,MATCH($C29,'[1]SALES PERTYPE'!$B$10:$B$53,0),MATCH("Y31d ",'[1]SALES PERTYPE'!$D$8:$BA$8,0)),0)</f>
        <v>0</v>
      </c>
      <c r="AW29" s="33">
        <f>IFERROR(INDEX('[1]Sales per type Agustus'!$D$10:$BA$52,MATCH($C29,'[1]Sales per type Agustus'!$B$10:$B$52,0),MATCH("Y31d ",'[1]Sales per type Agustus'!$D$8:$BA$8,0)),0)</f>
        <v>0</v>
      </c>
      <c r="AX29" s="33">
        <f t="shared" si="14"/>
        <v>0</v>
      </c>
      <c r="AY29" s="33" cm="1">
        <f t="array" ref="AY29">IFERROR(INDEX('[1]SALES PERTYPE'!$D$10:$BA$53,MATCH($C29,'[1]SALES PERTYPE'!$B$10:$B$53,0),MATCH("Y31d ",'[1]SALES PERTYPE'!$D$8:$BA$8,0)+1),0)</f>
        <v>0</v>
      </c>
      <c r="AZ29" s="33" cm="1">
        <f t="array" ref="AZ29">IFERROR(INDEX('[1]Sales per type Agustus'!$D$10:$BA$52,MATCH($C29,'[1]Sales per type Agustus'!$B$10:$B$52,0),MATCH("Y31d ",'[1]Sales per type Agustus'!$D$8:$BA$8,0)+1),0)</f>
        <v>0</v>
      </c>
      <c r="BA29" s="33">
        <f t="shared" si="15"/>
        <v>0</v>
      </c>
      <c r="BB29" s="33">
        <f>IFERROR(INDEX('[1]SALES PERTYPE'!$D$10:$BA$53,MATCH($C29,'[1]SALES PERTYPE'!$B$10:$B$53,0),MATCH("V70 FE",'[1]SALES PERTYPE'!$D$8:$BA$8,0)),0)</f>
        <v>0</v>
      </c>
      <c r="BC29" s="33">
        <f>IFERROR(INDEX('[1]Sales per type Agustus'!$D$10:$BA$52,MATCH($C29,'[1]Sales per type Agustus'!$B$10:$B$52,0),MATCH("V70 FE",'[1]Sales per type Agustus'!$D$8:$BA$8,0)),0)</f>
        <v>2</v>
      </c>
      <c r="BD29" s="33">
        <f t="shared" si="16"/>
        <v>-2</v>
      </c>
      <c r="BE29" s="33" cm="1">
        <f t="array" ref="BE29">IFERROR(INDEX('[1]SALES PERTYPE'!$D$10:$BA$53,MATCH($C29,'[1]SALES PERTYPE'!$B$10:$B$53,0),MATCH("V70 FE",'[1]SALES PERTYPE'!$D$8:$BA$8,0)+1),0)</f>
        <v>0</v>
      </c>
      <c r="BF29" s="33" cm="1">
        <f t="array" ref="BF29">IFERROR(INDEX('[1]Sales per type Agustus'!$D$10:$BA$52,MATCH($C29,'[1]Sales per type Agustus'!$B$10:$B$52,0),MATCH("V70 FE",'[1]Sales per type Agustus'!$D$8:$BA$8,0)+1),0)</f>
        <v>15198000</v>
      </c>
      <c r="BG29" s="33">
        <f t="shared" si="17"/>
        <v>-15198000</v>
      </c>
      <c r="BH29" s="33">
        <f>IFERROR(INDEX('[1]SALES PERTYPE'!$D$10:$BA$53,MATCH($C29,'[1]SALES PERTYPE'!$B$10:$B$53,0),MATCH("Y31d",'[1]SALES PERTYPE'!$D$8:$BA$8,0)),0)</f>
        <v>0</v>
      </c>
      <c r="BI29" s="33">
        <f>IFERROR(INDEX('[1]Sales per type Agustus'!$D$10:$BA$52,MATCH($C29,'[1]Sales per type Agustus'!$B$10:$B$52,0),MATCH("Y31d",'[1]Sales per type Agustus'!$D$8:$BA$8,0)),0)</f>
        <v>2</v>
      </c>
      <c r="BJ29" s="33">
        <f t="shared" si="18"/>
        <v>-2</v>
      </c>
      <c r="BK29" s="33" cm="1">
        <f t="array" ref="BK29">IFERROR(INDEX('[1]SALES PERTYPE'!$D$10:$BA$53,MATCH($C29,'[1]SALES PERTYPE'!$B$10:$B$53,0),MATCH("Y31d",'[1]SALES PERTYPE'!$D$8:$BA$8,0)+1),0)</f>
        <v>0</v>
      </c>
      <c r="BL29" s="33" cm="1">
        <f t="array" ref="BL29">IFERROR(INDEX('[1]Sales per type Agustus'!$D$10:$BA$52,MATCH($C29,'[1]Sales per type Agustus'!$B$10:$B$52,0),MATCH("Y31d",'[1]Sales per type Agustus'!$D$8:$BA$8,0)+1),0)</f>
        <v>7198000</v>
      </c>
      <c r="BM29" s="33">
        <f t="shared" si="19"/>
        <v>-7198000</v>
      </c>
      <c r="BN29" s="33">
        <f>IFERROR(INDEX('[1]SALES PERTYPE'!$D$10:$BA$53,MATCH($C29,'[1]SALES PERTYPE'!$B$10:$B$53,0),MATCH("Y500",'[1]SALES PERTYPE'!$D$8:$BA$8,0)),0)</f>
        <v>1</v>
      </c>
      <c r="BO29" s="33">
        <f>IFERROR(INDEX('[1]Sales per type Agustus'!$D$10:$BA$52,MATCH($C29,'[1]Sales per type Agustus'!$B$10:$B$52,0),MATCH("Y500",'[1]Sales per type Agustus'!$D$8:$BA$8,0)),0)</f>
        <v>1</v>
      </c>
      <c r="BP29" s="33">
        <f t="shared" si="20"/>
        <v>0</v>
      </c>
      <c r="BQ29" s="33" cm="1">
        <f t="array" ref="BQ29">IFERROR(INDEX('[1]SALES PERTYPE'!$D$10:$BA$53,MATCH($C29,'[1]SALES PERTYPE'!$B$10:$B$53,0),MATCH("Y500",'[1]SALES PERTYPE'!$D$8:$BA$8,0)+1),0)</f>
        <v>5499000</v>
      </c>
      <c r="BR29" s="33" cm="1">
        <f t="array" ref="BR29">IFERROR(INDEX('[1]Sales per type Agustus'!$D$10:$BA$52,MATCH($C29,'[1]Sales per type Agustus'!$B$10:$B$52,0),MATCH("Y500",'[1]Sales per type Agustus'!$D$8:$BA$8,0)+1),0)</f>
        <v>6299000</v>
      </c>
      <c r="BS29" s="33">
        <f t="shared" si="21"/>
        <v>-800000</v>
      </c>
      <c r="BT29" s="33">
        <f>IFERROR(INDEX('[1]SALES PERTYPE'!$D$10:$BA$53,MATCH($C29,'[1]SALES PERTYPE'!$B$10:$B$53,0),MATCH("IQOO 15R",'[1]SALES PERTYPE'!$D$8:$BA$8,0)),0)</f>
        <v>0</v>
      </c>
      <c r="BU29" s="33">
        <f>IFERROR(INDEX('[1]Sales per type Agustus'!$D$10:$BA$52,MATCH($C29,'[1]Sales per type Agustus'!$B$10:$B$52,0),MATCH("IQOO 15R",'[1]Sales per type Agustus'!$D$8:$BA$8,0)),0)</f>
        <v>0</v>
      </c>
      <c r="BV29" s="33">
        <f t="shared" si="22"/>
        <v>0</v>
      </c>
      <c r="BW29" s="33" cm="1">
        <f t="array" ref="BW29">IFERROR(INDEX('[1]SALES PERTYPE'!$D$10:$BA$53,MATCH($C29,'[1]SALES PERTYPE'!$B$10:$B$53,0),MATCH("IQOO 15R",'[1]SALES PERTYPE'!$D$8:$BA$8,0)+1),0)</f>
        <v>0</v>
      </c>
      <c r="BX29" s="33" cm="1">
        <f t="array" ref="BX29">IFERROR(INDEX('[1]Sales per type Agustus'!$D$10:$BA$52,MATCH($C29,'[1]Sales per type Agustus'!$B$10:$B$52,0),MATCH("IQOO 15R",'[1]Sales per type Agustus'!$D$8:$BA$8,0)+1),0)</f>
        <v>0</v>
      </c>
      <c r="BY29" s="33">
        <f t="shared" si="23"/>
        <v>0</v>
      </c>
      <c r="BZ29" s="33">
        <f>IFERROR(INDEX('[1]SALES PERTYPE'!$D$10:$BA$53,MATCH($C29,'[1]SALES PERTYPE'!$B$10:$B$53,0),MATCH("V60 Lite",'[1]SALES PERTYPE'!$D$8:$BA$8,0)),0)</f>
        <v>4</v>
      </c>
      <c r="CA29" s="33">
        <f>IFERROR(INDEX('[1]Sales per type Agustus'!$D$10:$BA$52,MATCH($C29,'[1]Sales per type Agustus'!$B$10:$B$52,0),MATCH("V60 Lite",'[1]Sales per type Agustus'!$D$8:$BA$8,0)),0)</f>
        <v>2</v>
      </c>
      <c r="CB29" s="33">
        <f t="shared" si="24"/>
        <v>2</v>
      </c>
      <c r="CC29" s="33" cm="1">
        <f t="array" ref="CC29">IFERROR(INDEX('[1]SALES PERTYPE'!$D$10:$BA$53,MATCH($C29,'[1]SALES PERTYPE'!$B$10:$B$53,0),MATCH("V60 Lite",'[1]SALES PERTYPE'!$D$8:$BA$8,0)+1),0)</f>
        <v>23596000</v>
      </c>
      <c r="CD29" s="33" cm="1">
        <f t="array" ref="CD29">IFERROR(INDEX('[1]Sales per type Agustus'!$D$10:$BA$52,MATCH($C29,'[1]Sales per type Agustus'!$B$10:$B$52,0),MATCH("V60 Lite",'[1]Sales per type Agustus'!$D$8:$BA$8,0)+1),0)</f>
        <v>11798000</v>
      </c>
      <c r="CE29" s="33">
        <f t="shared" si="25"/>
        <v>11798000</v>
      </c>
      <c r="CF29" s="33">
        <f>IFERROR(INDEX('[1]SALES PERTYPE'!$D$10:$BA$53,MATCH($C29,'[1]SALES PERTYPE'!$B$10:$B$53,0),MATCH("X300 Ultra",'[1]SALES PERTYPE'!$D$8:$BA$8,0)),0)</f>
        <v>0</v>
      </c>
      <c r="CG29" s="33">
        <f>IFERROR(INDEX('[1]Sales per type Agustus'!$D$10:$BA$52,MATCH($C29,'[1]Sales per type Agustus'!$B$10:$B$52,0),MATCH("X300 Ultra",'[1]Sales per type Agustus'!$D$8:$BA$8,0)),0)</f>
        <v>0</v>
      </c>
      <c r="CH29" s="33">
        <f t="shared" si="26"/>
        <v>0</v>
      </c>
      <c r="CI29" s="33" cm="1">
        <f t="array" ref="CI29">IFERROR(INDEX('[1]SALES PERTYPE'!$D$10:$BA$53,MATCH($C29,'[1]SALES PERTYPE'!$B$10:$B$53,0),MATCH("X300 Ultra",'[1]SALES PERTYPE'!$D$8:$BA$8,0)+1),0)</f>
        <v>0</v>
      </c>
      <c r="CJ29" s="33" cm="1">
        <f t="array" ref="CJ29">IFERROR(INDEX('[1]Sales per type Agustus'!$D$10:$BA$52,MATCH($C29,'[1]Sales per type Agustus'!$B$10:$B$52,0),MATCH("X300 Ultra",'[1]Sales per type Agustus'!$D$8:$BA$8,0)+1),0)</f>
        <v>0</v>
      </c>
      <c r="CK29" s="33">
        <f t="shared" si="27"/>
        <v>0</v>
      </c>
      <c r="CL29" s="33">
        <f>IFERROR(INDEX('[1]SALES PERTYPE'!$D$10:$BA$53,MATCH($C29,'[1]SALES PERTYPE'!$B$10:$B$53,0),MATCH("IQOO 15",'[1]SALES PERTYPE'!$D$8:$BA$8,0)),0)</f>
        <v>0</v>
      </c>
      <c r="CM29" s="33">
        <f>IFERROR(INDEX('[1]Sales per type Agustus'!$D$10:$BA$52,MATCH($C29,'[1]Sales per type Agustus'!$B$10:$B$52,0),MATCH("IQOO 15",'[1]Sales per type Agustus'!$D$8:$BA$8,0)),0)</f>
        <v>0</v>
      </c>
      <c r="CN29" s="33">
        <f t="shared" si="28"/>
        <v>0</v>
      </c>
      <c r="CO29" s="33" cm="1">
        <f t="array" ref="CO29">IFERROR(INDEX('[1]SALES PERTYPE'!$D$10:$BA$53,MATCH($C29,'[1]SALES PERTYPE'!$B$10:$B$53,0),MATCH("IQOO 15",'[1]SALES PERTYPE'!$D$8:$BA$8,0)+1),0)</f>
        <v>0</v>
      </c>
      <c r="CP29" s="33" cm="1">
        <f t="array" ref="CP29">IFERROR(INDEX('[1]Sales per type Agustus'!$D$10:$BA$52,MATCH($C29,'[1]Sales per type Agustus'!$B$10:$B$52,0),MATCH("IQOO 15",'[1]Sales per type Agustus'!$D$8:$BA$8,0)+1),0)</f>
        <v>0</v>
      </c>
      <c r="CQ29" s="33">
        <f t="shared" si="29"/>
        <v>0</v>
      </c>
      <c r="CR29" s="33">
        <f>IFERROR(INDEX('[1]SALES PERTYPE'!$D$10:$BA$53,MATCH($C29,'[1]SALES PERTYPE'!$B$10:$B$53,0),MATCH("IQOO Z11x",'[1]SALES PERTYPE'!$D$8:$BA$8,0)),0)</f>
        <v>0</v>
      </c>
      <c r="CS29" s="33">
        <f>IFERROR(INDEX('[1]Sales per type Agustus'!$D$10:$BA$52,MATCH($C29,'[1]Sales per type Agustus'!$B$10:$B$52,0),MATCH("IQOO Z11x",'[1]Sales per type Agustus'!$D$8:$BA$8,0)),0)</f>
        <v>0</v>
      </c>
      <c r="CT29" s="33">
        <f t="shared" si="30"/>
        <v>0</v>
      </c>
      <c r="CU29" s="33" cm="1">
        <f t="array" ref="CU29">IFERROR(INDEX('[1]SALES PERTYPE'!$D$10:$BA$53,MATCH($C29,'[1]SALES PERTYPE'!$B$10:$B$53,0),MATCH("IQOO Z11x",'[1]SALES PERTYPE'!$D$8:$BA$8,0)+1),0)</f>
        <v>0</v>
      </c>
      <c r="CV29" s="33" cm="1">
        <f t="array" ref="CV29">IFERROR(INDEX('[1]Sales per type Agustus'!$D$10:$BA$52,MATCH($C29,'[1]Sales per type Agustus'!$B$10:$B$52,0),MATCH("IQOO Z11x",'[1]Sales per type Agustus'!$D$8:$BA$8,0)+1),0)</f>
        <v>0</v>
      </c>
      <c r="CW29" s="33">
        <f t="shared" si="31"/>
        <v>0</v>
      </c>
      <c r="CX29" s="33">
        <f>IFERROR(INDEX('[1]SALES PERTYPE'!$D$10:$BA$53,MATCH($C29,'[1]SALES PERTYPE'!$B$10:$B$53,0),MATCH("IQOO Z11",'[1]SALES PERTYPE'!$D$8:$BA$8,0)),0)</f>
        <v>1</v>
      </c>
      <c r="CY29" s="33">
        <f>IFERROR(INDEX('[1]Sales per type Agustus'!$D$10:$BA$52,MATCH($C29,'[1]Sales per type Agustus'!$B$10:$B$52,0),MATCH("IQOO Z11",'[1]Sales per type Agustus'!$D$8:$BA$8,0)),0)</f>
        <v>1</v>
      </c>
      <c r="CZ29" s="33">
        <f t="shared" si="32"/>
        <v>0</v>
      </c>
      <c r="DA29" s="33" cm="1">
        <f t="array" ref="DA29">IFERROR(INDEX('[1]SALES PERTYPE'!$D$10:$BA$53,MATCH($C29,'[1]SALES PERTYPE'!$B$10:$B$53,0),MATCH("IQOO Z11",'[1]SALES PERTYPE'!$D$8:$BA$8,0)+1),0)</f>
        <v>6899000</v>
      </c>
      <c r="DB29" s="33" cm="1">
        <f t="array" ref="DB29">IFERROR(INDEX('[1]Sales per type Agustus'!$D$10:$BA$52,MATCH($C29,'[1]Sales per type Agustus'!$B$10:$B$52,0),MATCH("IQOO Z11",'[1]Sales per type Agustus'!$D$8:$BA$8,0)+1),0)</f>
        <v>8399000</v>
      </c>
      <c r="DC29" s="33">
        <f t="shared" si="33"/>
        <v>-1500000</v>
      </c>
      <c r="DD29" s="33">
        <f>IFERROR(INDEX('[1]SALES PERTYPE'!$D$10:$BA$53,MATCH($C29,'[1]SALES PERTYPE'!$B$10:$B$53,0),MATCH("WATCH 3",'[1]SALES PERTYPE'!$D$8:$BA$8,0)),0)</f>
        <v>0</v>
      </c>
      <c r="DE29" s="33">
        <f>IFERROR(INDEX('[1]Sales per type Agustus'!$D$10:$BA$52,MATCH($C29,'[1]Sales per type Agustus'!$B$10:$B$52,0),MATCH("WATCH 3",'[1]Sales per type Agustus'!$D$8:$BA$8,0)),0)</f>
        <v>0</v>
      </c>
      <c r="DF29" s="33">
        <f t="shared" si="34"/>
        <v>0</v>
      </c>
      <c r="DG29" s="33" cm="1">
        <f t="array" ref="DG29">IFERROR(INDEX('[1]SALES PERTYPE'!$D$10:$BA$53,MATCH($C29,'[1]SALES PERTYPE'!$B$10:$B$53,0),MATCH("WATCH 3",'[1]SALES PERTYPE'!$D$8:$BA$8,0)+1),0)</f>
        <v>0</v>
      </c>
      <c r="DH29" s="33" cm="1">
        <f t="array" ref="DH29">IFERROR(INDEX('[1]Sales per type Agustus'!$D$10:$BA$52,MATCH($C29,'[1]Sales per type Agustus'!$B$10:$B$52,0),MATCH("WATCH 3",'[1]Sales per type Agustus'!$D$8:$BA$8,0)+1),0)</f>
        <v>0</v>
      </c>
      <c r="DI29" s="33">
        <f t="shared" si="35"/>
        <v>0</v>
      </c>
      <c r="DJ29" s="33">
        <f>IFERROR(INDEX('[1]SALES PERTYPE'!$D$10:$BA$53,MATCH($C29,'[1]SALES PERTYPE'!$B$10:$B$53,0),MATCH("X Fold5",'[1]SALES PERTYPE'!$D$8:$BA$8,0)),0)</f>
        <v>0</v>
      </c>
      <c r="DK29" s="33">
        <f>IFERROR(INDEX('[1]Sales per type Agustus'!$D$10:$BA$52,MATCH($C29,'[1]Sales per type Agustus'!$B$10:$B$52,0),MATCH("X Fold5",'[1]Sales per type Agustus'!$D$8:$BA$8,0)),0)</f>
        <v>0</v>
      </c>
      <c r="DL29" s="33">
        <f t="shared" si="36"/>
        <v>0</v>
      </c>
      <c r="DM29" s="33" cm="1">
        <f t="array" ref="DM29">IFERROR(INDEX('[1]SALES PERTYPE'!$D$10:$BA$53,MATCH($C29,'[1]SALES PERTYPE'!$B$10:$B$53,0),MATCH("X Fold5",'[1]SALES PERTYPE'!$D$8:$BA$8,0)+1),0)</f>
        <v>0</v>
      </c>
      <c r="DN29" s="33" cm="1">
        <f t="array" ref="DN29">IFERROR(INDEX('[1]Sales per type Agustus'!$D$10:$BA$52,MATCH($C29,'[1]Sales per type Agustus'!$B$10:$B$52,0),MATCH("X Fold5",'[1]Sales per type Agustus'!$D$8:$BA$8,0)+1),0)</f>
        <v>0</v>
      </c>
      <c r="DO29" s="33">
        <f t="shared" si="37"/>
        <v>0</v>
      </c>
      <c r="DP29" s="33">
        <f>IFERROR(INDEX('[1]SALES PERTYPE'!$D$10:$BA$53,MATCH($C29,'[1]SALES PERTYPE'!$B$10:$B$53,0),MATCH("X300 PRO",'[1]SALES PERTYPE'!$D$8:$BA$8,0)),0)</f>
        <v>0</v>
      </c>
      <c r="DQ29" s="33">
        <f>IFERROR(INDEX('[1]Sales per type Agustus'!$D$10:$BA$52,MATCH($C29,'[1]Sales per type Agustus'!$B$10:$B$52,0),MATCH("X300 PRO",'[1]Sales per type Agustus'!$D$8:$BA$8,0)),0)</f>
        <v>0</v>
      </c>
      <c r="DR29" s="33">
        <f t="shared" si="38"/>
        <v>0</v>
      </c>
      <c r="DS29" s="33" cm="1">
        <f t="array" ref="DS29">IFERROR(INDEX('[1]SALES PERTYPE'!$D$10:$BA$53,MATCH($C29,'[1]SALES PERTYPE'!$B$10:$B$53,0),MATCH("X300 PRO",'[1]SALES PERTYPE'!$D$8:$BA$8,0)+1),0)</f>
        <v>0</v>
      </c>
      <c r="DT29" s="33" cm="1">
        <f t="array" ref="DT29">IFERROR(INDEX('[1]Sales per type Agustus'!$D$10:$BA$52,MATCH($C29,'[1]Sales per type Agustus'!$B$10:$B$52,0),MATCH("X300 PRO",'[1]Sales per type Agustus'!$D$8:$BA$8,0)+1),0)</f>
        <v>0</v>
      </c>
      <c r="DU29" s="33">
        <f t="shared" si="39"/>
        <v>0</v>
      </c>
      <c r="DV29" s="33">
        <f>IFERROR(INDEX('[1]SALES PERTYPE'!$D$10:$BA$53,MATCH($C29,'[1]SALES PERTYPE'!$B$10:$B$53,0),MATCH("X300 ",'[1]SALES PERTYPE'!$D$8:$BA$8,0)),0)</f>
        <v>0</v>
      </c>
      <c r="DW29" s="33">
        <f>IFERROR(INDEX('[1]Sales per type Agustus'!$D$10:$BA$52,MATCH($C29,'[1]Sales per type Agustus'!$B$10:$B$52,0),MATCH("X300 ",'[1]Sales per type Agustus'!$D$8:$BA$8,0)),0)</f>
        <v>0</v>
      </c>
      <c r="DX29" s="33">
        <f t="shared" si="40"/>
        <v>0</v>
      </c>
      <c r="DY29" s="33" cm="1">
        <f t="array" ref="DY29">IFERROR(INDEX('[1]SALES PERTYPE'!$D$10:$BA$53,MATCH($C29,'[1]SALES PERTYPE'!$B$10:$B$53,0),MATCH("X300 ",'[1]SALES PERTYPE'!$D$8:$BA$8,0)+1),0)</f>
        <v>0</v>
      </c>
      <c r="DZ29" s="33" cm="1">
        <f t="array" ref="DZ29">IFERROR(INDEX('[1]Sales per type Agustus'!$D$10:$BA$52,MATCH($C29,'[1]Sales per type Agustus'!$B$10:$B$52,0),MATCH("X300 ",'[1]Sales per type Agustus'!$D$8:$BA$8,0)+1),0)</f>
        <v>0</v>
      </c>
      <c r="EA29" s="33">
        <f t="shared" si="41"/>
        <v>0</v>
      </c>
      <c r="EB29" s="33">
        <f t="shared" si="42"/>
        <v>57</v>
      </c>
      <c r="EC29" s="33">
        <f t="shared" si="42"/>
        <v>75</v>
      </c>
      <c r="ED29" s="33">
        <f t="shared" si="43"/>
        <v>-18</v>
      </c>
      <c r="EE29" s="33">
        <f t="shared" si="44"/>
        <v>190843000</v>
      </c>
      <c r="EF29" s="33">
        <f t="shared" si="44"/>
        <v>224425000</v>
      </c>
      <c r="EG29" s="33">
        <f t="shared" si="45"/>
        <v>-33582000</v>
      </c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</row>
    <row r="30" spans="1:184" ht="16" x14ac:dyDescent="0.2">
      <c r="A30" s="214">
        <f>'[1]ACHIEVEMENT STORE'!A30</f>
        <v>26</v>
      </c>
      <c r="B30" s="215" t="str">
        <f>'[1]ACHIEVEMENT STORE'!B30</f>
        <v>624-万丹BANTEN</v>
      </c>
      <c r="C30" s="214">
        <f>'[1]ACHIEVEMENT STORE'!C30</f>
        <v>6240703</v>
      </c>
      <c r="D30" s="215" t="str">
        <f>'[1]ACHIEVEMENT STORE'!D30</f>
        <v>6240703-TANGCITY LG009</v>
      </c>
      <c r="E30" s="215" t="str">
        <f>'[1]ACHIEVEMENT STORE'!E30</f>
        <v>DHANI EKO NUGROHO</v>
      </c>
      <c r="F30" s="33">
        <f>IFERROR(INDEX('[1]SALES PERTYPE'!$D$10:$BA$53,MATCH($C30,'[1]SALES PERTYPE'!$B$10:$B$53,0),MATCH("Y05",'[1]SALES PERTYPE'!$D$8:$BA$8,0)),0)</f>
        <v>18</v>
      </c>
      <c r="G30" s="33">
        <f>IFERROR(INDEX('[1]Sales per type Agustus'!$D$10:$BA$52,MATCH($C30,'[1]Sales per type Agustus'!$B$10:$B$52,0),MATCH("Y05",'[1]Sales per type Agustus'!$D$8:$BA$8,0)),0)</f>
        <v>13</v>
      </c>
      <c r="H30" s="33">
        <f t="shared" si="0"/>
        <v>5</v>
      </c>
      <c r="I30" s="33" cm="1">
        <f t="array" ref="I30">IFERROR(INDEX('[1]SALES PERTYPE'!$D$10:$BA$53,MATCH($C30,'[1]SALES PERTYPE'!$B$10:$B$53,0),MATCH("Y05",'[1]SALES PERTYPE'!$D$8:$BA$8,0)+1),0)</f>
        <v>44682000</v>
      </c>
      <c r="J30" s="33" cm="1">
        <f t="array" ref="J30">IFERROR(INDEX('[1]Sales per type Agustus'!$D$10:$BA$52,MATCH($C30,'[1]Sales per type Agustus'!$B$10:$B$52,0),MATCH("Y05",'[1]Sales per type Agustus'!$D$8:$BA$8,0)+1),0)</f>
        <v>31687000</v>
      </c>
      <c r="K30" s="33">
        <f t="shared" si="1"/>
        <v>12995000</v>
      </c>
      <c r="L30" s="33">
        <f>IFERROR(INDEX('[1]SALES PERTYPE'!$D$10:$BA$53,MATCH($C30,'[1]SALES PERTYPE'!$B$10:$B$53,0),MATCH("Y11d",'[1]SALES PERTYPE'!$D$8:$BA$8,0)),0)</f>
        <v>15</v>
      </c>
      <c r="M30" s="33">
        <f>IFERROR(INDEX('[1]Sales per type Agustus'!$D$10:$BA$52,MATCH($C30,'[1]Sales per type Agustus'!$B$10:$B$52,0),MATCH("Y11d",'[1]Sales per type Agustus'!$D$8:$BA$8,0)),0)</f>
        <v>17</v>
      </c>
      <c r="N30" s="33">
        <f t="shared" si="2"/>
        <v>-2</v>
      </c>
      <c r="O30" s="33" cm="1">
        <f t="array" ref="O30">IFERROR(INDEX('[1]SALES PERTYPE'!$D$10:$BA$53,MATCH($C30,'[1]SALES PERTYPE'!$B$10:$B$53,0),MATCH("Y11d",'[1]SALES PERTYPE'!$D$8:$BA$8,0)+1),0)</f>
        <v>41585000</v>
      </c>
      <c r="P30" s="33" cm="1">
        <f t="array" ref="P30">IFERROR(INDEX('[1]Sales per type Agustus'!$D$10:$BA$52,MATCH($C30,'[1]Sales per type Agustus'!$B$10:$B$52,0),MATCH("Y11d",'[1]Sales per type Agustus'!$D$8:$BA$8,0)+1),0)</f>
        <v>46783000</v>
      </c>
      <c r="Q30" s="33">
        <f t="shared" si="3"/>
        <v>-5198000</v>
      </c>
      <c r="R30" s="33">
        <f>IFERROR(INDEX('[1]SALES PERTYPE'!$D$10:$BA$53,MATCH($C30,'[1]SALES PERTYPE'!$B$10:$B$53,0),MATCH("Watch GT 2",'[1]SALES PERTYPE'!$D$8:$BA$8,0)),0)</f>
        <v>0</v>
      </c>
      <c r="S30" s="33">
        <f>IFERROR(INDEX('[1]Sales per type Agustus'!$D$10:$BA$52,MATCH($C30,'[1]Sales per type Agustus'!$B$10:$B$52,0),MATCH("Watch GT 2",'[1]Sales per type Agustus'!$D$8:$BA$8,0)),0)</f>
        <v>0</v>
      </c>
      <c r="T30" s="33">
        <f t="shared" si="4"/>
        <v>0</v>
      </c>
      <c r="U30" s="33" cm="1">
        <f t="array" ref="U30">IFERROR(INDEX('[1]SALES PERTYPE'!$D$10:$BA$53,MATCH($C30,'[1]SALES PERTYPE'!$B$10:$B$53,0),MATCH("Watch GT 2",'[1]SALES PERTYPE'!$D$8:$BA$8,0)+1),0)</f>
        <v>0</v>
      </c>
      <c r="V30" s="33" cm="1">
        <f t="array" ref="V30">IFERROR(INDEX('[1]Sales per type Agustus'!$D$10:$BA$52,MATCH($C30,'[1]Sales per type Agustus'!$B$10:$B$52,0),MATCH("Watch GT 2",'[1]Sales per type Agustus'!$D$8:$BA$8,0)+1),0)</f>
        <v>0</v>
      </c>
      <c r="W30" s="33">
        <f t="shared" si="5"/>
        <v>0</v>
      </c>
      <c r="X30" s="33">
        <f>IFERROR(INDEX('[1]SALES PERTYPE'!$D$10:$BA$53,MATCH($C30,'[1]SALES PERTYPE'!$B$10:$B$53,0),MATCH("Y05e",'[1]SALES PERTYPE'!$D$8:$BA$8,0)),0)</f>
        <v>9</v>
      </c>
      <c r="Y30" s="33">
        <f>IFERROR(INDEX('[1]Sales per type Agustus'!$D$10:$BA$52,MATCH($C30,'[1]Sales per type Agustus'!$B$10:$B$52,0),MATCH("Y05e",'[1]Sales per type Agustus'!$D$8:$BA$8,0)),0)</f>
        <v>9</v>
      </c>
      <c r="Z30" s="33">
        <f t="shared" si="6"/>
        <v>0</v>
      </c>
      <c r="AA30" s="33" cm="1">
        <f t="array" ref="AA30">IFERROR(INDEX('[1]SALES PERTYPE'!$D$10:$BA$53,MATCH($C30,'[1]SALES PERTYPE'!$B$10:$B$53,0),MATCH("Y05e",'[1]SALES PERTYPE'!$D$8:$BA$8,0)+1),0)</f>
        <v>19691000</v>
      </c>
      <c r="AB30" s="33" cm="1">
        <f t="array" ref="AB30">IFERROR(INDEX('[1]Sales per type Agustus'!$D$10:$BA$52,MATCH($C30,'[1]Sales per type Agustus'!$B$10:$B$52,0),MATCH("Y05e",'[1]Sales per type Agustus'!$D$8:$BA$8,0)+1),0)</f>
        <v>18891000</v>
      </c>
      <c r="AC30" s="33">
        <f t="shared" si="7"/>
        <v>800000</v>
      </c>
      <c r="AD30" s="33">
        <f>IFERROR(INDEX('[1]SALES PERTYPE'!$D$10:$BA$53,MATCH($C30,'[1]SALES PERTYPE'!$B$10:$B$53,0),MATCH("V70",'[1]SALES PERTYPE'!$D$8:$BA$8,0)),0)</f>
        <v>4</v>
      </c>
      <c r="AE30" s="33">
        <f>IFERROR(INDEX('[1]Sales per type Agustus'!$D$10:$BA$52,MATCH($C30,'[1]Sales per type Agustus'!$B$10:$B$52,0),MATCH("V70",'[1]Sales per type Agustus'!$D$8:$BA$8,0)),0)</f>
        <v>1</v>
      </c>
      <c r="AF30" s="33">
        <f t="shared" si="8"/>
        <v>3</v>
      </c>
      <c r="AG30" s="33" cm="1">
        <f t="array" ref="AG30">IFERROR(INDEX('[1]SALES PERTYPE'!$D$10:$BA$53,MATCH($C30,'[1]SALES PERTYPE'!$B$10:$B$53,0),MATCH("V70",'[1]SALES PERTYPE'!$D$8:$BA$8,0)+1),0)</f>
        <v>38996000</v>
      </c>
      <c r="AH30" s="33" cm="1">
        <f t="array" ref="AH30">IFERROR(INDEX('[1]Sales per type Agustus'!$D$10:$BA$52,MATCH($C30,'[1]Sales per type Agustus'!$B$10:$B$52,0),MATCH("V70",'[1]Sales per type Agustus'!$D$8:$BA$8,0)+1),0)</f>
        <v>9999000</v>
      </c>
      <c r="AI30" s="33">
        <f t="shared" si="9"/>
        <v>28997000</v>
      </c>
      <c r="AJ30" s="33">
        <f>IFERROR(INDEX('[1]SALES PERTYPE'!$D$10:$BA$53,MATCH($C30,'[1]SALES PERTYPE'!$B$10:$B$53,0),MATCH("Y31d Pro",'[1]SALES PERTYPE'!$D$8:$BA$8,0)),0)</f>
        <v>7</v>
      </c>
      <c r="AK30" s="33">
        <f>IFERROR(INDEX('[1]Sales per type Agustus'!$D$10:$BA$52,MATCH($C30,'[1]Sales per type Agustus'!$B$10:$B$52,0),MATCH("Y31d Pro",'[1]Sales per type Agustus'!$D$8:$BA$8,0)),0)</f>
        <v>13</v>
      </c>
      <c r="AL30" s="33">
        <f t="shared" si="10"/>
        <v>-6</v>
      </c>
      <c r="AM30" s="33" cm="1">
        <f t="array" ref="AM30">IFERROR(INDEX('[1]SALES PERTYPE'!$D$10:$BA$53,MATCH($C30,'[1]SALES PERTYPE'!$B$10:$B$53,0),MATCH("Y31d Pro",'[1]SALES PERTYPE'!$D$8:$BA$8,0)+1),0)</f>
        <v>29693000</v>
      </c>
      <c r="AN30" s="33" cm="1">
        <f t="array" ref="AN30">IFERROR(INDEX('[1]Sales per type Agustus'!$D$10:$BA$52,MATCH($C30,'[1]Sales per type Agustus'!$B$10:$B$52,0),MATCH("Y31d Pro",'[1]Sales per type Agustus'!$D$8:$BA$8,0)+1),0)</f>
        <v>56287000</v>
      </c>
      <c r="AO30" s="33">
        <f t="shared" si="11"/>
        <v>-26594000</v>
      </c>
      <c r="AP30" s="33" cm="1">
        <f t="array" ref="AP30">IFERROR(INDEX('[1]SALES PERTYPE'!$D$10:$BA$53,MATCH($C30,'[1]SALES PERTYPE'!$B$10:$B$53,0),$EI$3),0)</f>
        <v>6</v>
      </c>
      <c r="AQ30" s="33" cm="1">
        <f t="array" ref="AQ30">IFERROR(INDEX('[1]Sales per type Agustus'!$D$10:$BA$52,MATCH($C30,'[1]Sales per type Agustus'!$B$10:$B$52,0),$EI$2),0)</f>
        <v>1</v>
      </c>
      <c r="AR30" s="33">
        <f t="shared" si="12"/>
        <v>5</v>
      </c>
      <c r="AS30" s="33" cm="1">
        <f t="array" ref="AS30">IFERROR(INDEX('[1]SALES PERTYPE'!$D$10:$BA$53,MATCH($C30,'[1]SALES PERTYPE'!$B$10:$B$53,0),$EI$3+1),0)</f>
        <v>19794000</v>
      </c>
      <c r="AT30" s="33" cm="1">
        <f t="array" ref="AT30">IFERROR(INDEX('[1]Sales per type Agustus'!$D$10:$BA$52,MATCH($C30,'[1]Sales per type Agustus'!$B$10:$B$52,0),$EI$2+1),0)</f>
        <v>3599000</v>
      </c>
      <c r="AU30" s="33">
        <f t="shared" si="13"/>
        <v>16195000</v>
      </c>
      <c r="AV30" s="33">
        <f>IFERROR(INDEX('[1]SALES PERTYPE'!$D$10:$BA$53,MATCH($C30,'[1]SALES PERTYPE'!$B$10:$B$53,0),MATCH("Y31d ",'[1]SALES PERTYPE'!$D$8:$BA$8,0)),0)</f>
        <v>2</v>
      </c>
      <c r="AW30" s="33">
        <f>IFERROR(INDEX('[1]Sales per type Agustus'!$D$10:$BA$52,MATCH($C30,'[1]Sales per type Agustus'!$B$10:$B$52,0),MATCH("Y31d ",'[1]Sales per type Agustus'!$D$8:$BA$8,0)),0)</f>
        <v>3</v>
      </c>
      <c r="AX30" s="33">
        <f t="shared" si="14"/>
        <v>-1</v>
      </c>
      <c r="AY30" s="33" cm="1">
        <f t="array" ref="AY30">IFERROR(INDEX('[1]SALES PERTYPE'!$D$10:$BA$53,MATCH($C30,'[1]SALES PERTYPE'!$B$10:$B$53,0),MATCH("Y31d ",'[1]SALES PERTYPE'!$D$8:$BA$8,0)+1),0)</f>
        <v>7198000</v>
      </c>
      <c r="AZ30" s="33" cm="1">
        <f t="array" ref="AZ30">IFERROR(INDEX('[1]Sales per type Agustus'!$D$10:$BA$52,MATCH($C30,'[1]Sales per type Agustus'!$B$10:$B$52,0),MATCH("Y31d ",'[1]Sales per type Agustus'!$D$8:$BA$8,0)+1),0)</f>
        <v>10797000</v>
      </c>
      <c r="BA30" s="33">
        <f t="shared" si="15"/>
        <v>-3599000</v>
      </c>
      <c r="BB30" s="33">
        <f>IFERROR(INDEX('[1]SALES PERTYPE'!$D$10:$BA$53,MATCH($C30,'[1]SALES PERTYPE'!$B$10:$B$53,0),MATCH("V70 FE",'[1]SALES PERTYPE'!$D$8:$BA$8,0)),0)</f>
        <v>0</v>
      </c>
      <c r="BC30" s="33">
        <f>IFERROR(INDEX('[1]Sales per type Agustus'!$D$10:$BA$52,MATCH($C30,'[1]Sales per type Agustus'!$B$10:$B$52,0),MATCH("V70 FE",'[1]Sales per type Agustus'!$D$8:$BA$8,0)),0)</f>
        <v>4</v>
      </c>
      <c r="BD30" s="33">
        <f t="shared" si="16"/>
        <v>-4</v>
      </c>
      <c r="BE30" s="33" cm="1">
        <f t="array" ref="BE30">IFERROR(INDEX('[1]SALES PERTYPE'!$D$10:$BA$53,MATCH($C30,'[1]SALES PERTYPE'!$B$10:$B$53,0),MATCH("V70 FE",'[1]SALES PERTYPE'!$D$8:$BA$8,0)+1),0)</f>
        <v>0</v>
      </c>
      <c r="BF30" s="33" cm="1">
        <f t="array" ref="BF30">IFERROR(INDEX('[1]Sales per type Agustus'!$D$10:$BA$52,MATCH($C30,'[1]Sales per type Agustus'!$B$10:$B$52,0),MATCH("V70 FE",'[1]Sales per type Agustus'!$D$8:$BA$8,0)+1),0)</f>
        <v>31996000</v>
      </c>
      <c r="BG30" s="33">
        <f t="shared" si="17"/>
        <v>-31996000</v>
      </c>
      <c r="BH30" s="33">
        <f>IFERROR(INDEX('[1]SALES PERTYPE'!$D$10:$BA$53,MATCH($C30,'[1]SALES PERTYPE'!$B$10:$B$53,0),MATCH("Y31d",'[1]SALES PERTYPE'!$D$8:$BA$8,0)),0)</f>
        <v>2</v>
      </c>
      <c r="BI30" s="33">
        <f>IFERROR(INDEX('[1]Sales per type Agustus'!$D$10:$BA$52,MATCH($C30,'[1]Sales per type Agustus'!$B$10:$B$52,0),MATCH("Y31d",'[1]Sales per type Agustus'!$D$8:$BA$8,0)),0)</f>
        <v>4</v>
      </c>
      <c r="BJ30" s="33">
        <f t="shared" si="18"/>
        <v>-2</v>
      </c>
      <c r="BK30" s="33" cm="1">
        <f t="array" ref="BK30">IFERROR(INDEX('[1]SALES PERTYPE'!$D$10:$BA$53,MATCH($C30,'[1]SALES PERTYPE'!$B$10:$B$53,0),MATCH("Y31d",'[1]SALES PERTYPE'!$D$8:$BA$8,0)+1),0)</f>
        <v>7198000</v>
      </c>
      <c r="BL30" s="33" cm="1">
        <f t="array" ref="BL30">IFERROR(INDEX('[1]Sales per type Agustus'!$D$10:$BA$52,MATCH($C30,'[1]Sales per type Agustus'!$B$10:$B$52,0),MATCH("Y31d",'[1]Sales per type Agustus'!$D$8:$BA$8,0)+1),0)</f>
        <v>14396000</v>
      </c>
      <c r="BM30" s="33">
        <f t="shared" si="19"/>
        <v>-7198000</v>
      </c>
      <c r="BN30" s="33">
        <f>IFERROR(INDEX('[1]SALES PERTYPE'!$D$10:$BA$53,MATCH($C30,'[1]SALES PERTYPE'!$B$10:$B$53,0),MATCH("Y500",'[1]SALES PERTYPE'!$D$8:$BA$8,0)),0)</f>
        <v>0</v>
      </c>
      <c r="BO30" s="33">
        <f>IFERROR(INDEX('[1]Sales per type Agustus'!$D$10:$BA$52,MATCH($C30,'[1]Sales per type Agustus'!$B$10:$B$52,0),MATCH("Y500",'[1]Sales per type Agustus'!$D$8:$BA$8,0)),0)</f>
        <v>0</v>
      </c>
      <c r="BP30" s="33">
        <f t="shared" si="20"/>
        <v>0</v>
      </c>
      <c r="BQ30" s="33" cm="1">
        <f t="array" ref="BQ30">IFERROR(INDEX('[1]SALES PERTYPE'!$D$10:$BA$53,MATCH($C30,'[1]SALES PERTYPE'!$B$10:$B$53,0),MATCH("Y500",'[1]SALES PERTYPE'!$D$8:$BA$8,0)+1),0)</f>
        <v>0</v>
      </c>
      <c r="BR30" s="33" cm="1">
        <f t="array" ref="BR30">IFERROR(INDEX('[1]Sales per type Agustus'!$D$10:$BA$52,MATCH($C30,'[1]Sales per type Agustus'!$B$10:$B$52,0),MATCH("Y500",'[1]Sales per type Agustus'!$D$8:$BA$8,0)+1),0)</f>
        <v>0</v>
      </c>
      <c r="BS30" s="33">
        <f t="shared" si="21"/>
        <v>0</v>
      </c>
      <c r="BT30" s="33">
        <f>IFERROR(INDEX('[1]SALES PERTYPE'!$D$10:$BA$53,MATCH($C30,'[1]SALES PERTYPE'!$B$10:$B$53,0),MATCH("IQOO 15R",'[1]SALES PERTYPE'!$D$8:$BA$8,0)),0)</f>
        <v>0</v>
      </c>
      <c r="BU30" s="33">
        <f>IFERROR(INDEX('[1]Sales per type Agustus'!$D$10:$BA$52,MATCH($C30,'[1]Sales per type Agustus'!$B$10:$B$52,0),MATCH("IQOO 15R",'[1]Sales per type Agustus'!$D$8:$BA$8,0)),0)</f>
        <v>1</v>
      </c>
      <c r="BV30" s="33">
        <f t="shared" si="22"/>
        <v>-1</v>
      </c>
      <c r="BW30" s="33" cm="1">
        <f t="array" ref="BW30">IFERROR(INDEX('[1]SALES PERTYPE'!$D$10:$BA$53,MATCH($C30,'[1]SALES PERTYPE'!$B$10:$B$53,0),MATCH("IQOO 15R",'[1]SALES PERTYPE'!$D$8:$BA$8,0)+1),0)</f>
        <v>0</v>
      </c>
      <c r="BX30" s="33" cm="1">
        <f t="array" ref="BX30">IFERROR(INDEX('[1]Sales per type Agustus'!$D$10:$BA$52,MATCH($C30,'[1]Sales per type Agustus'!$B$10:$B$52,0),MATCH("IQOO 15R",'[1]Sales per type Agustus'!$D$8:$BA$8,0)+1),0)</f>
        <v>11999000</v>
      </c>
      <c r="BY30" s="33">
        <f t="shared" si="23"/>
        <v>-11999000</v>
      </c>
      <c r="BZ30" s="33">
        <f>IFERROR(INDEX('[1]SALES PERTYPE'!$D$10:$BA$53,MATCH($C30,'[1]SALES PERTYPE'!$B$10:$B$53,0),MATCH("V60 Lite",'[1]SALES PERTYPE'!$D$8:$BA$8,0)),0)</f>
        <v>2</v>
      </c>
      <c r="CA30" s="33">
        <f>IFERROR(INDEX('[1]Sales per type Agustus'!$D$10:$BA$52,MATCH($C30,'[1]Sales per type Agustus'!$B$10:$B$52,0),MATCH("V60 Lite",'[1]Sales per type Agustus'!$D$8:$BA$8,0)),0)</f>
        <v>4</v>
      </c>
      <c r="CB30" s="33">
        <f t="shared" si="24"/>
        <v>-2</v>
      </c>
      <c r="CC30" s="33" cm="1">
        <f t="array" ref="CC30">IFERROR(INDEX('[1]SALES PERTYPE'!$D$10:$BA$53,MATCH($C30,'[1]SALES PERTYPE'!$B$10:$B$53,0),MATCH("V60 Lite",'[1]SALES PERTYPE'!$D$8:$BA$8,0)+1),0)</f>
        <v>11798000</v>
      </c>
      <c r="CD30" s="33" cm="1">
        <f t="array" ref="CD30">IFERROR(INDEX('[1]Sales per type Agustus'!$D$10:$BA$52,MATCH($C30,'[1]Sales per type Agustus'!$B$10:$B$52,0),MATCH("V60 Lite",'[1]Sales per type Agustus'!$D$8:$BA$8,0)+1),0)</f>
        <v>23596000</v>
      </c>
      <c r="CE30" s="33">
        <f t="shared" si="25"/>
        <v>-11798000</v>
      </c>
      <c r="CF30" s="33">
        <f>IFERROR(INDEX('[1]SALES PERTYPE'!$D$10:$BA$53,MATCH($C30,'[1]SALES PERTYPE'!$B$10:$B$53,0),MATCH("X300 Ultra",'[1]SALES PERTYPE'!$D$8:$BA$8,0)),0)</f>
        <v>0</v>
      </c>
      <c r="CG30" s="33">
        <f>IFERROR(INDEX('[1]Sales per type Agustus'!$D$10:$BA$52,MATCH($C30,'[1]Sales per type Agustus'!$B$10:$B$52,0),MATCH("X300 Ultra",'[1]Sales per type Agustus'!$D$8:$BA$8,0)),0)</f>
        <v>1</v>
      </c>
      <c r="CH30" s="33">
        <f t="shared" si="26"/>
        <v>-1</v>
      </c>
      <c r="CI30" s="33" cm="1">
        <f t="array" ref="CI30">IFERROR(INDEX('[1]SALES PERTYPE'!$D$10:$BA$53,MATCH($C30,'[1]SALES PERTYPE'!$B$10:$B$53,0),MATCH("X300 Ultra",'[1]SALES PERTYPE'!$D$8:$BA$8,0)+1),0)</f>
        <v>0</v>
      </c>
      <c r="CJ30" s="33" cm="1">
        <f t="array" ref="CJ30">IFERROR(INDEX('[1]Sales per type Agustus'!$D$10:$BA$52,MATCH($C30,'[1]Sales per type Agustus'!$B$10:$B$52,0),MATCH("X300 Ultra",'[1]Sales per type Agustus'!$D$8:$BA$8,0)+1),0)</f>
        <v>25999000</v>
      </c>
      <c r="CK30" s="33">
        <f t="shared" si="27"/>
        <v>-25999000</v>
      </c>
      <c r="CL30" s="33">
        <f>IFERROR(INDEX('[1]SALES PERTYPE'!$D$10:$BA$53,MATCH($C30,'[1]SALES PERTYPE'!$B$10:$B$53,0),MATCH("IQOO 15",'[1]SALES PERTYPE'!$D$8:$BA$8,0)),0)</f>
        <v>0</v>
      </c>
      <c r="CM30" s="33">
        <f>IFERROR(INDEX('[1]Sales per type Agustus'!$D$10:$BA$52,MATCH($C30,'[1]Sales per type Agustus'!$B$10:$B$52,0),MATCH("IQOO 15",'[1]Sales per type Agustus'!$D$8:$BA$8,0)),0)</f>
        <v>0</v>
      </c>
      <c r="CN30" s="33">
        <f t="shared" si="28"/>
        <v>0</v>
      </c>
      <c r="CO30" s="33" cm="1">
        <f t="array" ref="CO30">IFERROR(INDEX('[1]SALES PERTYPE'!$D$10:$BA$53,MATCH($C30,'[1]SALES PERTYPE'!$B$10:$B$53,0),MATCH("IQOO 15",'[1]SALES PERTYPE'!$D$8:$BA$8,0)+1),0)</f>
        <v>0</v>
      </c>
      <c r="CP30" s="33" cm="1">
        <f t="array" ref="CP30">IFERROR(INDEX('[1]Sales per type Agustus'!$D$10:$BA$52,MATCH($C30,'[1]Sales per type Agustus'!$B$10:$B$52,0),MATCH("IQOO 15",'[1]Sales per type Agustus'!$D$8:$BA$8,0)+1),0)</f>
        <v>0</v>
      </c>
      <c r="CQ30" s="33">
        <f t="shared" si="29"/>
        <v>0</v>
      </c>
      <c r="CR30" s="33">
        <f>IFERROR(INDEX('[1]SALES PERTYPE'!$D$10:$BA$53,MATCH($C30,'[1]SALES PERTYPE'!$B$10:$B$53,0),MATCH("IQOO Z11x",'[1]SALES PERTYPE'!$D$8:$BA$8,0)),0)</f>
        <v>1</v>
      </c>
      <c r="CS30" s="33">
        <f>IFERROR(INDEX('[1]Sales per type Agustus'!$D$10:$BA$52,MATCH($C30,'[1]Sales per type Agustus'!$B$10:$B$52,0),MATCH("IQOO Z11x",'[1]Sales per type Agustus'!$D$8:$BA$8,0)),0)</f>
        <v>0</v>
      </c>
      <c r="CT30" s="33">
        <f t="shared" si="30"/>
        <v>1</v>
      </c>
      <c r="CU30" s="33" cm="1">
        <f t="array" ref="CU30">IFERROR(INDEX('[1]SALES PERTYPE'!$D$10:$BA$53,MATCH($C30,'[1]SALES PERTYPE'!$B$10:$B$53,0),MATCH("IQOO Z11x",'[1]SALES PERTYPE'!$D$8:$BA$8,0)+1),0)</f>
        <v>5699000</v>
      </c>
      <c r="CV30" s="33" cm="1">
        <f t="array" ref="CV30">IFERROR(INDEX('[1]Sales per type Agustus'!$D$10:$BA$52,MATCH($C30,'[1]Sales per type Agustus'!$B$10:$B$52,0),MATCH("IQOO Z11x",'[1]Sales per type Agustus'!$D$8:$BA$8,0)+1),0)</f>
        <v>0</v>
      </c>
      <c r="CW30" s="33">
        <f t="shared" si="31"/>
        <v>5699000</v>
      </c>
      <c r="CX30" s="33">
        <f>IFERROR(INDEX('[1]SALES PERTYPE'!$D$10:$BA$53,MATCH($C30,'[1]SALES PERTYPE'!$B$10:$B$53,0),MATCH("IQOO Z11",'[1]SALES PERTYPE'!$D$8:$BA$8,0)),0)</f>
        <v>0</v>
      </c>
      <c r="CY30" s="33">
        <f>IFERROR(INDEX('[1]Sales per type Agustus'!$D$10:$BA$52,MATCH($C30,'[1]Sales per type Agustus'!$B$10:$B$52,0),MATCH("IQOO Z11",'[1]Sales per type Agustus'!$D$8:$BA$8,0)),0)</f>
        <v>2</v>
      </c>
      <c r="CZ30" s="33">
        <f t="shared" si="32"/>
        <v>-2</v>
      </c>
      <c r="DA30" s="33" cm="1">
        <f t="array" ref="DA30">IFERROR(INDEX('[1]SALES PERTYPE'!$D$10:$BA$53,MATCH($C30,'[1]SALES PERTYPE'!$B$10:$B$53,0),MATCH("IQOO Z11",'[1]SALES PERTYPE'!$D$8:$BA$8,0)+1),0)</f>
        <v>0</v>
      </c>
      <c r="DB30" s="33" cm="1">
        <f t="array" ref="DB30">IFERROR(INDEX('[1]Sales per type Agustus'!$D$10:$BA$52,MATCH($C30,'[1]Sales per type Agustus'!$B$10:$B$52,0),MATCH("IQOO Z11",'[1]Sales per type Agustus'!$D$8:$BA$8,0)+1),0)</f>
        <v>14898000</v>
      </c>
      <c r="DC30" s="33">
        <f t="shared" si="33"/>
        <v>-14898000</v>
      </c>
      <c r="DD30" s="33">
        <f>IFERROR(INDEX('[1]SALES PERTYPE'!$D$10:$BA$53,MATCH($C30,'[1]SALES PERTYPE'!$B$10:$B$53,0),MATCH("WATCH 3",'[1]SALES PERTYPE'!$D$8:$BA$8,0)),0)</f>
        <v>0</v>
      </c>
      <c r="DE30" s="33">
        <f>IFERROR(INDEX('[1]Sales per type Agustus'!$D$10:$BA$52,MATCH($C30,'[1]Sales per type Agustus'!$B$10:$B$52,0),MATCH("WATCH 3",'[1]Sales per type Agustus'!$D$8:$BA$8,0)),0)</f>
        <v>0</v>
      </c>
      <c r="DF30" s="33">
        <f t="shared" si="34"/>
        <v>0</v>
      </c>
      <c r="DG30" s="33" cm="1">
        <f t="array" ref="DG30">IFERROR(INDEX('[1]SALES PERTYPE'!$D$10:$BA$53,MATCH($C30,'[1]SALES PERTYPE'!$B$10:$B$53,0),MATCH("WATCH 3",'[1]SALES PERTYPE'!$D$8:$BA$8,0)+1),0)</f>
        <v>0</v>
      </c>
      <c r="DH30" s="33" cm="1">
        <f t="array" ref="DH30">IFERROR(INDEX('[1]Sales per type Agustus'!$D$10:$BA$52,MATCH($C30,'[1]Sales per type Agustus'!$B$10:$B$52,0),MATCH("WATCH 3",'[1]Sales per type Agustus'!$D$8:$BA$8,0)+1),0)</f>
        <v>0</v>
      </c>
      <c r="DI30" s="33">
        <f t="shared" si="35"/>
        <v>0</v>
      </c>
      <c r="DJ30" s="33">
        <f>IFERROR(INDEX('[1]SALES PERTYPE'!$D$10:$BA$53,MATCH($C30,'[1]SALES PERTYPE'!$B$10:$B$53,0),MATCH("X Fold5",'[1]SALES PERTYPE'!$D$8:$BA$8,0)),0)</f>
        <v>0</v>
      </c>
      <c r="DK30" s="33">
        <f>IFERROR(INDEX('[1]Sales per type Agustus'!$D$10:$BA$52,MATCH($C30,'[1]Sales per type Agustus'!$B$10:$B$52,0),MATCH("X Fold5",'[1]Sales per type Agustus'!$D$8:$BA$8,0)),0)</f>
        <v>0</v>
      </c>
      <c r="DL30" s="33">
        <f t="shared" si="36"/>
        <v>0</v>
      </c>
      <c r="DM30" s="33" cm="1">
        <f t="array" ref="DM30">IFERROR(INDEX('[1]SALES PERTYPE'!$D$10:$BA$53,MATCH($C30,'[1]SALES PERTYPE'!$B$10:$B$53,0),MATCH("X Fold5",'[1]SALES PERTYPE'!$D$8:$BA$8,0)+1),0)</f>
        <v>0</v>
      </c>
      <c r="DN30" s="33" cm="1">
        <f t="array" ref="DN30">IFERROR(INDEX('[1]Sales per type Agustus'!$D$10:$BA$52,MATCH($C30,'[1]Sales per type Agustus'!$B$10:$B$52,0),MATCH("X Fold5",'[1]Sales per type Agustus'!$D$8:$BA$8,0)+1),0)</f>
        <v>0</v>
      </c>
      <c r="DO30" s="33">
        <f t="shared" si="37"/>
        <v>0</v>
      </c>
      <c r="DP30" s="33">
        <f>IFERROR(INDEX('[1]SALES PERTYPE'!$D$10:$BA$53,MATCH($C30,'[1]SALES PERTYPE'!$B$10:$B$53,0),MATCH("X300 PRO",'[1]SALES PERTYPE'!$D$8:$BA$8,0)),0)</f>
        <v>0</v>
      </c>
      <c r="DQ30" s="33">
        <f>IFERROR(INDEX('[1]Sales per type Agustus'!$D$10:$BA$52,MATCH($C30,'[1]Sales per type Agustus'!$B$10:$B$52,0),MATCH("X300 PRO",'[1]Sales per type Agustus'!$D$8:$BA$8,0)),0)</f>
        <v>0</v>
      </c>
      <c r="DR30" s="33">
        <f t="shared" si="38"/>
        <v>0</v>
      </c>
      <c r="DS30" s="33" cm="1">
        <f t="array" ref="DS30">IFERROR(INDEX('[1]SALES PERTYPE'!$D$10:$BA$53,MATCH($C30,'[1]SALES PERTYPE'!$B$10:$B$53,0),MATCH("X300 PRO",'[1]SALES PERTYPE'!$D$8:$BA$8,0)+1),0)</f>
        <v>0</v>
      </c>
      <c r="DT30" s="33" cm="1">
        <f t="array" ref="DT30">IFERROR(INDEX('[1]Sales per type Agustus'!$D$10:$BA$52,MATCH($C30,'[1]Sales per type Agustus'!$B$10:$B$52,0),MATCH("X300 PRO",'[1]Sales per type Agustus'!$D$8:$BA$8,0)+1),0)</f>
        <v>0</v>
      </c>
      <c r="DU30" s="33">
        <f t="shared" si="39"/>
        <v>0</v>
      </c>
      <c r="DV30" s="33">
        <f>IFERROR(INDEX('[1]SALES PERTYPE'!$D$10:$BA$53,MATCH($C30,'[1]SALES PERTYPE'!$B$10:$B$53,0),MATCH("X300 ",'[1]SALES PERTYPE'!$D$8:$BA$8,0)),0)</f>
        <v>0</v>
      </c>
      <c r="DW30" s="33">
        <f>IFERROR(INDEX('[1]Sales per type Agustus'!$D$10:$BA$52,MATCH($C30,'[1]Sales per type Agustus'!$B$10:$B$52,0),MATCH("X300 ",'[1]Sales per type Agustus'!$D$8:$BA$8,0)),0)</f>
        <v>0</v>
      </c>
      <c r="DX30" s="33">
        <f t="shared" si="40"/>
        <v>0</v>
      </c>
      <c r="DY30" s="33" cm="1">
        <f t="array" ref="DY30">IFERROR(INDEX('[1]SALES PERTYPE'!$D$10:$BA$53,MATCH($C30,'[1]SALES PERTYPE'!$B$10:$B$53,0),MATCH("X300 ",'[1]SALES PERTYPE'!$D$8:$BA$8,0)+1),0)</f>
        <v>0</v>
      </c>
      <c r="DZ30" s="33" cm="1">
        <f t="array" ref="DZ30">IFERROR(INDEX('[1]Sales per type Agustus'!$D$10:$BA$52,MATCH($C30,'[1]Sales per type Agustus'!$B$10:$B$52,0),MATCH("X300 ",'[1]Sales per type Agustus'!$D$8:$BA$8,0)+1),0)</f>
        <v>0</v>
      </c>
      <c r="EA30" s="33">
        <f t="shared" si="41"/>
        <v>0</v>
      </c>
      <c r="EB30" s="33">
        <f t="shared" si="42"/>
        <v>66</v>
      </c>
      <c r="EC30" s="33">
        <f t="shared" si="42"/>
        <v>73</v>
      </c>
      <c r="ED30" s="33">
        <f t="shared" si="43"/>
        <v>-7</v>
      </c>
      <c r="EE30" s="33">
        <f t="shared" si="44"/>
        <v>226334000</v>
      </c>
      <c r="EF30" s="33">
        <f t="shared" si="44"/>
        <v>300927000</v>
      </c>
      <c r="EG30" s="33">
        <f t="shared" si="45"/>
        <v>-74593000</v>
      </c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</row>
    <row r="31" spans="1:184" ht="16" x14ac:dyDescent="0.2">
      <c r="A31" s="31">
        <f>'[1]ACHIEVEMENT STORE'!A31</f>
        <v>27</v>
      </c>
      <c r="B31" s="32" t="str">
        <f>'[1]ACHIEVEMENT STORE'!B31</f>
        <v>624-万丹BANTEN</v>
      </c>
      <c r="C31" s="31">
        <f>'[1]ACHIEVEMENT STORE'!C31</f>
        <v>6170703</v>
      </c>
      <c r="D31" s="32" t="str">
        <f>'[1]ACHIEVEMENT STORE'!D31</f>
        <v>6170703-BNT-CCM VIVO STORE</v>
      </c>
      <c r="E31" s="32" t="str">
        <f>'[1]ACHIEVEMENT STORE'!E31</f>
        <v>DWI IRAWAN ( PIC )</v>
      </c>
      <c r="F31" s="33">
        <f>IFERROR(INDEX('[1]SALES PERTYPE'!$D$10:$BA$53,MATCH($C31,'[1]SALES PERTYPE'!$B$10:$B$53,0),MATCH("Y05",'[1]SALES PERTYPE'!$D$8:$BA$8,0)),0)</f>
        <v>3</v>
      </c>
      <c r="G31" s="33">
        <f>IFERROR(INDEX('[1]Sales per type Agustus'!$D$10:$BA$52,MATCH($C31,'[1]Sales per type Agustus'!$B$10:$B$52,0),MATCH("Y05",'[1]Sales per type Agustus'!$D$8:$BA$8,0)),0)</f>
        <v>3</v>
      </c>
      <c r="H31" s="33">
        <f t="shared" si="0"/>
        <v>0</v>
      </c>
      <c r="I31" s="33" cm="1">
        <f t="array" ref="I31">IFERROR(INDEX('[1]SALES PERTYPE'!$D$10:$BA$53,MATCH($C31,'[1]SALES PERTYPE'!$B$10:$B$53,0),MATCH("Y05",'[1]SALES PERTYPE'!$D$8:$BA$8,0)+1),0)</f>
        <v>7497000</v>
      </c>
      <c r="J31" s="33" cm="1">
        <f t="array" ref="J31">IFERROR(INDEX('[1]Sales per type Agustus'!$D$10:$BA$52,MATCH($C31,'[1]Sales per type Agustus'!$B$10:$B$52,0),MATCH("Y05",'[1]Sales per type Agustus'!$D$8:$BA$8,0)+1),0)</f>
        <v>7197000</v>
      </c>
      <c r="K31" s="33">
        <f t="shared" si="1"/>
        <v>300000</v>
      </c>
      <c r="L31" s="33">
        <f>IFERROR(INDEX('[1]SALES PERTYPE'!$D$10:$BA$53,MATCH($C31,'[1]SALES PERTYPE'!$B$10:$B$53,0),MATCH("Y11d",'[1]SALES PERTYPE'!$D$8:$BA$8,0)),0)</f>
        <v>0</v>
      </c>
      <c r="M31" s="33">
        <f>IFERROR(INDEX('[1]Sales per type Agustus'!$D$10:$BA$52,MATCH($C31,'[1]Sales per type Agustus'!$B$10:$B$52,0),MATCH("Y11d",'[1]Sales per type Agustus'!$D$8:$BA$8,0)),0)</f>
        <v>4</v>
      </c>
      <c r="N31" s="33">
        <f t="shared" si="2"/>
        <v>-4</v>
      </c>
      <c r="O31" s="33" cm="1">
        <f t="array" ref="O31">IFERROR(INDEX('[1]SALES PERTYPE'!$D$10:$BA$53,MATCH($C31,'[1]SALES PERTYPE'!$B$10:$B$53,0),MATCH("Y11d",'[1]SALES PERTYPE'!$D$8:$BA$8,0)+1),0)</f>
        <v>0</v>
      </c>
      <c r="P31" s="33" cm="1">
        <f t="array" ref="P31">IFERROR(INDEX('[1]Sales per type Agustus'!$D$10:$BA$52,MATCH($C31,'[1]Sales per type Agustus'!$B$10:$B$52,0),MATCH("Y11d",'[1]Sales per type Agustus'!$D$8:$BA$8,0)+1),0)</f>
        <v>10396000</v>
      </c>
      <c r="Q31" s="33">
        <f t="shared" si="3"/>
        <v>-10396000</v>
      </c>
      <c r="R31" s="33">
        <f>IFERROR(INDEX('[1]SALES PERTYPE'!$D$10:$BA$53,MATCH($C31,'[1]SALES PERTYPE'!$B$10:$B$53,0),MATCH("Watch GT 2",'[1]SALES PERTYPE'!$D$8:$BA$8,0)),0)</f>
        <v>0</v>
      </c>
      <c r="S31" s="33">
        <f>IFERROR(INDEX('[1]Sales per type Agustus'!$D$10:$BA$52,MATCH($C31,'[1]Sales per type Agustus'!$B$10:$B$52,0),MATCH("Watch GT 2",'[1]Sales per type Agustus'!$D$8:$BA$8,0)),0)</f>
        <v>0</v>
      </c>
      <c r="T31" s="33">
        <f t="shared" si="4"/>
        <v>0</v>
      </c>
      <c r="U31" s="33" cm="1">
        <f t="array" ref="U31">IFERROR(INDEX('[1]SALES PERTYPE'!$D$10:$BA$53,MATCH($C31,'[1]SALES PERTYPE'!$B$10:$B$53,0),MATCH("Watch GT 2",'[1]SALES PERTYPE'!$D$8:$BA$8,0)+1),0)</f>
        <v>0</v>
      </c>
      <c r="V31" s="33" cm="1">
        <f t="array" ref="V31">IFERROR(INDEX('[1]Sales per type Agustus'!$D$10:$BA$52,MATCH($C31,'[1]Sales per type Agustus'!$B$10:$B$52,0),MATCH("Watch GT 2",'[1]Sales per type Agustus'!$D$8:$BA$8,0)+1),0)</f>
        <v>0</v>
      </c>
      <c r="W31" s="33">
        <f t="shared" si="5"/>
        <v>0</v>
      </c>
      <c r="X31" s="33">
        <f>IFERROR(INDEX('[1]SALES PERTYPE'!$D$10:$BA$53,MATCH($C31,'[1]SALES PERTYPE'!$B$10:$B$53,0),MATCH("Y05e",'[1]SALES PERTYPE'!$D$8:$BA$8,0)),0)</f>
        <v>1</v>
      </c>
      <c r="Y31" s="33">
        <f>IFERROR(INDEX('[1]Sales per type Agustus'!$D$10:$BA$52,MATCH($C31,'[1]Sales per type Agustus'!$B$10:$B$52,0),MATCH("Y05e",'[1]Sales per type Agustus'!$D$8:$BA$8,0)),0)</f>
        <v>1</v>
      </c>
      <c r="Z31" s="33">
        <f t="shared" si="6"/>
        <v>0</v>
      </c>
      <c r="AA31" s="33" cm="1">
        <f t="array" ref="AA31">IFERROR(INDEX('[1]SALES PERTYPE'!$D$10:$BA$53,MATCH($C31,'[1]SALES PERTYPE'!$B$10:$B$53,0),MATCH("Y05e",'[1]SALES PERTYPE'!$D$8:$BA$8,0)+1),0)</f>
        <v>2099000</v>
      </c>
      <c r="AB31" s="33" cm="1">
        <f t="array" ref="AB31">IFERROR(INDEX('[1]Sales per type Agustus'!$D$10:$BA$52,MATCH($C31,'[1]Sales per type Agustus'!$B$10:$B$52,0),MATCH("Y05e",'[1]Sales per type Agustus'!$D$8:$BA$8,0)+1),0)</f>
        <v>2099000</v>
      </c>
      <c r="AC31" s="33">
        <f t="shared" si="7"/>
        <v>0</v>
      </c>
      <c r="AD31" s="33">
        <f>IFERROR(INDEX('[1]SALES PERTYPE'!$D$10:$BA$53,MATCH($C31,'[1]SALES PERTYPE'!$B$10:$B$53,0),MATCH("V70",'[1]SALES PERTYPE'!$D$8:$BA$8,0)),0)</f>
        <v>0</v>
      </c>
      <c r="AE31" s="33">
        <f>IFERROR(INDEX('[1]Sales per type Agustus'!$D$10:$BA$52,MATCH($C31,'[1]Sales per type Agustus'!$B$10:$B$52,0),MATCH("V70",'[1]Sales per type Agustus'!$D$8:$BA$8,0)),0)</f>
        <v>1</v>
      </c>
      <c r="AF31" s="33">
        <f t="shared" si="8"/>
        <v>-1</v>
      </c>
      <c r="AG31" s="33" cm="1">
        <f t="array" ref="AG31">IFERROR(INDEX('[1]SALES PERTYPE'!$D$10:$BA$53,MATCH($C31,'[1]SALES PERTYPE'!$B$10:$B$53,0),MATCH("V70",'[1]SALES PERTYPE'!$D$8:$BA$8,0)+1),0)</f>
        <v>0</v>
      </c>
      <c r="AH31" s="33" cm="1">
        <f t="array" ref="AH31">IFERROR(INDEX('[1]Sales per type Agustus'!$D$10:$BA$52,MATCH($C31,'[1]Sales per type Agustus'!$B$10:$B$52,0),MATCH("V70",'[1]Sales per type Agustus'!$D$8:$BA$8,0)+1),0)</f>
        <v>9999000</v>
      </c>
      <c r="AI31" s="33">
        <f t="shared" si="9"/>
        <v>-9999000</v>
      </c>
      <c r="AJ31" s="33">
        <f>IFERROR(INDEX('[1]SALES PERTYPE'!$D$10:$BA$53,MATCH($C31,'[1]SALES PERTYPE'!$B$10:$B$53,0),MATCH("Y31d Pro",'[1]SALES PERTYPE'!$D$8:$BA$8,0)),0)</f>
        <v>1</v>
      </c>
      <c r="AK31" s="33">
        <f>IFERROR(INDEX('[1]Sales per type Agustus'!$D$10:$BA$52,MATCH($C31,'[1]Sales per type Agustus'!$B$10:$B$52,0),MATCH("Y31d Pro",'[1]Sales per type Agustus'!$D$8:$BA$8,0)),0)</f>
        <v>1</v>
      </c>
      <c r="AL31" s="33">
        <f t="shared" si="10"/>
        <v>0</v>
      </c>
      <c r="AM31" s="33" cm="1">
        <f t="array" ref="AM31">IFERROR(INDEX('[1]SALES PERTYPE'!$D$10:$BA$53,MATCH($C31,'[1]SALES PERTYPE'!$B$10:$B$53,0),MATCH("Y31d Pro",'[1]SALES PERTYPE'!$D$8:$BA$8,0)+1),0)</f>
        <v>3899000</v>
      </c>
      <c r="AN31" s="33" cm="1">
        <f t="array" ref="AN31">IFERROR(INDEX('[1]Sales per type Agustus'!$D$10:$BA$52,MATCH($C31,'[1]Sales per type Agustus'!$B$10:$B$52,0),MATCH("Y31d Pro",'[1]Sales per type Agustus'!$D$8:$BA$8,0)+1),0)</f>
        <v>4299000</v>
      </c>
      <c r="AO31" s="33">
        <f t="shared" si="11"/>
        <v>-400000</v>
      </c>
      <c r="AP31" s="33" cm="1">
        <f t="array" ref="AP31">IFERROR(INDEX('[1]SALES PERTYPE'!$D$10:$BA$53,MATCH($C31,'[1]SALES PERTYPE'!$B$10:$B$53,0),$EI$3),0)</f>
        <v>0</v>
      </c>
      <c r="AQ31" s="33" cm="1">
        <f t="array" ref="AQ31">IFERROR(INDEX('[1]Sales per type Agustus'!$D$10:$BA$52,MATCH($C31,'[1]Sales per type Agustus'!$B$10:$B$52,0),$EI$2),0)</f>
        <v>1</v>
      </c>
      <c r="AR31" s="33">
        <f t="shared" si="12"/>
        <v>-1</v>
      </c>
      <c r="AS31" s="33" cm="1">
        <f t="array" ref="AS31">IFERROR(INDEX('[1]SALES PERTYPE'!$D$10:$BA$53,MATCH($C31,'[1]SALES PERTYPE'!$B$10:$B$53,0),$EI$3+1),0)</f>
        <v>0</v>
      </c>
      <c r="AT31" s="33" cm="1">
        <f t="array" ref="AT31">IFERROR(INDEX('[1]Sales per type Agustus'!$D$10:$BA$52,MATCH($C31,'[1]Sales per type Agustus'!$B$10:$B$52,0),$EI$2+1),0)</f>
        <v>3599000</v>
      </c>
      <c r="AU31" s="33">
        <f t="shared" si="13"/>
        <v>-3599000</v>
      </c>
      <c r="AV31" s="33">
        <f>IFERROR(INDEX('[1]SALES PERTYPE'!$D$10:$BA$53,MATCH($C31,'[1]SALES PERTYPE'!$B$10:$B$53,0),MATCH("Y31d ",'[1]SALES PERTYPE'!$D$8:$BA$8,0)),0)</f>
        <v>0</v>
      </c>
      <c r="AW31" s="33">
        <f>IFERROR(INDEX('[1]Sales per type Agustus'!$D$10:$BA$52,MATCH($C31,'[1]Sales per type Agustus'!$B$10:$B$52,0),MATCH("Y31d ",'[1]Sales per type Agustus'!$D$8:$BA$8,0)),0)</f>
        <v>1</v>
      </c>
      <c r="AX31" s="33">
        <f t="shared" si="14"/>
        <v>-1</v>
      </c>
      <c r="AY31" s="33" cm="1">
        <f t="array" ref="AY31">IFERROR(INDEX('[1]SALES PERTYPE'!$D$10:$BA$53,MATCH($C31,'[1]SALES PERTYPE'!$B$10:$B$53,0),MATCH("Y31d ",'[1]SALES PERTYPE'!$D$8:$BA$8,0)+1),0)</f>
        <v>0</v>
      </c>
      <c r="AZ31" s="33" cm="1">
        <f t="array" ref="AZ31">IFERROR(INDEX('[1]Sales per type Agustus'!$D$10:$BA$52,MATCH($C31,'[1]Sales per type Agustus'!$B$10:$B$52,0),MATCH("Y31d ",'[1]Sales per type Agustus'!$D$8:$BA$8,0)+1),0)</f>
        <v>3599000</v>
      </c>
      <c r="BA31" s="33">
        <f t="shared" si="15"/>
        <v>-3599000</v>
      </c>
      <c r="BB31" s="33">
        <f>IFERROR(INDEX('[1]SALES PERTYPE'!$D$10:$BA$53,MATCH($C31,'[1]SALES PERTYPE'!$B$10:$B$53,0),MATCH("V70 FE",'[1]SALES PERTYPE'!$D$8:$BA$8,0)),0)</f>
        <v>0</v>
      </c>
      <c r="BC31" s="33">
        <f>IFERROR(INDEX('[1]Sales per type Agustus'!$D$10:$BA$52,MATCH($C31,'[1]Sales per type Agustus'!$B$10:$B$52,0),MATCH("V70 FE",'[1]Sales per type Agustus'!$D$8:$BA$8,0)),0)</f>
        <v>1</v>
      </c>
      <c r="BD31" s="33">
        <f t="shared" si="16"/>
        <v>-1</v>
      </c>
      <c r="BE31" s="33" cm="1">
        <f t="array" ref="BE31">IFERROR(INDEX('[1]SALES PERTYPE'!$D$10:$BA$53,MATCH($C31,'[1]SALES PERTYPE'!$B$10:$B$53,0),MATCH("V70 FE",'[1]SALES PERTYPE'!$D$8:$BA$8,0)+1),0)</f>
        <v>0</v>
      </c>
      <c r="BF31" s="33" cm="1">
        <f t="array" ref="BF31">IFERROR(INDEX('[1]Sales per type Agustus'!$D$10:$BA$52,MATCH($C31,'[1]Sales per type Agustus'!$B$10:$B$52,0),MATCH("V70 FE",'[1]Sales per type Agustus'!$D$8:$BA$8,0)+1),0)</f>
        <v>6999000</v>
      </c>
      <c r="BG31" s="33">
        <f t="shared" si="17"/>
        <v>-6999000</v>
      </c>
      <c r="BH31" s="33">
        <f>IFERROR(INDEX('[1]SALES PERTYPE'!$D$10:$BA$53,MATCH($C31,'[1]SALES PERTYPE'!$B$10:$B$53,0),MATCH("Y31d",'[1]SALES PERTYPE'!$D$8:$BA$8,0)),0)</f>
        <v>0</v>
      </c>
      <c r="BI31" s="33">
        <f>IFERROR(INDEX('[1]Sales per type Agustus'!$D$10:$BA$52,MATCH($C31,'[1]Sales per type Agustus'!$B$10:$B$52,0),MATCH("Y31d",'[1]Sales per type Agustus'!$D$8:$BA$8,0)),0)</f>
        <v>0</v>
      </c>
      <c r="BJ31" s="33">
        <f t="shared" si="18"/>
        <v>0</v>
      </c>
      <c r="BK31" s="33" cm="1">
        <f t="array" ref="BK31">IFERROR(INDEX('[1]SALES PERTYPE'!$D$10:$BA$53,MATCH($C31,'[1]SALES PERTYPE'!$B$10:$B$53,0),MATCH("Y31d",'[1]SALES PERTYPE'!$D$8:$BA$8,0)+1),0)</f>
        <v>0</v>
      </c>
      <c r="BL31" s="33" cm="1">
        <f t="array" ref="BL31">IFERROR(INDEX('[1]Sales per type Agustus'!$D$10:$BA$52,MATCH($C31,'[1]Sales per type Agustus'!$B$10:$B$52,0),MATCH("Y31d",'[1]Sales per type Agustus'!$D$8:$BA$8,0)+1),0)</f>
        <v>0</v>
      </c>
      <c r="BM31" s="33">
        <f t="shared" si="19"/>
        <v>0</v>
      </c>
      <c r="BN31" s="33">
        <f>IFERROR(INDEX('[1]SALES PERTYPE'!$D$10:$BA$53,MATCH($C31,'[1]SALES PERTYPE'!$B$10:$B$53,0),MATCH("Y500",'[1]SALES PERTYPE'!$D$8:$BA$8,0)),0)</f>
        <v>1</v>
      </c>
      <c r="BO31" s="33">
        <f>IFERROR(INDEX('[1]Sales per type Agustus'!$D$10:$BA$52,MATCH($C31,'[1]Sales per type Agustus'!$B$10:$B$52,0),MATCH("Y500",'[1]Sales per type Agustus'!$D$8:$BA$8,0)),0)</f>
        <v>1</v>
      </c>
      <c r="BP31" s="33">
        <f t="shared" si="20"/>
        <v>0</v>
      </c>
      <c r="BQ31" s="33" cm="1">
        <f t="array" ref="BQ31">IFERROR(INDEX('[1]SALES PERTYPE'!$D$10:$BA$53,MATCH($C31,'[1]SALES PERTYPE'!$B$10:$B$53,0),MATCH("Y500",'[1]SALES PERTYPE'!$D$8:$BA$8,0)+1),0)</f>
        <v>5499000</v>
      </c>
      <c r="BR31" s="33" cm="1">
        <f t="array" ref="BR31">IFERROR(INDEX('[1]Sales per type Agustus'!$D$10:$BA$52,MATCH($C31,'[1]Sales per type Agustus'!$B$10:$B$52,0),MATCH("Y500",'[1]Sales per type Agustus'!$D$8:$BA$8,0)+1),0)</f>
        <v>5499000</v>
      </c>
      <c r="BS31" s="33">
        <f t="shared" si="21"/>
        <v>0</v>
      </c>
      <c r="BT31" s="33">
        <f>IFERROR(INDEX('[1]SALES PERTYPE'!$D$10:$BA$53,MATCH($C31,'[1]SALES PERTYPE'!$B$10:$B$53,0),MATCH("IQOO 15R",'[1]SALES PERTYPE'!$D$8:$BA$8,0)),0)</f>
        <v>0</v>
      </c>
      <c r="BU31" s="33">
        <f>IFERROR(INDEX('[1]Sales per type Agustus'!$D$10:$BA$52,MATCH($C31,'[1]Sales per type Agustus'!$B$10:$B$52,0),MATCH("IQOO 15R",'[1]Sales per type Agustus'!$D$8:$BA$8,0)),0)</f>
        <v>1</v>
      </c>
      <c r="BV31" s="33">
        <f t="shared" si="22"/>
        <v>-1</v>
      </c>
      <c r="BW31" s="33" cm="1">
        <f t="array" ref="BW31">IFERROR(INDEX('[1]SALES PERTYPE'!$D$10:$BA$53,MATCH($C31,'[1]SALES PERTYPE'!$B$10:$B$53,0),MATCH("IQOO 15R",'[1]SALES PERTYPE'!$D$8:$BA$8,0)+1),0)</f>
        <v>0</v>
      </c>
      <c r="BX31" s="33" cm="1">
        <f t="array" ref="BX31">IFERROR(INDEX('[1]Sales per type Agustus'!$D$10:$BA$52,MATCH($C31,'[1]Sales per type Agustus'!$B$10:$B$52,0),MATCH("IQOO 15R",'[1]Sales per type Agustus'!$D$8:$BA$8,0)+1),0)</f>
        <v>11999000</v>
      </c>
      <c r="BY31" s="33">
        <f t="shared" si="23"/>
        <v>-11999000</v>
      </c>
      <c r="BZ31" s="33">
        <f>IFERROR(INDEX('[1]SALES PERTYPE'!$D$10:$BA$53,MATCH($C31,'[1]SALES PERTYPE'!$B$10:$B$53,0),MATCH("V60 Lite",'[1]SALES PERTYPE'!$D$8:$BA$8,0)),0)</f>
        <v>0</v>
      </c>
      <c r="CA31" s="33">
        <f>IFERROR(INDEX('[1]Sales per type Agustus'!$D$10:$BA$52,MATCH($C31,'[1]Sales per type Agustus'!$B$10:$B$52,0),MATCH("V60 Lite",'[1]Sales per type Agustus'!$D$8:$BA$8,0)),0)</f>
        <v>0</v>
      </c>
      <c r="CB31" s="33">
        <f t="shared" si="24"/>
        <v>0</v>
      </c>
      <c r="CC31" s="33" cm="1">
        <f t="array" ref="CC31">IFERROR(INDEX('[1]SALES PERTYPE'!$D$10:$BA$53,MATCH($C31,'[1]SALES PERTYPE'!$B$10:$B$53,0),MATCH("V60 Lite",'[1]SALES PERTYPE'!$D$8:$BA$8,0)+1),0)</f>
        <v>0</v>
      </c>
      <c r="CD31" s="33" cm="1">
        <f t="array" ref="CD31">IFERROR(INDEX('[1]Sales per type Agustus'!$D$10:$BA$52,MATCH($C31,'[1]Sales per type Agustus'!$B$10:$B$52,0),MATCH("V60 Lite",'[1]Sales per type Agustus'!$D$8:$BA$8,0)+1),0)</f>
        <v>0</v>
      </c>
      <c r="CE31" s="33">
        <f t="shared" si="25"/>
        <v>0</v>
      </c>
      <c r="CF31" s="33">
        <f>IFERROR(INDEX('[1]SALES PERTYPE'!$D$10:$BA$53,MATCH($C31,'[1]SALES PERTYPE'!$B$10:$B$53,0),MATCH("X300 Ultra",'[1]SALES PERTYPE'!$D$8:$BA$8,0)),0)</f>
        <v>1</v>
      </c>
      <c r="CG31" s="33">
        <f>IFERROR(INDEX('[1]Sales per type Agustus'!$D$10:$BA$52,MATCH($C31,'[1]Sales per type Agustus'!$B$10:$B$52,0),MATCH("X300 Ultra",'[1]Sales per type Agustus'!$D$8:$BA$8,0)),0)</f>
        <v>0</v>
      </c>
      <c r="CH31" s="33">
        <f t="shared" si="26"/>
        <v>1</v>
      </c>
      <c r="CI31" s="33" cm="1">
        <f t="array" ref="CI31">IFERROR(INDEX('[1]SALES PERTYPE'!$D$10:$BA$53,MATCH($C31,'[1]SALES PERTYPE'!$B$10:$B$53,0),MATCH("X300 Ultra",'[1]SALES PERTYPE'!$D$8:$BA$8,0)+1),0)</f>
        <v>25999000</v>
      </c>
      <c r="CJ31" s="33" cm="1">
        <f t="array" ref="CJ31">IFERROR(INDEX('[1]Sales per type Agustus'!$D$10:$BA$52,MATCH($C31,'[1]Sales per type Agustus'!$B$10:$B$52,0),MATCH("X300 Ultra",'[1]Sales per type Agustus'!$D$8:$BA$8,0)+1),0)</f>
        <v>0</v>
      </c>
      <c r="CK31" s="33">
        <f t="shared" si="27"/>
        <v>25999000</v>
      </c>
      <c r="CL31" s="33">
        <f>IFERROR(INDEX('[1]SALES PERTYPE'!$D$10:$BA$53,MATCH($C31,'[1]SALES PERTYPE'!$B$10:$B$53,0),MATCH("IQOO 15",'[1]SALES PERTYPE'!$D$8:$BA$8,0)),0)</f>
        <v>0</v>
      </c>
      <c r="CM31" s="33">
        <f>IFERROR(INDEX('[1]Sales per type Agustus'!$D$10:$BA$52,MATCH($C31,'[1]Sales per type Agustus'!$B$10:$B$52,0),MATCH("IQOO 15",'[1]Sales per type Agustus'!$D$8:$BA$8,0)),0)</f>
        <v>0</v>
      </c>
      <c r="CN31" s="33">
        <f t="shared" si="28"/>
        <v>0</v>
      </c>
      <c r="CO31" s="33" cm="1">
        <f t="array" ref="CO31">IFERROR(INDEX('[1]SALES PERTYPE'!$D$10:$BA$53,MATCH($C31,'[1]SALES PERTYPE'!$B$10:$B$53,0),MATCH("IQOO 15",'[1]SALES PERTYPE'!$D$8:$BA$8,0)+1),0)</f>
        <v>0</v>
      </c>
      <c r="CP31" s="33" cm="1">
        <f t="array" ref="CP31">IFERROR(INDEX('[1]Sales per type Agustus'!$D$10:$BA$52,MATCH($C31,'[1]Sales per type Agustus'!$B$10:$B$52,0),MATCH("IQOO 15",'[1]Sales per type Agustus'!$D$8:$BA$8,0)+1),0)</f>
        <v>0</v>
      </c>
      <c r="CQ31" s="33">
        <f t="shared" si="29"/>
        <v>0</v>
      </c>
      <c r="CR31" s="33">
        <f>IFERROR(INDEX('[1]SALES PERTYPE'!$D$10:$BA$53,MATCH($C31,'[1]SALES PERTYPE'!$B$10:$B$53,0),MATCH("IQOO Z11x",'[1]SALES PERTYPE'!$D$8:$BA$8,0)),0)</f>
        <v>0</v>
      </c>
      <c r="CS31" s="33">
        <f>IFERROR(INDEX('[1]Sales per type Agustus'!$D$10:$BA$52,MATCH($C31,'[1]Sales per type Agustus'!$B$10:$B$52,0),MATCH("IQOO Z11x",'[1]Sales per type Agustus'!$D$8:$BA$8,0)),0)</f>
        <v>0</v>
      </c>
      <c r="CT31" s="33">
        <f t="shared" si="30"/>
        <v>0</v>
      </c>
      <c r="CU31" s="33" cm="1">
        <f t="array" ref="CU31">IFERROR(INDEX('[1]SALES PERTYPE'!$D$10:$BA$53,MATCH($C31,'[1]SALES PERTYPE'!$B$10:$B$53,0),MATCH("IQOO Z11x",'[1]SALES PERTYPE'!$D$8:$BA$8,0)+1),0)</f>
        <v>0</v>
      </c>
      <c r="CV31" s="33" cm="1">
        <f t="array" ref="CV31">IFERROR(INDEX('[1]Sales per type Agustus'!$D$10:$BA$52,MATCH($C31,'[1]Sales per type Agustus'!$B$10:$B$52,0),MATCH("IQOO Z11x",'[1]Sales per type Agustus'!$D$8:$BA$8,0)+1),0)</f>
        <v>0</v>
      </c>
      <c r="CW31" s="33">
        <f t="shared" si="31"/>
        <v>0</v>
      </c>
      <c r="CX31" s="33">
        <f>IFERROR(INDEX('[1]SALES PERTYPE'!$D$10:$BA$53,MATCH($C31,'[1]SALES PERTYPE'!$B$10:$B$53,0),MATCH("IQOO Z11",'[1]SALES PERTYPE'!$D$8:$BA$8,0)),0)</f>
        <v>0</v>
      </c>
      <c r="CY31" s="33">
        <f>IFERROR(INDEX('[1]Sales per type Agustus'!$D$10:$BA$52,MATCH($C31,'[1]Sales per type Agustus'!$B$10:$B$52,0),MATCH("IQOO Z11",'[1]Sales per type Agustus'!$D$8:$BA$8,0)),0)</f>
        <v>1</v>
      </c>
      <c r="CZ31" s="33">
        <f t="shared" si="32"/>
        <v>-1</v>
      </c>
      <c r="DA31" s="33" cm="1">
        <f t="array" ref="DA31">IFERROR(INDEX('[1]SALES PERTYPE'!$D$10:$BA$53,MATCH($C31,'[1]SALES PERTYPE'!$B$10:$B$53,0),MATCH("IQOO Z11",'[1]SALES PERTYPE'!$D$8:$BA$8,0)+1),0)</f>
        <v>0</v>
      </c>
      <c r="DB31" s="33" cm="1">
        <f t="array" ref="DB31">IFERROR(INDEX('[1]Sales per type Agustus'!$D$10:$BA$52,MATCH($C31,'[1]Sales per type Agustus'!$B$10:$B$52,0),MATCH("IQOO Z11",'[1]Sales per type Agustus'!$D$8:$BA$8,0)+1),0)</f>
        <v>6899000</v>
      </c>
      <c r="DC31" s="33">
        <f t="shared" si="33"/>
        <v>-6899000</v>
      </c>
      <c r="DD31" s="33">
        <f>IFERROR(INDEX('[1]SALES PERTYPE'!$D$10:$BA$53,MATCH($C31,'[1]SALES PERTYPE'!$B$10:$B$53,0),MATCH("WATCH 3",'[1]SALES PERTYPE'!$D$8:$BA$8,0)),0)</f>
        <v>0</v>
      </c>
      <c r="DE31" s="33">
        <f>IFERROR(INDEX('[1]Sales per type Agustus'!$D$10:$BA$52,MATCH($C31,'[1]Sales per type Agustus'!$B$10:$B$52,0),MATCH("WATCH 3",'[1]Sales per type Agustus'!$D$8:$BA$8,0)),0)</f>
        <v>0</v>
      </c>
      <c r="DF31" s="33">
        <f t="shared" si="34"/>
        <v>0</v>
      </c>
      <c r="DG31" s="33" cm="1">
        <f t="array" ref="DG31">IFERROR(INDEX('[1]SALES PERTYPE'!$D$10:$BA$53,MATCH($C31,'[1]SALES PERTYPE'!$B$10:$B$53,0),MATCH("WATCH 3",'[1]SALES PERTYPE'!$D$8:$BA$8,0)+1),0)</f>
        <v>0</v>
      </c>
      <c r="DH31" s="33" cm="1">
        <f t="array" ref="DH31">IFERROR(INDEX('[1]Sales per type Agustus'!$D$10:$BA$52,MATCH($C31,'[1]Sales per type Agustus'!$B$10:$B$52,0),MATCH("WATCH 3",'[1]Sales per type Agustus'!$D$8:$BA$8,0)+1),0)</f>
        <v>0</v>
      </c>
      <c r="DI31" s="33">
        <f t="shared" si="35"/>
        <v>0</v>
      </c>
      <c r="DJ31" s="33">
        <f>IFERROR(INDEX('[1]SALES PERTYPE'!$D$10:$BA$53,MATCH($C31,'[1]SALES PERTYPE'!$B$10:$B$53,0),MATCH("X Fold5",'[1]SALES PERTYPE'!$D$8:$BA$8,0)),0)</f>
        <v>0</v>
      </c>
      <c r="DK31" s="33">
        <f>IFERROR(INDEX('[1]Sales per type Agustus'!$D$10:$BA$52,MATCH($C31,'[1]Sales per type Agustus'!$B$10:$B$52,0),MATCH("X Fold5",'[1]Sales per type Agustus'!$D$8:$BA$8,0)),0)</f>
        <v>0</v>
      </c>
      <c r="DL31" s="33">
        <f t="shared" si="36"/>
        <v>0</v>
      </c>
      <c r="DM31" s="33" cm="1">
        <f t="array" ref="DM31">IFERROR(INDEX('[1]SALES PERTYPE'!$D$10:$BA$53,MATCH($C31,'[1]SALES PERTYPE'!$B$10:$B$53,0),MATCH("X Fold5",'[1]SALES PERTYPE'!$D$8:$BA$8,0)+1),0)</f>
        <v>0</v>
      </c>
      <c r="DN31" s="33" cm="1">
        <f t="array" ref="DN31">IFERROR(INDEX('[1]Sales per type Agustus'!$D$10:$BA$52,MATCH($C31,'[1]Sales per type Agustus'!$B$10:$B$52,0),MATCH("X Fold5",'[1]Sales per type Agustus'!$D$8:$BA$8,0)+1),0)</f>
        <v>0</v>
      </c>
      <c r="DO31" s="33">
        <f t="shared" si="37"/>
        <v>0</v>
      </c>
      <c r="DP31" s="33">
        <f>IFERROR(INDEX('[1]SALES PERTYPE'!$D$10:$BA$53,MATCH($C31,'[1]SALES PERTYPE'!$B$10:$B$53,0),MATCH("X300 PRO",'[1]SALES PERTYPE'!$D$8:$BA$8,0)),0)</f>
        <v>0</v>
      </c>
      <c r="DQ31" s="33">
        <f>IFERROR(INDEX('[1]Sales per type Agustus'!$D$10:$BA$52,MATCH($C31,'[1]Sales per type Agustus'!$B$10:$B$52,0),MATCH("X300 PRO",'[1]Sales per type Agustus'!$D$8:$BA$8,0)),0)</f>
        <v>0</v>
      </c>
      <c r="DR31" s="33">
        <f t="shared" si="38"/>
        <v>0</v>
      </c>
      <c r="DS31" s="33" cm="1">
        <f t="array" ref="DS31">IFERROR(INDEX('[1]SALES PERTYPE'!$D$10:$BA$53,MATCH($C31,'[1]SALES PERTYPE'!$B$10:$B$53,0),MATCH("X300 PRO",'[1]SALES PERTYPE'!$D$8:$BA$8,0)+1),0)</f>
        <v>0</v>
      </c>
      <c r="DT31" s="33" cm="1">
        <f t="array" ref="DT31">IFERROR(INDEX('[1]Sales per type Agustus'!$D$10:$BA$52,MATCH($C31,'[1]Sales per type Agustus'!$B$10:$B$52,0),MATCH("X300 PRO",'[1]Sales per type Agustus'!$D$8:$BA$8,0)+1),0)</f>
        <v>0</v>
      </c>
      <c r="DU31" s="33">
        <f t="shared" si="39"/>
        <v>0</v>
      </c>
      <c r="DV31" s="33">
        <f>IFERROR(INDEX('[1]SALES PERTYPE'!$D$10:$BA$53,MATCH($C31,'[1]SALES PERTYPE'!$B$10:$B$53,0),MATCH("X300 ",'[1]SALES PERTYPE'!$D$8:$BA$8,0)),0)</f>
        <v>0</v>
      </c>
      <c r="DW31" s="33">
        <f>IFERROR(INDEX('[1]Sales per type Agustus'!$D$10:$BA$52,MATCH($C31,'[1]Sales per type Agustus'!$B$10:$B$52,0),MATCH("X300 ",'[1]Sales per type Agustus'!$D$8:$BA$8,0)),0)</f>
        <v>0</v>
      </c>
      <c r="DX31" s="33">
        <f t="shared" si="40"/>
        <v>0</v>
      </c>
      <c r="DY31" s="33" cm="1">
        <f t="array" ref="DY31">IFERROR(INDEX('[1]SALES PERTYPE'!$D$10:$BA$53,MATCH($C31,'[1]SALES PERTYPE'!$B$10:$B$53,0),MATCH("X300 ",'[1]SALES PERTYPE'!$D$8:$BA$8,0)+1),0)</f>
        <v>0</v>
      </c>
      <c r="DZ31" s="33" cm="1">
        <f t="array" ref="DZ31">IFERROR(INDEX('[1]Sales per type Agustus'!$D$10:$BA$52,MATCH($C31,'[1]Sales per type Agustus'!$B$10:$B$52,0),MATCH("X300 ",'[1]Sales per type Agustus'!$D$8:$BA$8,0)+1),0)</f>
        <v>0</v>
      </c>
      <c r="EA31" s="33">
        <f t="shared" si="41"/>
        <v>0</v>
      </c>
      <c r="EB31" s="33">
        <f t="shared" si="42"/>
        <v>7</v>
      </c>
      <c r="EC31" s="33">
        <f t="shared" si="42"/>
        <v>16</v>
      </c>
      <c r="ED31" s="33">
        <f t="shared" si="43"/>
        <v>-9</v>
      </c>
      <c r="EE31" s="33">
        <f t="shared" si="44"/>
        <v>44993000</v>
      </c>
      <c r="EF31" s="33">
        <f t="shared" si="44"/>
        <v>72584000</v>
      </c>
      <c r="EG31" s="33">
        <f t="shared" si="45"/>
        <v>-27591000</v>
      </c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</row>
    <row r="32" spans="1:184" ht="16" x14ac:dyDescent="0.2">
      <c r="A32" s="214">
        <f>'[1]ACHIEVEMENT STORE'!A32</f>
        <v>28</v>
      </c>
      <c r="B32" s="215" t="str">
        <f>'[1]ACHIEVEMENT STORE'!B32</f>
        <v>624-万丹BANTEN</v>
      </c>
      <c r="C32" s="214">
        <f>'[1]ACHIEVEMENT STORE'!C32</f>
        <v>6240705</v>
      </c>
      <c r="D32" s="215" t="str">
        <f>'[1]ACHIEVEMENT STORE'!D32</f>
        <v>6240705-CIPUTRA 2FC15</v>
      </c>
      <c r="E32" s="215" t="str">
        <f>'[1]ACHIEVEMENT STORE'!E32</f>
        <v>DHANI EKO NUGROHO</v>
      </c>
      <c r="F32" s="33">
        <f>IFERROR(INDEX('[1]SALES PERTYPE'!$D$10:$BA$53,MATCH($C32,'[1]SALES PERTYPE'!$B$10:$B$53,0),MATCH("Y05",'[1]SALES PERTYPE'!$D$8:$BA$8,0)),0)</f>
        <v>4</v>
      </c>
      <c r="G32" s="33">
        <f>IFERROR(INDEX('[1]Sales per type Agustus'!$D$10:$BA$52,MATCH($C32,'[1]Sales per type Agustus'!$B$10:$B$52,0),MATCH("Y05",'[1]Sales per type Agustus'!$D$8:$BA$8,0)),0)</f>
        <v>3</v>
      </c>
      <c r="H32" s="33">
        <f t="shared" si="0"/>
        <v>1</v>
      </c>
      <c r="I32" s="33" cm="1">
        <f t="array" ref="I32">IFERROR(INDEX('[1]SALES PERTYPE'!$D$10:$BA$53,MATCH($C32,'[1]SALES PERTYPE'!$B$10:$B$53,0),MATCH("Y05",'[1]SALES PERTYPE'!$D$8:$BA$8,0)+1),0)</f>
        <v>10096000</v>
      </c>
      <c r="J32" s="33" cm="1">
        <f t="array" ref="J32">IFERROR(INDEX('[1]Sales per type Agustus'!$D$10:$BA$52,MATCH($C32,'[1]Sales per type Agustus'!$B$10:$B$52,0),MATCH("Y05",'[1]Sales per type Agustus'!$D$8:$BA$8,0)+1),0)</f>
        <v>7797000</v>
      </c>
      <c r="K32" s="33">
        <f t="shared" si="1"/>
        <v>2299000</v>
      </c>
      <c r="L32" s="33">
        <f>IFERROR(INDEX('[1]SALES PERTYPE'!$D$10:$BA$53,MATCH($C32,'[1]SALES PERTYPE'!$B$10:$B$53,0),MATCH("Y11d",'[1]SALES PERTYPE'!$D$8:$BA$8,0)),0)</f>
        <v>1</v>
      </c>
      <c r="M32" s="33">
        <f>IFERROR(INDEX('[1]Sales per type Agustus'!$D$10:$BA$52,MATCH($C32,'[1]Sales per type Agustus'!$B$10:$B$52,0),MATCH("Y11d",'[1]Sales per type Agustus'!$D$8:$BA$8,0)),0)</f>
        <v>6</v>
      </c>
      <c r="N32" s="33">
        <f t="shared" si="2"/>
        <v>-5</v>
      </c>
      <c r="O32" s="33" cm="1">
        <f t="array" ref="O32">IFERROR(INDEX('[1]SALES PERTYPE'!$D$10:$BA$53,MATCH($C32,'[1]SALES PERTYPE'!$B$10:$B$53,0),MATCH("Y11d",'[1]SALES PERTYPE'!$D$8:$BA$8,0)+1),0)</f>
        <v>2799000</v>
      </c>
      <c r="P32" s="33" cm="1">
        <f t="array" ref="P32">IFERROR(INDEX('[1]Sales per type Agustus'!$D$10:$BA$52,MATCH($C32,'[1]Sales per type Agustus'!$B$10:$B$52,0),MATCH("Y11d",'[1]Sales per type Agustus'!$D$8:$BA$8,0)+1),0)</f>
        <v>16394000</v>
      </c>
      <c r="Q32" s="33">
        <f t="shared" si="3"/>
        <v>-13595000</v>
      </c>
      <c r="R32" s="33">
        <f>IFERROR(INDEX('[1]SALES PERTYPE'!$D$10:$BA$53,MATCH($C32,'[1]SALES PERTYPE'!$B$10:$B$53,0),MATCH("Watch GT 2",'[1]SALES PERTYPE'!$D$8:$BA$8,0)),0)</f>
        <v>0</v>
      </c>
      <c r="S32" s="33">
        <f>IFERROR(INDEX('[1]Sales per type Agustus'!$D$10:$BA$52,MATCH($C32,'[1]Sales per type Agustus'!$B$10:$B$52,0),MATCH("Watch GT 2",'[1]Sales per type Agustus'!$D$8:$BA$8,0)),0)</f>
        <v>0</v>
      </c>
      <c r="T32" s="33">
        <f t="shared" si="4"/>
        <v>0</v>
      </c>
      <c r="U32" s="33" cm="1">
        <f t="array" ref="U32">IFERROR(INDEX('[1]SALES PERTYPE'!$D$10:$BA$53,MATCH($C32,'[1]SALES PERTYPE'!$B$10:$B$53,0),MATCH("Watch GT 2",'[1]SALES PERTYPE'!$D$8:$BA$8,0)+1),0)</f>
        <v>0</v>
      </c>
      <c r="V32" s="33" cm="1">
        <f t="array" ref="V32">IFERROR(INDEX('[1]Sales per type Agustus'!$D$10:$BA$52,MATCH($C32,'[1]Sales per type Agustus'!$B$10:$B$52,0),MATCH("Watch GT 2",'[1]Sales per type Agustus'!$D$8:$BA$8,0)+1),0)</f>
        <v>0</v>
      </c>
      <c r="W32" s="33">
        <f t="shared" si="5"/>
        <v>0</v>
      </c>
      <c r="X32" s="33">
        <f>IFERROR(INDEX('[1]SALES PERTYPE'!$D$10:$BA$53,MATCH($C32,'[1]SALES PERTYPE'!$B$10:$B$53,0),MATCH("Y05e",'[1]SALES PERTYPE'!$D$8:$BA$8,0)),0)</f>
        <v>2</v>
      </c>
      <c r="Y32" s="33">
        <f>IFERROR(INDEX('[1]Sales per type Agustus'!$D$10:$BA$52,MATCH($C32,'[1]Sales per type Agustus'!$B$10:$B$52,0),MATCH("Y05e",'[1]Sales per type Agustus'!$D$8:$BA$8,0)),0)</f>
        <v>2</v>
      </c>
      <c r="Z32" s="33">
        <f t="shared" si="6"/>
        <v>0</v>
      </c>
      <c r="AA32" s="33" cm="1">
        <f t="array" ref="AA32">IFERROR(INDEX('[1]SALES PERTYPE'!$D$10:$BA$53,MATCH($C32,'[1]SALES PERTYPE'!$B$10:$B$53,0),MATCH("Y05e",'[1]SALES PERTYPE'!$D$8:$BA$8,0)+1),0)</f>
        <v>4198000</v>
      </c>
      <c r="AB32" s="33" cm="1">
        <f t="array" ref="AB32">IFERROR(INDEX('[1]Sales per type Agustus'!$D$10:$BA$52,MATCH($C32,'[1]Sales per type Agustus'!$B$10:$B$52,0),MATCH("Y05e",'[1]Sales per type Agustus'!$D$8:$BA$8,0)+1),0)</f>
        <v>4198000</v>
      </c>
      <c r="AC32" s="33">
        <f t="shared" si="7"/>
        <v>0</v>
      </c>
      <c r="AD32" s="33">
        <f>IFERROR(INDEX('[1]SALES PERTYPE'!$D$10:$BA$53,MATCH($C32,'[1]SALES PERTYPE'!$B$10:$B$53,0),MATCH("V70",'[1]SALES PERTYPE'!$D$8:$BA$8,0)),0)</f>
        <v>1</v>
      </c>
      <c r="AE32" s="33">
        <f>IFERROR(INDEX('[1]Sales per type Agustus'!$D$10:$BA$52,MATCH($C32,'[1]Sales per type Agustus'!$B$10:$B$52,0),MATCH("V70",'[1]Sales per type Agustus'!$D$8:$BA$8,0)),0)</f>
        <v>2</v>
      </c>
      <c r="AF32" s="33">
        <f t="shared" si="8"/>
        <v>-1</v>
      </c>
      <c r="AG32" s="33" cm="1">
        <f t="array" ref="AG32">IFERROR(INDEX('[1]SALES PERTYPE'!$D$10:$BA$53,MATCH($C32,'[1]SALES PERTYPE'!$B$10:$B$53,0),MATCH("V70",'[1]SALES PERTYPE'!$D$8:$BA$8,0)+1),0)</f>
        <v>9999000</v>
      </c>
      <c r="AH32" s="33" cm="1">
        <f t="array" ref="AH32">IFERROR(INDEX('[1]Sales per type Agustus'!$D$10:$BA$52,MATCH($C32,'[1]Sales per type Agustus'!$B$10:$B$52,0),MATCH("V70",'[1]Sales per type Agustus'!$D$8:$BA$8,0)+1),0)</f>
        <v>19998000</v>
      </c>
      <c r="AI32" s="33">
        <f t="shared" si="9"/>
        <v>-9999000</v>
      </c>
      <c r="AJ32" s="33">
        <f>IFERROR(INDEX('[1]SALES PERTYPE'!$D$10:$BA$53,MATCH($C32,'[1]SALES PERTYPE'!$B$10:$B$53,0),MATCH("Y31d Pro",'[1]SALES PERTYPE'!$D$8:$BA$8,0)),0)</f>
        <v>4</v>
      </c>
      <c r="AK32" s="33">
        <f>IFERROR(INDEX('[1]Sales per type Agustus'!$D$10:$BA$52,MATCH($C32,'[1]Sales per type Agustus'!$B$10:$B$52,0),MATCH("Y31d Pro",'[1]Sales per type Agustus'!$D$8:$BA$8,0)),0)</f>
        <v>5</v>
      </c>
      <c r="AL32" s="33">
        <f t="shared" si="10"/>
        <v>-1</v>
      </c>
      <c r="AM32" s="33" cm="1">
        <f t="array" ref="AM32">IFERROR(INDEX('[1]SALES PERTYPE'!$D$10:$BA$53,MATCH($C32,'[1]SALES PERTYPE'!$B$10:$B$53,0),MATCH("Y31d Pro",'[1]SALES PERTYPE'!$D$8:$BA$8,0)+1),0)</f>
        <v>16396000</v>
      </c>
      <c r="AN32" s="33" cm="1">
        <f t="array" ref="AN32">IFERROR(INDEX('[1]Sales per type Agustus'!$D$10:$BA$52,MATCH($C32,'[1]Sales per type Agustus'!$B$10:$B$52,0),MATCH("Y31d Pro",'[1]Sales per type Agustus'!$D$8:$BA$8,0)+1),0)</f>
        <v>20695000</v>
      </c>
      <c r="AO32" s="33">
        <f t="shared" si="11"/>
        <v>-4299000</v>
      </c>
      <c r="AP32" s="33" cm="1">
        <f t="array" ref="AP32">IFERROR(INDEX('[1]SALES PERTYPE'!$D$10:$BA$53,MATCH($C32,'[1]SALES PERTYPE'!$B$10:$B$53,0),$EI$3),0)</f>
        <v>2</v>
      </c>
      <c r="AQ32" s="33" cm="1">
        <f t="array" ref="AQ32">IFERROR(INDEX('[1]Sales per type Agustus'!$D$10:$BA$52,MATCH($C32,'[1]Sales per type Agustus'!$B$10:$B$52,0),$EI$2),0)</f>
        <v>0</v>
      </c>
      <c r="AR32" s="33">
        <f t="shared" si="12"/>
        <v>2</v>
      </c>
      <c r="AS32" s="33" cm="1">
        <f t="array" ref="AS32">IFERROR(INDEX('[1]SALES PERTYPE'!$D$10:$BA$53,MATCH($C32,'[1]SALES PERTYPE'!$B$10:$B$53,0),$EI$3+1),0)</f>
        <v>6598000</v>
      </c>
      <c r="AT32" s="33" cm="1">
        <f t="array" ref="AT32">IFERROR(INDEX('[1]Sales per type Agustus'!$D$10:$BA$52,MATCH($C32,'[1]Sales per type Agustus'!$B$10:$B$52,0),$EI$2+1),0)</f>
        <v>0</v>
      </c>
      <c r="AU32" s="33">
        <f t="shared" si="13"/>
        <v>6598000</v>
      </c>
      <c r="AV32" s="33">
        <f>IFERROR(INDEX('[1]SALES PERTYPE'!$D$10:$BA$53,MATCH($C32,'[1]SALES PERTYPE'!$B$10:$B$53,0),MATCH("Y31d ",'[1]SALES PERTYPE'!$D$8:$BA$8,0)),0)</f>
        <v>1</v>
      </c>
      <c r="AW32" s="33">
        <f>IFERROR(INDEX('[1]Sales per type Agustus'!$D$10:$BA$52,MATCH($C32,'[1]Sales per type Agustus'!$B$10:$B$52,0),MATCH("Y31d ",'[1]Sales per type Agustus'!$D$8:$BA$8,0)),0)</f>
        <v>1</v>
      </c>
      <c r="AX32" s="33">
        <f t="shared" si="14"/>
        <v>0</v>
      </c>
      <c r="AY32" s="33" cm="1">
        <f t="array" ref="AY32">IFERROR(INDEX('[1]SALES PERTYPE'!$D$10:$BA$53,MATCH($C32,'[1]SALES PERTYPE'!$B$10:$B$53,0),MATCH("Y31d ",'[1]SALES PERTYPE'!$D$8:$BA$8,0)+1),0)</f>
        <v>3599000</v>
      </c>
      <c r="AZ32" s="33" cm="1">
        <f t="array" ref="AZ32">IFERROR(INDEX('[1]Sales per type Agustus'!$D$10:$BA$52,MATCH($C32,'[1]Sales per type Agustus'!$B$10:$B$52,0),MATCH("Y31d ",'[1]Sales per type Agustus'!$D$8:$BA$8,0)+1),0)</f>
        <v>3599000</v>
      </c>
      <c r="BA32" s="33">
        <f t="shared" si="15"/>
        <v>0</v>
      </c>
      <c r="BB32" s="33">
        <f>IFERROR(INDEX('[1]SALES PERTYPE'!$D$10:$BA$53,MATCH($C32,'[1]SALES PERTYPE'!$B$10:$B$53,0),MATCH("V70 FE",'[1]SALES PERTYPE'!$D$8:$BA$8,0)),0)</f>
        <v>2</v>
      </c>
      <c r="BC32" s="33">
        <f>IFERROR(INDEX('[1]Sales per type Agustus'!$D$10:$BA$52,MATCH($C32,'[1]Sales per type Agustus'!$B$10:$B$52,0),MATCH("V70 FE",'[1]Sales per type Agustus'!$D$8:$BA$8,0)),0)</f>
        <v>5</v>
      </c>
      <c r="BD32" s="33">
        <f t="shared" si="16"/>
        <v>-3</v>
      </c>
      <c r="BE32" s="33" cm="1">
        <f t="array" ref="BE32">IFERROR(INDEX('[1]SALES PERTYPE'!$D$10:$BA$53,MATCH($C32,'[1]SALES PERTYPE'!$B$10:$B$53,0),MATCH("V70 FE",'[1]SALES PERTYPE'!$D$8:$BA$8,0)+1),0)</f>
        <v>13998000</v>
      </c>
      <c r="BF32" s="33" cm="1">
        <f t="array" ref="BF32">IFERROR(INDEX('[1]Sales per type Agustus'!$D$10:$BA$52,MATCH($C32,'[1]Sales per type Agustus'!$B$10:$B$52,0),MATCH("V70 FE",'[1]Sales per type Agustus'!$D$8:$BA$8,0)+1),0)</f>
        <v>38495000</v>
      </c>
      <c r="BG32" s="33">
        <f t="shared" si="17"/>
        <v>-24497000</v>
      </c>
      <c r="BH32" s="33">
        <f>IFERROR(INDEX('[1]SALES PERTYPE'!$D$10:$BA$53,MATCH($C32,'[1]SALES PERTYPE'!$B$10:$B$53,0),MATCH("Y31d",'[1]SALES PERTYPE'!$D$8:$BA$8,0)),0)</f>
        <v>1</v>
      </c>
      <c r="BI32" s="33">
        <f>IFERROR(INDEX('[1]Sales per type Agustus'!$D$10:$BA$52,MATCH($C32,'[1]Sales per type Agustus'!$B$10:$B$52,0),MATCH("Y31d",'[1]Sales per type Agustus'!$D$8:$BA$8,0)),0)</f>
        <v>0</v>
      </c>
      <c r="BJ32" s="33">
        <f t="shared" si="18"/>
        <v>1</v>
      </c>
      <c r="BK32" s="33" cm="1">
        <f t="array" ref="BK32">IFERROR(INDEX('[1]SALES PERTYPE'!$D$10:$BA$53,MATCH($C32,'[1]SALES PERTYPE'!$B$10:$B$53,0),MATCH("Y31d",'[1]SALES PERTYPE'!$D$8:$BA$8,0)+1),0)</f>
        <v>3599000</v>
      </c>
      <c r="BL32" s="33" cm="1">
        <f t="array" ref="BL32">IFERROR(INDEX('[1]Sales per type Agustus'!$D$10:$BA$52,MATCH($C32,'[1]Sales per type Agustus'!$B$10:$B$52,0),MATCH("Y31d",'[1]Sales per type Agustus'!$D$8:$BA$8,0)+1),0)</f>
        <v>0</v>
      </c>
      <c r="BM32" s="33">
        <f t="shared" si="19"/>
        <v>3599000</v>
      </c>
      <c r="BN32" s="33">
        <f>IFERROR(INDEX('[1]SALES PERTYPE'!$D$10:$BA$53,MATCH($C32,'[1]SALES PERTYPE'!$B$10:$B$53,0),MATCH("Y500",'[1]SALES PERTYPE'!$D$8:$BA$8,0)),0)</f>
        <v>2</v>
      </c>
      <c r="BO32" s="33">
        <f>IFERROR(INDEX('[1]Sales per type Agustus'!$D$10:$BA$52,MATCH($C32,'[1]Sales per type Agustus'!$B$10:$B$52,0),MATCH("Y500",'[1]Sales per type Agustus'!$D$8:$BA$8,0)),0)</f>
        <v>4</v>
      </c>
      <c r="BP32" s="33">
        <f t="shared" si="20"/>
        <v>-2</v>
      </c>
      <c r="BQ32" s="33" cm="1">
        <f t="array" ref="BQ32">IFERROR(INDEX('[1]SALES PERTYPE'!$D$10:$BA$53,MATCH($C32,'[1]SALES PERTYPE'!$B$10:$B$53,0),MATCH("Y500",'[1]SALES PERTYPE'!$D$8:$BA$8,0)+1),0)</f>
        <v>11798000</v>
      </c>
      <c r="BR32" s="33" cm="1">
        <f t="array" ref="BR32">IFERROR(INDEX('[1]Sales per type Agustus'!$D$10:$BA$52,MATCH($C32,'[1]Sales per type Agustus'!$B$10:$B$52,0),MATCH("Y500",'[1]Sales per type Agustus'!$D$8:$BA$8,0)+1),0)</f>
        <v>22796000</v>
      </c>
      <c r="BS32" s="33">
        <f t="shared" si="21"/>
        <v>-10998000</v>
      </c>
      <c r="BT32" s="33">
        <f>IFERROR(INDEX('[1]SALES PERTYPE'!$D$10:$BA$53,MATCH($C32,'[1]SALES PERTYPE'!$B$10:$B$53,0),MATCH("IQOO 15R",'[1]SALES PERTYPE'!$D$8:$BA$8,0)),0)</f>
        <v>0</v>
      </c>
      <c r="BU32" s="33">
        <f>IFERROR(INDEX('[1]Sales per type Agustus'!$D$10:$BA$52,MATCH($C32,'[1]Sales per type Agustus'!$B$10:$B$52,0),MATCH("IQOO 15R",'[1]Sales per type Agustus'!$D$8:$BA$8,0)),0)</f>
        <v>1</v>
      </c>
      <c r="BV32" s="33">
        <f t="shared" si="22"/>
        <v>-1</v>
      </c>
      <c r="BW32" s="33" cm="1">
        <f t="array" ref="BW32">IFERROR(INDEX('[1]SALES PERTYPE'!$D$10:$BA$53,MATCH($C32,'[1]SALES PERTYPE'!$B$10:$B$53,0),MATCH("IQOO 15R",'[1]SALES PERTYPE'!$D$8:$BA$8,0)+1),0)</f>
        <v>0</v>
      </c>
      <c r="BX32" s="33" cm="1">
        <f t="array" ref="BX32">IFERROR(INDEX('[1]Sales per type Agustus'!$D$10:$BA$52,MATCH($C32,'[1]Sales per type Agustus'!$B$10:$B$52,0),MATCH("IQOO 15R",'[1]Sales per type Agustus'!$D$8:$BA$8,0)+1),0)</f>
        <v>11999000</v>
      </c>
      <c r="BY32" s="33">
        <f t="shared" si="23"/>
        <v>-11999000</v>
      </c>
      <c r="BZ32" s="33">
        <f>IFERROR(INDEX('[1]SALES PERTYPE'!$D$10:$BA$53,MATCH($C32,'[1]SALES PERTYPE'!$B$10:$B$53,0),MATCH("V60 Lite",'[1]SALES PERTYPE'!$D$8:$BA$8,0)),0)</f>
        <v>2</v>
      </c>
      <c r="CA32" s="33">
        <f>IFERROR(INDEX('[1]Sales per type Agustus'!$D$10:$BA$52,MATCH($C32,'[1]Sales per type Agustus'!$B$10:$B$52,0),MATCH("V60 Lite",'[1]Sales per type Agustus'!$D$8:$BA$8,0)),0)</f>
        <v>2</v>
      </c>
      <c r="CB32" s="33">
        <f t="shared" si="24"/>
        <v>0</v>
      </c>
      <c r="CC32" s="33" cm="1">
        <f t="array" ref="CC32">IFERROR(INDEX('[1]SALES PERTYPE'!$D$10:$BA$53,MATCH($C32,'[1]SALES PERTYPE'!$B$10:$B$53,0),MATCH("V60 Lite",'[1]SALES PERTYPE'!$D$8:$BA$8,0)+1),0)</f>
        <v>11798000</v>
      </c>
      <c r="CD32" s="33" cm="1">
        <f t="array" ref="CD32">IFERROR(INDEX('[1]Sales per type Agustus'!$D$10:$BA$52,MATCH($C32,'[1]Sales per type Agustus'!$B$10:$B$52,0),MATCH("V60 Lite",'[1]Sales per type Agustus'!$D$8:$BA$8,0)+1),0)</f>
        <v>11798000</v>
      </c>
      <c r="CE32" s="33">
        <f t="shared" si="25"/>
        <v>0</v>
      </c>
      <c r="CF32" s="33">
        <f>IFERROR(INDEX('[1]SALES PERTYPE'!$D$10:$BA$53,MATCH($C32,'[1]SALES PERTYPE'!$B$10:$B$53,0),MATCH("X300 Ultra",'[1]SALES PERTYPE'!$D$8:$BA$8,0)),0)</f>
        <v>0</v>
      </c>
      <c r="CG32" s="33">
        <f>IFERROR(INDEX('[1]Sales per type Agustus'!$D$10:$BA$52,MATCH($C32,'[1]Sales per type Agustus'!$B$10:$B$52,0),MATCH("X300 Ultra",'[1]Sales per type Agustus'!$D$8:$BA$8,0)),0)</f>
        <v>0</v>
      </c>
      <c r="CH32" s="33">
        <f t="shared" si="26"/>
        <v>0</v>
      </c>
      <c r="CI32" s="33" cm="1">
        <f t="array" ref="CI32">IFERROR(INDEX('[1]SALES PERTYPE'!$D$10:$BA$53,MATCH($C32,'[1]SALES PERTYPE'!$B$10:$B$53,0),MATCH("X300 Ultra",'[1]SALES PERTYPE'!$D$8:$BA$8,0)+1),0)</f>
        <v>0</v>
      </c>
      <c r="CJ32" s="33" cm="1">
        <f t="array" ref="CJ32">IFERROR(INDEX('[1]Sales per type Agustus'!$D$10:$BA$52,MATCH($C32,'[1]Sales per type Agustus'!$B$10:$B$52,0),MATCH("X300 Ultra",'[1]Sales per type Agustus'!$D$8:$BA$8,0)+1),0)</f>
        <v>0</v>
      </c>
      <c r="CK32" s="33">
        <f t="shared" si="27"/>
        <v>0</v>
      </c>
      <c r="CL32" s="33">
        <f>IFERROR(INDEX('[1]SALES PERTYPE'!$D$10:$BA$53,MATCH($C32,'[1]SALES PERTYPE'!$B$10:$B$53,0),MATCH("IQOO 15",'[1]SALES PERTYPE'!$D$8:$BA$8,0)),0)</f>
        <v>0</v>
      </c>
      <c r="CM32" s="33">
        <f>IFERROR(INDEX('[1]Sales per type Agustus'!$D$10:$BA$52,MATCH($C32,'[1]Sales per type Agustus'!$B$10:$B$52,0),MATCH("IQOO 15",'[1]Sales per type Agustus'!$D$8:$BA$8,0)),0)</f>
        <v>0</v>
      </c>
      <c r="CN32" s="33">
        <f t="shared" si="28"/>
        <v>0</v>
      </c>
      <c r="CO32" s="33" cm="1">
        <f t="array" ref="CO32">IFERROR(INDEX('[1]SALES PERTYPE'!$D$10:$BA$53,MATCH($C32,'[1]SALES PERTYPE'!$B$10:$B$53,0),MATCH("IQOO 15",'[1]SALES PERTYPE'!$D$8:$BA$8,0)+1),0)</f>
        <v>0</v>
      </c>
      <c r="CP32" s="33" cm="1">
        <f t="array" ref="CP32">IFERROR(INDEX('[1]Sales per type Agustus'!$D$10:$BA$52,MATCH($C32,'[1]Sales per type Agustus'!$B$10:$B$52,0),MATCH("IQOO 15",'[1]Sales per type Agustus'!$D$8:$BA$8,0)+1),0)</f>
        <v>0</v>
      </c>
      <c r="CQ32" s="33">
        <f t="shared" si="29"/>
        <v>0</v>
      </c>
      <c r="CR32" s="33">
        <f>IFERROR(INDEX('[1]SALES PERTYPE'!$D$10:$BA$53,MATCH($C32,'[1]SALES PERTYPE'!$B$10:$B$53,0),MATCH("IQOO Z11x",'[1]SALES PERTYPE'!$D$8:$BA$8,0)),0)</f>
        <v>1</v>
      </c>
      <c r="CS32" s="33">
        <f>IFERROR(INDEX('[1]Sales per type Agustus'!$D$10:$BA$52,MATCH($C32,'[1]Sales per type Agustus'!$B$10:$B$52,0),MATCH("IQOO Z11x",'[1]Sales per type Agustus'!$D$8:$BA$8,0)),0)</f>
        <v>0</v>
      </c>
      <c r="CT32" s="33">
        <f t="shared" si="30"/>
        <v>1</v>
      </c>
      <c r="CU32" s="33" cm="1">
        <f t="array" ref="CU32">IFERROR(INDEX('[1]SALES PERTYPE'!$D$10:$BA$53,MATCH($C32,'[1]SALES PERTYPE'!$B$10:$B$53,0),MATCH("IQOO Z11x",'[1]SALES PERTYPE'!$D$8:$BA$8,0)+1),0)</f>
        <v>5699000</v>
      </c>
      <c r="CV32" s="33" cm="1">
        <f t="array" ref="CV32">IFERROR(INDEX('[1]Sales per type Agustus'!$D$10:$BA$52,MATCH($C32,'[1]Sales per type Agustus'!$B$10:$B$52,0),MATCH("IQOO Z11x",'[1]Sales per type Agustus'!$D$8:$BA$8,0)+1),0)</f>
        <v>0</v>
      </c>
      <c r="CW32" s="33">
        <f t="shared" si="31"/>
        <v>5699000</v>
      </c>
      <c r="CX32" s="33">
        <f>IFERROR(INDEX('[1]SALES PERTYPE'!$D$10:$BA$53,MATCH($C32,'[1]SALES PERTYPE'!$B$10:$B$53,0),MATCH("IQOO Z11",'[1]SALES PERTYPE'!$D$8:$BA$8,0)),0)</f>
        <v>1</v>
      </c>
      <c r="CY32" s="33">
        <f>IFERROR(INDEX('[1]Sales per type Agustus'!$D$10:$BA$52,MATCH($C32,'[1]Sales per type Agustus'!$B$10:$B$52,0),MATCH("IQOO Z11",'[1]Sales per type Agustus'!$D$8:$BA$8,0)),0)</f>
        <v>3</v>
      </c>
      <c r="CZ32" s="33">
        <f t="shared" si="32"/>
        <v>-2</v>
      </c>
      <c r="DA32" s="33" cm="1">
        <f t="array" ref="DA32">IFERROR(INDEX('[1]SALES PERTYPE'!$D$10:$BA$53,MATCH($C32,'[1]SALES PERTYPE'!$B$10:$B$53,0),MATCH("IQOO Z11",'[1]SALES PERTYPE'!$D$8:$BA$8,0)+1),0)</f>
        <v>6899000</v>
      </c>
      <c r="DB32" s="33" cm="1">
        <f t="array" ref="DB32">IFERROR(INDEX('[1]Sales per type Agustus'!$D$10:$BA$52,MATCH($C32,'[1]Sales per type Agustus'!$B$10:$B$52,0),MATCH("IQOO Z11",'[1]Sales per type Agustus'!$D$8:$BA$8,0)+1),0)</f>
        <v>22197000</v>
      </c>
      <c r="DC32" s="33">
        <f t="shared" si="33"/>
        <v>-15298000</v>
      </c>
      <c r="DD32" s="33">
        <f>IFERROR(INDEX('[1]SALES PERTYPE'!$D$10:$BA$53,MATCH($C32,'[1]SALES PERTYPE'!$B$10:$B$53,0),MATCH("WATCH 3",'[1]SALES PERTYPE'!$D$8:$BA$8,0)),0)</f>
        <v>0</v>
      </c>
      <c r="DE32" s="33">
        <f>IFERROR(INDEX('[1]Sales per type Agustus'!$D$10:$BA$52,MATCH($C32,'[1]Sales per type Agustus'!$B$10:$B$52,0),MATCH("WATCH 3",'[1]Sales per type Agustus'!$D$8:$BA$8,0)),0)</f>
        <v>0</v>
      </c>
      <c r="DF32" s="33">
        <f t="shared" si="34"/>
        <v>0</v>
      </c>
      <c r="DG32" s="33" cm="1">
        <f t="array" ref="DG32">IFERROR(INDEX('[1]SALES PERTYPE'!$D$10:$BA$53,MATCH($C32,'[1]SALES PERTYPE'!$B$10:$B$53,0),MATCH("WATCH 3",'[1]SALES PERTYPE'!$D$8:$BA$8,0)+1),0)</f>
        <v>0</v>
      </c>
      <c r="DH32" s="33" cm="1">
        <f t="array" ref="DH32">IFERROR(INDEX('[1]Sales per type Agustus'!$D$10:$BA$52,MATCH($C32,'[1]Sales per type Agustus'!$B$10:$B$52,0),MATCH("WATCH 3",'[1]Sales per type Agustus'!$D$8:$BA$8,0)+1),0)</f>
        <v>0</v>
      </c>
      <c r="DI32" s="33">
        <f t="shared" si="35"/>
        <v>0</v>
      </c>
      <c r="DJ32" s="33">
        <f>IFERROR(INDEX('[1]SALES PERTYPE'!$D$10:$BA$53,MATCH($C32,'[1]SALES PERTYPE'!$B$10:$B$53,0),MATCH("X Fold5",'[1]SALES PERTYPE'!$D$8:$BA$8,0)),0)</f>
        <v>0</v>
      </c>
      <c r="DK32" s="33">
        <f>IFERROR(INDEX('[1]Sales per type Agustus'!$D$10:$BA$52,MATCH($C32,'[1]Sales per type Agustus'!$B$10:$B$52,0),MATCH("X Fold5",'[1]Sales per type Agustus'!$D$8:$BA$8,0)),0)</f>
        <v>0</v>
      </c>
      <c r="DL32" s="33">
        <f t="shared" si="36"/>
        <v>0</v>
      </c>
      <c r="DM32" s="33" cm="1">
        <f t="array" ref="DM32">IFERROR(INDEX('[1]SALES PERTYPE'!$D$10:$BA$53,MATCH($C32,'[1]SALES PERTYPE'!$B$10:$B$53,0),MATCH("X Fold5",'[1]SALES PERTYPE'!$D$8:$BA$8,0)+1),0)</f>
        <v>0</v>
      </c>
      <c r="DN32" s="33" cm="1">
        <f t="array" ref="DN32">IFERROR(INDEX('[1]Sales per type Agustus'!$D$10:$BA$52,MATCH($C32,'[1]Sales per type Agustus'!$B$10:$B$52,0),MATCH("X Fold5",'[1]Sales per type Agustus'!$D$8:$BA$8,0)+1),0)</f>
        <v>0</v>
      </c>
      <c r="DO32" s="33">
        <f t="shared" si="37"/>
        <v>0</v>
      </c>
      <c r="DP32" s="33">
        <f>IFERROR(INDEX('[1]SALES PERTYPE'!$D$10:$BA$53,MATCH($C32,'[1]SALES PERTYPE'!$B$10:$B$53,0),MATCH("X300 PRO",'[1]SALES PERTYPE'!$D$8:$BA$8,0)),0)</f>
        <v>0</v>
      </c>
      <c r="DQ32" s="33">
        <f>IFERROR(INDEX('[1]Sales per type Agustus'!$D$10:$BA$52,MATCH($C32,'[1]Sales per type Agustus'!$B$10:$B$52,0),MATCH("X300 PRO",'[1]Sales per type Agustus'!$D$8:$BA$8,0)),0)</f>
        <v>0</v>
      </c>
      <c r="DR32" s="33">
        <f t="shared" si="38"/>
        <v>0</v>
      </c>
      <c r="DS32" s="33" cm="1">
        <f t="array" ref="DS32">IFERROR(INDEX('[1]SALES PERTYPE'!$D$10:$BA$53,MATCH($C32,'[1]SALES PERTYPE'!$B$10:$B$53,0),MATCH("X300 PRO",'[1]SALES PERTYPE'!$D$8:$BA$8,0)+1),0)</f>
        <v>0</v>
      </c>
      <c r="DT32" s="33" cm="1">
        <f t="array" ref="DT32">IFERROR(INDEX('[1]Sales per type Agustus'!$D$10:$BA$52,MATCH($C32,'[1]Sales per type Agustus'!$B$10:$B$52,0),MATCH("X300 PRO",'[1]Sales per type Agustus'!$D$8:$BA$8,0)+1),0)</f>
        <v>0</v>
      </c>
      <c r="DU32" s="33">
        <f t="shared" si="39"/>
        <v>0</v>
      </c>
      <c r="DV32" s="33">
        <f>IFERROR(INDEX('[1]SALES PERTYPE'!$D$10:$BA$53,MATCH($C32,'[1]SALES PERTYPE'!$B$10:$B$53,0),MATCH("X300 ",'[1]SALES PERTYPE'!$D$8:$BA$8,0)),0)</f>
        <v>0</v>
      </c>
      <c r="DW32" s="33">
        <f>IFERROR(INDEX('[1]Sales per type Agustus'!$D$10:$BA$52,MATCH($C32,'[1]Sales per type Agustus'!$B$10:$B$52,0),MATCH("X300 ",'[1]Sales per type Agustus'!$D$8:$BA$8,0)),0)</f>
        <v>0</v>
      </c>
      <c r="DX32" s="33">
        <f t="shared" si="40"/>
        <v>0</v>
      </c>
      <c r="DY32" s="33" cm="1">
        <f t="array" ref="DY32">IFERROR(INDEX('[1]SALES PERTYPE'!$D$10:$BA$53,MATCH($C32,'[1]SALES PERTYPE'!$B$10:$B$53,0),MATCH("X300 ",'[1]SALES PERTYPE'!$D$8:$BA$8,0)+1),0)</f>
        <v>0</v>
      </c>
      <c r="DZ32" s="33" cm="1">
        <f t="array" ref="DZ32">IFERROR(INDEX('[1]Sales per type Agustus'!$D$10:$BA$52,MATCH($C32,'[1]Sales per type Agustus'!$B$10:$B$52,0),MATCH("X300 ",'[1]Sales per type Agustus'!$D$8:$BA$8,0)+1),0)</f>
        <v>0</v>
      </c>
      <c r="EA32" s="33">
        <f t="shared" si="41"/>
        <v>0</v>
      </c>
      <c r="EB32" s="33">
        <f t="shared" si="42"/>
        <v>24</v>
      </c>
      <c r="EC32" s="33">
        <f t="shared" si="42"/>
        <v>34</v>
      </c>
      <c r="ED32" s="33">
        <f t="shared" si="43"/>
        <v>-10</v>
      </c>
      <c r="EE32" s="33">
        <f t="shared" si="44"/>
        <v>107476000</v>
      </c>
      <c r="EF32" s="33">
        <f t="shared" si="44"/>
        <v>179966000</v>
      </c>
      <c r="EG32" s="33">
        <f t="shared" si="45"/>
        <v>-72490000</v>
      </c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</row>
    <row r="33" spans="1:184" ht="16" x14ac:dyDescent="0.2">
      <c r="A33" s="31">
        <f>'[1]ACHIEVEMENT STORE'!A33</f>
        <v>29</v>
      </c>
      <c r="B33" s="32" t="str">
        <f>'[1]ACHIEVEMENT STORE'!B33</f>
        <v>624-万丹BANTEN</v>
      </c>
      <c r="C33" s="31">
        <f>'[1]ACHIEVEMENT STORE'!C33</f>
        <v>6240709</v>
      </c>
      <c r="D33" s="32" t="str">
        <f>'[1]ACHIEVEMENT STORE'!D33</f>
        <v>6240709-ITC BSD 1F49-50</v>
      </c>
      <c r="E33" s="32" t="str">
        <f>'[1]ACHIEVEMENT STORE'!E33</f>
        <v>ARIES FITRIYANTO</v>
      </c>
      <c r="F33" s="33">
        <f>IFERROR(INDEX('[1]SALES PERTYPE'!$D$10:$BA$53,MATCH($C33,'[1]SALES PERTYPE'!$B$10:$B$53,0),MATCH("Y05",'[1]SALES PERTYPE'!$D$8:$BA$8,0)),0)</f>
        <v>5</v>
      </c>
      <c r="G33" s="33">
        <f>IFERROR(INDEX('[1]Sales per type Agustus'!$D$10:$BA$52,MATCH($C33,'[1]Sales per type Agustus'!$B$10:$B$52,0),MATCH("Y05",'[1]Sales per type Agustus'!$D$8:$BA$8,0)),0)</f>
        <v>1</v>
      </c>
      <c r="H33" s="33">
        <f t="shared" si="0"/>
        <v>4</v>
      </c>
      <c r="I33" s="33" cm="1">
        <f t="array" ref="I33">IFERROR(INDEX('[1]SALES PERTYPE'!$D$10:$BA$53,MATCH($C33,'[1]SALES PERTYPE'!$B$10:$B$53,0),MATCH("Y05",'[1]SALES PERTYPE'!$D$8:$BA$8,0)+1),0)</f>
        <v>12395000</v>
      </c>
      <c r="J33" s="33" cm="1">
        <f t="array" ref="J33">IFERROR(INDEX('[1]Sales per type Agustus'!$D$10:$BA$52,MATCH($C33,'[1]Sales per type Agustus'!$B$10:$B$52,0),MATCH("Y05",'[1]Sales per type Agustus'!$D$8:$BA$8,0)+1),0)</f>
        <v>2299000</v>
      </c>
      <c r="K33" s="33">
        <f t="shared" si="1"/>
        <v>10096000</v>
      </c>
      <c r="L33" s="33">
        <f>IFERROR(INDEX('[1]SALES PERTYPE'!$D$10:$BA$53,MATCH($C33,'[1]SALES PERTYPE'!$B$10:$B$53,0),MATCH("Y11d",'[1]SALES PERTYPE'!$D$8:$BA$8,0)),0)</f>
        <v>0</v>
      </c>
      <c r="M33" s="33">
        <f>IFERROR(INDEX('[1]Sales per type Agustus'!$D$10:$BA$52,MATCH($C33,'[1]Sales per type Agustus'!$B$10:$B$52,0),MATCH("Y11d",'[1]Sales per type Agustus'!$D$8:$BA$8,0)),0)</f>
        <v>1</v>
      </c>
      <c r="N33" s="33">
        <f t="shared" si="2"/>
        <v>-1</v>
      </c>
      <c r="O33" s="33" cm="1">
        <f t="array" ref="O33">IFERROR(INDEX('[1]SALES PERTYPE'!$D$10:$BA$53,MATCH($C33,'[1]SALES PERTYPE'!$B$10:$B$53,0),MATCH("Y11d",'[1]SALES PERTYPE'!$D$8:$BA$8,0)+1),0)</f>
        <v>0</v>
      </c>
      <c r="P33" s="33" cm="1">
        <f t="array" ref="P33">IFERROR(INDEX('[1]Sales per type Agustus'!$D$10:$BA$52,MATCH($C33,'[1]Sales per type Agustus'!$B$10:$B$52,0),MATCH("Y11d",'[1]Sales per type Agustus'!$D$8:$BA$8,0)+1),0)</f>
        <v>2399000</v>
      </c>
      <c r="Q33" s="33">
        <f t="shared" si="3"/>
        <v>-2399000</v>
      </c>
      <c r="R33" s="33">
        <f>IFERROR(INDEX('[1]SALES PERTYPE'!$D$10:$BA$53,MATCH($C33,'[1]SALES PERTYPE'!$B$10:$B$53,0),MATCH("Watch GT 2",'[1]SALES PERTYPE'!$D$8:$BA$8,0)),0)</f>
        <v>0</v>
      </c>
      <c r="S33" s="33">
        <f>IFERROR(INDEX('[1]Sales per type Agustus'!$D$10:$BA$52,MATCH($C33,'[1]Sales per type Agustus'!$B$10:$B$52,0),MATCH("Watch GT 2",'[1]Sales per type Agustus'!$D$8:$BA$8,0)),0)</f>
        <v>0</v>
      </c>
      <c r="T33" s="33">
        <f t="shared" si="4"/>
        <v>0</v>
      </c>
      <c r="U33" s="33" cm="1">
        <f t="array" ref="U33">IFERROR(INDEX('[1]SALES PERTYPE'!$D$10:$BA$53,MATCH($C33,'[1]SALES PERTYPE'!$B$10:$B$53,0),MATCH("Watch GT 2",'[1]SALES PERTYPE'!$D$8:$BA$8,0)+1),0)</f>
        <v>0</v>
      </c>
      <c r="V33" s="33" cm="1">
        <f t="array" ref="V33">IFERROR(INDEX('[1]Sales per type Agustus'!$D$10:$BA$52,MATCH($C33,'[1]Sales per type Agustus'!$B$10:$B$52,0),MATCH("Watch GT 2",'[1]Sales per type Agustus'!$D$8:$BA$8,0)+1),0)</f>
        <v>0</v>
      </c>
      <c r="W33" s="33">
        <f t="shared" si="5"/>
        <v>0</v>
      </c>
      <c r="X33" s="33">
        <f>IFERROR(INDEX('[1]SALES PERTYPE'!$D$10:$BA$53,MATCH($C33,'[1]SALES PERTYPE'!$B$10:$B$53,0),MATCH("Y05e",'[1]SALES PERTYPE'!$D$8:$BA$8,0)),0)</f>
        <v>1</v>
      </c>
      <c r="Y33" s="33">
        <f>IFERROR(INDEX('[1]Sales per type Agustus'!$D$10:$BA$52,MATCH($C33,'[1]Sales per type Agustus'!$B$10:$B$52,0),MATCH("Y05e",'[1]Sales per type Agustus'!$D$8:$BA$8,0)),0)</f>
        <v>0</v>
      </c>
      <c r="Z33" s="33">
        <f t="shared" si="6"/>
        <v>1</v>
      </c>
      <c r="AA33" s="33" cm="1">
        <f t="array" ref="AA33">IFERROR(INDEX('[1]SALES PERTYPE'!$D$10:$BA$53,MATCH($C33,'[1]SALES PERTYPE'!$B$10:$B$53,0),MATCH("Y05e",'[1]SALES PERTYPE'!$D$8:$BA$8,0)+1),0)</f>
        <v>2099000</v>
      </c>
      <c r="AB33" s="33" cm="1">
        <f t="array" ref="AB33">IFERROR(INDEX('[1]Sales per type Agustus'!$D$10:$BA$52,MATCH($C33,'[1]Sales per type Agustus'!$B$10:$B$52,0),MATCH("Y05e",'[1]Sales per type Agustus'!$D$8:$BA$8,0)+1),0)</f>
        <v>0</v>
      </c>
      <c r="AC33" s="33">
        <f t="shared" si="7"/>
        <v>2099000</v>
      </c>
      <c r="AD33" s="33">
        <f>IFERROR(INDEX('[1]SALES PERTYPE'!$D$10:$BA$53,MATCH($C33,'[1]SALES PERTYPE'!$B$10:$B$53,0),MATCH("V70",'[1]SALES PERTYPE'!$D$8:$BA$8,0)),0)</f>
        <v>3</v>
      </c>
      <c r="AE33" s="33">
        <f>IFERROR(INDEX('[1]Sales per type Agustus'!$D$10:$BA$52,MATCH($C33,'[1]Sales per type Agustus'!$B$10:$B$52,0),MATCH("V70",'[1]Sales per type Agustus'!$D$8:$BA$8,0)),0)</f>
        <v>1</v>
      </c>
      <c r="AF33" s="33">
        <f t="shared" si="8"/>
        <v>2</v>
      </c>
      <c r="AG33" s="33" cm="1">
        <f t="array" ref="AG33">IFERROR(INDEX('[1]SALES PERTYPE'!$D$10:$BA$53,MATCH($C33,'[1]SALES PERTYPE'!$B$10:$B$53,0),MATCH("V70",'[1]SALES PERTYPE'!$D$8:$BA$8,0)+1),0)</f>
        <v>28997000</v>
      </c>
      <c r="AH33" s="33" cm="1">
        <f t="array" ref="AH33">IFERROR(INDEX('[1]Sales per type Agustus'!$D$10:$BA$52,MATCH($C33,'[1]Sales per type Agustus'!$B$10:$B$52,0),MATCH("V70",'[1]Sales per type Agustus'!$D$8:$BA$8,0)+1),0)</f>
        <v>9999000</v>
      </c>
      <c r="AI33" s="33">
        <f t="shared" si="9"/>
        <v>18998000</v>
      </c>
      <c r="AJ33" s="33">
        <f>IFERROR(INDEX('[1]SALES PERTYPE'!$D$10:$BA$53,MATCH($C33,'[1]SALES PERTYPE'!$B$10:$B$53,0),MATCH("Y31d Pro",'[1]SALES PERTYPE'!$D$8:$BA$8,0)),0)</f>
        <v>0</v>
      </c>
      <c r="AK33" s="33">
        <f>IFERROR(INDEX('[1]Sales per type Agustus'!$D$10:$BA$52,MATCH($C33,'[1]Sales per type Agustus'!$B$10:$B$52,0),MATCH("Y31d Pro",'[1]Sales per type Agustus'!$D$8:$BA$8,0)),0)</f>
        <v>5</v>
      </c>
      <c r="AL33" s="33">
        <f t="shared" si="10"/>
        <v>-5</v>
      </c>
      <c r="AM33" s="33" cm="1">
        <f t="array" ref="AM33">IFERROR(INDEX('[1]SALES PERTYPE'!$D$10:$BA$53,MATCH($C33,'[1]SALES PERTYPE'!$B$10:$B$53,0),MATCH("Y31d Pro",'[1]SALES PERTYPE'!$D$8:$BA$8,0)+1),0)</f>
        <v>0</v>
      </c>
      <c r="AN33" s="33" cm="1">
        <f t="array" ref="AN33">IFERROR(INDEX('[1]Sales per type Agustus'!$D$10:$BA$52,MATCH($C33,'[1]Sales per type Agustus'!$B$10:$B$52,0),MATCH("Y31d Pro",'[1]Sales per type Agustus'!$D$8:$BA$8,0)+1),0)</f>
        <v>21695000</v>
      </c>
      <c r="AO33" s="33">
        <f t="shared" si="11"/>
        <v>-21695000</v>
      </c>
      <c r="AP33" s="33" cm="1">
        <f t="array" ref="AP33">IFERROR(INDEX('[1]SALES PERTYPE'!$D$10:$BA$53,MATCH($C33,'[1]SALES PERTYPE'!$B$10:$B$53,0),$EI$3),0)</f>
        <v>3</v>
      </c>
      <c r="AQ33" s="33" cm="1">
        <f t="array" ref="AQ33">IFERROR(INDEX('[1]Sales per type Agustus'!$D$10:$BA$52,MATCH($C33,'[1]Sales per type Agustus'!$B$10:$B$52,0),$EI$2),0)</f>
        <v>0</v>
      </c>
      <c r="AR33" s="33">
        <f t="shared" si="12"/>
        <v>3</v>
      </c>
      <c r="AS33" s="33" cm="1">
        <f t="array" ref="AS33">IFERROR(INDEX('[1]SALES PERTYPE'!$D$10:$BA$53,MATCH($C33,'[1]SALES PERTYPE'!$B$10:$B$53,0),$EI$3+1),0)</f>
        <v>10497000</v>
      </c>
      <c r="AT33" s="33" cm="1">
        <f t="array" ref="AT33">IFERROR(INDEX('[1]Sales per type Agustus'!$D$10:$BA$52,MATCH($C33,'[1]Sales per type Agustus'!$B$10:$B$52,0),$EI$2+1),0)</f>
        <v>0</v>
      </c>
      <c r="AU33" s="33">
        <f t="shared" si="13"/>
        <v>10497000</v>
      </c>
      <c r="AV33" s="33">
        <f>IFERROR(INDEX('[1]SALES PERTYPE'!$D$10:$BA$53,MATCH($C33,'[1]SALES PERTYPE'!$B$10:$B$53,0),MATCH("Y31d ",'[1]SALES PERTYPE'!$D$8:$BA$8,0)),0)</f>
        <v>1</v>
      </c>
      <c r="AW33" s="33">
        <f>IFERROR(INDEX('[1]Sales per type Agustus'!$D$10:$BA$52,MATCH($C33,'[1]Sales per type Agustus'!$B$10:$B$52,0),MATCH("Y31d ",'[1]Sales per type Agustus'!$D$8:$BA$8,0)),0)</f>
        <v>0</v>
      </c>
      <c r="AX33" s="33">
        <f t="shared" si="14"/>
        <v>1</v>
      </c>
      <c r="AY33" s="33" cm="1">
        <f t="array" ref="AY33">IFERROR(INDEX('[1]SALES PERTYPE'!$D$10:$BA$53,MATCH($C33,'[1]SALES PERTYPE'!$B$10:$B$53,0),MATCH("Y31d ",'[1]SALES PERTYPE'!$D$8:$BA$8,0)+1),0)</f>
        <v>3599000</v>
      </c>
      <c r="AZ33" s="33" cm="1">
        <f t="array" ref="AZ33">IFERROR(INDEX('[1]Sales per type Agustus'!$D$10:$BA$52,MATCH($C33,'[1]Sales per type Agustus'!$B$10:$B$52,0),MATCH("Y31d ",'[1]Sales per type Agustus'!$D$8:$BA$8,0)+1),0)</f>
        <v>0</v>
      </c>
      <c r="BA33" s="33">
        <f t="shared" si="15"/>
        <v>3599000</v>
      </c>
      <c r="BB33" s="33">
        <f>IFERROR(INDEX('[1]SALES PERTYPE'!$D$10:$BA$53,MATCH($C33,'[1]SALES PERTYPE'!$B$10:$B$53,0),MATCH("V70 FE",'[1]SALES PERTYPE'!$D$8:$BA$8,0)),0)</f>
        <v>1</v>
      </c>
      <c r="BC33" s="33">
        <f>IFERROR(INDEX('[1]Sales per type Agustus'!$D$10:$BA$52,MATCH($C33,'[1]Sales per type Agustus'!$B$10:$B$52,0),MATCH("V70 FE",'[1]Sales per type Agustus'!$D$8:$BA$8,0)),0)</f>
        <v>1</v>
      </c>
      <c r="BD33" s="33">
        <f t="shared" si="16"/>
        <v>0</v>
      </c>
      <c r="BE33" s="33" cm="1">
        <f t="array" ref="BE33">IFERROR(INDEX('[1]SALES PERTYPE'!$D$10:$BA$53,MATCH($C33,'[1]SALES PERTYPE'!$B$10:$B$53,0),MATCH("V70 FE",'[1]SALES PERTYPE'!$D$8:$BA$8,0)+1),0)</f>
        <v>7999000</v>
      </c>
      <c r="BF33" s="33" cm="1">
        <f t="array" ref="BF33">IFERROR(INDEX('[1]Sales per type Agustus'!$D$10:$BA$52,MATCH($C33,'[1]Sales per type Agustus'!$B$10:$B$52,0),MATCH("V70 FE",'[1]Sales per type Agustus'!$D$8:$BA$8,0)+1),0)</f>
        <v>6499000</v>
      </c>
      <c r="BG33" s="33">
        <f t="shared" si="17"/>
        <v>1500000</v>
      </c>
      <c r="BH33" s="33">
        <f>IFERROR(INDEX('[1]SALES PERTYPE'!$D$10:$BA$53,MATCH($C33,'[1]SALES PERTYPE'!$B$10:$B$53,0),MATCH("Y31d",'[1]SALES PERTYPE'!$D$8:$BA$8,0)),0)</f>
        <v>0</v>
      </c>
      <c r="BI33" s="33">
        <f>IFERROR(INDEX('[1]Sales per type Agustus'!$D$10:$BA$52,MATCH($C33,'[1]Sales per type Agustus'!$B$10:$B$52,0),MATCH("Y31d",'[1]Sales per type Agustus'!$D$8:$BA$8,0)),0)</f>
        <v>1</v>
      </c>
      <c r="BJ33" s="33">
        <f t="shared" si="18"/>
        <v>-1</v>
      </c>
      <c r="BK33" s="33" cm="1">
        <f t="array" ref="BK33">IFERROR(INDEX('[1]SALES PERTYPE'!$D$10:$BA$53,MATCH($C33,'[1]SALES PERTYPE'!$B$10:$B$53,0),MATCH("Y31d",'[1]SALES PERTYPE'!$D$8:$BA$8,0)+1),0)</f>
        <v>0</v>
      </c>
      <c r="BL33" s="33" cm="1">
        <f t="array" ref="BL33">IFERROR(INDEX('[1]Sales per type Agustus'!$D$10:$BA$52,MATCH($C33,'[1]Sales per type Agustus'!$B$10:$B$52,0),MATCH("Y31d",'[1]Sales per type Agustus'!$D$8:$BA$8,0)+1),0)</f>
        <v>3599000</v>
      </c>
      <c r="BM33" s="33">
        <f t="shared" si="19"/>
        <v>-3599000</v>
      </c>
      <c r="BN33" s="33">
        <f>IFERROR(INDEX('[1]SALES PERTYPE'!$D$10:$BA$53,MATCH($C33,'[1]SALES PERTYPE'!$B$10:$B$53,0),MATCH("Y500",'[1]SALES PERTYPE'!$D$8:$BA$8,0)),0)</f>
        <v>1</v>
      </c>
      <c r="BO33" s="33">
        <f>IFERROR(INDEX('[1]Sales per type Agustus'!$D$10:$BA$52,MATCH($C33,'[1]Sales per type Agustus'!$B$10:$B$52,0),MATCH("Y500",'[1]Sales per type Agustus'!$D$8:$BA$8,0)),0)</f>
        <v>1</v>
      </c>
      <c r="BP33" s="33">
        <f t="shared" si="20"/>
        <v>0</v>
      </c>
      <c r="BQ33" s="33" cm="1">
        <f t="array" ref="BQ33">IFERROR(INDEX('[1]SALES PERTYPE'!$D$10:$BA$53,MATCH($C33,'[1]SALES PERTYPE'!$B$10:$B$53,0),MATCH("Y500",'[1]SALES PERTYPE'!$D$8:$BA$8,0)+1),0)</f>
        <v>5499000</v>
      </c>
      <c r="BR33" s="33" cm="1">
        <f t="array" ref="BR33">IFERROR(INDEX('[1]Sales per type Agustus'!$D$10:$BA$52,MATCH($C33,'[1]Sales per type Agustus'!$B$10:$B$52,0),MATCH("Y500",'[1]Sales per type Agustus'!$D$8:$BA$8,0)+1),0)</f>
        <v>5499000</v>
      </c>
      <c r="BS33" s="33">
        <f t="shared" si="21"/>
        <v>0</v>
      </c>
      <c r="BT33" s="33">
        <f>IFERROR(INDEX('[1]SALES PERTYPE'!$D$10:$BA$53,MATCH($C33,'[1]SALES PERTYPE'!$B$10:$B$53,0),MATCH("IQOO 15R",'[1]SALES PERTYPE'!$D$8:$BA$8,0)),0)</f>
        <v>0</v>
      </c>
      <c r="BU33" s="33">
        <f>IFERROR(INDEX('[1]Sales per type Agustus'!$D$10:$BA$52,MATCH($C33,'[1]Sales per type Agustus'!$B$10:$B$52,0),MATCH("IQOO 15R",'[1]Sales per type Agustus'!$D$8:$BA$8,0)),0)</f>
        <v>0</v>
      </c>
      <c r="BV33" s="33">
        <f t="shared" si="22"/>
        <v>0</v>
      </c>
      <c r="BW33" s="33" cm="1">
        <f t="array" ref="BW33">IFERROR(INDEX('[1]SALES PERTYPE'!$D$10:$BA$53,MATCH($C33,'[1]SALES PERTYPE'!$B$10:$B$53,0),MATCH("IQOO 15R",'[1]SALES PERTYPE'!$D$8:$BA$8,0)+1),0)</f>
        <v>0</v>
      </c>
      <c r="BX33" s="33" cm="1">
        <f t="array" ref="BX33">IFERROR(INDEX('[1]Sales per type Agustus'!$D$10:$BA$52,MATCH($C33,'[1]Sales per type Agustus'!$B$10:$B$52,0),MATCH("IQOO 15R",'[1]Sales per type Agustus'!$D$8:$BA$8,0)+1),0)</f>
        <v>0</v>
      </c>
      <c r="BY33" s="33">
        <f t="shared" si="23"/>
        <v>0</v>
      </c>
      <c r="BZ33" s="33">
        <f>IFERROR(INDEX('[1]SALES PERTYPE'!$D$10:$BA$53,MATCH($C33,'[1]SALES PERTYPE'!$B$10:$B$53,0),MATCH("V60 Lite",'[1]SALES PERTYPE'!$D$8:$BA$8,0)),0)</f>
        <v>1</v>
      </c>
      <c r="CA33" s="33">
        <f>IFERROR(INDEX('[1]Sales per type Agustus'!$D$10:$BA$52,MATCH($C33,'[1]Sales per type Agustus'!$B$10:$B$52,0),MATCH("V60 Lite",'[1]Sales per type Agustus'!$D$8:$BA$8,0)),0)</f>
        <v>2</v>
      </c>
      <c r="CB33" s="33">
        <f t="shared" si="24"/>
        <v>-1</v>
      </c>
      <c r="CC33" s="33" cm="1">
        <f t="array" ref="CC33">IFERROR(INDEX('[1]SALES PERTYPE'!$D$10:$BA$53,MATCH($C33,'[1]SALES PERTYPE'!$B$10:$B$53,0),MATCH("V60 Lite",'[1]SALES PERTYPE'!$D$8:$BA$8,0)+1),0)</f>
        <v>5899000</v>
      </c>
      <c r="CD33" s="33" cm="1">
        <f t="array" ref="CD33">IFERROR(INDEX('[1]Sales per type Agustus'!$D$10:$BA$52,MATCH($C33,'[1]Sales per type Agustus'!$B$10:$B$52,0),MATCH("V60 Lite",'[1]Sales per type Agustus'!$D$8:$BA$8,0)+1),0)</f>
        <v>11798000</v>
      </c>
      <c r="CE33" s="33">
        <f t="shared" si="25"/>
        <v>-5899000</v>
      </c>
      <c r="CF33" s="33">
        <f>IFERROR(INDEX('[1]SALES PERTYPE'!$D$10:$BA$53,MATCH($C33,'[1]SALES PERTYPE'!$B$10:$B$53,0),MATCH("X300 Ultra",'[1]SALES PERTYPE'!$D$8:$BA$8,0)),0)</f>
        <v>0</v>
      </c>
      <c r="CG33" s="33">
        <f>IFERROR(INDEX('[1]Sales per type Agustus'!$D$10:$BA$52,MATCH($C33,'[1]Sales per type Agustus'!$B$10:$B$52,0),MATCH("X300 Ultra",'[1]Sales per type Agustus'!$D$8:$BA$8,0)),0)</f>
        <v>0</v>
      </c>
      <c r="CH33" s="33">
        <f t="shared" si="26"/>
        <v>0</v>
      </c>
      <c r="CI33" s="33" cm="1">
        <f t="array" ref="CI33">IFERROR(INDEX('[1]SALES PERTYPE'!$D$10:$BA$53,MATCH($C33,'[1]SALES PERTYPE'!$B$10:$B$53,0),MATCH("X300 Ultra",'[1]SALES PERTYPE'!$D$8:$BA$8,0)+1),0)</f>
        <v>0</v>
      </c>
      <c r="CJ33" s="33" cm="1">
        <f t="array" ref="CJ33">IFERROR(INDEX('[1]Sales per type Agustus'!$D$10:$BA$52,MATCH($C33,'[1]Sales per type Agustus'!$B$10:$B$52,0),MATCH("X300 Ultra",'[1]Sales per type Agustus'!$D$8:$BA$8,0)+1),0)</f>
        <v>0</v>
      </c>
      <c r="CK33" s="33">
        <f t="shared" si="27"/>
        <v>0</v>
      </c>
      <c r="CL33" s="33">
        <f>IFERROR(INDEX('[1]SALES PERTYPE'!$D$10:$BA$53,MATCH($C33,'[1]SALES PERTYPE'!$B$10:$B$53,0),MATCH("IQOO 15",'[1]SALES PERTYPE'!$D$8:$BA$8,0)),0)</f>
        <v>0</v>
      </c>
      <c r="CM33" s="33">
        <f>IFERROR(INDEX('[1]Sales per type Agustus'!$D$10:$BA$52,MATCH($C33,'[1]Sales per type Agustus'!$B$10:$B$52,0),MATCH("IQOO 15",'[1]Sales per type Agustus'!$D$8:$BA$8,0)),0)</f>
        <v>0</v>
      </c>
      <c r="CN33" s="33">
        <f t="shared" si="28"/>
        <v>0</v>
      </c>
      <c r="CO33" s="33" cm="1">
        <f t="array" ref="CO33">IFERROR(INDEX('[1]SALES PERTYPE'!$D$10:$BA$53,MATCH($C33,'[1]SALES PERTYPE'!$B$10:$B$53,0),MATCH("IQOO 15",'[1]SALES PERTYPE'!$D$8:$BA$8,0)+1),0)</f>
        <v>0</v>
      </c>
      <c r="CP33" s="33" cm="1">
        <f t="array" ref="CP33">IFERROR(INDEX('[1]Sales per type Agustus'!$D$10:$BA$52,MATCH($C33,'[1]Sales per type Agustus'!$B$10:$B$52,0),MATCH("IQOO 15",'[1]Sales per type Agustus'!$D$8:$BA$8,0)+1),0)</f>
        <v>0</v>
      </c>
      <c r="CQ33" s="33">
        <f t="shared" si="29"/>
        <v>0</v>
      </c>
      <c r="CR33" s="33">
        <f>IFERROR(INDEX('[1]SALES PERTYPE'!$D$10:$BA$53,MATCH($C33,'[1]SALES PERTYPE'!$B$10:$B$53,0),MATCH("IQOO Z11x",'[1]SALES PERTYPE'!$D$8:$BA$8,0)),0)</f>
        <v>0</v>
      </c>
      <c r="CS33" s="33">
        <f>IFERROR(INDEX('[1]Sales per type Agustus'!$D$10:$BA$52,MATCH($C33,'[1]Sales per type Agustus'!$B$10:$B$52,0),MATCH("IQOO Z11x",'[1]Sales per type Agustus'!$D$8:$BA$8,0)),0)</f>
        <v>1</v>
      </c>
      <c r="CT33" s="33">
        <f t="shared" si="30"/>
        <v>-1</v>
      </c>
      <c r="CU33" s="33" cm="1">
        <f t="array" ref="CU33">IFERROR(INDEX('[1]SALES PERTYPE'!$D$10:$BA$53,MATCH($C33,'[1]SALES PERTYPE'!$B$10:$B$53,0),MATCH("IQOO Z11x",'[1]SALES PERTYPE'!$D$8:$BA$8,0)+1),0)</f>
        <v>0</v>
      </c>
      <c r="CV33" s="33" cm="1">
        <f t="array" ref="CV33">IFERROR(INDEX('[1]Sales per type Agustus'!$D$10:$BA$52,MATCH($C33,'[1]Sales per type Agustus'!$B$10:$B$52,0),MATCH("IQOO Z11x",'[1]Sales per type Agustus'!$D$8:$BA$8,0)+1),0)</f>
        <v>5699000</v>
      </c>
      <c r="CW33" s="33">
        <f t="shared" si="31"/>
        <v>-5699000</v>
      </c>
      <c r="CX33" s="33">
        <f>IFERROR(INDEX('[1]SALES PERTYPE'!$D$10:$BA$53,MATCH($C33,'[1]SALES PERTYPE'!$B$10:$B$53,0),MATCH("IQOO Z11",'[1]SALES PERTYPE'!$D$8:$BA$8,0)),0)</f>
        <v>0</v>
      </c>
      <c r="CY33" s="33">
        <f>IFERROR(INDEX('[1]Sales per type Agustus'!$D$10:$BA$52,MATCH($C33,'[1]Sales per type Agustus'!$B$10:$B$52,0),MATCH("IQOO Z11",'[1]Sales per type Agustus'!$D$8:$BA$8,0)),0)</f>
        <v>0</v>
      </c>
      <c r="CZ33" s="33">
        <f t="shared" si="32"/>
        <v>0</v>
      </c>
      <c r="DA33" s="33" cm="1">
        <f t="array" ref="DA33">IFERROR(INDEX('[1]SALES PERTYPE'!$D$10:$BA$53,MATCH($C33,'[1]SALES PERTYPE'!$B$10:$B$53,0),MATCH("IQOO Z11",'[1]SALES PERTYPE'!$D$8:$BA$8,0)+1),0)</f>
        <v>0</v>
      </c>
      <c r="DB33" s="33" cm="1">
        <f t="array" ref="DB33">IFERROR(INDEX('[1]Sales per type Agustus'!$D$10:$BA$52,MATCH($C33,'[1]Sales per type Agustus'!$B$10:$B$52,0),MATCH("IQOO Z11",'[1]Sales per type Agustus'!$D$8:$BA$8,0)+1),0)</f>
        <v>0</v>
      </c>
      <c r="DC33" s="33">
        <f t="shared" si="33"/>
        <v>0</v>
      </c>
      <c r="DD33" s="33">
        <f>IFERROR(INDEX('[1]SALES PERTYPE'!$D$10:$BA$53,MATCH($C33,'[1]SALES PERTYPE'!$B$10:$B$53,0),MATCH("WATCH 3",'[1]SALES PERTYPE'!$D$8:$BA$8,0)),0)</f>
        <v>0</v>
      </c>
      <c r="DE33" s="33">
        <f>IFERROR(INDEX('[1]Sales per type Agustus'!$D$10:$BA$52,MATCH($C33,'[1]Sales per type Agustus'!$B$10:$B$52,0),MATCH("WATCH 3",'[1]Sales per type Agustus'!$D$8:$BA$8,0)),0)</f>
        <v>0</v>
      </c>
      <c r="DF33" s="33">
        <f t="shared" si="34"/>
        <v>0</v>
      </c>
      <c r="DG33" s="33" cm="1">
        <f t="array" ref="DG33">IFERROR(INDEX('[1]SALES PERTYPE'!$D$10:$BA$53,MATCH($C33,'[1]SALES PERTYPE'!$B$10:$B$53,0),MATCH("WATCH 3",'[1]SALES PERTYPE'!$D$8:$BA$8,0)+1),0)</f>
        <v>0</v>
      </c>
      <c r="DH33" s="33" cm="1">
        <f t="array" ref="DH33">IFERROR(INDEX('[1]Sales per type Agustus'!$D$10:$BA$52,MATCH($C33,'[1]Sales per type Agustus'!$B$10:$B$52,0),MATCH("WATCH 3",'[1]Sales per type Agustus'!$D$8:$BA$8,0)+1),0)</f>
        <v>0</v>
      </c>
      <c r="DI33" s="33">
        <f t="shared" si="35"/>
        <v>0</v>
      </c>
      <c r="DJ33" s="33">
        <f>IFERROR(INDEX('[1]SALES PERTYPE'!$D$10:$BA$53,MATCH($C33,'[1]SALES PERTYPE'!$B$10:$B$53,0),MATCH("X Fold5",'[1]SALES PERTYPE'!$D$8:$BA$8,0)),0)</f>
        <v>0</v>
      </c>
      <c r="DK33" s="33">
        <f>IFERROR(INDEX('[1]Sales per type Agustus'!$D$10:$BA$52,MATCH($C33,'[1]Sales per type Agustus'!$B$10:$B$52,0),MATCH("X Fold5",'[1]Sales per type Agustus'!$D$8:$BA$8,0)),0)</f>
        <v>0</v>
      </c>
      <c r="DL33" s="33">
        <f t="shared" si="36"/>
        <v>0</v>
      </c>
      <c r="DM33" s="33" cm="1">
        <f t="array" ref="DM33">IFERROR(INDEX('[1]SALES PERTYPE'!$D$10:$BA$53,MATCH($C33,'[1]SALES PERTYPE'!$B$10:$B$53,0),MATCH("X Fold5",'[1]SALES PERTYPE'!$D$8:$BA$8,0)+1),0)</f>
        <v>0</v>
      </c>
      <c r="DN33" s="33" cm="1">
        <f t="array" ref="DN33">IFERROR(INDEX('[1]Sales per type Agustus'!$D$10:$BA$52,MATCH($C33,'[1]Sales per type Agustus'!$B$10:$B$52,0),MATCH("X Fold5",'[1]Sales per type Agustus'!$D$8:$BA$8,0)+1),0)</f>
        <v>0</v>
      </c>
      <c r="DO33" s="33">
        <f t="shared" si="37"/>
        <v>0</v>
      </c>
      <c r="DP33" s="33">
        <f>IFERROR(INDEX('[1]SALES PERTYPE'!$D$10:$BA$53,MATCH($C33,'[1]SALES PERTYPE'!$B$10:$B$53,0),MATCH("X300 PRO",'[1]SALES PERTYPE'!$D$8:$BA$8,0)),0)</f>
        <v>0</v>
      </c>
      <c r="DQ33" s="33">
        <f>IFERROR(INDEX('[1]Sales per type Agustus'!$D$10:$BA$52,MATCH($C33,'[1]Sales per type Agustus'!$B$10:$B$52,0),MATCH("X300 PRO",'[1]Sales per type Agustus'!$D$8:$BA$8,0)),0)</f>
        <v>0</v>
      </c>
      <c r="DR33" s="33">
        <f t="shared" si="38"/>
        <v>0</v>
      </c>
      <c r="DS33" s="33" cm="1">
        <f t="array" ref="DS33">IFERROR(INDEX('[1]SALES PERTYPE'!$D$10:$BA$53,MATCH($C33,'[1]SALES PERTYPE'!$B$10:$B$53,0),MATCH("X300 PRO",'[1]SALES PERTYPE'!$D$8:$BA$8,0)+1),0)</f>
        <v>0</v>
      </c>
      <c r="DT33" s="33" cm="1">
        <f t="array" ref="DT33">IFERROR(INDEX('[1]Sales per type Agustus'!$D$10:$BA$52,MATCH($C33,'[1]Sales per type Agustus'!$B$10:$B$52,0),MATCH("X300 PRO",'[1]Sales per type Agustus'!$D$8:$BA$8,0)+1),0)</f>
        <v>0</v>
      </c>
      <c r="DU33" s="33">
        <f t="shared" si="39"/>
        <v>0</v>
      </c>
      <c r="DV33" s="33">
        <f>IFERROR(INDEX('[1]SALES PERTYPE'!$D$10:$BA$53,MATCH($C33,'[1]SALES PERTYPE'!$B$10:$B$53,0),MATCH("X300 ",'[1]SALES PERTYPE'!$D$8:$BA$8,0)),0)</f>
        <v>0</v>
      </c>
      <c r="DW33" s="33">
        <f>IFERROR(INDEX('[1]Sales per type Agustus'!$D$10:$BA$52,MATCH($C33,'[1]Sales per type Agustus'!$B$10:$B$52,0),MATCH("X300 ",'[1]Sales per type Agustus'!$D$8:$BA$8,0)),0)</f>
        <v>0</v>
      </c>
      <c r="DX33" s="33">
        <f t="shared" si="40"/>
        <v>0</v>
      </c>
      <c r="DY33" s="33" cm="1">
        <f t="array" ref="DY33">IFERROR(INDEX('[1]SALES PERTYPE'!$D$10:$BA$53,MATCH($C33,'[1]SALES PERTYPE'!$B$10:$B$53,0),MATCH("X300 ",'[1]SALES PERTYPE'!$D$8:$BA$8,0)+1),0)</f>
        <v>0</v>
      </c>
      <c r="DZ33" s="33" cm="1">
        <f t="array" ref="DZ33">IFERROR(INDEX('[1]Sales per type Agustus'!$D$10:$BA$52,MATCH($C33,'[1]Sales per type Agustus'!$B$10:$B$52,0),MATCH("X300 ",'[1]Sales per type Agustus'!$D$8:$BA$8,0)+1),0)</f>
        <v>0</v>
      </c>
      <c r="EA33" s="33">
        <f t="shared" si="41"/>
        <v>0</v>
      </c>
      <c r="EB33" s="33">
        <f t="shared" si="42"/>
        <v>16</v>
      </c>
      <c r="EC33" s="33">
        <f t="shared" si="42"/>
        <v>14</v>
      </c>
      <c r="ED33" s="33">
        <f t="shared" si="43"/>
        <v>2</v>
      </c>
      <c r="EE33" s="33">
        <f t="shared" si="44"/>
        <v>76984000</v>
      </c>
      <c r="EF33" s="33">
        <f t="shared" si="44"/>
        <v>69486000</v>
      </c>
      <c r="EG33" s="33">
        <f t="shared" si="45"/>
        <v>7498000</v>
      </c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</row>
    <row r="34" spans="1:184" ht="16" x14ac:dyDescent="0.2">
      <c r="A34" s="214">
        <f>'[1]ACHIEVEMENT STORE'!A34</f>
        <v>30</v>
      </c>
      <c r="B34" s="215" t="str">
        <f>'[1]ACHIEVEMENT STORE'!B34</f>
        <v>624-万丹BANTEN</v>
      </c>
      <c r="C34" s="214">
        <f>'[1]ACHIEVEMENT STORE'!C34</f>
        <v>6240708</v>
      </c>
      <c r="D34" s="215" t="str">
        <f>'[1]ACHIEVEMENT STORE'!D34</f>
        <v>6240708-ITC BSD 1F09-14</v>
      </c>
      <c r="E34" s="215" t="str">
        <f>'[1]ACHIEVEMENT STORE'!E34</f>
        <v>ARIES FITRIYANTO</v>
      </c>
      <c r="F34" s="33">
        <f>IFERROR(INDEX('[1]SALES PERTYPE'!$D$10:$BA$53,MATCH($C34,'[1]SALES PERTYPE'!$B$10:$B$53,0),MATCH("Y05",'[1]SALES PERTYPE'!$D$8:$BA$8,0)),0)</f>
        <v>5</v>
      </c>
      <c r="G34" s="33">
        <f>IFERROR(INDEX('[1]Sales per type Agustus'!$D$10:$BA$52,MATCH($C34,'[1]Sales per type Agustus'!$B$10:$B$52,0),MATCH("Y05",'[1]Sales per type Agustus'!$D$8:$BA$8,0)),0)</f>
        <v>1</v>
      </c>
      <c r="H34" s="33">
        <f t="shared" si="0"/>
        <v>4</v>
      </c>
      <c r="I34" s="33" cm="1">
        <f t="array" ref="I34">IFERROR(INDEX('[1]SALES PERTYPE'!$D$10:$BA$53,MATCH($C34,'[1]SALES PERTYPE'!$B$10:$B$53,0),MATCH("Y05",'[1]SALES PERTYPE'!$D$8:$BA$8,0)+1),0)</f>
        <v>11795000</v>
      </c>
      <c r="J34" s="33" cm="1">
        <f t="array" ref="J34">IFERROR(INDEX('[1]Sales per type Agustus'!$D$10:$BA$52,MATCH($C34,'[1]Sales per type Agustus'!$B$10:$B$52,0),MATCH("Y05",'[1]Sales per type Agustus'!$D$8:$BA$8,0)+1),0)</f>
        <v>2599000</v>
      </c>
      <c r="K34" s="33">
        <f t="shared" si="1"/>
        <v>9196000</v>
      </c>
      <c r="L34" s="33">
        <f>IFERROR(INDEX('[1]SALES PERTYPE'!$D$10:$BA$53,MATCH($C34,'[1]SALES PERTYPE'!$B$10:$B$53,0),MATCH("Y11d",'[1]SALES PERTYPE'!$D$8:$BA$8,0)),0)</f>
        <v>2</v>
      </c>
      <c r="M34" s="33">
        <f>IFERROR(INDEX('[1]Sales per type Agustus'!$D$10:$BA$52,MATCH($C34,'[1]Sales per type Agustus'!$B$10:$B$52,0),MATCH("Y11d",'[1]Sales per type Agustus'!$D$8:$BA$8,0)),0)</f>
        <v>6</v>
      </c>
      <c r="N34" s="33">
        <f t="shared" si="2"/>
        <v>-4</v>
      </c>
      <c r="O34" s="33" cm="1">
        <f t="array" ref="O34">IFERROR(INDEX('[1]SALES PERTYPE'!$D$10:$BA$53,MATCH($C34,'[1]SALES PERTYPE'!$B$10:$B$53,0),MATCH("Y11d",'[1]SALES PERTYPE'!$D$8:$BA$8,0)+1),0)</f>
        <v>5198000</v>
      </c>
      <c r="P34" s="33" cm="1">
        <f t="array" ref="P34">IFERROR(INDEX('[1]Sales per type Agustus'!$D$10:$BA$52,MATCH($C34,'[1]Sales per type Agustus'!$B$10:$B$52,0),MATCH("Y11d",'[1]Sales per type Agustus'!$D$8:$BA$8,0)+1),0)</f>
        <v>16394000</v>
      </c>
      <c r="Q34" s="33">
        <f t="shared" si="3"/>
        <v>-11196000</v>
      </c>
      <c r="R34" s="33">
        <f>IFERROR(INDEX('[1]SALES PERTYPE'!$D$10:$BA$53,MATCH($C34,'[1]SALES PERTYPE'!$B$10:$B$53,0),MATCH("Watch GT 2",'[1]SALES PERTYPE'!$D$8:$BA$8,0)),0)</f>
        <v>0</v>
      </c>
      <c r="S34" s="33">
        <f>IFERROR(INDEX('[1]Sales per type Agustus'!$D$10:$BA$52,MATCH($C34,'[1]Sales per type Agustus'!$B$10:$B$52,0),MATCH("Watch GT 2",'[1]Sales per type Agustus'!$D$8:$BA$8,0)),0)</f>
        <v>0</v>
      </c>
      <c r="T34" s="33">
        <f t="shared" si="4"/>
        <v>0</v>
      </c>
      <c r="U34" s="33" cm="1">
        <f t="array" ref="U34">IFERROR(INDEX('[1]SALES PERTYPE'!$D$10:$BA$53,MATCH($C34,'[1]SALES PERTYPE'!$B$10:$B$53,0),MATCH("Watch GT 2",'[1]SALES PERTYPE'!$D$8:$BA$8,0)+1),0)</f>
        <v>0</v>
      </c>
      <c r="V34" s="33" cm="1">
        <f t="array" ref="V34">IFERROR(INDEX('[1]Sales per type Agustus'!$D$10:$BA$52,MATCH($C34,'[1]Sales per type Agustus'!$B$10:$B$52,0),MATCH("Watch GT 2",'[1]Sales per type Agustus'!$D$8:$BA$8,0)+1),0)</f>
        <v>0</v>
      </c>
      <c r="W34" s="33">
        <f t="shared" si="5"/>
        <v>0</v>
      </c>
      <c r="X34" s="33">
        <f>IFERROR(INDEX('[1]SALES PERTYPE'!$D$10:$BA$53,MATCH($C34,'[1]SALES PERTYPE'!$B$10:$B$53,0),MATCH("Y05e",'[1]SALES PERTYPE'!$D$8:$BA$8,0)),0)</f>
        <v>3</v>
      </c>
      <c r="Y34" s="33">
        <f>IFERROR(INDEX('[1]Sales per type Agustus'!$D$10:$BA$52,MATCH($C34,'[1]Sales per type Agustus'!$B$10:$B$52,0),MATCH("Y05e",'[1]Sales per type Agustus'!$D$8:$BA$8,0)),0)</f>
        <v>1</v>
      </c>
      <c r="Z34" s="33">
        <f t="shared" si="6"/>
        <v>2</v>
      </c>
      <c r="AA34" s="33" cm="1">
        <f t="array" ref="AA34">IFERROR(INDEX('[1]SALES PERTYPE'!$D$10:$BA$53,MATCH($C34,'[1]SALES PERTYPE'!$B$10:$B$53,0),MATCH("Y05e",'[1]SALES PERTYPE'!$D$8:$BA$8,0)+1),0)</f>
        <v>6897000</v>
      </c>
      <c r="AB34" s="33" cm="1">
        <f t="array" ref="AB34">IFERROR(INDEX('[1]Sales per type Agustus'!$D$10:$BA$52,MATCH($C34,'[1]Sales per type Agustus'!$B$10:$B$52,0),MATCH("Y05e",'[1]Sales per type Agustus'!$D$8:$BA$8,0)+1),0)</f>
        <v>2099000</v>
      </c>
      <c r="AC34" s="33">
        <f t="shared" si="7"/>
        <v>4798000</v>
      </c>
      <c r="AD34" s="33">
        <f>IFERROR(INDEX('[1]SALES PERTYPE'!$D$10:$BA$53,MATCH($C34,'[1]SALES PERTYPE'!$B$10:$B$53,0),MATCH("V70",'[1]SALES PERTYPE'!$D$8:$BA$8,0)),0)</f>
        <v>2</v>
      </c>
      <c r="AE34" s="33">
        <f>IFERROR(INDEX('[1]Sales per type Agustus'!$D$10:$BA$52,MATCH($C34,'[1]Sales per type Agustus'!$B$10:$B$52,0),MATCH("V70",'[1]Sales per type Agustus'!$D$8:$BA$8,0)),0)</f>
        <v>0</v>
      </c>
      <c r="AF34" s="33">
        <f t="shared" si="8"/>
        <v>2</v>
      </c>
      <c r="AG34" s="33" cm="1">
        <f t="array" ref="AG34">IFERROR(INDEX('[1]SALES PERTYPE'!$D$10:$BA$53,MATCH($C34,'[1]SALES PERTYPE'!$B$10:$B$53,0),MATCH("V70",'[1]SALES PERTYPE'!$D$8:$BA$8,0)+1),0)</f>
        <v>18998000</v>
      </c>
      <c r="AH34" s="33" cm="1">
        <f t="array" ref="AH34">IFERROR(INDEX('[1]Sales per type Agustus'!$D$10:$BA$52,MATCH($C34,'[1]Sales per type Agustus'!$B$10:$B$52,0),MATCH("V70",'[1]Sales per type Agustus'!$D$8:$BA$8,0)+1),0)</f>
        <v>0</v>
      </c>
      <c r="AI34" s="33">
        <f t="shared" si="9"/>
        <v>18998000</v>
      </c>
      <c r="AJ34" s="33">
        <f>IFERROR(INDEX('[1]SALES PERTYPE'!$D$10:$BA$53,MATCH($C34,'[1]SALES PERTYPE'!$B$10:$B$53,0),MATCH("Y31d Pro",'[1]SALES PERTYPE'!$D$8:$BA$8,0)),0)</f>
        <v>1</v>
      </c>
      <c r="AK34" s="33">
        <f>IFERROR(INDEX('[1]Sales per type Agustus'!$D$10:$BA$52,MATCH($C34,'[1]Sales per type Agustus'!$B$10:$B$52,0),MATCH("Y31d Pro",'[1]Sales per type Agustus'!$D$8:$BA$8,0)),0)</f>
        <v>7</v>
      </c>
      <c r="AL34" s="33">
        <f t="shared" si="10"/>
        <v>-6</v>
      </c>
      <c r="AM34" s="33" cm="1">
        <f t="array" ref="AM34">IFERROR(INDEX('[1]SALES PERTYPE'!$D$10:$BA$53,MATCH($C34,'[1]SALES PERTYPE'!$B$10:$B$53,0),MATCH("Y31d Pro",'[1]SALES PERTYPE'!$D$8:$BA$8,0)+1),0)</f>
        <v>3899000</v>
      </c>
      <c r="AN34" s="33" cm="1">
        <f t="array" ref="AN34">IFERROR(INDEX('[1]Sales per type Agustus'!$D$10:$BA$52,MATCH($C34,'[1]Sales per type Agustus'!$B$10:$B$52,0),MATCH("Y31d Pro",'[1]Sales per type Agustus'!$D$8:$BA$8,0)+1),0)</f>
        <v>29693000</v>
      </c>
      <c r="AO34" s="33">
        <f t="shared" si="11"/>
        <v>-25794000</v>
      </c>
      <c r="AP34" s="33" cm="1">
        <f t="array" ref="AP34">IFERROR(INDEX('[1]SALES PERTYPE'!$D$10:$BA$53,MATCH($C34,'[1]SALES PERTYPE'!$B$10:$B$53,0),$EI$3),0)</f>
        <v>1</v>
      </c>
      <c r="AQ34" s="33" cm="1">
        <f t="array" ref="AQ34">IFERROR(INDEX('[1]Sales per type Agustus'!$D$10:$BA$52,MATCH($C34,'[1]Sales per type Agustus'!$B$10:$B$52,0),$EI$2),0)</f>
        <v>1</v>
      </c>
      <c r="AR34" s="33">
        <f t="shared" si="12"/>
        <v>0</v>
      </c>
      <c r="AS34" s="33" cm="1">
        <f t="array" ref="AS34">IFERROR(INDEX('[1]SALES PERTYPE'!$D$10:$BA$53,MATCH($C34,'[1]SALES PERTYPE'!$B$10:$B$53,0),$EI$3+1),0)</f>
        <v>3299000</v>
      </c>
      <c r="AT34" s="33" cm="1">
        <f t="array" ref="AT34">IFERROR(INDEX('[1]Sales per type Agustus'!$D$10:$BA$52,MATCH($C34,'[1]Sales per type Agustus'!$B$10:$B$52,0),$EI$2+1),0)</f>
        <v>3599000</v>
      </c>
      <c r="AU34" s="33">
        <f t="shared" si="13"/>
        <v>-300000</v>
      </c>
      <c r="AV34" s="33">
        <f>IFERROR(INDEX('[1]SALES PERTYPE'!$D$10:$BA$53,MATCH($C34,'[1]SALES PERTYPE'!$B$10:$B$53,0),MATCH("Y31d ",'[1]SALES PERTYPE'!$D$8:$BA$8,0)),0)</f>
        <v>0</v>
      </c>
      <c r="AW34" s="33">
        <f>IFERROR(INDEX('[1]Sales per type Agustus'!$D$10:$BA$52,MATCH($C34,'[1]Sales per type Agustus'!$B$10:$B$52,0),MATCH("Y31d ",'[1]Sales per type Agustus'!$D$8:$BA$8,0)),0)</f>
        <v>0</v>
      </c>
      <c r="AX34" s="33">
        <f t="shared" si="14"/>
        <v>0</v>
      </c>
      <c r="AY34" s="33" cm="1">
        <f t="array" ref="AY34">IFERROR(INDEX('[1]SALES PERTYPE'!$D$10:$BA$53,MATCH($C34,'[1]SALES PERTYPE'!$B$10:$B$53,0),MATCH("Y31d ",'[1]SALES PERTYPE'!$D$8:$BA$8,0)+1),0)</f>
        <v>0</v>
      </c>
      <c r="AZ34" s="33" cm="1">
        <f t="array" ref="AZ34">IFERROR(INDEX('[1]Sales per type Agustus'!$D$10:$BA$52,MATCH($C34,'[1]Sales per type Agustus'!$B$10:$B$52,0),MATCH("Y31d ",'[1]Sales per type Agustus'!$D$8:$BA$8,0)+1),0)</f>
        <v>0</v>
      </c>
      <c r="BA34" s="33">
        <f t="shared" si="15"/>
        <v>0</v>
      </c>
      <c r="BB34" s="33">
        <f>IFERROR(INDEX('[1]SALES PERTYPE'!$D$10:$BA$53,MATCH($C34,'[1]SALES PERTYPE'!$B$10:$B$53,0),MATCH("V70 FE",'[1]SALES PERTYPE'!$D$8:$BA$8,0)),0)</f>
        <v>1</v>
      </c>
      <c r="BC34" s="33">
        <f>IFERROR(INDEX('[1]Sales per type Agustus'!$D$10:$BA$52,MATCH($C34,'[1]Sales per type Agustus'!$B$10:$B$52,0),MATCH("V70 FE",'[1]Sales per type Agustus'!$D$8:$BA$8,0)),0)</f>
        <v>4</v>
      </c>
      <c r="BD34" s="33">
        <f t="shared" si="16"/>
        <v>-3</v>
      </c>
      <c r="BE34" s="33" cm="1">
        <f t="array" ref="BE34">IFERROR(INDEX('[1]SALES PERTYPE'!$D$10:$BA$53,MATCH($C34,'[1]SALES PERTYPE'!$B$10:$B$53,0),MATCH("V70 FE",'[1]SALES PERTYPE'!$D$8:$BA$8,0)+1),0)</f>
        <v>6999000</v>
      </c>
      <c r="BF34" s="33" cm="1">
        <f t="array" ref="BF34">IFERROR(INDEX('[1]Sales per type Agustus'!$D$10:$BA$52,MATCH($C34,'[1]Sales per type Agustus'!$B$10:$B$52,0),MATCH("V70 FE",'[1]Sales per type Agustus'!$D$8:$BA$8,0)+1),0)</f>
        <v>31996000</v>
      </c>
      <c r="BG34" s="33">
        <f t="shared" si="17"/>
        <v>-24997000</v>
      </c>
      <c r="BH34" s="33">
        <f>IFERROR(INDEX('[1]SALES PERTYPE'!$D$10:$BA$53,MATCH($C34,'[1]SALES PERTYPE'!$B$10:$B$53,0),MATCH("Y31d",'[1]SALES PERTYPE'!$D$8:$BA$8,0)),0)</f>
        <v>0</v>
      </c>
      <c r="BI34" s="33">
        <f>IFERROR(INDEX('[1]Sales per type Agustus'!$D$10:$BA$52,MATCH($C34,'[1]Sales per type Agustus'!$B$10:$B$52,0),MATCH("Y31d",'[1]Sales per type Agustus'!$D$8:$BA$8,0)),0)</f>
        <v>0</v>
      </c>
      <c r="BJ34" s="33">
        <f t="shared" si="18"/>
        <v>0</v>
      </c>
      <c r="BK34" s="33" cm="1">
        <f t="array" ref="BK34">IFERROR(INDEX('[1]SALES PERTYPE'!$D$10:$BA$53,MATCH($C34,'[1]SALES PERTYPE'!$B$10:$B$53,0),MATCH("Y31d",'[1]SALES PERTYPE'!$D$8:$BA$8,0)+1),0)</f>
        <v>0</v>
      </c>
      <c r="BL34" s="33" cm="1">
        <f t="array" ref="BL34">IFERROR(INDEX('[1]Sales per type Agustus'!$D$10:$BA$52,MATCH($C34,'[1]Sales per type Agustus'!$B$10:$B$52,0),MATCH("Y31d",'[1]Sales per type Agustus'!$D$8:$BA$8,0)+1),0)</f>
        <v>0</v>
      </c>
      <c r="BM34" s="33">
        <f t="shared" si="19"/>
        <v>0</v>
      </c>
      <c r="BN34" s="33">
        <f>IFERROR(INDEX('[1]SALES PERTYPE'!$D$10:$BA$53,MATCH($C34,'[1]SALES PERTYPE'!$B$10:$B$53,0),MATCH("Y500",'[1]SALES PERTYPE'!$D$8:$BA$8,0)),0)</f>
        <v>1</v>
      </c>
      <c r="BO34" s="33">
        <f>IFERROR(INDEX('[1]Sales per type Agustus'!$D$10:$BA$52,MATCH($C34,'[1]Sales per type Agustus'!$B$10:$B$52,0),MATCH("Y500",'[1]Sales per type Agustus'!$D$8:$BA$8,0)),0)</f>
        <v>1</v>
      </c>
      <c r="BP34" s="33">
        <f t="shared" si="20"/>
        <v>0</v>
      </c>
      <c r="BQ34" s="33" cm="1">
        <f t="array" ref="BQ34">IFERROR(INDEX('[1]SALES PERTYPE'!$D$10:$BA$53,MATCH($C34,'[1]SALES PERTYPE'!$B$10:$B$53,0),MATCH("Y500",'[1]SALES PERTYPE'!$D$8:$BA$8,0)+1),0)</f>
        <v>6299000</v>
      </c>
      <c r="BR34" s="33" cm="1">
        <f t="array" ref="BR34">IFERROR(INDEX('[1]Sales per type Agustus'!$D$10:$BA$52,MATCH($C34,'[1]Sales per type Agustus'!$B$10:$B$52,0),MATCH("Y500",'[1]Sales per type Agustus'!$D$8:$BA$8,0)+1),0)</f>
        <v>5499000</v>
      </c>
      <c r="BS34" s="33">
        <f t="shared" si="21"/>
        <v>800000</v>
      </c>
      <c r="BT34" s="33">
        <f>IFERROR(INDEX('[1]SALES PERTYPE'!$D$10:$BA$53,MATCH($C34,'[1]SALES PERTYPE'!$B$10:$B$53,0),MATCH("IQOO 15R",'[1]SALES PERTYPE'!$D$8:$BA$8,0)),0)</f>
        <v>0</v>
      </c>
      <c r="BU34" s="33">
        <f>IFERROR(INDEX('[1]Sales per type Agustus'!$D$10:$BA$52,MATCH($C34,'[1]Sales per type Agustus'!$B$10:$B$52,0),MATCH("IQOO 15R",'[1]Sales per type Agustus'!$D$8:$BA$8,0)),0)</f>
        <v>0</v>
      </c>
      <c r="BV34" s="33">
        <f t="shared" si="22"/>
        <v>0</v>
      </c>
      <c r="BW34" s="33" cm="1">
        <f t="array" ref="BW34">IFERROR(INDEX('[1]SALES PERTYPE'!$D$10:$BA$53,MATCH($C34,'[1]SALES PERTYPE'!$B$10:$B$53,0),MATCH("IQOO 15R",'[1]SALES PERTYPE'!$D$8:$BA$8,0)+1),0)</f>
        <v>0</v>
      </c>
      <c r="BX34" s="33" cm="1">
        <f t="array" ref="BX34">IFERROR(INDEX('[1]Sales per type Agustus'!$D$10:$BA$52,MATCH($C34,'[1]Sales per type Agustus'!$B$10:$B$52,0),MATCH("IQOO 15R",'[1]Sales per type Agustus'!$D$8:$BA$8,0)+1),0)</f>
        <v>0</v>
      </c>
      <c r="BY34" s="33">
        <f t="shared" si="23"/>
        <v>0</v>
      </c>
      <c r="BZ34" s="33">
        <f>IFERROR(INDEX('[1]SALES PERTYPE'!$D$10:$BA$53,MATCH($C34,'[1]SALES PERTYPE'!$B$10:$B$53,0),MATCH("V60 Lite",'[1]SALES PERTYPE'!$D$8:$BA$8,0)),0)</f>
        <v>0</v>
      </c>
      <c r="CA34" s="33">
        <f>IFERROR(INDEX('[1]Sales per type Agustus'!$D$10:$BA$52,MATCH($C34,'[1]Sales per type Agustus'!$B$10:$B$52,0),MATCH("V60 Lite",'[1]Sales per type Agustus'!$D$8:$BA$8,0)),0)</f>
        <v>0</v>
      </c>
      <c r="CB34" s="33">
        <f t="shared" si="24"/>
        <v>0</v>
      </c>
      <c r="CC34" s="33" cm="1">
        <f t="array" ref="CC34">IFERROR(INDEX('[1]SALES PERTYPE'!$D$10:$BA$53,MATCH($C34,'[1]SALES PERTYPE'!$B$10:$B$53,0),MATCH("V60 Lite",'[1]SALES PERTYPE'!$D$8:$BA$8,0)+1),0)</f>
        <v>0</v>
      </c>
      <c r="CD34" s="33" cm="1">
        <f t="array" ref="CD34">IFERROR(INDEX('[1]Sales per type Agustus'!$D$10:$BA$52,MATCH($C34,'[1]Sales per type Agustus'!$B$10:$B$52,0),MATCH("V60 Lite",'[1]Sales per type Agustus'!$D$8:$BA$8,0)+1),0)</f>
        <v>0</v>
      </c>
      <c r="CE34" s="33">
        <f t="shared" si="25"/>
        <v>0</v>
      </c>
      <c r="CF34" s="33">
        <f>IFERROR(INDEX('[1]SALES PERTYPE'!$D$10:$BA$53,MATCH($C34,'[1]SALES PERTYPE'!$B$10:$B$53,0),MATCH("X300 Ultra",'[1]SALES PERTYPE'!$D$8:$BA$8,0)),0)</f>
        <v>0</v>
      </c>
      <c r="CG34" s="33">
        <f>IFERROR(INDEX('[1]Sales per type Agustus'!$D$10:$BA$52,MATCH($C34,'[1]Sales per type Agustus'!$B$10:$B$52,0),MATCH("X300 Ultra",'[1]Sales per type Agustus'!$D$8:$BA$8,0)),0)</f>
        <v>0</v>
      </c>
      <c r="CH34" s="33">
        <f t="shared" si="26"/>
        <v>0</v>
      </c>
      <c r="CI34" s="33" cm="1">
        <f t="array" ref="CI34">IFERROR(INDEX('[1]SALES PERTYPE'!$D$10:$BA$53,MATCH($C34,'[1]SALES PERTYPE'!$B$10:$B$53,0),MATCH("X300 Ultra",'[1]SALES PERTYPE'!$D$8:$BA$8,0)+1),0)</f>
        <v>0</v>
      </c>
      <c r="CJ34" s="33" cm="1">
        <f t="array" ref="CJ34">IFERROR(INDEX('[1]Sales per type Agustus'!$D$10:$BA$52,MATCH($C34,'[1]Sales per type Agustus'!$B$10:$B$52,0),MATCH("X300 Ultra",'[1]Sales per type Agustus'!$D$8:$BA$8,0)+1),0)</f>
        <v>0</v>
      </c>
      <c r="CK34" s="33">
        <f t="shared" si="27"/>
        <v>0</v>
      </c>
      <c r="CL34" s="33">
        <f>IFERROR(INDEX('[1]SALES PERTYPE'!$D$10:$BA$53,MATCH($C34,'[1]SALES PERTYPE'!$B$10:$B$53,0),MATCH("IQOO 15",'[1]SALES PERTYPE'!$D$8:$BA$8,0)),0)</f>
        <v>0</v>
      </c>
      <c r="CM34" s="33">
        <f>IFERROR(INDEX('[1]Sales per type Agustus'!$D$10:$BA$52,MATCH($C34,'[1]Sales per type Agustus'!$B$10:$B$52,0),MATCH("IQOO 15",'[1]Sales per type Agustus'!$D$8:$BA$8,0)),0)</f>
        <v>0</v>
      </c>
      <c r="CN34" s="33">
        <f t="shared" si="28"/>
        <v>0</v>
      </c>
      <c r="CO34" s="33" cm="1">
        <f t="array" ref="CO34">IFERROR(INDEX('[1]SALES PERTYPE'!$D$10:$BA$53,MATCH($C34,'[1]SALES PERTYPE'!$B$10:$B$53,0),MATCH("IQOO 15",'[1]SALES PERTYPE'!$D$8:$BA$8,0)+1),0)</f>
        <v>0</v>
      </c>
      <c r="CP34" s="33" cm="1">
        <f t="array" ref="CP34">IFERROR(INDEX('[1]Sales per type Agustus'!$D$10:$BA$52,MATCH($C34,'[1]Sales per type Agustus'!$B$10:$B$52,0),MATCH("IQOO 15",'[1]Sales per type Agustus'!$D$8:$BA$8,0)+1),0)</f>
        <v>0</v>
      </c>
      <c r="CQ34" s="33">
        <f t="shared" si="29"/>
        <v>0</v>
      </c>
      <c r="CR34" s="33">
        <f>IFERROR(INDEX('[1]SALES PERTYPE'!$D$10:$BA$53,MATCH($C34,'[1]SALES PERTYPE'!$B$10:$B$53,0),MATCH("IQOO Z11x",'[1]SALES PERTYPE'!$D$8:$BA$8,0)),0)</f>
        <v>1</v>
      </c>
      <c r="CS34" s="33">
        <f>IFERROR(INDEX('[1]Sales per type Agustus'!$D$10:$BA$52,MATCH($C34,'[1]Sales per type Agustus'!$B$10:$B$52,0),MATCH("IQOO Z11x",'[1]Sales per type Agustus'!$D$8:$BA$8,0)),0)</f>
        <v>0</v>
      </c>
      <c r="CT34" s="33">
        <f t="shared" si="30"/>
        <v>1</v>
      </c>
      <c r="CU34" s="33" cm="1">
        <f t="array" ref="CU34">IFERROR(INDEX('[1]SALES PERTYPE'!$D$10:$BA$53,MATCH($C34,'[1]SALES PERTYPE'!$B$10:$B$53,0),MATCH("IQOO Z11x",'[1]SALES PERTYPE'!$D$8:$BA$8,0)+1),0)</f>
        <v>4799000</v>
      </c>
      <c r="CV34" s="33" cm="1">
        <f t="array" ref="CV34">IFERROR(INDEX('[1]Sales per type Agustus'!$D$10:$BA$52,MATCH($C34,'[1]Sales per type Agustus'!$B$10:$B$52,0),MATCH("IQOO Z11x",'[1]Sales per type Agustus'!$D$8:$BA$8,0)+1),0)</f>
        <v>0</v>
      </c>
      <c r="CW34" s="33">
        <f t="shared" si="31"/>
        <v>4799000</v>
      </c>
      <c r="CX34" s="33">
        <f>IFERROR(INDEX('[1]SALES PERTYPE'!$D$10:$BA$53,MATCH($C34,'[1]SALES PERTYPE'!$B$10:$B$53,0),MATCH("IQOO Z11",'[1]SALES PERTYPE'!$D$8:$BA$8,0)),0)</f>
        <v>0</v>
      </c>
      <c r="CY34" s="33">
        <f>IFERROR(INDEX('[1]Sales per type Agustus'!$D$10:$BA$52,MATCH($C34,'[1]Sales per type Agustus'!$B$10:$B$52,0),MATCH("IQOO Z11",'[1]Sales per type Agustus'!$D$8:$BA$8,0)),0)</f>
        <v>0</v>
      </c>
      <c r="CZ34" s="33">
        <f t="shared" si="32"/>
        <v>0</v>
      </c>
      <c r="DA34" s="33" cm="1">
        <f t="array" ref="DA34">IFERROR(INDEX('[1]SALES PERTYPE'!$D$10:$BA$53,MATCH($C34,'[1]SALES PERTYPE'!$B$10:$B$53,0),MATCH("IQOO Z11",'[1]SALES PERTYPE'!$D$8:$BA$8,0)+1),0)</f>
        <v>0</v>
      </c>
      <c r="DB34" s="33" cm="1">
        <f t="array" ref="DB34">IFERROR(INDEX('[1]Sales per type Agustus'!$D$10:$BA$52,MATCH($C34,'[1]Sales per type Agustus'!$B$10:$B$52,0),MATCH("IQOO Z11",'[1]Sales per type Agustus'!$D$8:$BA$8,0)+1),0)</f>
        <v>0</v>
      </c>
      <c r="DC34" s="33">
        <f t="shared" si="33"/>
        <v>0</v>
      </c>
      <c r="DD34" s="33">
        <f>IFERROR(INDEX('[1]SALES PERTYPE'!$D$10:$BA$53,MATCH($C34,'[1]SALES PERTYPE'!$B$10:$B$53,0),MATCH("WATCH 3",'[1]SALES PERTYPE'!$D$8:$BA$8,0)),0)</f>
        <v>0</v>
      </c>
      <c r="DE34" s="33">
        <f>IFERROR(INDEX('[1]Sales per type Agustus'!$D$10:$BA$52,MATCH($C34,'[1]Sales per type Agustus'!$B$10:$B$52,0),MATCH("WATCH 3",'[1]Sales per type Agustus'!$D$8:$BA$8,0)),0)</f>
        <v>0</v>
      </c>
      <c r="DF34" s="33">
        <f t="shared" si="34"/>
        <v>0</v>
      </c>
      <c r="DG34" s="33" cm="1">
        <f t="array" ref="DG34">IFERROR(INDEX('[1]SALES PERTYPE'!$D$10:$BA$53,MATCH($C34,'[1]SALES PERTYPE'!$B$10:$B$53,0),MATCH("WATCH 3",'[1]SALES PERTYPE'!$D$8:$BA$8,0)+1),0)</f>
        <v>0</v>
      </c>
      <c r="DH34" s="33" cm="1">
        <f t="array" ref="DH34">IFERROR(INDEX('[1]Sales per type Agustus'!$D$10:$BA$52,MATCH($C34,'[1]Sales per type Agustus'!$B$10:$B$52,0),MATCH("WATCH 3",'[1]Sales per type Agustus'!$D$8:$BA$8,0)+1),0)</f>
        <v>0</v>
      </c>
      <c r="DI34" s="33">
        <f t="shared" si="35"/>
        <v>0</v>
      </c>
      <c r="DJ34" s="33">
        <f>IFERROR(INDEX('[1]SALES PERTYPE'!$D$10:$BA$53,MATCH($C34,'[1]SALES PERTYPE'!$B$10:$B$53,0),MATCH("X Fold5",'[1]SALES PERTYPE'!$D$8:$BA$8,0)),0)</f>
        <v>0</v>
      </c>
      <c r="DK34" s="33">
        <f>IFERROR(INDEX('[1]Sales per type Agustus'!$D$10:$BA$52,MATCH($C34,'[1]Sales per type Agustus'!$B$10:$B$52,0),MATCH("X Fold5",'[1]Sales per type Agustus'!$D$8:$BA$8,0)),0)</f>
        <v>0</v>
      </c>
      <c r="DL34" s="33">
        <f t="shared" si="36"/>
        <v>0</v>
      </c>
      <c r="DM34" s="33" cm="1">
        <f t="array" ref="DM34">IFERROR(INDEX('[1]SALES PERTYPE'!$D$10:$BA$53,MATCH($C34,'[1]SALES PERTYPE'!$B$10:$B$53,0),MATCH("X Fold5",'[1]SALES PERTYPE'!$D$8:$BA$8,0)+1),0)</f>
        <v>0</v>
      </c>
      <c r="DN34" s="33" cm="1">
        <f t="array" ref="DN34">IFERROR(INDEX('[1]Sales per type Agustus'!$D$10:$BA$52,MATCH($C34,'[1]Sales per type Agustus'!$B$10:$B$52,0),MATCH("X Fold5",'[1]Sales per type Agustus'!$D$8:$BA$8,0)+1),0)</f>
        <v>0</v>
      </c>
      <c r="DO34" s="33">
        <f t="shared" si="37"/>
        <v>0</v>
      </c>
      <c r="DP34" s="33">
        <f>IFERROR(INDEX('[1]SALES PERTYPE'!$D$10:$BA$53,MATCH($C34,'[1]SALES PERTYPE'!$B$10:$B$53,0),MATCH("X300 PRO",'[1]SALES PERTYPE'!$D$8:$BA$8,0)),0)</f>
        <v>0</v>
      </c>
      <c r="DQ34" s="33">
        <f>IFERROR(INDEX('[1]Sales per type Agustus'!$D$10:$BA$52,MATCH($C34,'[1]Sales per type Agustus'!$B$10:$B$52,0),MATCH("X300 PRO",'[1]Sales per type Agustus'!$D$8:$BA$8,0)),0)</f>
        <v>0</v>
      </c>
      <c r="DR34" s="33">
        <f t="shared" si="38"/>
        <v>0</v>
      </c>
      <c r="DS34" s="33" cm="1">
        <f t="array" ref="DS34">IFERROR(INDEX('[1]SALES PERTYPE'!$D$10:$BA$53,MATCH($C34,'[1]SALES PERTYPE'!$B$10:$B$53,0),MATCH("X300 PRO",'[1]SALES PERTYPE'!$D$8:$BA$8,0)+1),0)</f>
        <v>0</v>
      </c>
      <c r="DT34" s="33" cm="1">
        <f t="array" ref="DT34">IFERROR(INDEX('[1]Sales per type Agustus'!$D$10:$BA$52,MATCH($C34,'[1]Sales per type Agustus'!$B$10:$B$52,0),MATCH("X300 PRO",'[1]Sales per type Agustus'!$D$8:$BA$8,0)+1),0)</f>
        <v>0</v>
      </c>
      <c r="DU34" s="33">
        <f t="shared" si="39"/>
        <v>0</v>
      </c>
      <c r="DV34" s="33">
        <f>IFERROR(INDEX('[1]SALES PERTYPE'!$D$10:$BA$53,MATCH($C34,'[1]SALES PERTYPE'!$B$10:$B$53,0),MATCH("X300 ",'[1]SALES PERTYPE'!$D$8:$BA$8,0)),0)</f>
        <v>0</v>
      </c>
      <c r="DW34" s="33">
        <f>IFERROR(INDEX('[1]Sales per type Agustus'!$D$10:$BA$52,MATCH($C34,'[1]Sales per type Agustus'!$B$10:$B$52,0),MATCH("X300 ",'[1]Sales per type Agustus'!$D$8:$BA$8,0)),0)</f>
        <v>0</v>
      </c>
      <c r="DX34" s="33">
        <f t="shared" si="40"/>
        <v>0</v>
      </c>
      <c r="DY34" s="33" cm="1">
        <f t="array" ref="DY34">IFERROR(INDEX('[1]SALES PERTYPE'!$D$10:$BA$53,MATCH($C34,'[1]SALES PERTYPE'!$B$10:$B$53,0),MATCH("X300 ",'[1]SALES PERTYPE'!$D$8:$BA$8,0)+1),0)</f>
        <v>0</v>
      </c>
      <c r="DZ34" s="33" cm="1">
        <f t="array" ref="DZ34">IFERROR(INDEX('[1]Sales per type Agustus'!$D$10:$BA$52,MATCH($C34,'[1]Sales per type Agustus'!$B$10:$B$52,0),MATCH("X300 ",'[1]Sales per type Agustus'!$D$8:$BA$8,0)+1),0)</f>
        <v>0</v>
      </c>
      <c r="EA34" s="33">
        <f t="shared" si="41"/>
        <v>0</v>
      </c>
      <c r="EB34" s="33">
        <f t="shared" si="42"/>
        <v>17</v>
      </c>
      <c r="EC34" s="33">
        <f t="shared" si="42"/>
        <v>21</v>
      </c>
      <c r="ED34" s="33">
        <f t="shared" si="43"/>
        <v>-4</v>
      </c>
      <c r="EE34" s="33">
        <f t="shared" si="44"/>
        <v>68183000</v>
      </c>
      <c r="EF34" s="33">
        <f t="shared" si="44"/>
        <v>91879000</v>
      </c>
      <c r="EG34" s="33">
        <f t="shared" si="45"/>
        <v>-23696000</v>
      </c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</row>
    <row r="35" spans="1:184" ht="16" x14ac:dyDescent="0.2">
      <c r="A35" s="31">
        <f>'[1]ACHIEVEMENT STORE'!A35</f>
        <v>31</v>
      </c>
      <c r="B35" s="32" t="str">
        <f>'[1]ACHIEVEMENT STORE'!B35</f>
        <v>624-万丹BANTEN</v>
      </c>
      <c r="C35" s="31">
        <f>'[1]ACHIEVEMENT STORE'!C35</f>
        <v>6240707</v>
      </c>
      <c r="D35" s="32" t="str">
        <f>'[1]ACHIEVEMENT STORE'!D35</f>
        <v>6240707-KARAWACI UGN3A</v>
      </c>
      <c r="E35" s="32" t="str">
        <f>'[1]ACHIEVEMENT STORE'!E35</f>
        <v>ADE RIVALDI L</v>
      </c>
      <c r="F35" s="33">
        <f>IFERROR(INDEX('[1]SALES PERTYPE'!$D$10:$BA$53,MATCH($C35,'[1]SALES PERTYPE'!$B$10:$B$53,0),MATCH("Y05",'[1]SALES PERTYPE'!$D$8:$BA$8,0)),0)</f>
        <v>4</v>
      </c>
      <c r="G35" s="33">
        <f>IFERROR(INDEX('[1]Sales per type Agustus'!$D$10:$BA$52,MATCH($C35,'[1]Sales per type Agustus'!$B$10:$B$52,0),MATCH("Y05",'[1]Sales per type Agustus'!$D$8:$BA$8,0)),0)</f>
        <v>2</v>
      </c>
      <c r="H35" s="33">
        <f t="shared" si="0"/>
        <v>2</v>
      </c>
      <c r="I35" s="33" cm="1">
        <f t="array" ref="I35">IFERROR(INDEX('[1]SALES PERTYPE'!$D$10:$BA$53,MATCH($C35,'[1]SALES PERTYPE'!$B$10:$B$53,0),MATCH("Y05",'[1]SALES PERTYPE'!$D$8:$BA$8,0)+1),0)</f>
        <v>9796000</v>
      </c>
      <c r="J35" s="33" cm="1">
        <f t="array" ref="J35">IFERROR(INDEX('[1]Sales per type Agustus'!$D$10:$BA$52,MATCH($C35,'[1]Sales per type Agustus'!$B$10:$B$52,0),MATCH("Y05",'[1]Sales per type Agustus'!$D$8:$BA$8,0)+1),0)</f>
        <v>5198000</v>
      </c>
      <c r="K35" s="33">
        <f t="shared" si="1"/>
        <v>4598000</v>
      </c>
      <c r="L35" s="33">
        <f>IFERROR(INDEX('[1]SALES PERTYPE'!$D$10:$BA$53,MATCH($C35,'[1]SALES PERTYPE'!$B$10:$B$53,0),MATCH("Y11d",'[1]SALES PERTYPE'!$D$8:$BA$8,0)),0)</f>
        <v>2</v>
      </c>
      <c r="M35" s="33">
        <f>IFERROR(INDEX('[1]Sales per type Agustus'!$D$10:$BA$52,MATCH($C35,'[1]Sales per type Agustus'!$B$10:$B$52,0),MATCH("Y11d",'[1]Sales per type Agustus'!$D$8:$BA$8,0)),0)</f>
        <v>6</v>
      </c>
      <c r="N35" s="33">
        <f t="shared" si="2"/>
        <v>-4</v>
      </c>
      <c r="O35" s="33" cm="1">
        <f t="array" ref="O35">IFERROR(INDEX('[1]SALES PERTYPE'!$D$10:$BA$53,MATCH($C35,'[1]SALES PERTYPE'!$B$10:$B$53,0),MATCH("Y11d",'[1]SALES PERTYPE'!$D$8:$BA$8,0)+1),0)</f>
        <v>5598000</v>
      </c>
      <c r="P35" s="33" cm="1">
        <f t="array" ref="P35">IFERROR(INDEX('[1]Sales per type Agustus'!$D$10:$BA$52,MATCH($C35,'[1]Sales per type Agustus'!$B$10:$B$52,0),MATCH("Y11d",'[1]Sales per type Agustus'!$D$8:$BA$8,0)+1),0)</f>
        <v>16794000</v>
      </c>
      <c r="Q35" s="33">
        <f t="shared" si="3"/>
        <v>-11196000</v>
      </c>
      <c r="R35" s="33">
        <f>IFERROR(INDEX('[1]SALES PERTYPE'!$D$10:$BA$53,MATCH($C35,'[1]SALES PERTYPE'!$B$10:$B$53,0),MATCH("Watch GT 2",'[1]SALES PERTYPE'!$D$8:$BA$8,0)),0)</f>
        <v>0</v>
      </c>
      <c r="S35" s="33">
        <f>IFERROR(INDEX('[1]Sales per type Agustus'!$D$10:$BA$52,MATCH($C35,'[1]Sales per type Agustus'!$B$10:$B$52,0),MATCH("Watch GT 2",'[1]Sales per type Agustus'!$D$8:$BA$8,0)),0)</f>
        <v>0</v>
      </c>
      <c r="T35" s="33">
        <f t="shared" si="4"/>
        <v>0</v>
      </c>
      <c r="U35" s="33" cm="1">
        <f t="array" ref="U35">IFERROR(INDEX('[1]SALES PERTYPE'!$D$10:$BA$53,MATCH($C35,'[1]SALES PERTYPE'!$B$10:$B$53,0),MATCH("Watch GT 2",'[1]SALES PERTYPE'!$D$8:$BA$8,0)+1),0)</f>
        <v>0</v>
      </c>
      <c r="V35" s="33" cm="1">
        <f t="array" ref="V35">IFERROR(INDEX('[1]Sales per type Agustus'!$D$10:$BA$52,MATCH($C35,'[1]Sales per type Agustus'!$B$10:$B$52,0),MATCH("Watch GT 2",'[1]Sales per type Agustus'!$D$8:$BA$8,0)+1),0)</f>
        <v>0</v>
      </c>
      <c r="W35" s="33">
        <f t="shared" si="5"/>
        <v>0</v>
      </c>
      <c r="X35" s="33">
        <f>IFERROR(INDEX('[1]SALES PERTYPE'!$D$10:$BA$53,MATCH($C35,'[1]SALES PERTYPE'!$B$10:$B$53,0),MATCH("Y05e",'[1]SALES PERTYPE'!$D$8:$BA$8,0)),0)</f>
        <v>1</v>
      </c>
      <c r="Y35" s="33">
        <f>IFERROR(INDEX('[1]Sales per type Agustus'!$D$10:$BA$52,MATCH($C35,'[1]Sales per type Agustus'!$B$10:$B$52,0),MATCH("Y05e",'[1]Sales per type Agustus'!$D$8:$BA$8,0)),0)</f>
        <v>4</v>
      </c>
      <c r="Z35" s="33">
        <f t="shared" si="6"/>
        <v>-3</v>
      </c>
      <c r="AA35" s="33" cm="1">
        <f t="array" ref="AA35">IFERROR(INDEX('[1]SALES PERTYPE'!$D$10:$BA$53,MATCH($C35,'[1]SALES PERTYPE'!$B$10:$B$53,0),MATCH("Y05e",'[1]SALES PERTYPE'!$D$8:$BA$8,0)+1),0)</f>
        <v>2099000</v>
      </c>
      <c r="AB35" s="33" cm="1">
        <f t="array" ref="AB35">IFERROR(INDEX('[1]Sales per type Agustus'!$D$10:$BA$52,MATCH($C35,'[1]Sales per type Agustus'!$B$10:$B$52,0),MATCH("Y05e",'[1]Sales per type Agustus'!$D$8:$BA$8,0)+1),0)</f>
        <v>8396000</v>
      </c>
      <c r="AC35" s="33">
        <f t="shared" si="7"/>
        <v>-6297000</v>
      </c>
      <c r="AD35" s="33">
        <f>IFERROR(INDEX('[1]SALES PERTYPE'!$D$10:$BA$53,MATCH($C35,'[1]SALES PERTYPE'!$B$10:$B$53,0),MATCH("V70",'[1]SALES PERTYPE'!$D$8:$BA$8,0)),0)</f>
        <v>0</v>
      </c>
      <c r="AE35" s="33">
        <f>IFERROR(INDEX('[1]Sales per type Agustus'!$D$10:$BA$52,MATCH($C35,'[1]Sales per type Agustus'!$B$10:$B$52,0),MATCH("V70",'[1]Sales per type Agustus'!$D$8:$BA$8,0)),0)</f>
        <v>1</v>
      </c>
      <c r="AF35" s="33">
        <f t="shared" si="8"/>
        <v>-1</v>
      </c>
      <c r="AG35" s="33" cm="1">
        <f t="array" ref="AG35">IFERROR(INDEX('[1]SALES PERTYPE'!$D$10:$BA$53,MATCH($C35,'[1]SALES PERTYPE'!$B$10:$B$53,0),MATCH("V70",'[1]SALES PERTYPE'!$D$8:$BA$8,0)+1),0)</f>
        <v>0</v>
      </c>
      <c r="AH35" s="33" cm="1">
        <f t="array" ref="AH35">IFERROR(INDEX('[1]Sales per type Agustus'!$D$10:$BA$52,MATCH($C35,'[1]Sales per type Agustus'!$B$10:$B$52,0),MATCH("V70",'[1]Sales per type Agustus'!$D$8:$BA$8,0)+1),0)</f>
        <v>9999000</v>
      </c>
      <c r="AI35" s="33">
        <f t="shared" si="9"/>
        <v>-9999000</v>
      </c>
      <c r="AJ35" s="33">
        <f>IFERROR(INDEX('[1]SALES PERTYPE'!$D$10:$BA$53,MATCH($C35,'[1]SALES PERTYPE'!$B$10:$B$53,0),MATCH("Y31d Pro",'[1]SALES PERTYPE'!$D$8:$BA$8,0)),0)</f>
        <v>1</v>
      </c>
      <c r="AK35" s="33">
        <f>IFERROR(INDEX('[1]Sales per type Agustus'!$D$10:$BA$52,MATCH($C35,'[1]Sales per type Agustus'!$B$10:$B$52,0),MATCH("Y31d Pro",'[1]Sales per type Agustus'!$D$8:$BA$8,0)),0)</f>
        <v>7</v>
      </c>
      <c r="AL35" s="33">
        <f t="shared" si="10"/>
        <v>-6</v>
      </c>
      <c r="AM35" s="33" cm="1">
        <f t="array" ref="AM35">IFERROR(INDEX('[1]SALES PERTYPE'!$D$10:$BA$53,MATCH($C35,'[1]SALES PERTYPE'!$B$10:$B$53,0),MATCH("Y31d Pro",'[1]SALES PERTYPE'!$D$8:$BA$8,0)+1),0)</f>
        <v>3899000</v>
      </c>
      <c r="AN35" s="33" cm="1">
        <f t="array" ref="AN35">IFERROR(INDEX('[1]Sales per type Agustus'!$D$10:$BA$52,MATCH($C35,'[1]Sales per type Agustus'!$B$10:$B$52,0),MATCH("Y31d Pro",'[1]Sales per type Agustus'!$D$8:$BA$8,0)+1),0)</f>
        <v>35493000</v>
      </c>
      <c r="AO35" s="33">
        <f t="shared" si="11"/>
        <v>-31594000</v>
      </c>
      <c r="AP35" s="33" cm="1">
        <f t="array" ref="AP35">IFERROR(INDEX('[1]SALES PERTYPE'!$D$10:$BA$53,MATCH($C35,'[1]SALES PERTYPE'!$B$10:$B$53,0),$EI$3),0)</f>
        <v>0</v>
      </c>
      <c r="AQ35" s="33" cm="1">
        <f t="array" ref="AQ35">IFERROR(INDEX('[1]Sales per type Agustus'!$D$10:$BA$52,MATCH($C35,'[1]Sales per type Agustus'!$B$10:$B$52,0),$EI$2),0)</f>
        <v>0</v>
      </c>
      <c r="AR35" s="33">
        <f t="shared" si="12"/>
        <v>0</v>
      </c>
      <c r="AS35" s="33" cm="1">
        <f t="array" ref="AS35">IFERROR(INDEX('[1]SALES PERTYPE'!$D$10:$BA$53,MATCH($C35,'[1]SALES PERTYPE'!$B$10:$B$53,0),$EI$3+1),0)</f>
        <v>0</v>
      </c>
      <c r="AT35" s="33" cm="1">
        <f t="array" ref="AT35">IFERROR(INDEX('[1]Sales per type Agustus'!$D$10:$BA$52,MATCH($C35,'[1]Sales per type Agustus'!$B$10:$B$52,0),$EI$2+1),0)</f>
        <v>0</v>
      </c>
      <c r="AU35" s="33">
        <f t="shared" si="13"/>
        <v>0</v>
      </c>
      <c r="AV35" s="33">
        <f>IFERROR(INDEX('[1]SALES PERTYPE'!$D$10:$BA$53,MATCH($C35,'[1]SALES PERTYPE'!$B$10:$B$53,0),MATCH("Y31d ",'[1]SALES PERTYPE'!$D$8:$BA$8,0)),0)</f>
        <v>0</v>
      </c>
      <c r="AW35" s="33">
        <f>IFERROR(INDEX('[1]Sales per type Agustus'!$D$10:$BA$52,MATCH($C35,'[1]Sales per type Agustus'!$B$10:$B$52,0),MATCH("Y31d ",'[1]Sales per type Agustus'!$D$8:$BA$8,0)),0)</f>
        <v>1</v>
      </c>
      <c r="AX35" s="33">
        <f t="shared" si="14"/>
        <v>-1</v>
      </c>
      <c r="AY35" s="33" cm="1">
        <f t="array" ref="AY35">IFERROR(INDEX('[1]SALES PERTYPE'!$D$10:$BA$53,MATCH($C35,'[1]SALES PERTYPE'!$B$10:$B$53,0),MATCH("Y31d ",'[1]SALES PERTYPE'!$D$8:$BA$8,0)+1),0)</f>
        <v>0</v>
      </c>
      <c r="AZ35" s="33" cm="1">
        <f t="array" ref="AZ35">IFERROR(INDEX('[1]Sales per type Agustus'!$D$10:$BA$52,MATCH($C35,'[1]Sales per type Agustus'!$B$10:$B$52,0),MATCH("Y31d ",'[1]Sales per type Agustus'!$D$8:$BA$8,0)+1),0)</f>
        <v>3599000</v>
      </c>
      <c r="BA35" s="33">
        <f t="shared" si="15"/>
        <v>-3599000</v>
      </c>
      <c r="BB35" s="33">
        <f>IFERROR(INDEX('[1]SALES PERTYPE'!$D$10:$BA$53,MATCH($C35,'[1]SALES PERTYPE'!$B$10:$B$53,0),MATCH("V70 FE",'[1]SALES PERTYPE'!$D$8:$BA$8,0)),0)</f>
        <v>0</v>
      </c>
      <c r="BC35" s="33">
        <f>IFERROR(INDEX('[1]Sales per type Agustus'!$D$10:$BA$52,MATCH($C35,'[1]Sales per type Agustus'!$B$10:$B$52,0),MATCH("V70 FE",'[1]Sales per type Agustus'!$D$8:$BA$8,0)),0)</f>
        <v>1</v>
      </c>
      <c r="BD35" s="33">
        <f t="shared" si="16"/>
        <v>-1</v>
      </c>
      <c r="BE35" s="33" cm="1">
        <f t="array" ref="BE35">IFERROR(INDEX('[1]SALES PERTYPE'!$D$10:$BA$53,MATCH($C35,'[1]SALES PERTYPE'!$B$10:$B$53,0),MATCH("V70 FE",'[1]SALES PERTYPE'!$D$8:$BA$8,0)+1),0)</f>
        <v>0</v>
      </c>
      <c r="BF35" s="33" cm="1">
        <f t="array" ref="BF35">IFERROR(INDEX('[1]Sales per type Agustus'!$D$10:$BA$52,MATCH($C35,'[1]Sales per type Agustus'!$B$10:$B$52,0),MATCH("V70 FE",'[1]Sales per type Agustus'!$D$8:$BA$8,0)+1),0)</f>
        <v>7999000</v>
      </c>
      <c r="BG35" s="33">
        <f t="shared" si="17"/>
        <v>-7999000</v>
      </c>
      <c r="BH35" s="33">
        <f>IFERROR(INDEX('[1]SALES PERTYPE'!$D$10:$BA$53,MATCH($C35,'[1]SALES PERTYPE'!$B$10:$B$53,0),MATCH("Y31d",'[1]SALES PERTYPE'!$D$8:$BA$8,0)),0)</f>
        <v>0</v>
      </c>
      <c r="BI35" s="33">
        <f>IFERROR(INDEX('[1]Sales per type Agustus'!$D$10:$BA$52,MATCH($C35,'[1]Sales per type Agustus'!$B$10:$B$52,0),MATCH("Y31d",'[1]Sales per type Agustus'!$D$8:$BA$8,0)),0)</f>
        <v>1</v>
      </c>
      <c r="BJ35" s="33">
        <f t="shared" si="18"/>
        <v>-1</v>
      </c>
      <c r="BK35" s="33" cm="1">
        <f t="array" ref="BK35">IFERROR(INDEX('[1]SALES PERTYPE'!$D$10:$BA$53,MATCH($C35,'[1]SALES PERTYPE'!$B$10:$B$53,0),MATCH("Y31d",'[1]SALES PERTYPE'!$D$8:$BA$8,0)+1),0)</f>
        <v>0</v>
      </c>
      <c r="BL35" s="33" cm="1">
        <f t="array" ref="BL35">IFERROR(INDEX('[1]Sales per type Agustus'!$D$10:$BA$52,MATCH($C35,'[1]Sales per type Agustus'!$B$10:$B$52,0),MATCH("Y31d",'[1]Sales per type Agustus'!$D$8:$BA$8,0)+1),0)</f>
        <v>3599000</v>
      </c>
      <c r="BM35" s="33">
        <f t="shared" si="19"/>
        <v>-3599000</v>
      </c>
      <c r="BN35" s="33">
        <f>IFERROR(INDEX('[1]SALES PERTYPE'!$D$10:$BA$53,MATCH($C35,'[1]SALES PERTYPE'!$B$10:$B$53,0),MATCH("Y500",'[1]SALES PERTYPE'!$D$8:$BA$8,0)),0)</f>
        <v>2</v>
      </c>
      <c r="BO35" s="33">
        <f>IFERROR(INDEX('[1]Sales per type Agustus'!$D$10:$BA$52,MATCH($C35,'[1]Sales per type Agustus'!$B$10:$B$52,0),MATCH("Y500",'[1]Sales per type Agustus'!$D$8:$BA$8,0)),0)</f>
        <v>2</v>
      </c>
      <c r="BP35" s="33">
        <f t="shared" si="20"/>
        <v>0</v>
      </c>
      <c r="BQ35" s="33" cm="1">
        <f t="array" ref="BQ35">IFERROR(INDEX('[1]SALES PERTYPE'!$D$10:$BA$53,MATCH($C35,'[1]SALES PERTYPE'!$B$10:$B$53,0),MATCH("Y500",'[1]SALES PERTYPE'!$D$8:$BA$8,0)+1),0)</f>
        <v>11798000</v>
      </c>
      <c r="BR35" s="33" cm="1">
        <f t="array" ref="BR35">IFERROR(INDEX('[1]Sales per type Agustus'!$D$10:$BA$52,MATCH($C35,'[1]Sales per type Agustus'!$B$10:$B$52,0),MATCH("Y500",'[1]Sales per type Agustus'!$D$8:$BA$8,0)+1),0)</f>
        <v>11798000</v>
      </c>
      <c r="BS35" s="33">
        <f t="shared" si="21"/>
        <v>0</v>
      </c>
      <c r="BT35" s="33">
        <f>IFERROR(INDEX('[1]SALES PERTYPE'!$D$10:$BA$53,MATCH($C35,'[1]SALES PERTYPE'!$B$10:$B$53,0),MATCH("IQOO 15R",'[1]SALES PERTYPE'!$D$8:$BA$8,0)),0)</f>
        <v>0</v>
      </c>
      <c r="BU35" s="33">
        <f>IFERROR(INDEX('[1]Sales per type Agustus'!$D$10:$BA$52,MATCH($C35,'[1]Sales per type Agustus'!$B$10:$B$52,0),MATCH("IQOO 15R",'[1]Sales per type Agustus'!$D$8:$BA$8,0)),0)</f>
        <v>0</v>
      </c>
      <c r="BV35" s="33">
        <f t="shared" si="22"/>
        <v>0</v>
      </c>
      <c r="BW35" s="33" cm="1">
        <f t="array" ref="BW35">IFERROR(INDEX('[1]SALES PERTYPE'!$D$10:$BA$53,MATCH($C35,'[1]SALES PERTYPE'!$B$10:$B$53,0),MATCH("IQOO 15R",'[1]SALES PERTYPE'!$D$8:$BA$8,0)+1),0)</f>
        <v>0</v>
      </c>
      <c r="BX35" s="33" cm="1">
        <f t="array" ref="BX35">IFERROR(INDEX('[1]Sales per type Agustus'!$D$10:$BA$52,MATCH($C35,'[1]Sales per type Agustus'!$B$10:$B$52,0),MATCH("IQOO 15R",'[1]Sales per type Agustus'!$D$8:$BA$8,0)+1),0)</f>
        <v>0</v>
      </c>
      <c r="BY35" s="33">
        <f t="shared" si="23"/>
        <v>0</v>
      </c>
      <c r="BZ35" s="33">
        <f>IFERROR(INDEX('[1]SALES PERTYPE'!$D$10:$BA$53,MATCH($C35,'[1]SALES PERTYPE'!$B$10:$B$53,0),MATCH("V60 Lite",'[1]SALES PERTYPE'!$D$8:$BA$8,0)),0)</f>
        <v>1</v>
      </c>
      <c r="CA35" s="33">
        <f>IFERROR(INDEX('[1]Sales per type Agustus'!$D$10:$BA$52,MATCH($C35,'[1]Sales per type Agustus'!$B$10:$B$52,0),MATCH("V60 Lite",'[1]Sales per type Agustus'!$D$8:$BA$8,0)),0)</f>
        <v>2</v>
      </c>
      <c r="CB35" s="33">
        <f t="shared" si="24"/>
        <v>-1</v>
      </c>
      <c r="CC35" s="33" cm="1">
        <f t="array" ref="CC35">IFERROR(INDEX('[1]SALES PERTYPE'!$D$10:$BA$53,MATCH($C35,'[1]SALES PERTYPE'!$B$10:$B$53,0),MATCH("V60 Lite",'[1]SALES PERTYPE'!$D$8:$BA$8,0)+1),0)</f>
        <v>5899000</v>
      </c>
      <c r="CD35" s="33" cm="1">
        <f t="array" ref="CD35">IFERROR(INDEX('[1]Sales per type Agustus'!$D$10:$BA$52,MATCH($C35,'[1]Sales per type Agustus'!$B$10:$B$52,0),MATCH("V60 Lite",'[1]Sales per type Agustus'!$D$8:$BA$8,0)+1),0)</f>
        <v>12998000</v>
      </c>
      <c r="CE35" s="33">
        <f t="shared" si="25"/>
        <v>-7099000</v>
      </c>
      <c r="CF35" s="33">
        <f>IFERROR(INDEX('[1]SALES PERTYPE'!$D$10:$BA$53,MATCH($C35,'[1]SALES PERTYPE'!$B$10:$B$53,0),MATCH("X300 Ultra",'[1]SALES PERTYPE'!$D$8:$BA$8,0)),0)</f>
        <v>0</v>
      </c>
      <c r="CG35" s="33">
        <f>IFERROR(INDEX('[1]Sales per type Agustus'!$D$10:$BA$52,MATCH($C35,'[1]Sales per type Agustus'!$B$10:$B$52,0),MATCH("X300 Ultra",'[1]Sales per type Agustus'!$D$8:$BA$8,0)),0)</f>
        <v>0</v>
      </c>
      <c r="CH35" s="33">
        <f t="shared" si="26"/>
        <v>0</v>
      </c>
      <c r="CI35" s="33" cm="1">
        <f t="array" ref="CI35">IFERROR(INDEX('[1]SALES PERTYPE'!$D$10:$BA$53,MATCH($C35,'[1]SALES PERTYPE'!$B$10:$B$53,0),MATCH("X300 Ultra",'[1]SALES PERTYPE'!$D$8:$BA$8,0)+1),0)</f>
        <v>0</v>
      </c>
      <c r="CJ35" s="33" cm="1">
        <f t="array" ref="CJ35">IFERROR(INDEX('[1]Sales per type Agustus'!$D$10:$BA$52,MATCH($C35,'[1]Sales per type Agustus'!$B$10:$B$52,0),MATCH("X300 Ultra",'[1]Sales per type Agustus'!$D$8:$BA$8,0)+1),0)</f>
        <v>0</v>
      </c>
      <c r="CK35" s="33">
        <f t="shared" si="27"/>
        <v>0</v>
      </c>
      <c r="CL35" s="33">
        <f>IFERROR(INDEX('[1]SALES PERTYPE'!$D$10:$BA$53,MATCH($C35,'[1]SALES PERTYPE'!$B$10:$B$53,0),MATCH("IQOO 15",'[1]SALES PERTYPE'!$D$8:$BA$8,0)),0)</f>
        <v>0</v>
      </c>
      <c r="CM35" s="33">
        <f>IFERROR(INDEX('[1]Sales per type Agustus'!$D$10:$BA$52,MATCH($C35,'[1]Sales per type Agustus'!$B$10:$B$52,0),MATCH("IQOO 15",'[1]Sales per type Agustus'!$D$8:$BA$8,0)),0)</f>
        <v>0</v>
      </c>
      <c r="CN35" s="33">
        <f t="shared" si="28"/>
        <v>0</v>
      </c>
      <c r="CO35" s="33" cm="1">
        <f t="array" ref="CO35">IFERROR(INDEX('[1]SALES PERTYPE'!$D$10:$BA$53,MATCH($C35,'[1]SALES PERTYPE'!$B$10:$B$53,0),MATCH("IQOO 15",'[1]SALES PERTYPE'!$D$8:$BA$8,0)+1),0)</f>
        <v>0</v>
      </c>
      <c r="CP35" s="33" cm="1">
        <f t="array" ref="CP35">IFERROR(INDEX('[1]Sales per type Agustus'!$D$10:$BA$52,MATCH($C35,'[1]Sales per type Agustus'!$B$10:$B$52,0),MATCH("IQOO 15",'[1]Sales per type Agustus'!$D$8:$BA$8,0)+1),0)</f>
        <v>0</v>
      </c>
      <c r="CQ35" s="33">
        <f t="shared" si="29"/>
        <v>0</v>
      </c>
      <c r="CR35" s="33">
        <f>IFERROR(INDEX('[1]SALES PERTYPE'!$D$10:$BA$53,MATCH($C35,'[1]SALES PERTYPE'!$B$10:$B$53,0),MATCH("IQOO Z11x",'[1]SALES PERTYPE'!$D$8:$BA$8,0)),0)</f>
        <v>0</v>
      </c>
      <c r="CS35" s="33">
        <f>IFERROR(INDEX('[1]Sales per type Agustus'!$D$10:$BA$52,MATCH($C35,'[1]Sales per type Agustus'!$B$10:$B$52,0),MATCH("IQOO Z11x",'[1]Sales per type Agustus'!$D$8:$BA$8,0)),0)</f>
        <v>0</v>
      </c>
      <c r="CT35" s="33">
        <f t="shared" si="30"/>
        <v>0</v>
      </c>
      <c r="CU35" s="33" cm="1">
        <f t="array" ref="CU35">IFERROR(INDEX('[1]SALES PERTYPE'!$D$10:$BA$53,MATCH($C35,'[1]SALES PERTYPE'!$B$10:$B$53,0),MATCH("IQOO Z11x",'[1]SALES PERTYPE'!$D$8:$BA$8,0)+1),0)</f>
        <v>0</v>
      </c>
      <c r="CV35" s="33" cm="1">
        <f t="array" ref="CV35">IFERROR(INDEX('[1]Sales per type Agustus'!$D$10:$BA$52,MATCH($C35,'[1]Sales per type Agustus'!$B$10:$B$52,0),MATCH("IQOO Z11x",'[1]Sales per type Agustus'!$D$8:$BA$8,0)+1),0)</f>
        <v>0</v>
      </c>
      <c r="CW35" s="33">
        <f t="shared" si="31"/>
        <v>0</v>
      </c>
      <c r="CX35" s="33">
        <f>IFERROR(INDEX('[1]SALES PERTYPE'!$D$10:$BA$53,MATCH($C35,'[1]SALES PERTYPE'!$B$10:$B$53,0),MATCH("IQOO Z11",'[1]SALES PERTYPE'!$D$8:$BA$8,0)),0)</f>
        <v>0</v>
      </c>
      <c r="CY35" s="33">
        <f>IFERROR(INDEX('[1]Sales per type Agustus'!$D$10:$BA$52,MATCH($C35,'[1]Sales per type Agustus'!$B$10:$B$52,0),MATCH("IQOO Z11",'[1]Sales per type Agustus'!$D$8:$BA$8,0)),0)</f>
        <v>1</v>
      </c>
      <c r="CZ35" s="33">
        <f t="shared" si="32"/>
        <v>-1</v>
      </c>
      <c r="DA35" s="33" cm="1">
        <f t="array" ref="DA35">IFERROR(INDEX('[1]SALES PERTYPE'!$D$10:$BA$53,MATCH($C35,'[1]SALES PERTYPE'!$B$10:$B$53,0),MATCH("IQOO Z11",'[1]SALES PERTYPE'!$D$8:$BA$8,0)+1),0)</f>
        <v>0</v>
      </c>
      <c r="DB35" s="33" cm="1">
        <f t="array" ref="DB35">IFERROR(INDEX('[1]Sales per type Agustus'!$D$10:$BA$52,MATCH($C35,'[1]Sales per type Agustus'!$B$10:$B$52,0),MATCH("IQOO Z11",'[1]Sales per type Agustus'!$D$8:$BA$8,0)+1),0)</f>
        <v>8399000</v>
      </c>
      <c r="DC35" s="33">
        <f t="shared" si="33"/>
        <v>-8399000</v>
      </c>
      <c r="DD35" s="33">
        <f>IFERROR(INDEX('[1]SALES PERTYPE'!$D$10:$BA$53,MATCH($C35,'[1]SALES PERTYPE'!$B$10:$B$53,0),MATCH("WATCH 3",'[1]SALES PERTYPE'!$D$8:$BA$8,0)),0)</f>
        <v>0</v>
      </c>
      <c r="DE35" s="33">
        <f>IFERROR(INDEX('[1]Sales per type Agustus'!$D$10:$BA$52,MATCH($C35,'[1]Sales per type Agustus'!$B$10:$B$52,0),MATCH("WATCH 3",'[1]Sales per type Agustus'!$D$8:$BA$8,0)),0)</f>
        <v>0</v>
      </c>
      <c r="DF35" s="33">
        <f t="shared" si="34"/>
        <v>0</v>
      </c>
      <c r="DG35" s="33" cm="1">
        <f t="array" ref="DG35">IFERROR(INDEX('[1]SALES PERTYPE'!$D$10:$BA$53,MATCH($C35,'[1]SALES PERTYPE'!$B$10:$B$53,0),MATCH("WATCH 3",'[1]SALES PERTYPE'!$D$8:$BA$8,0)+1),0)</f>
        <v>0</v>
      </c>
      <c r="DH35" s="33" cm="1">
        <f t="array" ref="DH35">IFERROR(INDEX('[1]Sales per type Agustus'!$D$10:$BA$52,MATCH($C35,'[1]Sales per type Agustus'!$B$10:$B$52,0),MATCH("WATCH 3",'[1]Sales per type Agustus'!$D$8:$BA$8,0)+1),0)</f>
        <v>0</v>
      </c>
      <c r="DI35" s="33">
        <f t="shared" si="35"/>
        <v>0</v>
      </c>
      <c r="DJ35" s="33">
        <f>IFERROR(INDEX('[1]SALES PERTYPE'!$D$10:$BA$53,MATCH($C35,'[1]SALES PERTYPE'!$B$10:$B$53,0),MATCH("X Fold5",'[1]SALES PERTYPE'!$D$8:$BA$8,0)),0)</f>
        <v>0</v>
      </c>
      <c r="DK35" s="33">
        <f>IFERROR(INDEX('[1]Sales per type Agustus'!$D$10:$BA$52,MATCH($C35,'[1]Sales per type Agustus'!$B$10:$B$52,0),MATCH("X Fold5",'[1]Sales per type Agustus'!$D$8:$BA$8,0)),0)</f>
        <v>0</v>
      </c>
      <c r="DL35" s="33">
        <f t="shared" si="36"/>
        <v>0</v>
      </c>
      <c r="DM35" s="33" cm="1">
        <f t="array" ref="DM35">IFERROR(INDEX('[1]SALES PERTYPE'!$D$10:$BA$53,MATCH($C35,'[1]SALES PERTYPE'!$B$10:$B$53,0),MATCH("X Fold5",'[1]SALES PERTYPE'!$D$8:$BA$8,0)+1),0)</f>
        <v>0</v>
      </c>
      <c r="DN35" s="33" cm="1">
        <f t="array" ref="DN35">IFERROR(INDEX('[1]Sales per type Agustus'!$D$10:$BA$52,MATCH($C35,'[1]Sales per type Agustus'!$B$10:$B$52,0),MATCH("X Fold5",'[1]Sales per type Agustus'!$D$8:$BA$8,0)+1),0)</f>
        <v>0</v>
      </c>
      <c r="DO35" s="33">
        <f t="shared" si="37"/>
        <v>0</v>
      </c>
      <c r="DP35" s="33">
        <f>IFERROR(INDEX('[1]SALES PERTYPE'!$D$10:$BA$53,MATCH($C35,'[1]SALES PERTYPE'!$B$10:$B$53,0),MATCH("X300 PRO",'[1]SALES PERTYPE'!$D$8:$BA$8,0)),0)</f>
        <v>0</v>
      </c>
      <c r="DQ35" s="33">
        <f>IFERROR(INDEX('[1]Sales per type Agustus'!$D$10:$BA$52,MATCH($C35,'[1]Sales per type Agustus'!$B$10:$B$52,0),MATCH("X300 PRO",'[1]Sales per type Agustus'!$D$8:$BA$8,0)),0)</f>
        <v>0</v>
      </c>
      <c r="DR35" s="33">
        <f t="shared" si="38"/>
        <v>0</v>
      </c>
      <c r="DS35" s="33" cm="1">
        <f t="array" ref="DS35">IFERROR(INDEX('[1]SALES PERTYPE'!$D$10:$BA$53,MATCH($C35,'[1]SALES PERTYPE'!$B$10:$B$53,0),MATCH("X300 PRO",'[1]SALES PERTYPE'!$D$8:$BA$8,0)+1),0)</f>
        <v>0</v>
      </c>
      <c r="DT35" s="33" cm="1">
        <f t="array" ref="DT35">IFERROR(INDEX('[1]Sales per type Agustus'!$D$10:$BA$52,MATCH($C35,'[1]Sales per type Agustus'!$B$10:$B$52,0),MATCH("X300 PRO",'[1]Sales per type Agustus'!$D$8:$BA$8,0)+1),0)</f>
        <v>0</v>
      </c>
      <c r="DU35" s="33">
        <f t="shared" si="39"/>
        <v>0</v>
      </c>
      <c r="DV35" s="33">
        <f>IFERROR(INDEX('[1]SALES PERTYPE'!$D$10:$BA$53,MATCH($C35,'[1]SALES PERTYPE'!$B$10:$B$53,0),MATCH("X300 ",'[1]SALES PERTYPE'!$D$8:$BA$8,0)),0)</f>
        <v>0</v>
      </c>
      <c r="DW35" s="33">
        <f>IFERROR(INDEX('[1]Sales per type Agustus'!$D$10:$BA$52,MATCH($C35,'[1]Sales per type Agustus'!$B$10:$B$52,0),MATCH("X300 ",'[1]Sales per type Agustus'!$D$8:$BA$8,0)),0)</f>
        <v>0</v>
      </c>
      <c r="DX35" s="33">
        <f t="shared" si="40"/>
        <v>0</v>
      </c>
      <c r="DY35" s="33" cm="1">
        <f t="array" ref="DY35">IFERROR(INDEX('[1]SALES PERTYPE'!$D$10:$BA$53,MATCH($C35,'[1]SALES PERTYPE'!$B$10:$B$53,0),MATCH("X300 ",'[1]SALES PERTYPE'!$D$8:$BA$8,0)+1),0)</f>
        <v>0</v>
      </c>
      <c r="DZ35" s="33" cm="1">
        <f t="array" ref="DZ35">IFERROR(INDEX('[1]Sales per type Agustus'!$D$10:$BA$52,MATCH($C35,'[1]Sales per type Agustus'!$B$10:$B$52,0),MATCH("X300 ",'[1]Sales per type Agustus'!$D$8:$BA$8,0)+1),0)</f>
        <v>0</v>
      </c>
      <c r="EA35" s="33">
        <f t="shared" si="41"/>
        <v>0</v>
      </c>
      <c r="EB35" s="33">
        <f t="shared" si="42"/>
        <v>11</v>
      </c>
      <c r="EC35" s="33">
        <f t="shared" si="42"/>
        <v>28</v>
      </c>
      <c r="ED35" s="33">
        <f t="shared" si="43"/>
        <v>-17</v>
      </c>
      <c r="EE35" s="33">
        <f t="shared" si="44"/>
        <v>39089000</v>
      </c>
      <c r="EF35" s="33">
        <f t="shared" si="44"/>
        <v>124272000</v>
      </c>
      <c r="EG35" s="33">
        <f t="shared" si="45"/>
        <v>-85183000</v>
      </c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</row>
    <row r="36" spans="1:184" ht="16" x14ac:dyDescent="0.2">
      <c r="A36" s="214">
        <f>'[1]ACHIEVEMENT STORE'!A36</f>
        <v>32</v>
      </c>
      <c r="B36" s="215" t="str">
        <f>'[1]ACHIEVEMENT STORE'!B36</f>
        <v>624-万丹BANTEN</v>
      </c>
      <c r="C36" s="214">
        <f>'[1]ACHIEVEMENT STORE'!C36</f>
        <v>6240706</v>
      </c>
      <c r="D36" s="215" t="str">
        <f>'[1]ACHIEVEMENT STORE'!D36</f>
        <v>6240706-KARAWACI 1FC3A</v>
      </c>
      <c r="E36" s="215" t="str">
        <f>'[1]ACHIEVEMENT STORE'!E36</f>
        <v>ADE RIVALDI L</v>
      </c>
      <c r="F36" s="33">
        <f>IFERROR(INDEX('[1]SALES PERTYPE'!$D$10:$BA$53,MATCH($C36,'[1]SALES PERTYPE'!$B$10:$B$53,0),MATCH("Y05",'[1]SALES PERTYPE'!$D$8:$BA$8,0)),0)</f>
        <v>5</v>
      </c>
      <c r="G36" s="33">
        <f>IFERROR(INDEX('[1]Sales per type Agustus'!$D$10:$BA$52,MATCH($C36,'[1]Sales per type Agustus'!$B$10:$B$52,0),MATCH("Y05",'[1]Sales per type Agustus'!$D$8:$BA$8,0)),0)</f>
        <v>3</v>
      </c>
      <c r="H36" s="33">
        <f t="shared" si="0"/>
        <v>2</v>
      </c>
      <c r="I36" s="33" cm="1">
        <f t="array" ref="I36">IFERROR(INDEX('[1]SALES PERTYPE'!$D$10:$BA$53,MATCH($C36,'[1]SALES PERTYPE'!$B$10:$B$53,0),MATCH("Y05",'[1]SALES PERTYPE'!$D$8:$BA$8,0)+1),0)</f>
        <v>12095000</v>
      </c>
      <c r="J36" s="33" cm="1">
        <f t="array" ref="J36">IFERROR(INDEX('[1]Sales per type Agustus'!$D$10:$BA$52,MATCH($C36,'[1]Sales per type Agustus'!$B$10:$B$52,0),MATCH("Y05",'[1]Sales per type Agustus'!$D$8:$BA$8,0)+1),0)</f>
        <v>6897000</v>
      </c>
      <c r="K36" s="33">
        <f t="shared" si="1"/>
        <v>5198000</v>
      </c>
      <c r="L36" s="33">
        <f>IFERROR(INDEX('[1]SALES PERTYPE'!$D$10:$BA$53,MATCH($C36,'[1]SALES PERTYPE'!$B$10:$B$53,0),MATCH("Y11d",'[1]SALES PERTYPE'!$D$8:$BA$8,0)),0)</f>
        <v>0</v>
      </c>
      <c r="M36" s="33">
        <f>IFERROR(INDEX('[1]Sales per type Agustus'!$D$10:$BA$52,MATCH($C36,'[1]Sales per type Agustus'!$B$10:$B$52,0),MATCH("Y11d",'[1]Sales per type Agustus'!$D$8:$BA$8,0)),0)</f>
        <v>6</v>
      </c>
      <c r="N36" s="33">
        <f t="shared" si="2"/>
        <v>-6</v>
      </c>
      <c r="O36" s="33" cm="1">
        <f t="array" ref="O36">IFERROR(INDEX('[1]SALES PERTYPE'!$D$10:$BA$53,MATCH($C36,'[1]SALES PERTYPE'!$B$10:$B$53,0),MATCH("Y11d",'[1]SALES PERTYPE'!$D$8:$BA$8,0)+1),0)</f>
        <v>0</v>
      </c>
      <c r="P36" s="33" cm="1">
        <f t="array" ref="P36">IFERROR(INDEX('[1]Sales per type Agustus'!$D$10:$BA$52,MATCH($C36,'[1]Sales per type Agustus'!$B$10:$B$52,0),MATCH("Y11d",'[1]Sales per type Agustus'!$D$8:$BA$8,0)+1),0)</f>
        <v>16394000</v>
      </c>
      <c r="Q36" s="33">
        <f t="shared" si="3"/>
        <v>-16394000</v>
      </c>
      <c r="R36" s="33">
        <f>IFERROR(INDEX('[1]SALES PERTYPE'!$D$10:$BA$53,MATCH($C36,'[1]SALES PERTYPE'!$B$10:$B$53,0),MATCH("Watch GT 2",'[1]SALES PERTYPE'!$D$8:$BA$8,0)),0)</f>
        <v>0</v>
      </c>
      <c r="S36" s="33">
        <f>IFERROR(INDEX('[1]Sales per type Agustus'!$D$10:$BA$52,MATCH($C36,'[1]Sales per type Agustus'!$B$10:$B$52,0),MATCH("Watch GT 2",'[1]Sales per type Agustus'!$D$8:$BA$8,0)),0)</f>
        <v>0</v>
      </c>
      <c r="T36" s="33">
        <f t="shared" si="4"/>
        <v>0</v>
      </c>
      <c r="U36" s="33" cm="1">
        <f t="array" ref="U36">IFERROR(INDEX('[1]SALES PERTYPE'!$D$10:$BA$53,MATCH($C36,'[1]SALES PERTYPE'!$B$10:$B$53,0),MATCH("Watch GT 2",'[1]SALES PERTYPE'!$D$8:$BA$8,0)+1),0)</f>
        <v>0</v>
      </c>
      <c r="V36" s="33" cm="1">
        <f t="array" ref="V36">IFERROR(INDEX('[1]Sales per type Agustus'!$D$10:$BA$52,MATCH($C36,'[1]Sales per type Agustus'!$B$10:$B$52,0),MATCH("Watch GT 2",'[1]Sales per type Agustus'!$D$8:$BA$8,0)+1),0)</f>
        <v>0</v>
      </c>
      <c r="W36" s="33">
        <f t="shared" si="5"/>
        <v>0</v>
      </c>
      <c r="X36" s="33">
        <f>IFERROR(INDEX('[1]SALES PERTYPE'!$D$10:$BA$53,MATCH($C36,'[1]SALES PERTYPE'!$B$10:$B$53,0),MATCH("Y05e",'[1]SALES PERTYPE'!$D$8:$BA$8,0)),0)</f>
        <v>2</v>
      </c>
      <c r="Y36" s="33">
        <f>IFERROR(INDEX('[1]Sales per type Agustus'!$D$10:$BA$52,MATCH($C36,'[1]Sales per type Agustus'!$B$10:$B$52,0),MATCH("Y05e",'[1]Sales per type Agustus'!$D$8:$BA$8,0)),0)</f>
        <v>2</v>
      </c>
      <c r="Z36" s="33">
        <f t="shared" si="6"/>
        <v>0</v>
      </c>
      <c r="AA36" s="33" cm="1">
        <f t="array" ref="AA36">IFERROR(INDEX('[1]SALES PERTYPE'!$D$10:$BA$53,MATCH($C36,'[1]SALES PERTYPE'!$B$10:$B$53,0),MATCH("Y05e",'[1]SALES PERTYPE'!$D$8:$BA$8,0)+1),0)</f>
        <v>4198000</v>
      </c>
      <c r="AB36" s="33" cm="1">
        <f t="array" ref="AB36">IFERROR(INDEX('[1]Sales per type Agustus'!$D$10:$BA$52,MATCH($C36,'[1]Sales per type Agustus'!$B$10:$B$52,0),MATCH("Y05e",'[1]Sales per type Agustus'!$D$8:$BA$8,0)+1),0)</f>
        <v>4198000</v>
      </c>
      <c r="AC36" s="33">
        <f t="shared" si="7"/>
        <v>0</v>
      </c>
      <c r="AD36" s="33">
        <f>IFERROR(INDEX('[1]SALES PERTYPE'!$D$10:$BA$53,MATCH($C36,'[1]SALES PERTYPE'!$B$10:$B$53,0),MATCH("V70",'[1]SALES PERTYPE'!$D$8:$BA$8,0)),0)</f>
        <v>2</v>
      </c>
      <c r="AE36" s="33">
        <f>IFERROR(INDEX('[1]Sales per type Agustus'!$D$10:$BA$52,MATCH($C36,'[1]Sales per type Agustus'!$B$10:$B$52,0),MATCH("V70",'[1]Sales per type Agustus'!$D$8:$BA$8,0)),0)</f>
        <v>1</v>
      </c>
      <c r="AF36" s="33">
        <f t="shared" si="8"/>
        <v>1</v>
      </c>
      <c r="AG36" s="33" cm="1">
        <f t="array" ref="AG36">IFERROR(INDEX('[1]SALES PERTYPE'!$D$10:$BA$53,MATCH($C36,'[1]SALES PERTYPE'!$B$10:$B$53,0),MATCH("V70",'[1]SALES PERTYPE'!$D$8:$BA$8,0)+1),0)</f>
        <v>19998000</v>
      </c>
      <c r="AH36" s="33" cm="1">
        <f t="array" ref="AH36">IFERROR(INDEX('[1]Sales per type Agustus'!$D$10:$BA$52,MATCH($C36,'[1]Sales per type Agustus'!$B$10:$B$52,0),MATCH("V70",'[1]Sales per type Agustus'!$D$8:$BA$8,0)+1),0)</f>
        <v>9999000</v>
      </c>
      <c r="AI36" s="33">
        <f t="shared" si="9"/>
        <v>9999000</v>
      </c>
      <c r="AJ36" s="33">
        <f>IFERROR(INDEX('[1]SALES PERTYPE'!$D$10:$BA$53,MATCH($C36,'[1]SALES PERTYPE'!$B$10:$B$53,0),MATCH("Y31d Pro",'[1]SALES PERTYPE'!$D$8:$BA$8,0)),0)</f>
        <v>1</v>
      </c>
      <c r="AK36" s="33">
        <f>IFERROR(INDEX('[1]Sales per type Agustus'!$D$10:$BA$52,MATCH($C36,'[1]Sales per type Agustus'!$B$10:$B$52,0),MATCH("Y31d Pro",'[1]Sales per type Agustus'!$D$8:$BA$8,0)),0)</f>
        <v>4</v>
      </c>
      <c r="AL36" s="33">
        <f t="shared" si="10"/>
        <v>-3</v>
      </c>
      <c r="AM36" s="33" cm="1">
        <f t="array" ref="AM36">IFERROR(INDEX('[1]SALES PERTYPE'!$D$10:$BA$53,MATCH($C36,'[1]SALES PERTYPE'!$B$10:$B$53,0),MATCH("Y31d Pro",'[1]SALES PERTYPE'!$D$8:$BA$8,0)+1),0)</f>
        <v>4299000</v>
      </c>
      <c r="AN36" s="33" cm="1">
        <f t="array" ref="AN36">IFERROR(INDEX('[1]Sales per type Agustus'!$D$10:$BA$52,MATCH($C36,'[1]Sales per type Agustus'!$B$10:$B$52,0),MATCH("Y31d Pro",'[1]Sales per type Agustus'!$D$8:$BA$8,0)+1),0)</f>
        <v>17596000</v>
      </c>
      <c r="AO36" s="33">
        <f t="shared" si="11"/>
        <v>-13297000</v>
      </c>
      <c r="AP36" s="33" cm="1">
        <f t="array" ref="AP36">IFERROR(INDEX('[1]SALES PERTYPE'!$D$10:$BA$53,MATCH($C36,'[1]SALES PERTYPE'!$B$10:$B$53,0),$EI$3),0)</f>
        <v>2</v>
      </c>
      <c r="AQ36" s="33" cm="1">
        <f t="array" ref="AQ36">IFERROR(INDEX('[1]Sales per type Agustus'!$D$10:$BA$52,MATCH($C36,'[1]Sales per type Agustus'!$B$10:$B$52,0),$EI$2),0)</f>
        <v>0</v>
      </c>
      <c r="AR36" s="33">
        <f t="shared" si="12"/>
        <v>2</v>
      </c>
      <c r="AS36" s="33" cm="1">
        <f t="array" ref="AS36">IFERROR(INDEX('[1]SALES PERTYPE'!$D$10:$BA$53,MATCH($C36,'[1]SALES PERTYPE'!$B$10:$B$53,0),$EI$3+1),0)</f>
        <v>6898000</v>
      </c>
      <c r="AT36" s="33" cm="1">
        <f t="array" ref="AT36">IFERROR(INDEX('[1]Sales per type Agustus'!$D$10:$BA$52,MATCH($C36,'[1]Sales per type Agustus'!$B$10:$B$52,0),$EI$2+1),0)</f>
        <v>0</v>
      </c>
      <c r="AU36" s="33">
        <f t="shared" si="13"/>
        <v>6898000</v>
      </c>
      <c r="AV36" s="33">
        <f>IFERROR(INDEX('[1]SALES PERTYPE'!$D$10:$BA$53,MATCH($C36,'[1]SALES PERTYPE'!$B$10:$B$53,0),MATCH("Y31d ",'[1]SALES PERTYPE'!$D$8:$BA$8,0)),0)</f>
        <v>1</v>
      </c>
      <c r="AW36" s="33">
        <f>IFERROR(INDEX('[1]Sales per type Agustus'!$D$10:$BA$52,MATCH($C36,'[1]Sales per type Agustus'!$B$10:$B$52,0),MATCH("Y31d ",'[1]Sales per type Agustus'!$D$8:$BA$8,0)),0)</f>
        <v>0</v>
      </c>
      <c r="AX36" s="33">
        <f t="shared" si="14"/>
        <v>1</v>
      </c>
      <c r="AY36" s="33" cm="1">
        <f t="array" ref="AY36">IFERROR(INDEX('[1]SALES PERTYPE'!$D$10:$BA$53,MATCH($C36,'[1]SALES PERTYPE'!$B$10:$B$53,0),MATCH("Y31d ",'[1]SALES PERTYPE'!$D$8:$BA$8,0)+1),0)</f>
        <v>3599000</v>
      </c>
      <c r="AZ36" s="33" cm="1">
        <f t="array" ref="AZ36">IFERROR(INDEX('[1]Sales per type Agustus'!$D$10:$BA$52,MATCH($C36,'[1]Sales per type Agustus'!$B$10:$B$52,0),MATCH("Y31d ",'[1]Sales per type Agustus'!$D$8:$BA$8,0)+1),0)</f>
        <v>0</v>
      </c>
      <c r="BA36" s="33">
        <f t="shared" si="15"/>
        <v>3599000</v>
      </c>
      <c r="BB36" s="33">
        <f>IFERROR(INDEX('[1]SALES PERTYPE'!$D$10:$BA$53,MATCH($C36,'[1]SALES PERTYPE'!$B$10:$B$53,0),MATCH("V70 FE",'[1]SALES PERTYPE'!$D$8:$BA$8,0)),0)</f>
        <v>3</v>
      </c>
      <c r="BC36" s="33">
        <f>IFERROR(INDEX('[1]Sales per type Agustus'!$D$10:$BA$52,MATCH($C36,'[1]Sales per type Agustus'!$B$10:$B$52,0),MATCH("V70 FE",'[1]Sales per type Agustus'!$D$8:$BA$8,0)),0)</f>
        <v>2</v>
      </c>
      <c r="BD36" s="33">
        <f t="shared" si="16"/>
        <v>1</v>
      </c>
      <c r="BE36" s="33" cm="1">
        <f t="array" ref="BE36">IFERROR(INDEX('[1]SALES PERTYPE'!$D$10:$BA$53,MATCH($C36,'[1]SALES PERTYPE'!$B$10:$B$53,0),MATCH("V70 FE",'[1]SALES PERTYPE'!$D$8:$BA$8,0)+1),0)</f>
        <v>21997000</v>
      </c>
      <c r="BF36" s="33" cm="1">
        <f t="array" ref="BF36">IFERROR(INDEX('[1]Sales per type Agustus'!$D$10:$BA$52,MATCH($C36,'[1]Sales per type Agustus'!$B$10:$B$52,0),MATCH("V70 FE",'[1]Sales per type Agustus'!$D$8:$BA$8,0)+1),0)</f>
        <v>14998000</v>
      </c>
      <c r="BG36" s="33">
        <f t="shared" si="17"/>
        <v>6999000</v>
      </c>
      <c r="BH36" s="33">
        <f>IFERROR(INDEX('[1]SALES PERTYPE'!$D$10:$BA$53,MATCH($C36,'[1]SALES PERTYPE'!$B$10:$B$53,0),MATCH("Y31d",'[1]SALES PERTYPE'!$D$8:$BA$8,0)),0)</f>
        <v>1</v>
      </c>
      <c r="BI36" s="33">
        <f>IFERROR(INDEX('[1]Sales per type Agustus'!$D$10:$BA$52,MATCH($C36,'[1]Sales per type Agustus'!$B$10:$B$52,0),MATCH("Y31d",'[1]Sales per type Agustus'!$D$8:$BA$8,0)),0)</f>
        <v>0</v>
      </c>
      <c r="BJ36" s="33">
        <f t="shared" si="18"/>
        <v>1</v>
      </c>
      <c r="BK36" s="33" cm="1">
        <f t="array" ref="BK36">IFERROR(INDEX('[1]SALES PERTYPE'!$D$10:$BA$53,MATCH($C36,'[1]SALES PERTYPE'!$B$10:$B$53,0),MATCH("Y31d",'[1]SALES PERTYPE'!$D$8:$BA$8,0)+1),0)</f>
        <v>3599000</v>
      </c>
      <c r="BL36" s="33" cm="1">
        <f t="array" ref="BL36">IFERROR(INDEX('[1]Sales per type Agustus'!$D$10:$BA$52,MATCH($C36,'[1]Sales per type Agustus'!$B$10:$B$52,0),MATCH("Y31d",'[1]Sales per type Agustus'!$D$8:$BA$8,0)+1),0)</f>
        <v>0</v>
      </c>
      <c r="BM36" s="33">
        <f t="shared" si="19"/>
        <v>3599000</v>
      </c>
      <c r="BN36" s="33">
        <f>IFERROR(INDEX('[1]SALES PERTYPE'!$D$10:$BA$53,MATCH($C36,'[1]SALES PERTYPE'!$B$10:$B$53,0),MATCH("Y500",'[1]SALES PERTYPE'!$D$8:$BA$8,0)),0)</f>
        <v>0</v>
      </c>
      <c r="BO36" s="33">
        <f>IFERROR(INDEX('[1]Sales per type Agustus'!$D$10:$BA$52,MATCH($C36,'[1]Sales per type Agustus'!$B$10:$B$52,0),MATCH("Y500",'[1]Sales per type Agustus'!$D$8:$BA$8,0)),0)</f>
        <v>0</v>
      </c>
      <c r="BP36" s="33">
        <f t="shared" si="20"/>
        <v>0</v>
      </c>
      <c r="BQ36" s="33" cm="1">
        <f t="array" ref="BQ36">IFERROR(INDEX('[1]SALES PERTYPE'!$D$10:$BA$53,MATCH($C36,'[1]SALES PERTYPE'!$B$10:$B$53,0),MATCH("Y500",'[1]SALES PERTYPE'!$D$8:$BA$8,0)+1),0)</f>
        <v>0</v>
      </c>
      <c r="BR36" s="33" cm="1">
        <f t="array" ref="BR36">IFERROR(INDEX('[1]Sales per type Agustus'!$D$10:$BA$52,MATCH($C36,'[1]Sales per type Agustus'!$B$10:$B$52,0),MATCH("Y500",'[1]Sales per type Agustus'!$D$8:$BA$8,0)+1),0)</f>
        <v>0</v>
      </c>
      <c r="BS36" s="33">
        <f t="shared" si="21"/>
        <v>0</v>
      </c>
      <c r="BT36" s="33">
        <f>IFERROR(INDEX('[1]SALES PERTYPE'!$D$10:$BA$53,MATCH($C36,'[1]SALES PERTYPE'!$B$10:$B$53,0),MATCH("IQOO 15R",'[1]SALES PERTYPE'!$D$8:$BA$8,0)),0)</f>
        <v>0</v>
      </c>
      <c r="BU36" s="33">
        <f>IFERROR(INDEX('[1]Sales per type Agustus'!$D$10:$BA$52,MATCH($C36,'[1]Sales per type Agustus'!$B$10:$B$52,0),MATCH("IQOO 15R",'[1]Sales per type Agustus'!$D$8:$BA$8,0)),0)</f>
        <v>0</v>
      </c>
      <c r="BV36" s="33">
        <f t="shared" si="22"/>
        <v>0</v>
      </c>
      <c r="BW36" s="33" cm="1">
        <f t="array" ref="BW36">IFERROR(INDEX('[1]SALES PERTYPE'!$D$10:$BA$53,MATCH($C36,'[1]SALES PERTYPE'!$B$10:$B$53,0),MATCH("IQOO 15R",'[1]SALES PERTYPE'!$D$8:$BA$8,0)+1),0)</f>
        <v>0</v>
      </c>
      <c r="BX36" s="33" cm="1">
        <f t="array" ref="BX36">IFERROR(INDEX('[1]Sales per type Agustus'!$D$10:$BA$52,MATCH($C36,'[1]Sales per type Agustus'!$B$10:$B$52,0),MATCH("IQOO 15R",'[1]Sales per type Agustus'!$D$8:$BA$8,0)+1),0)</f>
        <v>0</v>
      </c>
      <c r="BY36" s="33">
        <f t="shared" si="23"/>
        <v>0</v>
      </c>
      <c r="BZ36" s="33">
        <f>IFERROR(INDEX('[1]SALES PERTYPE'!$D$10:$BA$53,MATCH($C36,'[1]SALES PERTYPE'!$B$10:$B$53,0),MATCH("V60 Lite",'[1]SALES PERTYPE'!$D$8:$BA$8,0)),0)</f>
        <v>3</v>
      </c>
      <c r="CA36" s="33">
        <f>IFERROR(INDEX('[1]Sales per type Agustus'!$D$10:$BA$52,MATCH($C36,'[1]Sales per type Agustus'!$B$10:$B$52,0),MATCH("V60 Lite",'[1]Sales per type Agustus'!$D$8:$BA$8,0)),0)</f>
        <v>1</v>
      </c>
      <c r="CB36" s="33">
        <f t="shared" si="24"/>
        <v>2</v>
      </c>
      <c r="CC36" s="33" cm="1">
        <f t="array" ref="CC36">IFERROR(INDEX('[1]SALES PERTYPE'!$D$10:$BA$53,MATCH($C36,'[1]SALES PERTYPE'!$B$10:$B$53,0),MATCH("V60 Lite",'[1]SALES PERTYPE'!$D$8:$BA$8,0)+1),0)</f>
        <v>18297000</v>
      </c>
      <c r="CD36" s="33" cm="1">
        <f t="array" ref="CD36">IFERROR(INDEX('[1]Sales per type Agustus'!$D$10:$BA$52,MATCH($C36,'[1]Sales per type Agustus'!$B$10:$B$52,0),MATCH("V60 Lite",'[1]Sales per type Agustus'!$D$8:$BA$8,0)+1),0)</f>
        <v>5299000</v>
      </c>
      <c r="CE36" s="33">
        <f t="shared" si="25"/>
        <v>12998000</v>
      </c>
      <c r="CF36" s="33">
        <f>IFERROR(INDEX('[1]SALES PERTYPE'!$D$10:$BA$53,MATCH($C36,'[1]SALES PERTYPE'!$B$10:$B$53,0),MATCH("X300 Ultra",'[1]SALES PERTYPE'!$D$8:$BA$8,0)),0)</f>
        <v>0</v>
      </c>
      <c r="CG36" s="33">
        <f>IFERROR(INDEX('[1]Sales per type Agustus'!$D$10:$BA$52,MATCH($C36,'[1]Sales per type Agustus'!$B$10:$B$52,0),MATCH("X300 Ultra",'[1]Sales per type Agustus'!$D$8:$BA$8,0)),0)</f>
        <v>0</v>
      </c>
      <c r="CH36" s="33">
        <f t="shared" si="26"/>
        <v>0</v>
      </c>
      <c r="CI36" s="33" cm="1">
        <f t="array" ref="CI36">IFERROR(INDEX('[1]SALES PERTYPE'!$D$10:$BA$53,MATCH($C36,'[1]SALES PERTYPE'!$B$10:$B$53,0),MATCH("X300 Ultra",'[1]SALES PERTYPE'!$D$8:$BA$8,0)+1),0)</f>
        <v>0</v>
      </c>
      <c r="CJ36" s="33" cm="1">
        <f t="array" ref="CJ36">IFERROR(INDEX('[1]Sales per type Agustus'!$D$10:$BA$52,MATCH($C36,'[1]Sales per type Agustus'!$B$10:$B$52,0),MATCH("X300 Ultra",'[1]Sales per type Agustus'!$D$8:$BA$8,0)+1),0)</f>
        <v>0</v>
      </c>
      <c r="CK36" s="33">
        <f t="shared" si="27"/>
        <v>0</v>
      </c>
      <c r="CL36" s="33">
        <f>IFERROR(INDEX('[1]SALES PERTYPE'!$D$10:$BA$53,MATCH($C36,'[1]SALES PERTYPE'!$B$10:$B$53,0),MATCH("IQOO 15",'[1]SALES PERTYPE'!$D$8:$BA$8,0)),0)</f>
        <v>0</v>
      </c>
      <c r="CM36" s="33">
        <f>IFERROR(INDEX('[1]Sales per type Agustus'!$D$10:$BA$52,MATCH($C36,'[1]Sales per type Agustus'!$B$10:$B$52,0),MATCH("IQOO 15",'[1]Sales per type Agustus'!$D$8:$BA$8,0)),0)</f>
        <v>0</v>
      </c>
      <c r="CN36" s="33">
        <f t="shared" si="28"/>
        <v>0</v>
      </c>
      <c r="CO36" s="33" cm="1">
        <f t="array" ref="CO36">IFERROR(INDEX('[1]SALES PERTYPE'!$D$10:$BA$53,MATCH($C36,'[1]SALES PERTYPE'!$B$10:$B$53,0),MATCH("IQOO 15",'[1]SALES PERTYPE'!$D$8:$BA$8,0)+1),0)</f>
        <v>0</v>
      </c>
      <c r="CP36" s="33" cm="1">
        <f t="array" ref="CP36">IFERROR(INDEX('[1]Sales per type Agustus'!$D$10:$BA$52,MATCH($C36,'[1]Sales per type Agustus'!$B$10:$B$52,0),MATCH("IQOO 15",'[1]Sales per type Agustus'!$D$8:$BA$8,0)+1),0)</f>
        <v>0</v>
      </c>
      <c r="CQ36" s="33">
        <f t="shared" si="29"/>
        <v>0</v>
      </c>
      <c r="CR36" s="33">
        <f>IFERROR(INDEX('[1]SALES PERTYPE'!$D$10:$BA$53,MATCH($C36,'[1]SALES PERTYPE'!$B$10:$B$53,0),MATCH("IQOO Z11x",'[1]SALES PERTYPE'!$D$8:$BA$8,0)),0)</f>
        <v>1</v>
      </c>
      <c r="CS36" s="33">
        <f>IFERROR(INDEX('[1]Sales per type Agustus'!$D$10:$BA$52,MATCH($C36,'[1]Sales per type Agustus'!$B$10:$B$52,0),MATCH("IQOO Z11x",'[1]Sales per type Agustus'!$D$8:$BA$8,0)),0)</f>
        <v>0</v>
      </c>
      <c r="CT36" s="33">
        <f t="shared" si="30"/>
        <v>1</v>
      </c>
      <c r="CU36" s="33" cm="1">
        <f t="array" ref="CU36">IFERROR(INDEX('[1]SALES PERTYPE'!$D$10:$BA$53,MATCH($C36,'[1]SALES PERTYPE'!$B$10:$B$53,0),MATCH("IQOO Z11x",'[1]SALES PERTYPE'!$D$8:$BA$8,0)+1),0)</f>
        <v>4799000</v>
      </c>
      <c r="CV36" s="33" cm="1">
        <f t="array" ref="CV36">IFERROR(INDEX('[1]Sales per type Agustus'!$D$10:$BA$52,MATCH($C36,'[1]Sales per type Agustus'!$B$10:$B$52,0),MATCH("IQOO Z11x",'[1]Sales per type Agustus'!$D$8:$BA$8,0)+1),0)</f>
        <v>0</v>
      </c>
      <c r="CW36" s="33">
        <f t="shared" si="31"/>
        <v>4799000</v>
      </c>
      <c r="CX36" s="33">
        <f>IFERROR(INDEX('[1]SALES PERTYPE'!$D$10:$BA$53,MATCH($C36,'[1]SALES PERTYPE'!$B$10:$B$53,0),MATCH("IQOO Z11",'[1]SALES PERTYPE'!$D$8:$BA$8,0)),0)</f>
        <v>4</v>
      </c>
      <c r="CY36" s="33">
        <f>IFERROR(INDEX('[1]Sales per type Agustus'!$D$10:$BA$52,MATCH($C36,'[1]Sales per type Agustus'!$B$10:$B$52,0),MATCH("IQOO Z11",'[1]Sales per type Agustus'!$D$8:$BA$8,0)),0)</f>
        <v>1</v>
      </c>
      <c r="CZ36" s="33">
        <f t="shared" si="32"/>
        <v>3</v>
      </c>
      <c r="DA36" s="33" cm="1">
        <f t="array" ref="DA36">IFERROR(INDEX('[1]SALES PERTYPE'!$D$10:$BA$53,MATCH($C36,'[1]SALES PERTYPE'!$B$10:$B$53,0),MATCH("IQOO Z11",'[1]SALES PERTYPE'!$D$8:$BA$8,0)+1),0)</f>
        <v>27596000</v>
      </c>
      <c r="DB36" s="33" cm="1">
        <f t="array" ref="DB36">IFERROR(INDEX('[1]Sales per type Agustus'!$D$10:$BA$52,MATCH($C36,'[1]Sales per type Agustus'!$B$10:$B$52,0),MATCH("IQOO Z11",'[1]Sales per type Agustus'!$D$8:$BA$8,0)+1),0)</f>
        <v>6899000</v>
      </c>
      <c r="DC36" s="33">
        <f t="shared" si="33"/>
        <v>20697000</v>
      </c>
      <c r="DD36" s="33">
        <f>IFERROR(INDEX('[1]SALES PERTYPE'!$D$10:$BA$53,MATCH($C36,'[1]SALES PERTYPE'!$B$10:$B$53,0),MATCH("WATCH 3",'[1]SALES PERTYPE'!$D$8:$BA$8,0)),0)</f>
        <v>0</v>
      </c>
      <c r="DE36" s="33">
        <f>IFERROR(INDEX('[1]Sales per type Agustus'!$D$10:$BA$52,MATCH($C36,'[1]Sales per type Agustus'!$B$10:$B$52,0),MATCH("WATCH 3",'[1]Sales per type Agustus'!$D$8:$BA$8,0)),0)</f>
        <v>0</v>
      </c>
      <c r="DF36" s="33">
        <f t="shared" si="34"/>
        <v>0</v>
      </c>
      <c r="DG36" s="33" cm="1">
        <f t="array" ref="DG36">IFERROR(INDEX('[1]SALES PERTYPE'!$D$10:$BA$53,MATCH($C36,'[1]SALES PERTYPE'!$B$10:$B$53,0),MATCH("WATCH 3",'[1]SALES PERTYPE'!$D$8:$BA$8,0)+1),0)</f>
        <v>0</v>
      </c>
      <c r="DH36" s="33" cm="1">
        <f t="array" ref="DH36">IFERROR(INDEX('[1]Sales per type Agustus'!$D$10:$BA$52,MATCH($C36,'[1]Sales per type Agustus'!$B$10:$B$52,0),MATCH("WATCH 3",'[1]Sales per type Agustus'!$D$8:$BA$8,0)+1),0)</f>
        <v>0</v>
      </c>
      <c r="DI36" s="33">
        <f t="shared" si="35"/>
        <v>0</v>
      </c>
      <c r="DJ36" s="33">
        <f>IFERROR(INDEX('[1]SALES PERTYPE'!$D$10:$BA$53,MATCH($C36,'[1]SALES PERTYPE'!$B$10:$B$53,0),MATCH("X Fold5",'[1]SALES PERTYPE'!$D$8:$BA$8,0)),0)</f>
        <v>0</v>
      </c>
      <c r="DK36" s="33">
        <f>IFERROR(INDEX('[1]Sales per type Agustus'!$D$10:$BA$52,MATCH($C36,'[1]Sales per type Agustus'!$B$10:$B$52,0),MATCH("X Fold5",'[1]Sales per type Agustus'!$D$8:$BA$8,0)),0)</f>
        <v>0</v>
      </c>
      <c r="DL36" s="33">
        <f t="shared" si="36"/>
        <v>0</v>
      </c>
      <c r="DM36" s="33" cm="1">
        <f t="array" ref="DM36">IFERROR(INDEX('[1]SALES PERTYPE'!$D$10:$BA$53,MATCH($C36,'[1]SALES PERTYPE'!$B$10:$B$53,0),MATCH("X Fold5",'[1]SALES PERTYPE'!$D$8:$BA$8,0)+1),0)</f>
        <v>0</v>
      </c>
      <c r="DN36" s="33" cm="1">
        <f t="array" ref="DN36">IFERROR(INDEX('[1]Sales per type Agustus'!$D$10:$BA$52,MATCH($C36,'[1]Sales per type Agustus'!$B$10:$B$52,0),MATCH("X Fold5",'[1]Sales per type Agustus'!$D$8:$BA$8,0)+1),0)</f>
        <v>0</v>
      </c>
      <c r="DO36" s="33">
        <f t="shared" si="37"/>
        <v>0</v>
      </c>
      <c r="DP36" s="33">
        <f>IFERROR(INDEX('[1]SALES PERTYPE'!$D$10:$BA$53,MATCH($C36,'[1]SALES PERTYPE'!$B$10:$B$53,0),MATCH("X300 PRO",'[1]SALES PERTYPE'!$D$8:$BA$8,0)),0)</f>
        <v>0</v>
      </c>
      <c r="DQ36" s="33">
        <f>IFERROR(INDEX('[1]Sales per type Agustus'!$D$10:$BA$52,MATCH($C36,'[1]Sales per type Agustus'!$B$10:$B$52,0),MATCH("X300 PRO",'[1]Sales per type Agustus'!$D$8:$BA$8,0)),0)</f>
        <v>0</v>
      </c>
      <c r="DR36" s="33">
        <f t="shared" si="38"/>
        <v>0</v>
      </c>
      <c r="DS36" s="33" cm="1">
        <f t="array" ref="DS36">IFERROR(INDEX('[1]SALES PERTYPE'!$D$10:$BA$53,MATCH($C36,'[1]SALES PERTYPE'!$B$10:$B$53,0),MATCH("X300 PRO",'[1]SALES PERTYPE'!$D$8:$BA$8,0)+1),0)</f>
        <v>0</v>
      </c>
      <c r="DT36" s="33" cm="1">
        <f t="array" ref="DT36">IFERROR(INDEX('[1]Sales per type Agustus'!$D$10:$BA$52,MATCH($C36,'[1]Sales per type Agustus'!$B$10:$B$52,0),MATCH("X300 PRO",'[1]Sales per type Agustus'!$D$8:$BA$8,0)+1),0)</f>
        <v>0</v>
      </c>
      <c r="DU36" s="33">
        <f t="shared" si="39"/>
        <v>0</v>
      </c>
      <c r="DV36" s="33">
        <f>IFERROR(INDEX('[1]SALES PERTYPE'!$D$10:$BA$53,MATCH($C36,'[1]SALES PERTYPE'!$B$10:$B$53,0),MATCH("X300 ",'[1]SALES PERTYPE'!$D$8:$BA$8,0)),0)</f>
        <v>0</v>
      </c>
      <c r="DW36" s="33">
        <f>IFERROR(INDEX('[1]Sales per type Agustus'!$D$10:$BA$52,MATCH($C36,'[1]Sales per type Agustus'!$B$10:$B$52,0),MATCH("X300 ",'[1]Sales per type Agustus'!$D$8:$BA$8,0)),0)</f>
        <v>0</v>
      </c>
      <c r="DX36" s="33">
        <f t="shared" si="40"/>
        <v>0</v>
      </c>
      <c r="DY36" s="33" cm="1">
        <f t="array" ref="DY36">IFERROR(INDEX('[1]SALES PERTYPE'!$D$10:$BA$53,MATCH($C36,'[1]SALES PERTYPE'!$B$10:$B$53,0),MATCH("X300 ",'[1]SALES PERTYPE'!$D$8:$BA$8,0)+1),0)</f>
        <v>0</v>
      </c>
      <c r="DZ36" s="33" cm="1">
        <f t="array" ref="DZ36">IFERROR(INDEX('[1]Sales per type Agustus'!$D$10:$BA$52,MATCH($C36,'[1]Sales per type Agustus'!$B$10:$B$52,0),MATCH("X300 ",'[1]Sales per type Agustus'!$D$8:$BA$8,0)+1),0)</f>
        <v>0</v>
      </c>
      <c r="EA36" s="33">
        <f t="shared" si="41"/>
        <v>0</v>
      </c>
      <c r="EB36" s="33">
        <f t="shared" si="42"/>
        <v>25</v>
      </c>
      <c r="EC36" s="33">
        <f t="shared" si="42"/>
        <v>20</v>
      </c>
      <c r="ED36" s="33">
        <f t="shared" si="43"/>
        <v>5</v>
      </c>
      <c r="EE36" s="33">
        <f t="shared" si="44"/>
        <v>127375000</v>
      </c>
      <c r="EF36" s="33">
        <f t="shared" si="44"/>
        <v>82280000</v>
      </c>
      <c r="EG36" s="33">
        <f t="shared" si="45"/>
        <v>45095000</v>
      </c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</row>
    <row r="37" spans="1:184" ht="16" x14ac:dyDescent="0.2">
      <c r="A37" s="31">
        <f>'[1]ACHIEVEMENT STORE'!A37</f>
        <v>33</v>
      </c>
      <c r="B37" s="32" t="str">
        <f>'[1]ACHIEVEMENT STORE'!B37</f>
        <v>619-万隆市区BDG KOTA</v>
      </c>
      <c r="C37" s="31">
        <f>'[1]ACHIEVEMENT STORE'!C37</f>
        <v>6190701</v>
      </c>
      <c r="D37" s="32" t="str">
        <f>'[1]ACHIEVEMENT STORE'!D37</f>
        <v>6190701-BEC VIVO STORE UG</v>
      </c>
      <c r="E37" s="32" t="str">
        <f>'[1]ACHIEVEMENT STORE'!E37</f>
        <v>EKO PURWANTO</v>
      </c>
      <c r="F37" s="33">
        <f>IFERROR(INDEX('[1]SALES PERTYPE'!$D$10:$BA$53,MATCH($C37,'[1]SALES PERTYPE'!$B$10:$B$53,0),MATCH("Y05",'[1]SALES PERTYPE'!$D$8:$BA$8,0)),0)</f>
        <v>16</v>
      </c>
      <c r="G37" s="33">
        <f>IFERROR(INDEX('[1]Sales per type Agustus'!$D$10:$BA$52,MATCH($C37,'[1]Sales per type Agustus'!$B$10:$B$52,0),MATCH("Y05",'[1]Sales per type Agustus'!$D$8:$BA$8,0)),0)</f>
        <v>5</v>
      </c>
      <c r="H37" s="33">
        <f t="shared" si="0"/>
        <v>11</v>
      </c>
      <c r="I37" s="33" cm="1">
        <f t="array" ref="I37">IFERROR(INDEX('[1]SALES PERTYPE'!$D$10:$BA$53,MATCH($C37,'[1]SALES PERTYPE'!$B$10:$B$53,0),MATCH("Y05",'[1]SALES PERTYPE'!$D$8:$BA$8,0)+1),0)</f>
        <v>38884000</v>
      </c>
      <c r="J37" s="33" cm="1">
        <f t="array" ref="J37">IFERROR(INDEX('[1]Sales per type Agustus'!$D$10:$BA$52,MATCH($C37,'[1]Sales per type Agustus'!$B$10:$B$52,0),MATCH("Y05",'[1]Sales per type Agustus'!$D$8:$BA$8,0)+1),0)</f>
        <v>11795000</v>
      </c>
      <c r="K37" s="33">
        <f t="shared" si="1"/>
        <v>27089000</v>
      </c>
      <c r="L37" s="33">
        <f>IFERROR(INDEX('[1]SALES PERTYPE'!$D$10:$BA$53,MATCH($C37,'[1]SALES PERTYPE'!$B$10:$B$53,0),MATCH("Y11d",'[1]SALES PERTYPE'!$D$8:$BA$8,0)),0)</f>
        <v>4</v>
      </c>
      <c r="M37" s="33">
        <f>IFERROR(INDEX('[1]Sales per type Agustus'!$D$10:$BA$52,MATCH($C37,'[1]Sales per type Agustus'!$B$10:$B$52,0),MATCH("Y11d",'[1]Sales per type Agustus'!$D$8:$BA$8,0)),0)</f>
        <v>13</v>
      </c>
      <c r="N37" s="33">
        <f t="shared" si="2"/>
        <v>-9</v>
      </c>
      <c r="O37" s="33" cm="1">
        <f t="array" ref="O37">IFERROR(INDEX('[1]SALES PERTYPE'!$D$10:$BA$53,MATCH($C37,'[1]SALES PERTYPE'!$B$10:$B$53,0),MATCH("Y11d",'[1]SALES PERTYPE'!$D$8:$BA$8,0)+1),0)</f>
        <v>10796000</v>
      </c>
      <c r="P37" s="33" cm="1">
        <f t="array" ref="P37">IFERROR(INDEX('[1]Sales per type Agustus'!$D$10:$BA$52,MATCH($C37,'[1]Sales per type Agustus'!$B$10:$B$52,0),MATCH("Y11d",'[1]Sales per type Agustus'!$D$8:$BA$8,0)+1),0)</f>
        <v>33987000</v>
      </c>
      <c r="Q37" s="33">
        <f t="shared" si="3"/>
        <v>-23191000</v>
      </c>
      <c r="R37" s="33">
        <f>IFERROR(INDEX('[1]SALES PERTYPE'!$D$10:$BA$53,MATCH($C37,'[1]SALES PERTYPE'!$B$10:$B$53,0),MATCH("Watch GT 2",'[1]SALES PERTYPE'!$D$8:$BA$8,0)),0)</f>
        <v>0</v>
      </c>
      <c r="S37" s="33">
        <f>IFERROR(INDEX('[1]Sales per type Agustus'!$D$10:$BA$52,MATCH($C37,'[1]Sales per type Agustus'!$B$10:$B$52,0),MATCH("Watch GT 2",'[1]Sales per type Agustus'!$D$8:$BA$8,0)),0)</f>
        <v>0</v>
      </c>
      <c r="T37" s="33">
        <f t="shared" si="4"/>
        <v>0</v>
      </c>
      <c r="U37" s="33" cm="1">
        <f t="array" ref="U37">IFERROR(INDEX('[1]SALES PERTYPE'!$D$10:$BA$53,MATCH($C37,'[1]SALES PERTYPE'!$B$10:$B$53,0),MATCH("Watch GT 2",'[1]SALES PERTYPE'!$D$8:$BA$8,0)+1),0)</f>
        <v>0</v>
      </c>
      <c r="V37" s="33" cm="1">
        <f t="array" ref="V37">IFERROR(INDEX('[1]Sales per type Agustus'!$D$10:$BA$52,MATCH($C37,'[1]Sales per type Agustus'!$B$10:$B$52,0),MATCH("Watch GT 2",'[1]Sales per type Agustus'!$D$8:$BA$8,0)+1),0)</f>
        <v>0</v>
      </c>
      <c r="W37" s="33">
        <f t="shared" si="5"/>
        <v>0</v>
      </c>
      <c r="X37" s="33">
        <f>IFERROR(INDEX('[1]SALES PERTYPE'!$D$10:$BA$53,MATCH($C37,'[1]SALES PERTYPE'!$B$10:$B$53,0),MATCH("Y05e",'[1]SALES PERTYPE'!$D$8:$BA$8,0)),0)</f>
        <v>4</v>
      </c>
      <c r="Y37" s="33">
        <f>IFERROR(INDEX('[1]Sales per type Agustus'!$D$10:$BA$52,MATCH($C37,'[1]Sales per type Agustus'!$B$10:$B$52,0),MATCH("Y05e",'[1]Sales per type Agustus'!$D$8:$BA$8,0)),0)</f>
        <v>9</v>
      </c>
      <c r="Z37" s="33">
        <f t="shared" si="6"/>
        <v>-5</v>
      </c>
      <c r="AA37" s="33" cm="1">
        <f t="array" ref="AA37">IFERROR(INDEX('[1]SALES PERTYPE'!$D$10:$BA$53,MATCH($C37,'[1]SALES PERTYPE'!$B$10:$B$53,0),MATCH("Y05e",'[1]SALES PERTYPE'!$D$8:$BA$8,0)+1),0)</f>
        <v>8996000</v>
      </c>
      <c r="AB37" s="33" cm="1">
        <f t="array" ref="AB37">IFERROR(INDEX('[1]Sales per type Agustus'!$D$10:$BA$52,MATCH($C37,'[1]Sales per type Agustus'!$B$10:$B$52,0),MATCH("Y05e",'[1]Sales per type Agustus'!$D$8:$BA$8,0)+1),0)</f>
        <v>18891000</v>
      </c>
      <c r="AC37" s="33">
        <f t="shared" si="7"/>
        <v>-9895000</v>
      </c>
      <c r="AD37" s="33">
        <f>IFERROR(INDEX('[1]SALES PERTYPE'!$D$10:$BA$53,MATCH($C37,'[1]SALES PERTYPE'!$B$10:$B$53,0),MATCH("V70",'[1]SALES PERTYPE'!$D$8:$BA$8,0)),0)</f>
        <v>3</v>
      </c>
      <c r="AE37" s="33">
        <f>IFERROR(INDEX('[1]Sales per type Agustus'!$D$10:$BA$52,MATCH($C37,'[1]Sales per type Agustus'!$B$10:$B$52,0),MATCH("V70",'[1]Sales per type Agustus'!$D$8:$BA$8,0)),0)</f>
        <v>0</v>
      </c>
      <c r="AF37" s="33">
        <f t="shared" si="8"/>
        <v>3</v>
      </c>
      <c r="AG37" s="33" cm="1">
        <f t="array" ref="AG37">IFERROR(INDEX('[1]SALES PERTYPE'!$D$10:$BA$53,MATCH($C37,'[1]SALES PERTYPE'!$B$10:$B$53,0),MATCH("V70",'[1]SALES PERTYPE'!$D$8:$BA$8,0)+1),0)</f>
        <v>29997000</v>
      </c>
      <c r="AH37" s="33" cm="1">
        <f t="array" ref="AH37">IFERROR(INDEX('[1]Sales per type Agustus'!$D$10:$BA$52,MATCH($C37,'[1]Sales per type Agustus'!$B$10:$B$52,0),MATCH("V70",'[1]Sales per type Agustus'!$D$8:$BA$8,0)+1),0)</f>
        <v>0</v>
      </c>
      <c r="AI37" s="33">
        <f t="shared" si="9"/>
        <v>29997000</v>
      </c>
      <c r="AJ37" s="33">
        <f>IFERROR(INDEX('[1]SALES PERTYPE'!$D$10:$BA$53,MATCH($C37,'[1]SALES PERTYPE'!$B$10:$B$53,0),MATCH("Y31d Pro",'[1]SALES PERTYPE'!$D$8:$BA$8,0)),0)</f>
        <v>3</v>
      </c>
      <c r="AK37" s="33">
        <f>IFERROR(INDEX('[1]Sales per type Agustus'!$D$10:$BA$52,MATCH($C37,'[1]Sales per type Agustus'!$B$10:$B$52,0),MATCH("Y31d Pro",'[1]Sales per type Agustus'!$D$8:$BA$8,0)),0)</f>
        <v>7</v>
      </c>
      <c r="AL37" s="33">
        <f t="shared" si="10"/>
        <v>-4</v>
      </c>
      <c r="AM37" s="33" cm="1">
        <f t="array" ref="AM37">IFERROR(INDEX('[1]SALES PERTYPE'!$D$10:$BA$53,MATCH($C37,'[1]SALES PERTYPE'!$B$10:$B$53,0),MATCH("Y31d Pro",'[1]SALES PERTYPE'!$D$8:$BA$8,0)+1),0)</f>
        <v>12497000</v>
      </c>
      <c r="AN37" s="33" cm="1">
        <f t="array" ref="AN37">IFERROR(INDEX('[1]Sales per type Agustus'!$D$10:$BA$52,MATCH($C37,'[1]Sales per type Agustus'!$B$10:$B$52,0),MATCH("Y31d Pro",'[1]Sales per type Agustus'!$D$8:$BA$8,0)+1),0)</f>
        <v>27693000</v>
      </c>
      <c r="AO37" s="33">
        <f t="shared" si="11"/>
        <v>-15196000</v>
      </c>
      <c r="AP37" s="33" cm="1">
        <f t="array" ref="AP37">IFERROR(INDEX('[1]SALES PERTYPE'!$D$10:$BA$53,MATCH($C37,'[1]SALES PERTYPE'!$B$10:$B$53,0),$EI$3),0)</f>
        <v>3</v>
      </c>
      <c r="AQ37" s="33" cm="1">
        <f t="array" ref="AQ37">IFERROR(INDEX('[1]Sales per type Agustus'!$D$10:$BA$52,MATCH($C37,'[1]Sales per type Agustus'!$B$10:$B$52,0),$EI$2),0)</f>
        <v>1</v>
      </c>
      <c r="AR37" s="33">
        <f t="shared" si="12"/>
        <v>2</v>
      </c>
      <c r="AS37" s="33" cm="1">
        <f t="array" ref="AS37">IFERROR(INDEX('[1]SALES PERTYPE'!$D$10:$BA$53,MATCH($C37,'[1]SALES PERTYPE'!$B$10:$B$53,0),$EI$3+1),0)</f>
        <v>9897000</v>
      </c>
      <c r="AT37" s="33" cm="1">
        <f t="array" ref="AT37">IFERROR(INDEX('[1]Sales per type Agustus'!$D$10:$BA$52,MATCH($C37,'[1]Sales per type Agustus'!$B$10:$B$52,0),$EI$2+1),0)</f>
        <v>3599000</v>
      </c>
      <c r="AU37" s="33">
        <f t="shared" si="13"/>
        <v>6298000</v>
      </c>
      <c r="AV37" s="33">
        <f>IFERROR(INDEX('[1]SALES PERTYPE'!$D$10:$BA$53,MATCH($C37,'[1]SALES PERTYPE'!$B$10:$B$53,0),MATCH("Y31d ",'[1]SALES PERTYPE'!$D$8:$BA$8,0)),0)</f>
        <v>0</v>
      </c>
      <c r="AW37" s="33">
        <f>IFERROR(INDEX('[1]Sales per type Agustus'!$D$10:$BA$52,MATCH($C37,'[1]Sales per type Agustus'!$B$10:$B$52,0),MATCH("Y31d ",'[1]Sales per type Agustus'!$D$8:$BA$8,0)),0)</f>
        <v>0</v>
      </c>
      <c r="AX37" s="33">
        <f t="shared" si="14"/>
        <v>0</v>
      </c>
      <c r="AY37" s="33" cm="1">
        <f t="array" ref="AY37">IFERROR(INDEX('[1]SALES PERTYPE'!$D$10:$BA$53,MATCH($C37,'[1]SALES PERTYPE'!$B$10:$B$53,0),MATCH("Y31d ",'[1]SALES PERTYPE'!$D$8:$BA$8,0)+1),0)</f>
        <v>0</v>
      </c>
      <c r="AZ37" s="33" cm="1">
        <f t="array" ref="AZ37">IFERROR(INDEX('[1]Sales per type Agustus'!$D$10:$BA$52,MATCH($C37,'[1]Sales per type Agustus'!$B$10:$B$52,0),MATCH("Y31d ",'[1]Sales per type Agustus'!$D$8:$BA$8,0)+1),0)</f>
        <v>0</v>
      </c>
      <c r="BA37" s="33">
        <f t="shared" si="15"/>
        <v>0</v>
      </c>
      <c r="BB37" s="33">
        <f>IFERROR(INDEX('[1]SALES PERTYPE'!$D$10:$BA$53,MATCH($C37,'[1]SALES PERTYPE'!$B$10:$B$53,0),MATCH("V70 FE",'[1]SALES PERTYPE'!$D$8:$BA$8,0)),0)</f>
        <v>1</v>
      </c>
      <c r="BC37" s="33">
        <f>IFERROR(INDEX('[1]Sales per type Agustus'!$D$10:$BA$52,MATCH($C37,'[1]Sales per type Agustus'!$B$10:$B$52,0),MATCH("V70 FE",'[1]Sales per type Agustus'!$D$8:$BA$8,0)),0)</f>
        <v>0</v>
      </c>
      <c r="BD37" s="33">
        <f t="shared" si="16"/>
        <v>1</v>
      </c>
      <c r="BE37" s="33" cm="1">
        <f t="array" ref="BE37">IFERROR(INDEX('[1]SALES PERTYPE'!$D$10:$BA$53,MATCH($C37,'[1]SALES PERTYPE'!$B$10:$B$53,0),MATCH("V70 FE",'[1]SALES PERTYPE'!$D$8:$BA$8,0)+1),0)</f>
        <v>7999000</v>
      </c>
      <c r="BF37" s="33" cm="1">
        <f t="array" ref="BF37">IFERROR(INDEX('[1]Sales per type Agustus'!$D$10:$BA$52,MATCH($C37,'[1]Sales per type Agustus'!$B$10:$B$52,0),MATCH("V70 FE",'[1]Sales per type Agustus'!$D$8:$BA$8,0)+1),0)</f>
        <v>0</v>
      </c>
      <c r="BG37" s="33">
        <f t="shared" si="17"/>
        <v>7999000</v>
      </c>
      <c r="BH37" s="33">
        <f>IFERROR(INDEX('[1]SALES PERTYPE'!$D$10:$BA$53,MATCH($C37,'[1]SALES PERTYPE'!$B$10:$B$53,0),MATCH("Y31d",'[1]SALES PERTYPE'!$D$8:$BA$8,0)),0)</f>
        <v>0</v>
      </c>
      <c r="BI37" s="33">
        <f>IFERROR(INDEX('[1]Sales per type Agustus'!$D$10:$BA$52,MATCH($C37,'[1]Sales per type Agustus'!$B$10:$B$52,0),MATCH("Y31d",'[1]Sales per type Agustus'!$D$8:$BA$8,0)),0)</f>
        <v>0</v>
      </c>
      <c r="BJ37" s="33">
        <f t="shared" si="18"/>
        <v>0</v>
      </c>
      <c r="BK37" s="33" cm="1">
        <f t="array" ref="BK37">IFERROR(INDEX('[1]SALES PERTYPE'!$D$10:$BA$53,MATCH($C37,'[1]SALES PERTYPE'!$B$10:$B$53,0),MATCH("Y31d",'[1]SALES PERTYPE'!$D$8:$BA$8,0)+1),0)</f>
        <v>0</v>
      </c>
      <c r="BL37" s="33" cm="1">
        <f t="array" ref="BL37">IFERROR(INDEX('[1]Sales per type Agustus'!$D$10:$BA$52,MATCH($C37,'[1]Sales per type Agustus'!$B$10:$B$52,0),MATCH("Y31d",'[1]Sales per type Agustus'!$D$8:$BA$8,0)+1),0)</f>
        <v>0</v>
      </c>
      <c r="BM37" s="33">
        <f t="shared" si="19"/>
        <v>0</v>
      </c>
      <c r="BN37" s="33">
        <f>IFERROR(INDEX('[1]SALES PERTYPE'!$D$10:$BA$53,MATCH($C37,'[1]SALES PERTYPE'!$B$10:$B$53,0),MATCH("Y500",'[1]SALES PERTYPE'!$D$8:$BA$8,0)),0)</f>
        <v>0</v>
      </c>
      <c r="BO37" s="33">
        <f>IFERROR(INDEX('[1]Sales per type Agustus'!$D$10:$BA$52,MATCH($C37,'[1]Sales per type Agustus'!$B$10:$B$52,0),MATCH("Y500",'[1]Sales per type Agustus'!$D$8:$BA$8,0)),0)</f>
        <v>0</v>
      </c>
      <c r="BP37" s="33">
        <f t="shared" si="20"/>
        <v>0</v>
      </c>
      <c r="BQ37" s="33" cm="1">
        <f t="array" ref="BQ37">IFERROR(INDEX('[1]SALES PERTYPE'!$D$10:$BA$53,MATCH($C37,'[1]SALES PERTYPE'!$B$10:$B$53,0),MATCH("Y500",'[1]SALES PERTYPE'!$D$8:$BA$8,0)+1),0)</f>
        <v>0</v>
      </c>
      <c r="BR37" s="33" cm="1">
        <f t="array" ref="BR37">IFERROR(INDEX('[1]Sales per type Agustus'!$D$10:$BA$52,MATCH($C37,'[1]Sales per type Agustus'!$B$10:$B$52,0),MATCH("Y500",'[1]Sales per type Agustus'!$D$8:$BA$8,0)+1),0)</f>
        <v>0</v>
      </c>
      <c r="BS37" s="33">
        <f t="shared" si="21"/>
        <v>0</v>
      </c>
      <c r="BT37" s="33">
        <f>IFERROR(INDEX('[1]SALES PERTYPE'!$D$10:$BA$53,MATCH($C37,'[1]SALES PERTYPE'!$B$10:$B$53,0),MATCH("IQOO 15R",'[1]SALES PERTYPE'!$D$8:$BA$8,0)),0)</f>
        <v>0</v>
      </c>
      <c r="BU37" s="33">
        <f>IFERROR(INDEX('[1]Sales per type Agustus'!$D$10:$BA$52,MATCH($C37,'[1]Sales per type Agustus'!$B$10:$B$52,0),MATCH("IQOO 15R",'[1]Sales per type Agustus'!$D$8:$BA$8,0)),0)</f>
        <v>0</v>
      </c>
      <c r="BV37" s="33">
        <f t="shared" si="22"/>
        <v>0</v>
      </c>
      <c r="BW37" s="33" cm="1">
        <f t="array" ref="BW37">IFERROR(INDEX('[1]SALES PERTYPE'!$D$10:$BA$53,MATCH($C37,'[1]SALES PERTYPE'!$B$10:$B$53,0),MATCH("IQOO 15R",'[1]SALES PERTYPE'!$D$8:$BA$8,0)+1),0)</f>
        <v>0</v>
      </c>
      <c r="BX37" s="33" cm="1">
        <f t="array" ref="BX37">IFERROR(INDEX('[1]Sales per type Agustus'!$D$10:$BA$52,MATCH($C37,'[1]Sales per type Agustus'!$B$10:$B$52,0),MATCH("IQOO 15R",'[1]Sales per type Agustus'!$D$8:$BA$8,0)+1),0)</f>
        <v>0</v>
      </c>
      <c r="BY37" s="33">
        <f t="shared" si="23"/>
        <v>0</v>
      </c>
      <c r="BZ37" s="33">
        <f>IFERROR(INDEX('[1]SALES PERTYPE'!$D$10:$BA$53,MATCH($C37,'[1]SALES PERTYPE'!$B$10:$B$53,0),MATCH("V60 Lite",'[1]SALES PERTYPE'!$D$8:$BA$8,0)),0)</f>
        <v>1</v>
      </c>
      <c r="CA37" s="33">
        <f>IFERROR(INDEX('[1]Sales per type Agustus'!$D$10:$BA$52,MATCH($C37,'[1]Sales per type Agustus'!$B$10:$B$52,0),MATCH("V60 Lite",'[1]Sales per type Agustus'!$D$8:$BA$8,0)),0)</f>
        <v>1</v>
      </c>
      <c r="CB37" s="33">
        <f t="shared" si="24"/>
        <v>0</v>
      </c>
      <c r="CC37" s="33" cm="1">
        <f t="array" ref="CC37">IFERROR(INDEX('[1]SALES PERTYPE'!$D$10:$BA$53,MATCH($C37,'[1]SALES PERTYPE'!$B$10:$B$53,0),MATCH("V60 Lite",'[1]SALES PERTYPE'!$D$8:$BA$8,0)+1),0)</f>
        <v>5899000</v>
      </c>
      <c r="CD37" s="33" cm="1">
        <f t="array" ref="CD37">IFERROR(INDEX('[1]Sales per type Agustus'!$D$10:$BA$52,MATCH($C37,'[1]Sales per type Agustus'!$B$10:$B$52,0),MATCH("V60 Lite",'[1]Sales per type Agustus'!$D$8:$BA$8,0)+1),0)</f>
        <v>5299000</v>
      </c>
      <c r="CE37" s="33">
        <f t="shared" si="25"/>
        <v>600000</v>
      </c>
      <c r="CF37" s="33">
        <f>IFERROR(INDEX('[1]SALES PERTYPE'!$D$10:$BA$53,MATCH($C37,'[1]SALES PERTYPE'!$B$10:$B$53,0),MATCH("X300 Ultra",'[1]SALES PERTYPE'!$D$8:$BA$8,0)),0)</f>
        <v>0</v>
      </c>
      <c r="CG37" s="33">
        <f>IFERROR(INDEX('[1]Sales per type Agustus'!$D$10:$BA$52,MATCH($C37,'[1]Sales per type Agustus'!$B$10:$B$52,0),MATCH("X300 Ultra",'[1]Sales per type Agustus'!$D$8:$BA$8,0)),0)</f>
        <v>0</v>
      </c>
      <c r="CH37" s="33">
        <f t="shared" si="26"/>
        <v>0</v>
      </c>
      <c r="CI37" s="33" cm="1">
        <f t="array" ref="CI37">IFERROR(INDEX('[1]SALES PERTYPE'!$D$10:$BA$53,MATCH($C37,'[1]SALES PERTYPE'!$B$10:$B$53,0),MATCH("X300 Ultra",'[1]SALES PERTYPE'!$D$8:$BA$8,0)+1),0)</f>
        <v>0</v>
      </c>
      <c r="CJ37" s="33" cm="1">
        <f t="array" ref="CJ37">IFERROR(INDEX('[1]Sales per type Agustus'!$D$10:$BA$52,MATCH($C37,'[1]Sales per type Agustus'!$B$10:$B$52,0),MATCH("X300 Ultra",'[1]Sales per type Agustus'!$D$8:$BA$8,0)+1),0)</f>
        <v>0</v>
      </c>
      <c r="CK37" s="33">
        <f t="shared" si="27"/>
        <v>0</v>
      </c>
      <c r="CL37" s="33">
        <f>IFERROR(INDEX('[1]SALES PERTYPE'!$D$10:$BA$53,MATCH($C37,'[1]SALES PERTYPE'!$B$10:$B$53,0),MATCH("IQOO 15",'[1]SALES PERTYPE'!$D$8:$BA$8,0)),0)</f>
        <v>0</v>
      </c>
      <c r="CM37" s="33">
        <f>IFERROR(INDEX('[1]Sales per type Agustus'!$D$10:$BA$52,MATCH($C37,'[1]Sales per type Agustus'!$B$10:$B$52,0),MATCH("IQOO 15",'[1]Sales per type Agustus'!$D$8:$BA$8,0)),0)</f>
        <v>0</v>
      </c>
      <c r="CN37" s="33">
        <f t="shared" si="28"/>
        <v>0</v>
      </c>
      <c r="CO37" s="33" cm="1">
        <f t="array" ref="CO37">IFERROR(INDEX('[1]SALES PERTYPE'!$D$10:$BA$53,MATCH($C37,'[1]SALES PERTYPE'!$B$10:$B$53,0),MATCH("IQOO 15",'[1]SALES PERTYPE'!$D$8:$BA$8,0)+1),0)</f>
        <v>0</v>
      </c>
      <c r="CP37" s="33" cm="1">
        <f t="array" ref="CP37">IFERROR(INDEX('[1]Sales per type Agustus'!$D$10:$BA$52,MATCH($C37,'[1]Sales per type Agustus'!$B$10:$B$52,0),MATCH("IQOO 15",'[1]Sales per type Agustus'!$D$8:$BA$8,0)+1),0)</f>
        <v>0</v>
      </c>
      <c r="CQ37" s="33">
        <f t="shared" si="29"/>
        <v>0</v>
      </c>
      <c r="CR37" s="33">
        <f>IFERROR(INDEX('[1]SALES PERTYPE'!$D$10:$BA$53,MATCH($C37,'[1]SALES PERTYPE'!$B$10:$B$53,0),MATCH("IQOO Z11x",'[1]SALES PERTYPE'!$D$8:$BA$8,0)),0)</f>
        <v>1</v>
      </c>
      <c r="CS37" s="33">
        <f>IFERROR(INDEX('[1]Sales per type Agustus'!$D$10:$BA$52,MATCH($C37,'[1]Sales per type Agustus'!$B$10:$B$52,0),MATCH("IQOO Z11x",'[1]Sales per type Agustus'!$D$8:$BA$8,0)),0)</f>
        <v>1</v>
      </c>
      <c r="CT37" s="33">
        <f t="shared" si="30"/>
        <v>0</v>
      </c>
      <c r="CU37" s="33" cm="1">
        <f t="array" ref="CU37">IFERROR(INDEX('[1]SALES PERTYPE'!$D$10:$BA$53,MATCH($C37,'[1]SALES PERTYPE'!$B$10:$B$53,0),MATCH("IQOO Z11x",'[1]SALES PERTYPE'!$D$8:$BA$8,0)+1),0)</f>
        <v>4799000</v>
      </c>
      <c r="CV37" s="33" cm="1">
        <f t="array" ref="CV37">IFERROR(INDEX('[1]Sales per type Agustus'!$D$10:$BA$52,MATCH($C37,'[1]Sales per type Agustus'!$B$10:$B$52,0),MATCH("IQOO Z11x",'[1]Sales per type Agustus'!$D$8:$BA$8,0)+1),0)</f>
        <v>5699000</v>
      </c>
      <c r="CW37" s="33">
        <f t="shared" si="31"/>
        <v>-900000</v>
      </c>
      <c r="CX37" s="33">
        <f>IFERROR(INDEX('[1]SALES PERTYPE'!$D$10:$BA$53,MATCH($C37,'[1]SALES PERTYPE'!$B$10:$B$53,0),MATCH("IQOO Z11",'[1]SALES PERTYPE'!$D$8:$BA$8,0)),0)</f>
        <v>0</v>
      </c>
      <c r="CY37" s="33">
        <f>IFERROR(INDEX('[1]Sales per type Agustus'!$D$10:$BA$52,MATCH($C37,'[1]Sales per type Agustus'!$B$10:$B$52,0),MATCH("IQOO Z11",'[1]Sales per type Agustus'!$D$8:$BA$8,0)),0)</f>
        <v>2</v>
      </c>
      <c r="CZ37" s="33">
        <f t="shared" si="32"/>
        <v>-2</v>
      </c>
      <c r="DA37" s="33" cm="1">
        <f t="array" ref="DA37">IFERROR(INDEX('[1]SALES PERTYPE'!$D$10:$BA$53,MATCH($C37,'[1]SALES PERTYPE'!$B$10:$B$53,0),MATCH("IQOO Z11",'[1]SALES PERTYPE'!$D$8:$BA$8,0)+1),0)</f>
        <v>0</v>
      </c>
      <c r="DB37" s="33" cm="1">
        <f t="array" ref="DB37">IFERROR(INDEX('[1]Sales per type Agustus'!$D$10:$BA$52,MATCH($C37,'[1]Sales per type Agustus'!$B$10:$B$52,0),MATCH("IQOO Z11",'[1]Sales per type Agustus'!$D$8:$BA$8,0)+1),0)</f>
        <v>15298000</v>
      </c>
      <c r="DC37" s="33">
        <f t="shared" si="33"/>
        <v>-15298000</v>
      </c>
      <c r="DD37" s="33">
        <f>IFERROR(INDEX('[1]SALES PERTYPE'!$D$10:$BA$53,MATCH($C37,'[1]SALES PERTYPE'!$B$10:$B$53,0),MATCH("WATCH 3",'[1]SALES PERTYPE'!$D$8:$BA$8,0)),0)</f>
        <v>0</v>
      </c>
      <c r="DE37" s="33">
        <f>IFERROR(INDEX('[1]Sales per type Agustus'!$D$10:$BA$52,MATCH($C37,'[1]Sales per type Agustus'!$B$10:$B$52,0),MATCH("WATCH 3",'[1]Sales per type Agustus'!$D$8:$BA$8,0)),0)</f>
        <v>0</v>
      </c>
      <c r="DF37" s="33">
        <f t="shared" si="34"/>
        <v>0</v>
      </c>
      <c r="DG37" s="33" cm="1">
        <f t="array" ref="DG37">IFERROR(INDEX('[1]SALES PERTYPE'!$D$10:$BA$53,MATCH($C37,'[1]SALES PERTYPE'!$B$10:$B$53,0),MATCH("WATCH 3",'[1]SALES PERTYPE'!$D$8:$BA$8,0)+1),0)</f>
        <v>0</v>
      </c>
      <c r="DH37" s="33" cm="1">
        <f t="array" ref="DH37">IFERROR(INDEX('[1]Sales per type Agustus'!$D$10:$BA$52,MATCH($C37,'[1]Sales per type Agustus'!$B$10:$B$52,0),MATCH("WATCH 3",'[1]Sales per type Agustus'!$D$8:$BA$8,0)+1),0)</f>
        <v>0</v>
      </c>
      <c r="DI37" s="33">
        <f t="shared" si="35"/>
        <v>0</v>
      </c>
      <c r="DJ37" s="33">
        <f>IFERROR(INDEX('[1]SALES PERTYPE'!$D$10:$BA$53,MATCH($C37,'[1]SALES PERTYPE'!$B$10:$B$53,0),MATCH("X Fold5",'[1]SALES PERTYPE'!$D$8:$BA$8,0)),0)</f>
        <v>0</v>
      </c>
      <c r="DK37" s="33">
        <f>IFERROR(INDEX('[1]Sales per type Agustus'!$D$10:$BA$52,MATCH($C37,'[1]Sales per type Agustus'!$B$10:$B$52,0),MATCH("X Fold5",'[1]Sales per type Agustus'!$D$8:$BA$8,0)),0)</f>
        <v>0</v>
      </c>
      <c r="DL37" s="33">
        <f t="shared" si="36"/>
        <v>0</v>
      </c>
      <c r="DM37" s="33" cm="1">
        <f t="array" ref="DM37">IFERROR(INDEX('[1]SALES PERTYPE'!$D$10:$BA$53,MATCH($C37,'[1]SALES PERTYPE'!$B$10:$B$53,0),MATCH("X Fold5",'[1]SALES PERTYPE'!$D$8:$BA$8,0)+1),0)</f>
        <v>0</v>
      </c>
      <c r="DN37" s="33" cm="1">
        <f t="array" ref="DN37">IFERROR(INDEX('[1]Sales per type Agustus'!$D$10:$BA$52,MATCH($C37,'[1]Sales per type Agustus'!$B$10:$B$52,0),MATCH("X Fold5",'[1]Sales per type Agustus'!$D$8:$BA$8,0)+1),0)</f>
        <v>0</v>
      </c>
      <c r="DO37" s="33">
        <f t="shared" si="37"/>
        <v>0</v>
      </c>
      <c r="DP37" s="33">
        <f>IFERROR(INDEX('[1]SALES PERTYPE'!$D$10:$BA$53,MATCH($C37,'[1]SALES PERTYPE'!$B$10:$B$53,0),MATCH("X300 PRO",'[1]SALES PERTYPE'!$D$8:$BA$8,0)),0)</f>
        <v>0</v>
      </c>
      <c r="DQ37" s="33">
        <f>IFERROR(INDEX('[1]Sales per type Agustus'!$D$10:$BA$52,MATCH($C37,'[1]Sales per type Agustus'!$B$10:$B$52,0),MATCH("X300 PRO",'[1]Sales per type Agustus'!$D$8:$BA$8,0)),0)</f>
        <v>0</v>
      </c>
      <c r="DR37" s="33">
        <f t="shared" si="38"/>
        <v>0</v>
      </c>
      <c r="DS37" s="33" cm="1">
        <f t="array" ref="DS37">IFERROR(INDEX('[1]SALES PERTYPE'!$D$10:$BA$53,MATCH($C37,'[1]SALES PERTYPE'!$B$10:$B$53,0),MATCH("X300 PRO",'[1]SALES PERTYPE'!$D$8:$BA$8,0)+1),0)</f>
        <v>0</v>
      </c>
      <c r="DT37" s="33" cm="1">
        <f t="array" ref="DT37">IFERROR(INDEX('[1]Sales per type Agustus'!$D$10:$BA$52,MATCH($C37,'[1]Sales per type Agustus'!$B$10:$B$52,0),MATCH("X300 PRO",'[1]Sales per type Agustus'!$D$8:$BA$8,0)+1),0)</f>
        <v>0</v>
      </c>
      <c r="DU37" s="33">
        <f t="shared" si="39"/>
        <v>0</v>
      </c>
      <c r="DV37" s="33">
        <f>IFERROR(INDEX('[1]SALES PERTYPE'!$D$10:$BA$53,MATCH($C37,'[1]SALES PERTYPE'!$B$10:$B$53,0),MATCH("X300 ",'[1]SALES PERTYPE'!$D$8:$BA$8,0)),0)</f>
        <v>0</v>
      </c>
      <c r="DW37" s="33">
        <f>IFERROR(INDEX('[1]Sales per type Agustus'!$D$10:$BA$52,MATCH($C37,'[1]Sales per type Agustus'!$B$10:$B$52,0),MATCH("X300 ",'[1]Sales per type Agustus'!$D$8:$BA$8,0)),0)</f>
        <v>0</v>
      </c>
      <c r="DX37" s="33">
        <f t="shared" si="40"/>
        <v>0</v>
      </c>
      <c r="DY37" s="33" cm="1">
        <f t="array" ref="DY37">IFERROR(INDEX('[1]SALES PERTYPE'!$D$10:$BA$53,MATCH($C37,'[1]SALES PERTYPE'!$B$10:$B$53,0),MATCH("X300 ",'[1]SALES PERTYPE'!$D$8:$BA$8,0)+1),0)</f>
        <v>0</v>
      </c>
      <c r="DZ37" s="33" cm="1">
        <f t="array" ref="DZ37">IFERROR(INDEX('[1]Sales per type Agustus'!$D$10:$BA$52,MATCH($C37,'[1]Sales per type Agustus'!$B$10:$B$52,0),MATCH("X300 ",'[1]Sales per type Agustus'!$D$8:$BA$8,0)+1),0)</f>
        <v>0</v>
      </c>
      <c r="EA37" s="33">
        <f t="shared" si="41"/>
        <v>0</v>
      </c>
      <c r="EB37" s="33">
        <f t="shared" si="42"/>
        <v>36</v>
      </c>
      <c r="EC37" s="33">
        <f t="shared" si="42"/>
        <v>39</v>
      </c>
      <c r="ED37" s="33">
        <f t="shared" si="43"/>
        <v>-3</v>
      </c>
      <c r="EE37" s="33">
        <f t="shared" si="44"/>
        <v>129764000</v>
      </c>
      <c r="EF37" s="33">
        <f t="shared" si="44"/>
        <v>122261000</v>
      </c>
      <c r="EG37" s="33">
        <f t="shared" si="45"/>
        <v>7503000</v>
      </c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</row>
    <row r="38" spans="1:184" ht="16" x14ac:dyDescent="0.2">
      <c r="A38" s="214">
        <f>'[1]ACHIEVEMENT STORE'!A38</f>
        <v>34</v>
      </c>
      <c r="B38" s="215" t="str">
        <f>'[1]ACHIEVEMENT STORE'!B38</f>
        <v>619-万隆市区BDG KOTA</v>
      </c>
      <c r="C38" s="214">
        <f>'[1]ACHIEVEMENT STORE'!C38</f>
        <v>6190706</v>
      </c>
      <c r="D38" s="215" t="str">
        <f>'[1]ACHIEVEMENT STORE'!D38</f>
        <v>6190706-BEC VIVO STORE 4</v>
      </c>
      <c r="E38" s="215" t="str">
        <f>'[1]ACHIEVEMENT STORE'!E38</f>
        <v>EKO PURWANTO</v>
      </c>
      <c r="F38" s="33">
        <f>IFERROR(INDEX('[1]SALES PERTYPE'!$D$10:$BA$53,MATCH($C38,'[1]SALES PERTYPE'!$B$10:$B$53,0),MATCH("Y05",'[1]SALES PERTYPE'!$D$8:$BA$8,0)),0)</f>
        <v>25</v>
      </c>
      <c r="G38" s="33">
        <f>IFERROR(INDEX('[1]Sales per type Agustus'!$D$10:$BA$52,MATCH($C38,'[1]Sales per type Agustus'!$B$10:$B$52,0),MATCH("Y05",'[1]Sales per type Agustus'!$D$8:$BA$8,0)),0)</f>
        <v>20</v>
      </c>
      <c r="H38" s="33">
        <f t="shared" si="0"/>
        <v>5</v>
      </c>
      <c r="I38" s="33" cm="1">
        <f t="array" ref="I38">IFERROR(INDEX('[1]SALES PERTYPE'!$D$10:$BA$53,MATCH($C38,'[1]SALES PERTYPE'!$B$10:$B$53,0),MATCH("Y05",'[1]SALES PERTYPE'!$D$8:$BA$8,0)+1),0)</f>
        <v>61675000</v>
      </c>
      <c r="J38" s="33" cm="1">
        <f t="array" ref="J38">IFERROR(INDEX('[1]Sales per type Agustus'!$D$10:$BA$52,MATCH($C38,'[1]Sales per type Agustus'!$B$10:$B$52,0),MATCH("Y05",'[1]Sales per type Agustus'!$D$8:$BA$8,0)+1),0)</f>
        <v>49280000</v>
      </c>
      <c r="K38" s="33">
        <f t="shared" si="1"/>
        <v>12395000</v>
      </c>
      <c r="L38" s="33">
        <f>IFERROR(INDEX('[1]SALES PERTYPE'!$D$10:$BA$53,MATCH($C38,'[1]SALES PERTYPE'!$B$10:$B$53,0),MATCH("Y11d",'[1]SALES PERTYPE'!$D$8:$BA$8,0)),0)</f>
        <v>18</v>
      </c>
      <c r="M38" s="33">
        <f>IFERROR(INDEX('[1]Sales per type Agustus'!$D$10:$BA$52,MATCH($C38,'[1]Sales per type Agustus'!$B$10:$B$52,0),MATCH("Y11d",'[1]Sales per type Agustus'!$D$8:$BA$8,0)),0)</f>
        <v>34</v>
      </c>
      <c r="N38" s="33">
        <f t="shared" si="2"/>
        <v>-16</v>
      </c>
      <c r="O38" s="33" cm="1">
        <f t="array" ref="O38">IFERROR(INDEX('[1]SALES PERTYPE'!$D$10:$BA$53,MATCH($C38,'[1]SALES PERTYPE'!$B$10:$B$53,0),MATCH("Y11d",'[1]SALES PERTYPE'!$D$8:$BA$8,0)+1),0)</f>
        <v>47582000</v>
      </c>
      <c r="P38" s="33" cm="1">
        <f t="array" ref="P38">IFERROR(INDEX('[1]Sales per type Agustus'!$D$10:$BA$52,MATCH($C38,'[1]Sales per type Agustus'!$B$10:$B$52,0),MATCH("Y11d",'[1]Sales per type Agustus'!$D$8:$BA$8,0)+1),0)</f>
        <v>89166000</v>
      </c>
      <c r="Q38" s="33">
        <f t="shared" si="3"/>
        <v>-41584000</v>
      </c>
      <c r="R38" s="33">
        <f>IFERROR(INDEX('[1]SALES PERTYPE'!$D$10:$BA$53,MATCH($C38,'[1]SALES PERTYPE'!$B$10:$B$53,0),MATCH("Watch GT 2",'[1]SALES PERTYPE'!$D$8:$BA$8,0)),0)</f>
        <v>0</v>
      </c>
      <c r="S38" s="33">
        <f>IFERROR(INDEX('[1]Sales per type Agustus'!$D$10:$BA$52,MATCH($C38,'[1]Sales per type Agustus'!$B$10:$B$52,0),MATCH("Watch GT 2",'[1]Sales per type Agustus'!$D$8:$BA$8,0)),0)</f>
        <v>0</v>
      </c>
      <c r="T38" s="33">
        <f t="shared" si="4"/>
        <v>0</v>
      </c>
      <c r="U38" s="33" cm="1">
        <f t="array" ref="U38">IFERROR(INDEX('[1]SALES PERTYPE'!$D$10:$BA$53,MATCH($C38,'[1]SALES PERTYPE'!$B$10:$B$53,0),MATCH("Watch GT 2",'[1]SALES PERTYPE'!$D$8:$BA$8,0)+1),0)</f>
        <v>0</v>
      </c>
      <c r="V38" s="33" cm="1">
        <f t="array" ref="V38">IFERROR(INDEX('[1]Sales per type Agustus'!$D$10:$BA$52,MATCH($C38,'[1]Sales per type Agustus'!$B$10:$B$52,0),MATCH("Watch GT 2",'[1]Sales per type Agustus'!$D$8:$BA$8,0)+1),0)</f>
        <v>0</v>
      </c>
      <c r="W38" s="33">
        <f t="shared" si="5"/>
        <v>0</v>
      </c>
      <c r="X38" s="33">
        <f>IFERROR(INDEX('[1]SALES PERTYPE'!$D$10:$BA$53,MATCH($C38,'[1]SALES PERTYPE'!$B$10:$B$53,0),MATCH("Y05e",'[1]SALES PERTYPE'!$D$8:$BA$8,0)),0)</f>
        <v>11</v>
      </c>
      <c r="Y38" s="33">
        <f>IFERROR(INDEX('[1]Sales per type Agustus'!$D$10:$BA$52,MATCH($C38,'[1]Sales per type Agustus'!$B$10:$B$52,0),MATCH("Y05e",'[1]Sales per type Agustus'!$D$8:$BA$8,0)),0)</f>
        <v>14</v>
      </c>
      <c r="Z38" s="33">
        <f t="shared" si="6"/>
        <v>-3</v>
      </c>
      <c r="AA38" s="33" cm="1">
        <f t="array" ref="AA38">IFERROR(INDEX('[1]SALES PERTYPE'!$D$10:$BA$53,MATCH($C38,'[1]SALES PERTYPE'!$B$10:$B$53,0),MATCH("Y05e",'[1]SALES PERTYPE'!$D$8:$BA$8,0)+1),0)</f>
        <v>23489000</v>
      </c>
      <c r="AB38" s="33" cm="1">
        <f t="array" ref="AB38">IFERROR(INDEX('[1]Sales per type Agustus'!$D$10:$BA$52,MATCH($C38,'[1]Sales per type Agustus'!$B$10:$B$52,0),MATCH("Y05e",'[1]Sales per type Agustus'!$D$8:$BA$8,0)+1),0)</f>
        <v>29386000</v>
      </c>
      <c r="AC38" s="33">
        <f t="shared" si="7"/>
        <v>-5897000</v>
      </c>
      <c r="AD38" s="33">
        <f>IFERROR(INDEX('[1]SALES PERTYPE'!$D$10:$BA$53,MATCH($C38,'[1]SALES PERTYPE'!$B$10:$B$53,0),MATCH("V70",'[1]SALES PERTYPE'!$D$8:$BA$8,0)),0)</f>
        <v>5</v>
      </c>
      <c r="AE38" s="33">
        <f>IFERROR(INDEX('[1]Sales per type Agustus'!$D$10:$BA$52,MATCH($C38,'[1]Sales per type Agustus'!$B$10:$B$52,0),MATCH("V70",'[1]Sales per type Agustus'!$D$8:$BA$8,0)),0)</f>
        <v>2</v>
      </c>
      <c r="AF38" s="33">
        <f t="shared" si="8"/>
        <v>3</v>
      </c>
      <c r="AG38" s="33" cm="1">
        <f t="array" ref="AG38">IFERROR(INDEX('[1]SALES PERTYPE'!$D$10:$BA$53,MATCH($C38,'[1]SALES PERTYPE'!$B$10:$B$53,0),MATCH("V70",'[1]SALES PERTYPE'!$D$8:$BA$8,0)+1),0)</f>
        <v>49995000</v>
      </c>
      <c r="AH38" s="33" cm="1">
        <f t="array" ref="AH38">IFERROR(INDEX('[1]Sales per type Agustus'!$D$10:$BA$52,MATCH($C38,'[1]Sales per type Agustus'!$B$10:$B$52,0),MATCH("V70",'[1]Sales per type Agustus'!$D$8:$BA$8,0)+1),0)</f>
        <v>19998000</v>
      </c>
      <c r="AI38" s="33">
        <f t="shared" si="9"/>
        <v>29997000</v>
      </c>
      <c r="AJ38" s="33">
        <f>IFERROR(INDEX('[1]SALES PERTYPE'!$D$10:$BA$53,MATCH($C38,'[1]SALES PERTYPE'!$B$10:$B$53,0),MATCH("Y31d Pro",'[1]SALES PERTYPE'!$D$8:$BA$8,0)),0)</f>
        <v>21</v>
      </c>
      <c r="AK38" s="33">
        <f>IFERROR(INDEX('[1]Sales per type Agustus'!$D$10:$BA$52,MATCH($C38,'[1]Sales per type Agustus'!$B$10:$B$52,0),MATCH("Y31d Pro",'[1]Sales per type Agustus'!$D$8:$BA$8,0)),0)</f>
        <v>26</v>
      </c>
      <c r="AL38" s="33">
        <f t="shared" si="10"/>
        <v>-5</v>
      </c>
      <c r="AM38" s="33" cm="1">
        <f t="array" ref="AM38">IFERROR(INDEX('[1]SALES PERTYPE'!$D$10:$BA$53,MATCH($C38,'[1]SALES PERTYPE'!$B$10:$B$53,0),MATCH("Y31d Pro",'[1]SALES PERTYPE'!$D$8:$BA$8,0)+1),0)</f>
        <v>92879000</v>
      </c>
      <c r="AN38" s="33" cm="1">
        <f t="array" ref="AN38">IFERROR(INDEX('[1]Sales per type Agustus'!$D$10:$BA$52,MATCH($C38,'[1]Sales per type Agustus'!$B$10:$B$52,0),MATCH("Y31d Pro",'[1]Sales per type Agustus'!$D$8:$BA$8,0)+1),0)</f>
        <v>121374000</v>
      </c>
      <c r="AO38" s="33">
        <f t="shared" si="11"/>
        <v>-28495000</v>
      </c>
      <c r="AP38" s="33" cm="1">
        <f t="array" ref="AP38">IFERROR(INDEX('[1]SALES PERTYPE'!$D$10:$BA$53,MATCH($C38,'[1]SALES PERTYPE'!$B$10:$B$53,0),$EI$3),0)</f>
        <v>7</v>
      </c>
      <c r="AQ38" s="33" cm="1">
        <f t="array" ref="AQ38">IFERROR(INDEX('[1]Sales per type Agustus'!$D$10:$BA$52,MATCH($C38,'[1]Sales per type Agustus'!$B$10:$B$52,0),$EI$2),0)</f>
        <v>1</v>
      </c>
      <c r="AR38" s="33">
        <f t="shared" si="12"/>
        <v>6</v>
      </c>
      <c r="AS38" s="33" cm="1">
        <f t="array" ref="AS38">IFERROR(INDEX('[1]SALES PERTYPE'!$D$10:$BA$53,MATCH($C38,'[1]SALES PERTYPE'!$B$10:$B$53,0),$EI$3+1),0)</f>
        <v>23093000</v>
      </c>
      <c r="AT38" s="33" cm="1">
        <f t="array" ref="AT38">IFERROR(INDEX('[1]Sales per type Agustus'!$D$10:$BA$52,MATCH($C38,'[1]Sales per type Agustus'!$B$10:$B$52,0),$EI$2+1),0)</f>
        <v>3599000</v>
      </c>
      <c r="AU38" s="33">
        <f t="shared" si="13"/>
        <v>19494000</v>
      </c>
      <c r="AV38" s="33">
        <f>IFERROR(INDEX('[1]SALES PERTYPE'!$D$10:$BA$53,MATCH($C38,'[1]SALES PERTYPE'!$B$10:$B$53,0),MATCH("Y31d ",'[1]SALES PERTYPE'!$D$8:$BA$8,0)),0)</f>
        <v>2</v>
      </c>
      <c r="AW38" s="33">
        <f>IFERROR(INDEX('[1]Sales per type Agustus'!$D$10:$BA$52,MATCH($C38,'[1]Sales per type Agustus'!$B$10:$B$52,0),MATCH("Y31d ",'[1]Sales per type Agustus'!$D$8:$BA$8,0)),0)</f>
        <v>0</v>
      </c>
      <c r="AX38" s="33">
        <f t="shared" si="14"/>
        <v>2</v>
      </c>
      <c r="AY38" s="33" cm="1">
        <f t="array" ref="AY38">IFERROR(INDEX('[1]SALES PERTYPE'!$D$10:$BA$53,MATCH($C38,'[1]SALES PERTYPE'!$B$10:$B$53,0),MATCH("Y31d ",'[1]SALES PERTYPE'!$D$8:$BA$8,0)+1),0)</f>
        <v>7198000</v>
      </c>
      <c r="AZ38" s="33" cm="1">
        <f t="array" ref="AZ38">IFERROR(INDEX('[1]Sales per type Agustus'!$D$10:$BA$52,MATCH($C38,'[1]Sales per type Agustus'!$B$10:$B$52,0),MATCH("Y31d ",'[1]Sales per type Agustus'!$D$8:$BA$8,0)+1),0)</f>
        <v>0</v>
      </c>
      <c r="BA38" s="33">
        <f t="shared" si="15"/>
        <v>7198000</v>
      </c>
      <c r="BB38" s="33">
        <f>IFERROR(INDEX('[1]SALES PERTYPE'!$D$10:$BA$53,MATCH($C38,'[1]SALES PERTYPE'!$B$10:$B$53,0),MATCH("V70 FE",'[1]SALES PERTYPE'!$D$8:$BA$8,0)),0)</f>
        <v>9</v>
      </c>
      <c r="BC38" s="33">
        <f>IFERROR(INDEX('[1]Sales per type Agustus'!$D$10:$BA$52,MATCH($C38,'[1]Sales per type Agustus'!$B$10:$B$52,0),MATCH("V70 FE",'[1]Sales per type Agustus'!$D$8:$BA$8,0)),0)</f>
        <v>5</v>
      </c>
      <c r="BD38" s="33">
        <f t="shared" si="16"/>
        <v>4</v>
      </c>
      <c r="BE38" s="33" cm="1">
        <f t="array" ref="BE38">IFERROR(INDEX('[1]SALES PERTYPE'!$D$10:$BA$53,MATCH($C38,'[1]SALES PERTYPE'!$B$10:$B$53,0),MATCH("V70 FE",'[1]SALES PERTYPE'!$D$8:$BA$8,0)+1),0)</f>
        <v>67991000</v>
      </c>
      <c r="BF38" s="33" cm="1">
        <f t="array" ref="BF38">IFERROR(INDEX('[1]Sales per type Agustus'!$D$10:$BA$52,MATCH($C38,'[1]Sales per type Agustus'!$B$10:$B$52,0),MATCH("V70 FE",'[1]Sales per type Agustus'!$D$8:$BA$8,0)+1),0)</f>
        <v>38395000</v>
      </c>
      <c r="BG38" s="33">
        <f t="shared" si="17"/>
        <v>29596000</v>
      </c>
      <c r="BH38" s="33">
        <f>IFERROR(INDEX('[1]SALES PERTYPE'!$D$10:$BA$53,MATCH($C38,'[1]SALES PERTYPE'!$B$10:$B$53,0),MATCH("Y31d",'[1]SALES PERTYPE'!$D$8:$BA$8,0)),0)</f>
        <v>2</v>
      </c>
      <c r="BI38" s="33">
        <f>IFERROR(INDEX('[1]Sales per type Agustus'!$D$10:$BA$52,MATCH($C38,'[1]Sales per type Agustus'!$B$10:$B$52,0),MATCH("Y31d",'[1]Sales per type Agustus'!$D$8:$BA$8,0)),0)</f>
        <v>0</v>
      </c>
      <c r="BJ38" s="33">
        <f t="shared" si="18"/>
        <v>2</v>
      </c>
      <c r="BK38" s="33" cm="1">
        <f t="array" ref="BK38">IFERROR(INDEX('[1]SALES PERTYPE'!$D$10:$BA$53,MATCH($C38,'[1]SALES PERTYPE'!$B$10:$B$53,0),MATCH("Y31d",'[1]SALES PERTYPE'!$D$8:$BA$8,0)+1),0)</f>
        <v>7198000</v>
      </c>
      <c r="BL38" s="33" cm="1">
        <f t="array" ref="BL38">IFERROR(INDEX('[1]Sales per type Agustus'!$D$10:$BA$52,MATCH($C38,'[1]Sales per type Agustus'!$B$10:$B$52,0),MATCH("Y31d",'[1]Sales per type Agustus'!$D$8:$BA$8,0)+1),0)</f>
        <v>0</v>
      </c>
      <c r="BM38" s="33">
        <f t="shared" si="19"/>
        <v>7198000</v>
      </c>
      <c r="BN38" s="33">
        <f>IFERROR(INDEX('[1]SALES PERTYPE'!$D$10:$BA$53,MATCH($C38,'[1]SALES PERTYPE'!$B$10:$B$53,0),MATCH("Y500",'[1]SALES PERTYPE'!$D$8:$BA$8,0)),0)</f>
        <v>3</v>
      </c>
      <c r="BO38" s="33">
        <f>IFERROR(INDEX('[1]Sales per type Agustus'!$D$10:$BA$52,MATCH($C38,'[1]Sales per type Agustus'!$B$10:$B$52,0),MATCH("Y500",'[1]Sales per type Agustus'!$D$8:$BA$8,0)),0)</f>
        <v>5</v>
      </c>
      <c r="BP38" s="33">
        <f t="shared" si="20"/>
        <v>-2</v>
      </c>
      <c r="BQ38" s="33" cm="1">
        <f t="array" ref="BQ38">IFERROR(INDEX('[1]SALES PERTYPE'!$D$10:$BA$53,MATCH($C38,'[1]SALES PERTYPE'!$B$10:$B$53,0),MATCH("Y500",'[1]SALES PERTYPE'!$D$8:$BA$8,0)+1),0)</f>
        <v>16497000</v>
      </c>
      <c r="BR38" s="33" cm="1">
        <f t="array" ref="BR38">IFERROR(INDEX('[1]Sales per type Agustus'!$D$10:$BA$52,MATCH($C38,'[1]Sales per type Agustus'!$B$10:$B$52,0),MATCH("Y500",'[1]Sales per type Agustus'!$D$8:$BA$8,0)+1),0)</f>
        <v>28295000</v>
      </c>
      <c r="BS38" s="33">
        <f t="shared" si="21"/>
        <v>-11798000</v>
      </c>
      <c r="BT38" s="33">
        <f>IFERROR(INDEX('[1]SALES PERTYPE'!$D$10:$BA$53,MATCH($C38,'[1]SALES PERTYPE'!$B$10:$B$53,0),MATCH("IQOO 15R",'[1]SALES PERTYPE'!$D$8:$BA$8,0)),0)</f>
        <v>0</v>
      </c>
      <c r="BU38" s="33">
        <f>IFERROR(INDEX('[1]Sales per type Agustus'!$D$10:$BA$52,MATCH($C38,'[1]Sales per type Agustus'!$B$10:$B$52,0),MATCH("IQOO 15R",'[1]Sales per type Agustus'!$D$8:$BA$8,0)),0)</f>
        <v>2</v>
      </c>
      <c r="BV38" s="33">
        <f t="shared" si="22"/>
        <v>-2</v>
      </c>
      <c r="BW38" s="33" cm="1">
        <f t="array" ref="BW38">IFERROR(INDEX('[1]SALES PERTYPE'!$D$10:$BA$53,MATCH($C38,'[1]SALES PERTYPE'!$B$10:$B$53,0),MATCH("IQOO 15R",'[1]SALES PERTYPE'!$D$8:$BA$8,0)+1),0)</f>
        <v>0</v>
      </c>
      <c r="BX38" s="33" cm="1">
        <f t="array" ref="BX38">IFERROR(INDEX('[1]Sales per type Agustus'!$D$10:$BA$52,MATCH($C38,'[1]Sales per type Agustus'!$B$10:$B$52,0),MATCH("IQOO 15R",'[1]Sales per type Agustus'!$D$8:$BA$8,0)+1),0)</f>
        <v>23998000</v>
      </c>
      <c r="BY38" s="33">
        <f t="shared" si="23"/>
        <v>-23998000</v>
      </c>
      <c r="BZ38" s="33">
        <f>IFERROR(INDEX('[1]SALES PERTYPE'!$D$10:$BA$53,MATCH($C38,'[1]SALES PERTYPE'!$B$10:$B$53,0),MATCH("V60 Lite",'[1]SALES PERTYPE'!$D$8:$BA$8,0)),0)</f>
        <v>9</v>
      </c>
      <c r="CA38" s="33">
        <f>IFERROR(INDEX('[1]Sales per type Agustus'!$D$10:$BA$52,MATCH($C38,'[1]Sales per type Agustus'!$B$10:$B$52,0),MATCH("V60 Lite",'[1]Sales per type Agustus'!$D$8:$BA$8,0)),0)</f>
        <v>3</v>
      </c>
      <c r="CB38" s="33">
        <f t="shared" si="24"/>
        <v>6</v>
      </c>
      <c r="CC38" s="33" cm="1">
        <f t="array" ref="CC38">IFERROR(INDEX('[1]SALES PERTYPE'!$D$10:$BA$53,MATCH($C38,'[1]SALES PERTYPE'!$B$10:$B$53,0),MATCH("V60 Lite",'[1]SALES PERTYPE'!$D$8:$BA$8,0)+1),0)</f>
        <v>53091000</v>
      </c>
      <c r="CD38" s="33" cm="1">
        <f t="array" ref="CD38">IFERROR(INDEX('[1]Sales per type Agustus'!$D$10:$BA$52,MATCH($C38,'[1]Sales per type Agustus'!$B$10:$B$52,0),MATCH("V60 Lite",'[1]Sales per type Agustus'!$D$8:$BA$8,0)+1),0)</f>
        <v>17097000</v>
      </c>
      <c r="CE38" s="33">
        <f t="shared" si="25"/>
        <v>35994000</v>
      </c>
      <c r="CF38" s="33">
        <f>IFERROR(INDEX('[1]SALES PERTYPE'!$D$10:$BA$53,MATCH($C38,'[1]SALES PERTYPE'!$B$10:$B$53,0),MATCH("X300 Ultra",'[1]SALES PERTYPE'!$D$8:$BA$8,0)),0)</f>
        <v>0</v>
      </c>
      <c r="CG38" s="33">
        <f>IFERROR(INDEX('[1]Sales per type Agustus'!$D$10:$BA$52,MATCH($C38,'[1]Sales per type Agustus'!$B$10:$B$52,0),MATCH("X300 Ultra",'[1]Sales per type Agustus'!$D$8:$BA$8,0)),0)</f>
        <v>3</v>
      </c>
      <c r="CH38" s="33">
        <f t="shared" si="26"/>
        <v>-3</v>
      </c>
      <c r="CI38" s="33" cm="1">
        <f t="array" ref="CI38">IFERROR(INDEX('[1]SALES PERTYPE'!$D$10:$BA$53,MATCH($C38,'[1]SALES PERTYPE'!$B$10:$B$53,0),MATCH("X300 Ultra",'[1]SALES PERTYPE'!$D$8:$BA$8,0)+1),0)</f>
        <v>0</v>
      </c>
      <c r="CJ38" s="33" cm="1">
        <f t="array" ref="CJ38">IFERROR(INDEX('[1]Sales per type Agustus'!$D$10:$BA$52,MATCH($C38,'[1]Sales per type Agustus'!$B$10:$B$52,0),MATCH("X300 Ultra",'[1]Sales per type Agustus'!$D$8:$BA$8,0)+1),0)</f>
        <v>77997000</v>
      </c>
      <c r="CK38" s="33">
        <f t="shared" si="27"/>
        <v>-77997000</v>
      </c>
      <c r="CL38" s="33">
        <f>IFERROR(INDEX('[1]SALES PERTYPE'!$D$10:$BA$53,MATCH($C38,'[1]SALES PERTYPE'!$B$10:$B$53,0),MATCH("IQOO 15",'[1]SALES PERTYPE'!$D$8:$BA$8,0)),0)</f>
        <v>0</v>
      </c>
      <c r="CM38" s="33">
        <f>IFERROR(INDEX('[1]Sales per type Agustus'!$D$10:$BA$52,MATCH($C38,'[1]Sales per type Agustus'!$B$10:$B$52,0),MATCH("IQOO 15",'[1]Sales per type Agustus'!$D$8:$BA$8,0)),0)</f>
        <v>0</v>
      </c>
      <c r="CN38" s="33">
        <f t="shared" si="28"/>
        <v>0</v>
      </c>
      <c r="CO38" s="33" cm="1">
        <f t="array" ref="CO38">IFERROR(INDEX('[1]SALES PERTYPE'!$D$10:$BA$53,MATCH($C38,'[1]SALES PERTYPE'!$B$10:$B$53,0),MATCH("IQOO 15",'[1]SALES PERTYPE'!$D$8:$BA$8,0)+1),0)</f>
        <v>0</v>
      </c>
      <c r="CP38" s="33" cm="1">
        <f t="array" ref="CP38">IFERROR(INDEX('[1]Sales per type Agustus'!$D$10:$BA$52,MATCH($C38,'[1]Sales per type Agustus'!$B$10:$B$52,0),MATCH("IQOO 15",'[1]Sales per type Agustus'!$D$8:$BA$8,0)+1),0)</f>
        <v>0</v>
      </c>
      <c r="CQ38" s="33">
        <f t="shared" si="29"/>
        <v>0</v>
      </c>
      <c r="CR38" s="33">
        <f>IFERROR(INDEX('[1]SALES PERTYPE'!$D$10:$BA$53,MATCH($C38,'[1]SALES PERTYPE'!$B$10:$B$53,0),MATCH("IQOO Z11x",'[1]SALES PERTYPE'!$D$8:$BA$8,0)),0)</f>
        <v>5</v>
      </c>
      <c r="CS38" s="33">
        <f>IFERROR(INDEX('[1]Sales per type Agustus'!$D$10:$BA$52,MATCH($C38,'[1]Sales per type Agustus'!$B$10:$B$52,0),MATCH("IQOO Z11x",'[1]Sales per type Agustus'!$D$8:$BA$8,0)),0)</f>
        <v>2</v>
      </c>
      <c r="CT38" s="33">
        <f t="shared" si="30"/>
        <v>3</v>
      </c>
      <c r="CU38" s="33" cm="1">
        <f t="array" ref="CU38">IFERROR(INDEX('[1]SALES PERTYPE'!$D$10:$BA$53,MATCH($C38,'[1]SALES PERTYPE'!$B$10:$B$53,0),MATCH("IQOO Z11x",'[1]SALES PERTYPE'!$D$8:$BA$8,0)+1),0)</f>
        <v>23995000</v>
      </c>
      <c r="CV38" s="33" cm="1">
        <f t="array" ref="CV38">IFERROR(INDEX('[1]Sales per type Agustus'!$D$10:$BA$52,MATCH($C38,'[1]Sales per type Agustus'!$B$10:$B$52,0),MATCH("IQOO Z11x",'[1]Sales per type Agustus'!$D$8:$BA$8,0)+1),0)</f>
        <v>11398000</v>
      </c>
      <c r="CW38" s="33">
        <f t="shared" si="31"/>
        <v>12597000</v>
      </c>
      <c r="CX38" s="33">
        <f>IFERROR(INDEX('[1]SALES PERTYPE'!$D$10:$BA$53,MATCH($C38,'[1]SALES PERTYPE'!$B$10:$B$53,0),MATCH("IQOO Z11",'[1]SALES PERTYPE'!$D$8:$BA$8,0)),0)</f>
        <v>6</v>
      </c>
      <c r="CY38" s="33">
        <f>IFERROR(INDEX('[1]Sales per type Agustus'!$D$10:$BA$52,MATCH($C38,'[1]Sales per type Agustus'!$B$10:$B$52,0),MATCH("IQOO Z11",'[1]Sales per type Agustus'!$D$8:$BA$8,0)),0)</f>
        <v>3</v>
      </c>
      <c r="CZ38" s="33">
        <f t="shared" si="32"/>
        <v>3</v>
      </c>
      <c r="DA38" s="33" cm="1">
        <f t="array" ref="DA38">IFERROR(INDEX('[1]SALES PERTYPE'!$D$10:$BA$53,MATCH($C38,'[1]SALES PERTYPE'!$B$10:$B$53,0),MATCH("IQOO Z11",'[1]SALES PERTYPE'!$D$8:$BA$8,0)+1),0)</f>
        <v>41394000</v>
      </c>
      <c r="DB38" s="33" cm="1">
        <f t="array" ref="DB38">IFERROR(INDEX('[1]Sales per type Agustus'!$D$10:$BA$52,MATCH($C38,'[1]Sales per type Agustus'!$B$10:$B$52,0),MATCH("IQOO Z11",'[1]Sales per type Agustus'!$D$8:$BA$8,0)+1),0)</f>
        <v>20697000</v>
      </c>
      <c r="DC38" s="33">
        <f t="shared" si="33"/>
        <v>20697000</v>
      </c>
      <c r="DD38" s="33">
        <f>IFERROR(INDEX('[1]SALES PERTYPE'!$D$10:$BA$53,MATCH($C38,'[1]SALES PERTYPE'!$B$10:$B$53,0),MATCH("WATCH 3",'[1]SALES PERTYPE'!$D$8:$BA$8,0)),0)</f>
        <v>0</v>
      </c>
      <c r="DE38" s="33">
        <f>IFERROR(INDEX('[1]Sales per type Agustus'!$D$10:$BA$52,MATCH($C38,'[1]Sales per type Agustus'!$B$10:$B$52,0),MATCH("WATCH 3",'[1]Sales per type Agustus'!$D$8:$BA$8,0)),0)</f>
        <v>0</v>
      </c>
      <c r="DF38" s="33">
        <f t="shared" si="34"/>
        <v>0</v>
      </c>
      <c r="DG38" s="33" cm="1">
        <f t="array" ref="DG38">IFERROR(INDEX('[1]SALES PERTYPE'!$D$10:$BA$53,MATCH($C38,'[1]SALES PERTYPE'!$B$10:$B$53,0),MATCH("WATCH 3",'[1]SALES PERTYPE'!$D$8:$BA$8,0)+1),0)</f>
        <v>0</v>
      </c>
      <c r="DH38" s="33" cm="1">
        <f t="array" ref="DH38">IFERROR(INDEX('[1]Sales per type Agustus'!$D$10:$BA$52,MATCH($C38,'[1]Sales per type Agustus'!$B$10:$B$52,0),MATCH("WATCH 3",'[1]Sales per type Agustus'!$D$8:$BA$8,0)+1),0)</f>
        <v>0</v>
      </c>
      <c r="DI38" s="33">
        <f t="shared" si="35"/>
        <v>0</v>
      </c>
      <c r="DJ38" s="33">
        <f>IFERROR(INDEX('[1]SALES PERTYPE'!$D$10:$BA$53,MATCH($C38,'[1]SALES PERTYPE'!$B$10:$B$53,0),MATCH("X Fold5",'[1]SALES PERTYPE'!$D$8:$BA$8,0)),0)</f>
        <v>0</v>
      </c>
      <c r="DK38" s="33">
        <f>IFERROR(INDEX('[1]Sales per type Agustus'!$D$10:$BA$52,MATCH($C38,'[1]Sales per type Agustus'!$B$10:$B$52,0),MATCH("X Fold5",'[1]Sales per type Agustus'!$D$8:$BA$8,0)),0)</f>
        <v>0</v>
      </c>
      <c r="DL38" s="33">
        <f t="shared" si="36"/>
        <v>0</v>
      </c>
      <c r="DM38" s="33" cm="1">
        <f t="array" ref="DM38">IFERROR(INDEX('[1]SALES PERTYPE'!$D$10:$BA$53,MATCH($C38,'[1]SALES PERTYPE'!$B$10:$B$53,0),MATCH("X Fold5",'[1]SALES PERTYPE'!$D$8:$BA$8,0)+1),0)</f>
        <v>0</v>
      </c>
      <c r="DN38" s="33" cm="1">
        <f t="array" ref="DN38">IFERROR(INDEX('[1]Sales per type Agustus'!$D$10:$BA$52,MATCH($C38,'[1]Sales per type Agustus'!$B$10:$B$52,0),MATCH("X Fold5",'[1]Sales per type Agustus'!$D$8:$BA$8,0)+1),0)</f>
        <v>0</v>
      </c>
      <c r="DO38" s="33">
        <f t="shared" si="37"/>
        <v>0</v>
      </c>
      <c r="DP38" s="33">
        <f>IFERROR(INDEX('[1]SALES PERTYPE'!$D$10:$BA$53,MATCH($C38,'[1]SALES PERTYPE'!$B$10:$B$53,0),MATCH("X300 PRO",'[1]SALES PERTYPE'!$D$8:$BA$8,0)),0)</f>
        <v>0</v>
      </c>
      <c r="DQ38" s="33">
        <f>IFERROR(INDEX('[1]Sales per type Agustus'!$D$10:$BA$52,MATCH($C38,'[1]Sales per type Agustus'!$B$10:$B$52,0),MATCH("X300 PRO",'[1]Sales per type Agustus'!$D$8:$BA$8,0)),0)</f>
        <v>0</v>
      </c>
      <c r="DR38" s="33">
        <f t="shared" si="38"/>
        <v>0</v>
      </c>
      <c r="DS38" s="33" cm="1">
        <f t="array" ref="DS38">IFERROR(INDEX('[1]SALES PERTYPE'!$D$10:$BA$53,MATCH($C38,'[1]SALES PERTYPE'!$B$10:$B$53,0),MATCH("X300 PRO",'[1]SALES PERTYPE'!$D$8:$BA$8,0)+1),0)</f>
        <v>0</v>
      </c>
      <c r="DT38" s="33" cm="1">
        <f t="array" ref="DT38">IFERROR(INDEX('[1]Sales per type Agustus'!$D$10:$BA$52,MATCH($C38,'[1]Sales per type Agustus'!$B$10:$B$52,0),MATCH("X300 PRO",'[1]Sales per type Agustus'!$D$8:$BA$8,0)+1),0)</f>
        <v>0</v>
      </c>
      <c r="DU38" s="33">
        <f t="shared" si="39"/>
        <v>0</v>
      </c>
      <c r="DV38" s="33">
        <f>IFERROR(INDEX('[1]SALES PERTYPE'!$D$10:$BA$53,MATCH($C38,'[1]SALES PERTYPE'!$B$10:$B$53,0),MATCH("X300 ",'[1]SALES PERTYPE'!$D$8:$BA$8,0)),0)</f>
        <v>0</v>
      </c>
      <c r="DW38" s="33">
        <f>IFERROR(INDEX('[1]Sales per type Agustus'!$D$10:$BA$52,MATCH($C38,'[1]Sales per type Agustus'!$B$10:$B$52,0),MATCH("X300 ",'[1]Sales per type Agustus'!$D$8:$BA$8,0)),0)</f>
        <v>0</v>
      </c>
      <c r="DX38" s="33">
        <f t="shared" si="40"/>
        <v>0</v>
      </c>
      <c r="DY38" s="33" cm="1">
        <f t="array" ref="DY38">IFERROR(INDEX('[1]SALES PERTYPE'!$D$10:$BA$53,MATCH($C38,'[1]SALES PERTYPE'!$B$10:$B$53,0),MATCH("X300 ",'[1]SALES PERTYPE'!$D$8:$BA$8,0)+1),0)</f>
        <v>0</v>
      </c>
      <c r="DZ38" s="33" cm="1">
        <f t="array" ref="DZ38">IFERROR(INDEX('[1]Sales per type Agustus'!$D$10:$BA$52,MATCH($C38,'[1]Sales per type Agustus'!$B$10:$B$52,0),MATCH("X300 ",'[1]Sales per type Agustus'!$D$8:$BA$8,0)+1),0)</f>
        <v>0</v>
      </c>
      <c r="EA38" s="33">
        <f t="shared" si="41"/>
        <v>0</v>
      </c>
      <c r="EB38" s="33">
        <f t="shared" si="42"/>
        <v>123</v>
      </c>
      <c r="EC38" s="33">
        <f t="shared" si="42"/>
        <v>120</v>
      </c>
      <c r="ED38" s="33">
        <f t="shared" si="43"/>
        <v>3</v>
      </c>
      <c r="EE38" s="33">
        <f t="shared" si="44"/>
        <v>516077000</v>
      </c>
      <c r="EF38" s="33">
        <f t="shared" si="44"/>
        <v>530680000</v>
      </c>
      <c r="EG38" s="33">
        <f t="shared" si="45"/>
        <v>-14603000</v>
      </c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</row>
    <row r="39" spans="1:184" ht="16" x14ac:dyDescent="0.2">
      <c r="A39" s="31">
        <f>'[1]ACHIEVEMENT STORE'!A39</f>
        <v>35</v>
      </c>
      <c r="B39" s="32" t="str">
        <f>'[1]ACHIEVEMENT STORE'!B39</f>
        <v>619-万隆市区BDG KOTA</v>
      </c>
      <c r="C39" s="31">
        <f>'[1]ACHIEVEMENT STORE'!C39</f>
        <v>6190705</v>
      </c>
      <c r="D39" s="32" t="str">
        <f>'[1]ACHIEVEMENT STORE'!D39</f>
        <v>6190705-BEC VIVO STORE LG F20</v>
      </c>
      <c r="E39" s="32" t="str">
        <f>'[1]ACHIEVEMENT STORE'!E39</f>
        <v>NENG TOTOH</v>
      </c>
      <c r="F39" s="33">
        <f>IFERROR(INDEX('[1]SALES PERTYPE'!$D$10:$BA$53,MATCH($C39,'[1]SALES PERTYPE'!$B$10:$B$53,0),MATCH("Y05",'[1]SALES PERTYPE'!$D$8:$BA$8,0)),0)</f>
        <v>12</v>
      </c>
      <c r="G39" s="33">
        <f>IFERROR(INDEX('[1]Sales per type Agustus'!$D$10:$BA$52,MATCH($C39,'[1]Sales per type Agustus'!$B$10:$B$52,0),MATCH("Y05",'[1]Sales per type Agustus'!$D$8:$BA$8,0)),0)</f>
        <v>4</v>
      </c>
      <c r="H39" s="33">
        <f t="shared" si="0"/>
        <v>8</v>
      </c>
      <c r="I39" s="33" cm="1">
        <f t="array" ref="I39">IFERROR(INDEX('[1]SALES PERTYPE'!$D$10:$BA$53,MATCH($C39,'[1]SALES PERTYPE'!$B$10:$B$53,0),MATCH("Y05",'[1]SALES PERTYPE'!$D$8:$BA$8,0)+1),0)</f>
        <v>28488000</v>
      </c>
      <c r="J39" s="33" cm="1">
        <f t="array" ref="J39">IFERROR(INDEX('[1]Sales per type Agustus'!$D$10:$BA$52,MATCH($C39,'[1]Sales per type Agustus'!$B$10:$B$52,0),MATCH("Y05",'[1]Sales per type Agustus'!$D$8:$BA$8,0)+1),0)</f>
        <v>9796000</v>
      </c>
      <c r="K39" s="33">
        <f t="shared" si="1"/>
        <v>18692000</v>
      </c>
      <c r="L39" s="33">
        <f>IFERROR(INDEX('[1]SALES PERTYPE'!$D$10:$BA$53,MATCH($C39,'[1]SALES PERTYPE'!$B$10:$B$53,0),MATCH("Y11d",'[1]SALES PERTYPE'!$D$8:$BA$8,0)),0)</f>
        <v>4</v>
      </c>
      <c r="M39" s="33">
        <f>IFERROR(INDEX('[1]Sales per type Agustus'!$D$10:$BA$52,MATCH($C39,'[1]Sales per type Agustus'!$B$10:$B$52,0),MATCH("Y11d",'[1]Sales per type Agustus'!$D$8:$BA$8,0)),0)</f>
        <v>8</v>
      </c>
      <c r="N39" s="33">
        <f t="shared" si="2"/>
        <v>-4</v>
      </c>
      <c r="O39" s="33" cm="1">
        <f t="array" ref="O39">IFERROR(INDEX('[1]SALES PERTYPE'!$D$10:$BA$53,MATCH($C39,'[1]SALES PERTYPE'!$B$10:$B$53,0),MATCH("Y11d",'[1]SALES PERTYPE'!$D$8:$BA$8,0)+1),0)</f>
        <v>10396000</v>
      </c>
      <c r="P39" s="33" cm="1">
        <f t="array" ref="P39">IFERROR(INDEX('[1]Sales per type Agustus'!$D$10:$BA$52,MATCH($C39,'[1]Sales per type Agustus'!$B$10:$B$52,0),MATCH("Y11d",'[1]Sales per type Agustus'!$D$8:$BA$8,0)+1),0)</f>
        <v>19992000</v>
      </c>
      <c r="Q39" s="33">
        <f t="shared" si="3"/>
        <v>-9596000</v>
      </c>
      <c r="R39" s="33">
        <f>IFERROR(INDEX('[1]SALES PERTYPE'!$D$10:$BA$53,MATCH($C39,'[1]SALES PERTYPE'!$B$10:$B$53,0),MATCH("Watch GT 2",'[1]SALES PERTYPE'!$D$8:$BA$8,0)),0)</f>
        <v>0</v>
      </c>
      <c r="S39" s="33">
        <f>IFERROR(INDEX('[1]Sales per type Agustus'!$D$10:$BA$52,MATCH($C39,'[1]Sales per type Agustus'!$B$10:$B$52,0),MATCH("Watch GT 2",'[1]Sales per type Agustus'!$D$8:$BA$8,0)),0)</f>
        <v>0</v>
      </c>
      <c r="T39" s="33">
        <f t="shared" si="4"/>
        <v>0</v>
      </c>
      <c r="U39" s="33" cm="1">
        <f t="array" ref="U39">IFERROR(INDEX('[1]SALES PERTYPE'!$D$10:$BA$53,MATCH($C39,'[1]SALES PERTYPE'!$B$10:$B$53,0),MATCH("Watch GT 2",'[1]SALES PERTYPE'!$D$8:$BA$8,0)+1),0)</f>
        <v>0</v>
      </c>
      <c r="V39" s="33" cm="1">
        <f t="array" ref="V39">IFERROR(INDEX('[1]Sales per type Agustus'!$D$10:$BA$52,MATCH($C39,'[1]Sales per type Agustus'!$B$10:$B$52,0),MATCH("Watch GT 2",'[1]Sales per type Agustus'!$D$8:$BA$8,0)+1),0)</f>
        <v>0</v>
      </c>
      <c r="W39" s="33">
        <f t="shared" si="5"/>
        <v>0</v>
      </c>
      <c r="X39" s="33">
        <f>IFERROR(INDEX('[1]SALES PERTYPE'!$D$10:$BA$53,MATCH($C39,'[1]SALES PERTYPE'!$B$10:$B$53,0),MATCH("Y05e",'[1]SALES PERTYPE'!$D$8:$BA$8,0)),0)</f>
        <v>3</v>
      </c>
      <c r="Y39" s="33">
        <f>IFERROR(INDEX('[1]Sales per type Agustus'!$D$10:$BA$52,MATCH($C39,'[1]Sales per type Agustus'!$B$10:$B$52,0),MATCH("Y05e",'[1]Sales per type Agustus'!$D$8:$BA$8,0)),0)</f>
        <v>2</v>
      </c>
      <c r="Z39" s="33">
        <f t="shared" si="6"/>
        <v>1</v>
      </c>
      <c r="AA39" s="33" cm="1">
        <f t="array" ref="AA39">IFERROR(INDEX('[1]SALES PERTYPE'!$D$10:$BA$53,MATCH($C39,'[1]SALES PERTYPE'!$B$10:$B$53,0),MATCH("Y05e",'[1]SALES PERTYPE'!$D$8:$BA$8,0)+1),0)</f>
        <v>6497000</v>
      </c>
      <c r="AB39" s="33" cm="1">
        <f t="array" ref="AB39">IFERROR(INDEX('[1]Sales per type Agustus'!$D$10:$BA$52,MATCH($C39,'[1]Sales per type Agustus'!$B$10:$B$52,0),MATCH("Y05e",'[1]Sales per type Agustus'!$D$8:$BA$8,0)+1),0)</f>
        <v>4198000</v>
      </c>
      <c r="AC39" s="33">
        <f t="shared" si="7"/>
        <v>2299000</v>
      </c>
      <c r="AD39" s="33">
        <f>IFERROR(INDEX('[1]SALES PERTYPE'!$D$10:$BA$53,MATCH($C39,'[1]SALES PERTYPE'!$B$10:$B$53,0),MATCH("V70",'[1]SALES PERTYPE'!$D$8:$BA$8,0)),0)</f>
        <v>2</v>
      </c>
      <c r="AE39" s="33">
        <f>IFERROR(INDEX('[1]Sales per type Agustus'!$D$10:$BA$52,MATCH($C39,'[1]Sales per type Agustus'!$B$10:$B$52,0),MATCH("V70",'[1]Sales per type Agustus'!$D$8:$BA$8,0)),0)</f>
        <v>0</v>
      </c>
      <c r="AF39" s="33">
        <f t="shared" si="8"/>
        <v>2</v>
      </c>
      <c r="AG39" s="33" cm="1">
        <f t="array" ref="AG39">IFERROR(INDEX('[1]SALES PERTYPE'!$D$10:$BA$53,MATCH($C39,'[1]SALES PERTYPE'!$B$10:$B$53,0),MATCH("V70",'[1]SALES PERTYPE'!$D$8:$BA$8,0)+1),0)</f>
        <v>19998000</v>
      </c>
      <c r="AH39" s="33" cm="1">
        <f t="array" ref="AH39">IFERROR(INDEX('[1]Sales per type Agustus'!$D$10:$BA$52,MATCH($C39,'[1]Sales per type Agustus'!$B$10:$B$52,0),MATCH("V70",'[1]Sales per type Agustus'!$D$8:$BA$8,0)+1),0)</f>
        <v>0</v>
      </c>
      <c r="AI39" s="33">
        <f t="shared" si="9"/>
        <v>19998000</v>
      </c>
      <c r="AJ39" s="33">
        <f>IFERROR(INDEX('[1]SALES PERTYPE'!$D$10:$BA$53,MATCH($C39,'[1]SALES PERTYPE'!$B$10:$B$53,0),MATCH("Y31d Pro",'[1]SALES PERTYPE'!$D$8:$BA$8,0)),0)</f>
        <v>4</v>
      </c>
      <c r="AK39" s="33">
        <f>IFERROR(INDEX('[1]Sales per type Agustus'!$D$10:$BA$52,MATCH($C39,'[1]Sales per type Agustus'!$B$10:$B$52,0),MATCH("Y31d Pro",'[1]Sales per type Agustus'!$D$8:$BA$8,0)),0)</f>
        <v>8</v>
      </c>
      <c r="AL39" s="33">
        <f t="shared" si="10"/>
        <v>-4</v>
      </c>
      <c r="AM39" s="33" cm="1">
        <f t="array" ref="AM39">IFERROR(INDEX('[1]SALES PERTYPE'!$D$10:$BA$53,MATCH($C39,'[1]SALES PERTYPE'!$B$10:$B$53,0),MATCH("Y31d Pro",'[1]SALES PERTYPE'!$D$8:$BA$8,0)+1),0)</f>
        <v>16996000</v>
      </c>
      <c r="AN39" s="33" cm="1">
        <f t="array" ref="AN39">IFERROR(INDEX('[1]Sales per type Agustus'!$D$10:$BA$52,MATCH($C39,'[1]Sales per type Agustus'!$B$10:$B$52,0),MATCH("Y31d Pro",'[1]Sales per type Agustus'!$D$8:$BA$8,0)+1),0)</f>
        <v>33792000</v>
      </c>
      <c r="AO39" s="33">
        <f t="shared" si="11"/>
        <v>-16796000</v>
      </c>
      <c r="AP39" s="33" cm="1">
        <f t="array" ref="AP39">IFERROR(INDEX('[1]SALES PERTYPE'!$D$10:$BA$53,MATCH($C39,'[1]SALES PERTYPE'!$B$10:$B$53,0),$EI$3),0)</f>
        <v>2</v>
      </c>
      <c r="AQ39" s="33" cm="1">
        <f t="array" ref="AQ39">IFERROR(INDEX('[1]Sales per type Agustus'!$D$10:$BA$52,MATCH($C39,'[1]Sales per type Agustus'!$B$10:$B$52,0),$EI$2),0)</f>
        <v>1</v>
      </c>
      <c r="AR39" s="33">
        <f t="shared" si="12"/>
        <v>1</v>
      </c>
      <c r="AS39" s="33" cm="1">
        <f t="array" ref="AS39">IFERROR(INDEX('[1]SALES PERTYPE'!$D$10:$BA$53,MATCH($C39,'[1]SALES PERTYPE'!$B$10:$B$53,0),$EI$3+1),0)</f>
        <v>6598000</v>
      </c>
      <c r="AT39" s="33" cm="1">
        <f t="array" ref="AT39">IFERROR(INDEX('[1]Sales per type Agustus'!$D$10:$BA$52,MATCH($C39,'[1]Sales per type Agustus'!$B$10:$B$52,0),$EI$2+1),0)</f>
        <v>3599000</v>
      </c>
      <c r="AU39" s="33">
        <f t="shared" si="13"/>
        <v>2999000</v>
      </c>
      <c r="AV39" s="33">
        <f>IFERROR(INDEX('[1]SALES PERTYPE'!$D$10:$BA$53,MATCH($C39,'[1]SALES PERTYPE'!$B$10:$B$53,0),MATCH("Y31d ",'[1]SALES PERTYPE'!$D$8:$BA$8,0)),0)</f>
        <v>1</v>
      </c>
      <c r="AW39" s="33">
        <f>IFERROR(INDEX('[1]Sales per type Agustus'!$D$10:$BA$52,MATCH($C39,'[1]Sales per type Agustus'!$B$10:$B$52,0),MATCH("Y31d ",'[1]Sales per type Agustus'!$D$8:$BA$8,0)),0)</f>
        <v>0</v>
      </c>
      <c r="AX39" s="33">
        <f t="shared" si="14"/>
        <v>1</v>
      </c>
      <c r="AY39" s="33" cm="1">
        <f t="array" ref="AY39">IFERROR(INDEX('[1]SALES PERTYPE'!$D$10:$BA$53,MATCH($C39,'[1]SALES PERTYPE'!$B$10:$B$53,0),MATCH("Y31d ",'[1]SALES PERTYPE'!$D$8:$BA$8,0)+1),0)</f>
        <v>3599000</v>
      </c>
      <c r="AZ39" s="33" cm="1">
        <f t="array" ref="AZ39">IFERROR(INDEX('[1]Sales per type Agustus'!$D$10:$BA$52,MATCH($C39,'[1]Sales per type Agustus'!$B$10:$B$52,0),MATCH("Y31d ",'[1]Sales per type Agustus'!$D$8:$BA$8,0)+1),0)</f>
        <v>0</v>
      </c>
      <c r="BA39" s="33">
        <f t="shared" si="15"/>
        <v>3599000</v>
      </c>
      <c r="BB39" s="33">
        <f>IFERROR(INDEX('[1]SALES PERTYPE'!$D$10:$BA$53,MATCH($C39,'[1]SALES PERTYPE'!$B$10:$B$53,0),MATCH("V70 FE",'[1]SALES PERTYPE'!$D$8:$BA$8,0)),0)</f>
        <v>3</v>
      </c>
      <c r="BC39" s="33">
        <f>IFERROR(INDEX('[1]Sales per type Agustus'!$D$10:$BA$52,MATCH($C39,'[1]Sales per type Agustus'!$B$10:$B$52,0),MATCH("V70 FE",'[1]Sales per type Agustus'!$D$8:$BA$8,0)),0)</f>
        <v>0</v>
      </c>
      <c r="BD39" s="33">
        <f t="shared" si="16"/>
        <v>3</v>
      </c>
      <c r="BE39" s="33" cm="1">
        <f t="array" ref="BE39">IFERROR(INDEX('[1]SALES PERTYPE'!$D$10:$BA$53,MATCH($C39,'[1]SALES PERTYPE'!$B$10:$B$53,0),MATCH("V70 FE",'[1]SALES PERTYPE'!$D$8:$BA$8,0)+1),0)</f>
        <v>21997000</v>
      </c>
      <c r="BF39" s="33" cm="1">
        <f t="array" ref="BF39">IFERROR(INDEX('[1]Sales per type Agustus'!$D$10:$BA$52,MATCH($C39,'[1]Sales per type Agustus'!$B$10:$B$52,0),MATCH("V70 FE",'[1]Sales per type Agustus'!$D$8:$BA$8,0)+1),0)</f>
        <v>0</v>
      </c>
      <c r="BG39" s="33">
        <f t="shared" si="17"/>
        <v>21997000</v>
      </c>
      <c r="BH39" s="33">
        <f>IFERROR(INDEX('[1]SALES PERTYPE'!$D$10:$BA$53,MATCH($C39,'[1]SALES PERTYPE'!$B$10:$B$53,0),MATCH("Y31d",'[1]SALES PERTYPE'!$D$8:$BA$8,0)),0)</f>
        <v>1</v>
      </c>
      <c r="BI39" s="33">
        <f>IFERROR(INDEX('[1]Sales per type Agustus'!$D$10:$BA$52,MATCH($C39,'[1]Sales per type Agustus'!$B$10:$B$52,0),MATCH("Y31d",'[1]Sales per type Agustus'!$D$8:$BA$8,0)),0)</f>
        <v>0</v>
      </c>
      <c r="BJ39" s="33">
        <f t="shared" si="18"/>
        <v>1</v>
      </c>
      <c r="BK39" s="33" cm="1">
        <f t="array" ref="BK39">IFERROR(INDEX('[1]SALES PERTYPE'!$D$10:$BA$53,MATCH($C39,'[1]SALES PERTYPE'!$B$10:$B$53,0),MATCH("Y31d",'[1]SALES PERTYPE'!$D$8:$BA$8,0)+1),0)</f>
        <v>3599000</v>
      </c>
      <c r="BL39" s="33" cm="1">
        <f t="array" ref="BL39">IFERROR(INDEX('[1]Sales per type Agustus'!$D$10:$BA$52,MATCH($C39,'[1]Sales per type Agustus'!$B$10:$B$52,0),MATCH("Y31d",'[1]Sales per type Agustus'!$D$8:$BA$8,0)+1),0)</f>
        <v>0</v>
      </c>
      <c r="BM39" s="33">
        <f t="shared" si="19"/>
        <v>3599000</v>
      </c>
      <c r="BN39" s="33">
        <f>IFERROR(INDEX('[1]SALES PERTYPE'!$D$10:$BA$53,MATCH($C39,'[1]SALES PERTYPE'!$B$10:$B$53,0),MATCH("Y500",'[1]SALES PERTYPE'!$D$8:$BA$8,0)),0)</f>
        <v>4</v>
      </c>
      <c r="BO39" s="33">
        <f>IFERROR(INDEX('[1]Sales per type Agustus'!$D$10:$BA$52,MATCH($C39,'[1]Sales per type Agustus'!$B$10:$B$52,0),MATCH("Y500",'[1]Sales per type Agustus'!$D$8:$BA$8,0)),0)</f>
        <v>0</v>
      </c>
      <c r="BP39" s="33">
        <f t="shared" si="20"/>
        <v>4</v>
      </c>
      <c r="BQ39" s="33" cm="1">
        <f t="array" ref="BQ39">IFERROR(INDEX('[1]SALES PERTYPE'!$D$10:$BA$53,MATCH($C39,'[1]SALES PERTYPE'!$B$10:$B$53,0),MATCH("Y500",'[1]SALES PERTYPE'!$D$8:$BA$8,0)+1),0)</f>
        <v>22796000</v>
      </c>
      <c r="BR39" s="33" cm="1">
        <f t="array" ref="BR39">IFERROR(INDEX('[1]Sales per type Agustus'!$D$10:$BA$52,MATCH($C39,'[1]Sales per type Agustus'!$B$10:$B$52,0),MATCH("Y500",'[1]Sales per type Agustus'!$D$8:$BA$8,0)+1),0)</f>
        <v>0</v>
      </c>
      <c r="BS39" s="33">
        <f t="shared" si="21"/>
        <v>22796000</v>
      </c>
      <c r="BT39" s="33">
        <f>IFERROR(INDEX('[1]SALES PERTYPE'!$D$10:$BA$53,MATCH($C39,'[1]SALES PERTYPE'!$B$10:$B$53,0),MATCH("IQOO 15R",'[1]SALES PERTYPE'!$D$8:$BA$8,0)),0)</f>
        <v>0</v>
      </c>
      <c r="BU39" s="33">
        <f>IFERROR(INDEX('[1]Sales per type Agustus'!$D$10:$BA$52,MATCH($C39,'[1]Sales per type Agustus'!$B$10:$B$52,0),MATCH("IQOO 15R",'[1]Sales per type Agustus'!$D$8:$BA$8,0)),0)</f>
        <v>1</v>
      </c>
      <c r="BV39" s="33">
        <f t="shared" si="22"/>
        <v>-1</v>
      </c>
      <c r="BW39" s="33" cm="1">
        <f t="array" ref="BW39">IFERROR(INDEX('[1]SALES PERTYPE'!$D$10:$BA$53,MATCH($C39,'[1]SALES PERTYPE'!$B$10:$B$53,0),MATCH("IQOO 15R",'[1]SALES PERTYPE'!$D$8:$BA$8,0)+1),0)</f>
        <v>0</v>
      </c>
      <c r="BX39" s="33" cm="1">
        <f t="array" ref="BX39">IFERROR(INDEX('[1]Sales per type Agustus'!$D$10:$BA$52,MATCH($C39,'[1]Sales per type Agustus'!$B$10:$B$52,0),MATCH("IQOO 15R",'[1]Sales per type Agustus'!$D$8:$BA$8,0)+1),0)</f>
        <v>11999000</v>
      </c>
      <c r="BY39" s="33">
        <f t="shared" si="23"/>
        <v>-11999000</v>
      </c>
      <c r="BZ39" s="33">
        <f>IFERROR(INDEX('[1]SALES PERTYPE'!$D$10:$BA$53,MATCH($C39,'[1]SALES PERTYPE'!$B$10:$B$53,0),MATCH("V60 Lite",'[1]SALES PERTYPE'!$D$8:$BA$8,0)),0)</f>
        <v>0</v>
      </c>
      <c r="CA39" s="33">
        <f>IFERROR(INDEX('[1]Sales per type Agustus'!$D$10:$BA$52,MATCH($C39,'[1]Sales per type Agustus'!$B$10:$B$52,0),MATCH("V60 Lite",'[1]Sales per type Agustus'!$D$8:$BA$8,0)),0)</f>
        <v>0</v>
      </c>
      <c r="CB39" s="33">
        <f t="shared" si="24"/>
        <v>0</v>
      </c>
      <c r="CC39" s="33" cm="1">
        <f t="array" ref="CC39">IFERROR(INDEX('[1]SALES PERTYPE'!$D$10:$BA$53,MATCH($C39,'[1]SALES PERTYPE'!$B$10:$B$53,0),MATCH("V60 Lite",'[1]SALES PERTYPE'!$D$8:$BA$8,0)+1),0)</f>
        <v>0</v>
      </c>
      <c r="CD39" s="33" cm="1">
        <f t="array" ref="CD39">IFERROR(INDEX('[1]Sales per type Agustus'!$D$10:$BA$52,MATCH($C39,'[1]Sales per type Agustus'!$B$10:$B$52,0),MATCH("V60 Lite",'[1]Sales per type Agustus'!$D$8:$BA$8,0)+1),0)</f>
        <v>0</v>
      </c>
      <c r="CE39" s="33">
        <f t="shared" si="25"/>
        <v>0</v>
      </c>
      <c r="CF39" s="33">
        <f>IFERROR(INDEX('[1]SALES PERTYPE'!$D$10:$BA$53,MATCH($C39,'[1]SALES PERTYPE'!$B$10:$B$53,0),MATCH("X300 Ultra",'[1]SALES PERTYPE'!$D$8:$BA$8,0)),0)</f>
        <v>0</v>
      </c>
      <c r="CG39" s="33">
        <f>IFERROR(INDEX('[1]Sales per type Agustus'!$D$10:$BA$52,MATCH($C39,'[1]Sales per type Agustus'!$B$10:$B$52,0),MATCH("X300 Ultra",'[1]Sales per type Agustus'!$D$8:$BA$8,0)),0)</f>
        <v>0</v>
      </c>
      <c r="CH39" s="33">
        <f t="shared" si="26"/>
        <v>0</v>
      </c>
      <c r="CI39" s="33" cm="1">
        <f t="array" ref="CI39">IFERROR(INDEX('[1]SALES PERTYPE'!$D$10:$BA$53,MATCH($C39,'[1]SALES PERTYPE'!$B$10:$B$53,0),MATCH("X300 Ultra",'[1]SALES PERTYPE'!$D$8:$BA$8,0)+1),0)</f>
        <v>0</v>
      </c>
      <c r="CJ39" s="33" cm="1">
        <f t="array" ref="CJ39">IFERROR(INDEX('[1]Sales per type Agustus'!$D$10:$BA$52,MATCH($C39,'[1]Sales per type Agustus'!$B$10:$B$52,0),MATCH("X300 Ultra",'[1]Sales per type Agustus'!$D$8:$BA$8,0)+1),0)</f>
        <v>0</v>
      </c>
      <c r="CK39" s="33">
        <f t="shared" si="27"/>
        <v>0</v>
      </c>
      <c r="CL39" s="33">
        <f>IFERROR(INDEX('[1]SALES PERTYPE'!$D$10:$BA$53,MATCH($C39,'[1]SALES PERTYPE'!$B$10:$B$53,0),MATCH("IQOO 15",'[1]SALES PERTYPE'!$D$8:$BA$8,0)),0)</f>
        <v>0</v>
      </c>
      <c r="CM39" s="33">
        <f>IFERROR(INDEX('[1]Sales per type Agustus'!$D$10:$BA$52,MATCH($C39,'[1]Sales per type Agustus'!$B$10:$B$52,0),MATCH("IQOO 15",'[1]Sales per type Agustus'!$D$8:$BA$8,0)),0)</f>
        <v>0</v>
      </c>
      <c r="CN39" s="33">
        <f t="shared" si="28"/>
        <v>0</v>
      </c>
      <c r="CO39" s="33" cm="1">
        <f t="array" ref="CO39">IFERROR(INDEX('[1]SALES PERTYPE'!$D$10:$BA$53,MATCH($C39,'[1]SALES PERTYPE'!$B$10:$B$53,0),MATCH("IQOO 15",'[1]SALES PERTYPE'!$D$8:$BA$8,0)+1),0)</f>
        <v>0</v>
      </c>
      <c r="CP39" s="33" cm="1">
        <f t="array" ref="CP39">IFERROR(INDEX('[1]Sales per type Agustus'!$D$10:$BA$52,MATCH($C39,'[1]Sales per type Agustus'!$B$10:$B$52,0),MATCH("IQOO 15",'[1]Sales per type Agustus'!$D$8:$BA$8,0)+1),0)</f>
        <v>0</v>
      </c>
      <c r="CQ39" s="33">
        <f t="shared" si="29"/>
        <v>0</v>
      </c>
      <c r="CR39" s="33">
        <f>IFERROR(INDEX('[1]SALES PERTYPE'!$D$10:$BA$53,MATCH($C39,'[1]SALES PERTYPE'!$B$10:$B$53,0),MATCH("IQOO Z11x",'[1]SALES PERTYPE'!$D$8:$BA$8,0)),0)</f>
        <v>1</v>
      </c>
      <c r="CS39" s="33">
        <f>IFERROR(INDEX('[1]Sales per type Agustus'!$D$10:$BA$52,MATCH($C39,'[1]Sales per type Agustus'!$B$10:$B$52,0),MATCH("IQOO Z11x",'[1]Sales per type Agustus'!$D$8:$BA$8,0)),0)</f>
        <v>0</v>
      </c>
      <c r="CT39" s="33">
        <f t="shared" si="30"/>
        <v>1</v>
      </c>
      <c r="CU39" s="33" cm="1">
        <f t="array" ref="CU39">IFERROR(INDEX('[1]SALES PERTYPE'!$D$10:$BA$53,MATCH($C39,'[1]SALES PERTYPE'!$B$10:$B$53,0),MATCH("IQOO Z11x",'[1]SALES PERTYPE'!$D$8:$BA$8,0)+1),0)</f>
        <v>4799000</v>
      </c>
      <c r="CV39" s="33" cm="1">
        <f t="array" ref="CV39">IFERROR(INDEX('[1]Sales per type Agustus'!$D$10:$BA$52,MATCH($C39,'[1]Sales per type Agustus'!$B$10:$B$52,0),MATCH("IQOO Z11x",'[1]Sales per type Agustus'!$D$8:$BA$8,0)+1),0)</f>
        <v>0</v>
      </c>
      <c r="CW39" s="33">
        <f t="shared" si="31"/>
        <v>4799000</v>
      </c>
      <c r="CX39" s="33">
        <f>IFERROR(INDEX('[1]SALES PERTYPE'!$D$10:$BA$53,MATCH($C39,'[1]SALES PERTYPE'!$B$10:$B$53,0),MATCH("IQOO Z11",'[1]SALES PERTYPE'!$D$8:$BA$8,0)),0)</f>
        <v>3</v>
      </c>
      <c r="CY39" s="33">
        <f>IFERROR(INDEX('[1]Sales per type Agustus'!$D$10:$BA$52,MATCH($C39,'[1]Sales per type Agustus'!$B$10:$B$52,0),MATCH("IQOO Z11",'[1]Sales per type Agustus'!$D$8:$BA$8,0)),0)</f>
        <v>0</v>
      </c>
      <c r="CZ39" s="33">
        <f t="shared" si="32"/>
        <v>3</v>
      </c>
      <c r="DA39" s="33" cm="1">
        <f t="array" ref="DA39">IFERROR(INDEX('[1]SALES PERTYPE'!$D$10:$BA$53,MATCH($C39,'[1]SALES PERTYPE'!$B$10:$B$53,0),MATCH("IQOO Z11",'[1]SALES PERTYPE'!$D$8:$BA$8,0)+1),0)</f>
        <v>20697000</v>
      </c>
      <c r="DB39" s="33" cm="1">
        <f t="array" ref="DB39">IFERROR(INDEX('[1]Sales per type Agustus'!$D$10:$BA$52,MATCH($C39,'[1]Sales per type Agustus'!$B$10:$B$52,0),MATCH("IQOO Z11",'[1]Sales per type Agustus'!$D$8:$BA$8,0)+1),0)</f>
        <v>0</v>
      </c>
      <c r="DC39" s="33">
        <f t="shared" si="33"/>
        <v>20697000</v>
      </c>
      <c r="DD39" s="33">
        <f>IFERROR(INDEX('[1]SALES PERTYPE'!$D$10:$BA$53,MATCH($C39,'[1]SALES PERTYPE'!$B$10:$B$53,0),MATCH("WATCH 3",'[1]SALES PERTYPE'!$D$8:$BA$8,0)),0)</f>
        <v>0</v>
      </c>
      <c r="DE39" s="33">
        <f>IFERROR(INDEX('[1]Sales per type Agustus'!$D$10:$BA$52,MATCH($C39,'[1]Sales per type Agustus'!$B$10:$B$52,0),MATCH("WATCH 3",'[1]Sales per type Agustus'!$D$8:$BA$8,0)),0)</f>
        <v>0</v>
      </c>
      <c r="DF39" s="33">
        <f t="shared" si="34"/>
        <v>0</v>
      </c>
      <c r="DG39" s="33" cm="1">
        <f t="array" ref="DG39">IFERROR(INDEX('[1]SALES PERTYPE'!$D$10:$BA$53,MATCH($C39,'[1]SALES PERTYPE'!$B$10:$B$53,0),MATCH("WATCH 3",'[1]SALES PERTYPE'!$D$8:$BA$8,0)+1),0)</f>
        <v>0</v>
      </c>
      <c r="DH39" s="33" cm="1">
        <f t="array" ref="DH39">IFERROR(INDEX('[1]Sales per type Agustus'!$D$10:$BA$52,MATCH($C39,'[1]Sales per type Agustus'!$B$10:$B$52,0),MATCH("WATCH 3",'[1]Sales per type Agustus'!$D$8:$BA$8,0)+1),0)</f>
        <v>0</v>
      </c>
      <c r="DI39" s="33">
        <f t="shared" si="35"/>
        <v>0</v>
      </c>
      <c r="DJ39" s="33">
        <f>IFERROR(INDEX('[1]SALES PERTYPE'!$D$10:$BA$53,MATCH($C39,'[1]SALES PERTYPE'!$B$10:$B$53,0),MATCH("X Fold5",'[1]SALES PERTYPE'!$D$8:$BA$8,0)),0)</f>
        <v>0</v>
      </c>
      <c r="DK39" s="33">
        <f>IFERROR(INDEX('[1]Sales per type Agustus'!$D$10:$BA$52,MATCH($C39,'[1]Sales per type Agustus'!$B$10:$B$52,0),MATCH("X Fold5",'[1]Sales per type Agustus'!$D$8:$BA$8,0)),0)</f>
        <v>0</v>
      </c>
      <c r="DL39" s="33">
        <f t="shared" si="36"/>
        <v>0</v>
      </c>
      <c r="DM39" s="33" cm="1">
        <f t="array" ref="DM39">IFERROR(INDEX('[1]SALES PERTYPE'!$D$10:$BA$53,MATCH($C39,'[1]SALES PERTYPE'!$B$10:$B$53,0),MATCH("X Fold5",'[1]SALES PERTYPE'!$D$8:$BA$8,0)+1),0)</f>
        <v>0</v>
      </c>
      <c r="DN39" s="33" cm="1">
        <f t="array" ref="DN39">IFERROR(INDEX('[1]Sales per type Agustus'!$D$10:$BA$52,MATCH($C39,'[1]Sales per type Agustus'!$B$10:$B$52,0),MATCH("X Fold5",'[1]Sales per type Agustus'!$D$8:$BA$8,0)+1),0)</f>
        <v>0</v>
      </c>
      <c r="DO39" s="33">
        <f t="shared" si="37"/>
        <v>0</v>
      </c>
      <c r="DP39" s="33">
        <f>IFERROR(INDEX('[1]SALES PERTYPE'!$D$10:$BA$53,MATCH($C39,'[1]SALES PERTYPE'!$B$10:$B$53,0),MATCH("X300 PRO",'[1]SALES PERTYPE'!$D$8:$BA$8,0)),0)</f>
        <v>0</v>
      </c>
      <c r="DQ39" s="33">
        <f>IFERROR(INDEX('[1]Sales per type Agustus'!$D$10:$BA$52,MATCH($C39,'[1]Sales per type Agustus'!$B$10:$B$52,0),MATCH("X300 PRO",'[1]Sales per type Agustus'!$D$8:$BA$8,0)),0)</f>
        <v>0</v>
      </c>
      <c r="DR39" s="33">
        <f t="shared" si="38"/>
        <v>0</v>
      </c>
      <c r="DS39" s="33" cm="1">
        <f t="array" ref="DS39">IFERROR(INDEX('[1]SALES PERTYPE'!$D$10:$BA$53,MATCH($C39,'[1]SALES PERTYPE'!$B$10:$B$53,0),MATCH("X300 PRO",'[1]SALES PERTYPE'!$D$8:$BA$8,0)+1),0)</f>
        <v>0</v>
      </c>
      <c r="DT39" s="33" cm="1">
        <f t="array" ref="DT39">IFERROR(INDEX('[1]Sales per type Agustus'!$D$10:$BA$52,MATCH($C39,'[1]Sales per type Agustus'!$B$10:$B$52,0),MATCH("X300 PRO",'[1]Sales per type Agustus'!$D$8:$BA$8,0)+1),0)</f>
        <v>0</v>
      </c>
      <c r="DU39" s="33">
        <f t="shared" si="39"/>
        <v>0</v>
      </c>
      <c r="DV39" s="33">
        <f>IFERROR(INDEX('[1]SALES PERTYPE'!$D$10:$BA$53,MATCH($C39,'[1]SALES PERTYPE'!$B$10:$B$53,0),MATCH("X300 ",'[1]SALES PERTYPE'!$D$8:$BA$8,0)),0)</f>
        <v>0</v>
      </c>
      <c r="DW39" s="33">
        <f>IFERROR(INDEX('[1]Sales per type Agustus'!$D$10:$BA$52,MATCH($C39,'[1]Sales per type Agustus'!$B$10:$B$52,0),MATCH("X300 ",'[1]Sales per type Agustus'!$D$8:$BA$8,0)),0)</f>
        <v>0</v>
      </c>
      <c r="DX39" s="33">
        <f t="shared" si="40"/>
        <v>0</v>
      </c>
      <c r="DY39" s="33" cm="1">
        <f t="array" ref="DY39">IFERROR(INDEX('[1]SALES PERTYPE'!$D$10:$BA$53,MATCH($C39,'[1]SALES PERTYPE'!$B$10:$B$53,0),MATCH("X300 ",'[1]SALES PERTYPE'!$D$8:$BA$8,0)+1),0)</f>
        <v>0</v>
      </c>
      <c r="DZ39" s="33" cm="1">
        <f t="array" ref="DZ39">IFERROR(INDEX('[1]Sales per type Agustus'!$D$10:$BA$52,MATCH($C39,'[1]Sales per type Agustus'!$B$10:$B$52,0),MATCH("X300 ",'[1]Sales per type Agustus'!$D$8:$BA$8,0)+1),0)</f>
        <v>0</v>
      </c>
      <c r="EA39" s="33">
        <f t="shared" si="41"/>
        <v>0</v>
      </c>
      <c r="EB39" s="33">
        <f t="shared" si="42"/>
        <v>40</v>
      </c>
      <c r="EC39" s="33">
        <f t="shared" si="42"/>
        <v>24</v>
      </c>
      <c r="ED39" s="33">
        <f t="shared" si="43"/>
        <v>16</v>
      </c>
      <c r="EE39" s="33">
        <f t="shared" si="44"/>
        <v>166460000</v>
      </c>
      <c r="EF39" s="33">
        <f t="shared" si="44"/>
        <v>83376000</v>
      </c>
      <c r="EG39" s="33">
        <f t="shared" si="45"/>
        <v>83084000</v>
      </c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</row>
    <row r="40" spans="1:184" ht="16" x14ac:dyDescent="0.2">
      <c r="A40" s="214">
        <f>'[1]ACHIEVEMENT STORE'!A40</f>
        <v>36</v>
      </c>
      <c r="B40" s="215" t="str">
        <f>'[1]ACHIEVEMENT STORE'!B40</f>
        <v>619-万隆市区BDG KOTA</v>
      </c>
      <c r="C40" s="214">
        <f>'[1]ACHIEVEMENT STORE'!C40</f>
        <v>6190704</v>
      </c>
      <c r="D40" s="215" t="str">
        <f>'[1]ACHIEVEMENT STORE'!D40</f>
        <v>6190704-BEC VIVO STORE 1</v>
      </c>
      <c r="E40" s="215" t="str">
        <f>'[1]ACHIEVEMENT STORE'!E40</f>
        <v>NENG TOTOH</v>
      </c>
      <c r="F40" s="33">
        <f>IFERROR(INDEX('[1]SALES PERTYPE'!$D$10:$BA$53,MATCH($C40,'[1]SALES PERTYPE'!$B$10:$B$53,0),MATCH("Y05",'[1]SALES PERTYPE'!$D$8:$BA$8,0)),0)</f>
        <v>20</v>
      </c>
      <c r="G40" s="33">
        <f>IFERROR(INDEX('[1]Sales per type Agustus'!$D$10:$BA$52,MATCH($C40,'[1]Sales per type Agustus'!$B$10:$B$52,0),MATCH("Y05",'[1]Sales per type Agustus'!$D$8:$BA$8,0)),0)</f>
        <v>10</v>
      </c>
      <c r="H40" s="33">
        <f t="shared" si="0"/>
        <v>10</v>
      </c>
      <c r="I40" s="33" cm="1">
        <f t="array" ref="I40">IFERROR(INDEX('[1]SALES PERTYPE'!$D$10:$BA$53,MATCH($C40,'[1]SALES PERTYPE'!$B$10:$B$53,0),MATCH("Y05",'[1]SALES PERTYPE'!$D$8:$BA$8,0)+1),0)</f>
        <v>48980000</v>
      </c>
      <c r="J40" s="33" cm="1">
        <f t="array" ref="J40">IFERROR(INDEX('[1]Sales per type Agustus'!$D$10:$BA$52,MATCH($C40,'[1]Sales per type Agustus'!$B$10:$B$52,0),MATCH("Y05",'[1]Sales per type Agustus'!$D$8:$BA$8,0)+1),0)</f>
        <v>24490000</v>
      </c>
      <c r="K40" s="33">
        <f t="shared" si="1"/>
        <v>24490000</v>
      </c>
      <c r="L40" s="33">
        <f>IFERROR(INDEX('[1]SALES PERTYPE'!$D$10:$BA$53,MATCH($C40,'[1]SALES PERTYPE'!$B$10:$B$53,0),MATCH("Y11d",'[1]SALES PERTYPE'!$D$8:$BA$8,0)),0)</f>
        <v>12</v>
      </c>
      <c r="M40" s="33">
        <f>IFERROR(INDEX('[1]Sales per type Agustus'!$D$10:$BA$52,MATCH($C40,'[1]Sales per type Agustus'!$B$10:$B$52,0),MATCH("Y11d",'[1]Sales per type Agustus'!$D$8:$BA$8,0)),0)</f>
        <v>19</v>
      </c>
      <c r="N40" s="33">
        <f t="shared" si="2"/>
        <v>-7</v>
      </c>
      <c r="O40" s="33" cm="1">
        <f t="array" ref="O40">IFERROR(INDEX('[1]SALES PERTYPE'!$D$10:$BA$53,MATCH($C40,'[1]SALES PERTYPE'!$B$10:$B$53,0),MATCH("Y11d",'[1]SALES PERTYPE'!$D$8:$BA$8,0)+1),0)</f>
        <v>31988000</v>
      </c>
      <c r="P40" s="33" cm="1">
        <f t="array" ref="P40">IFERROR(INDEX('[1]Sales per type Agustus'!$D$10:$BA$52,MATCH($C40,'[1]Sales per type Agustus'!$B$10:$B$52,0),MATCH("Y11d",'[1]Sales per type Agustus'!$D$8:$BA$8,0)+1),0)</f>
        <v>47581000</v>
      </c>
      <c r="Q40" s="33">
        <f t="shared" si="3"/>
        <v>-15593000</v>
      </c>
      <c r="R40" s="33">
        <f>IFERROR(INDEX('[1]SALES PERTYPE'!$D$10:$BA$53,MATCH($C40,'[1]SALES PERTYPE'!$B$10:$B$53,0),MATCH("Watch GT 2",'[1]SALES PERTYPE'!$D$8:$BA$8,0)),0)</f>
        <v>0</v>
      </c>
      <c r="S40" s="33">
        <f>IFERROR(INDEX('[1]Sales per type Agustus'!$D$10:$BA$52,MATCH($C40,'[1]Sales per type Agustus'!$B$10:$B$52,0),MATCH("Watch GT 2",'[1]Sales per type Agustus'!$D$8:$BA$8,0)),0)</f>
        <v>0</v>
      </c>
      <c r="T40" s="33">
        <f t="shared" si="4"/>
        <v>0</v>
      </c>
      <c r="U40" s="33" cm="1">
        <f t="array" ref="U40">IFERROR(INDEX('[1]SALES PERTYPE'!$D$10:$BA$53,MATCH($C40,'[1]SALES PERTYPE'!$B$10:$B$53,0),MATCH("Watch GT 2",'[1]SALES PERTYPE'!$D$8:$BA$8,0)+1),0)</f>
        <v>0</v>
      </c>
      <c r="V40" s="33" cm="1">
        <f t="array" ref="V40">IFERROR(INDEX('[1]Sales per type Agustus'!$D$10:$BA$52,MATCH($C40,'[1]Sales per type Agustus'!$B$10:$B$52,0),MATCH("Watch GT 2",'[1]Sales per type Agustus'!$D$8:$BA$8,0)+1),0)</f>
        <v>0</v>
      </c>
      <c r="W40" s="33">
        <f t="shared" si="5"/>
        <v>0</v>
      </c>
      <c r="X40" s="33">
        <f>IFERROR(INDEX('[1]SALES PERTYPE'!$D$10:$BA$53,MATCH($C40,'[1]SALES PERTYPE'!$B$10:$B$53,0),MATCH("Y05e",'[1]SALES PERTYPE'!$D$8:$BA$8,0)),0)</f>
        <v>6</v>
      </c>
      <c r="Y40" s="33">
        <f>IFERROR(INDEX('[1]Sales per type Agustus'!$D$10:$BA$52,MATCH($C40,'[1]Sales per type Agustus'!$B$10:$B$52,0),MATCH("Y05e",'[1]Sales per type Agustus'!$D$8:$BA$8,0)),0)</f>
        <v>25</v>
      </c>
      <c r="Z40" s="33">
        <f t="shared" si="6"/>
        <v>-19</v>
      </c>
      <c r="AA40" s="33" cm="1">
        <f t="array" ref="AA40">IFERROR(INDEX('[1]SALES PERTYPE'!$D$10:$BA$53,MATCH($C40,'[1]SALES PERTYPE'!$B$10:$B$53,0),MATCH("Y05e",'[1]SALES PERTYPE'!$D$8:$BA$8,0)+1),0)</f>
        <v>12994000</v>
      </c>
      <c r="AB40" s="33" cm="1">
        <f t="array" ref="AB40">IFERROR(INDEX('[1]Sales per type Agustus'!$D$10:$BA$52,MATCH($C40,'[1]Sales per type Agustus'!$B$10:$B$52,0),MATCH("Y05e",'[1]Sales per type Agustus'!$D$8:$BA$8,0)+1),0)</f>
        <v>52475000</v>
      </c>
      <c r="AC40" s="33">
        <f t="shared" si="7"/>
        <v>-39481000</v>
      </c>
      <c r="AD40" s="33">
        <f>IFERROR(INDEX('[1]SALES PERTYPE'!$D$10:$BA$53,MATCH($C40,'[1]SALES PERTYPE'!$B$10:$B$53,0),MATCH("V70",'[1]SALES PERTYPE'!$D$8:$BA$8,0)),0)</f>
        <v>7</v>
      </c>
      <c r="AE40" s="33">
        <f>IFERROR(INDEX('[1]Sales per type Agustus'!$D$10:$BA$52,MATCH($C40,'[1]Sales per type Agustus'!$B$10:$B$52,0),MATCH("V70",'[1]Sales per type Agustus'!$D$8:$BA$8,0)),0)</f>
        <v>3</v>
      </c>
      <c r="AF40" s="33">
        <f t="shared" si="8"/>
        <v>4</v>
      </c>
      <c r="AG40" s="33" cm="1">
        <f t="array" ref="AG40">IFERROR(INDEX('[1]SALES PERTYPE'!$D$10:$BA$53,MATCH($C40,'[1]SALES PERTYPE'!$B$10:$B$53,0),MATCH("V70",'[1]SALES PERTYPE'!$D$8:$BA$8,0)+1),0)</f>
        <v>69993000</v>
      </c>
      <c r="AH40" s="33" cm="1">
        <f t="array" ref="AH40">IFERROR(INDEX('[1]Sales per type Agustus'!$D$10:$BA$52,MATCH($C40,'[1]Sales per type Agustus'!$B$10:$B$52,0),MATCH("V70",'[1]Sales per type Agustus'!$D$8:$BA$8,0)+1),0)</f>
        <v>28997000</v>
      </c>
      <c r="AI40" s="33">
        <f t="shared" si="9"/>
        <v>40996000</v>
      </c>
      <c r="AJ40" s="33">
        <f>IFERROR(INDEX('[1]SALES PERTYPE'!$D$10:$BA$53,MATCH($C40,'[1]SALES PERTYPE'!$B$10:$B$53,0),MATCH("Y31d Pro",'[1]SALES PERTYPE'!$D$8:$BA$8,0)),0)</f>
        <v>9</v>
      </c>
      <c r="AK40" s="33">
        <f>IFERROR(INDEX('[1]Sales per type Agustus'!$D$10:$BA$52,MATCH($C40,'[1]Sales per type Agustus'!$B$10:$B$52,0),MATCH("Y31d Pro",'[1]Sales per type Agustus'!$D$8:$BA$8,0)),0)</f>
        <v>20</v>
      </c>
      <c r="AL40" s="33">
        <f t="shared" si="10"/>
        <v>-11</v>
      </c>
      <c r="AM40" s="33" cm="1">
        <f t="array" ref="AM40">IFERROR(INDEX('[1]SALES PERTYPE'!$D$10:$BA$53,MATCH($C40,'[1]SALES PERTYPE'!$B$10:$B$53,0),MATCH("Y31d Pro",'[1]SALES PERTYPE'!$D$8:$BA$8,0)+1),0)</f>
        <v>39891000</v>
      </c>
      <c r="AN40" s="33" cm="1">
        <f t="array" ref="AN40">IFERROR(INDEX('[1]Sales per type Agustus'!$D$10:$BA$52,MATCH($C40,'[1]Sales per type Agustus'!$B$10:$B$52,0),MATCH("Y31d Pro",'[1]Sales per type Agustus'!$D$8:$BA$8,0)+1),0)</f>
        <v>95580000</v>
      </c>
      <c r="AO40" s="33">
        <f t="shared" si="11"/>
        <v>-55689000</v>
      </c>
      <c r="AP40" s="33" cm="1">
        <f t="array" ref="AP40">IFERROR(INDEX('[1]SALES PERTYPE'!$D$10:$BA$53,MATCH($C40,'[1]SALES PERTYPE'!$B$10:$B$53,0),$EI$3),0)</f>
        <v>5</v>
      </c>
      <c r="AQ40" s="33" cm="1">
        <f t="array" ref="AQ40">IFERROR(INDEX('[1]Sales per type Agustus'!$D$10:$BA$52,MATCH($C40,'[1]Sales per type Agustus'!$B$10:$B$52,0),$EI$2),0)</f>
        <v>1</v>
      </c>
      <c r="AR40" s="33">
        <f t="shared" si="12"/>
        <v>4</v>
      </c>
      <c r="AS40" s="33" cm="1">
        <f t="array" ref="AS40">IFERROR(INDEX('[1]SALES PERTYPE'!$D$10:$BA$53,MATCH($C40,'[1]SALES PERTYPE'!$B$10:$B$53,0),$EI$3+1),0)</f>
        <v>16495000</v>
      </c>
      <c r="AT40" s="33" cm="1">
        <f t="array" ref="AT40">IFERROR(INDEX('[1]Sales per type Agustus'!$D$10:$BA$52,MATCH($C40,'[1]Sales per type Agustus'!$B$10:$B$52,0),$EI$2+1),0)</f>
        <v>3599000</v>
      </c>
      <c r="AU40" s="33">
        <f t="shared" si="13"/>
        <v>12896000</v>
      </c>
      <c r="AV40" s="33">
        <f>IFERROR(INDEX('[1]SALES PERTYPE'!$D$10:$BA$53,MATCH($C40,'[1]SALES PERTYPE'!$B$10:$B$53,0),MATCH("Y31d ",'[1]SALES PERTYPE'!$D$8:$BA$8,0)),0)</f>
        <v>2</v>
      </c>
      <c r="AW40" s="33">
        <f>IFERROR(INDEX('[1]Sales per type Agustus'!$D$10:$BA$52,MATCH($C40,'[1]Sales per type Agustus'!$B$10:$B$52,0),MATCH("Y31d ",'[1]Sales per type Agustus'!$D$8:$BA$8,0)),0)</f>
        <v>1</v>
      </c>
      <c r="AX40" s="33">
        <f t="shared" si="14"/>
        <v>1</v>
      </c>
      <c r="AY40" s="33" cm="1">
        <f t="array" ref="AY40">IFERROR(INDEX('[1]SALES PERTYPE'!$D$10:$BA$53,MATCH($C40,'[1]SALES PERTYPE'!$B$10:$B$53,0),MATCH("Y31d ",'[1]SALES PERTYPE'!$D$8:$BA$8,0)+1),0)</f>
        <v>7198000</v>
      </c>
      <c r="AZ40" s="33" cm="1">
        <f t="array" ref="AZ40">IFERROR(INDEX('[1]Sales per type Agustus'!$D$10:$BA$52,MATCH($C40,'[1]Sales per type Agustus'!$B$10:$B$52,0),MATCH("Y31d ",'[1]Sales per type Agustus'!$D$8:$BA$8,0)+1),0)</f>
        <v>3599000</v>
      </c>
      <c r="BA40" s="33">
        <f t="shared" si="15"/>
        <v>3599000</v>
      </c>
      <c r="BB40" s="33">
        <f>IFERROR(INDEX('[1]SALES PERTYPE'!$D$10:$BA$53,MATCH($C40,'[1]SALES PERTYPE'!$B$10:$B$53,0),MATCH("V70 FE",'[1]SALES PERTYPE'!$D$8:$BA$8,0)),0)</f>
        <v>4</v>
      </c>
      <c r="BC40" s="33">
        <f>IFERROR(INDEX('[1]Sales per type Agustus'!$D$10:$BA$52,MATCH($C40,'[1]Sales per type Agustus'!$B$10:$B$52,0),MATCH("V70 FE",'[1]Sales per type Agustus'!$D$8:$BA$8,0)),0)</f>
        <v>5</v>
      </c>
      <c r="BD40" s="33">
        <f t="shared" si="16"/>
        <v>-1</v>
      </c>
      <c r="BE40" s="33" cm="1">
        <f t="array" ref="BE40">IFERROR(INDEX('[1]SALES PERTYPE'!$D$10:$BA$53,MATCH($C40,'[1]SALES PERTYPE'!$B$10:$B$53,0),MATCH("V70 FE",'[1]SALES PERTYPE'!$D$8:$BA$8,0)+1),0)</f>
        <v>30996000</v>
      </c>
      <c r="BF40" s="33" cm="1">
        <f t="array" ref="BF40">IFERROR(INDEX('[1]Sales per type Agustus'!$D$10:$BA$52,MATCH($C40,'[1]Sales per type Agustus'!$B$10:$B$52,0),MATCH("V70 FE",'[1]Sales per type Agustus'!$D$8:$BA$8,0)+1),0)</f>
        <v>36895000</v>
      </c>
      <c r="BG40" s="33">
        <f t="shared" si="17"/>
        <v>-5899000</v>
      </c>
      <c r="BH40" s="33">
        <f>IFERROR(INDEX('[1]SALES PERTYPE'!$D$10:$BA$53,MATCH($C40,'[1]SALES PERTYPE'!$B$10:$B$53,0),MATCH("Y31d",'[1]SALES PERTYPE'!$D$8:$BA$8,0)),0)</f>
        <v>6</v>
      </c>
      <c r="BI40" s="33">
        <f>IFERROR(INDEX('[1]Sales per type Agustus'!$D$10:$BA$52,MATCH($C40,'[1]Sales per type Agustus'!$B$10:$B$52,0),MATCH("Y31d",'[1]Sales per type Agustus'!$D$8:$BA$8,0)),0)</f>
        <v>2</v>
      </c>
      <c r="BJ40" s="33">
        <f t="shared" si="18"/>
        <v>4</v>
      </c>
      <c r="BK40" s="33" cm="1">
        <f t="array" ref="BK40">IFERROR(INDEX('[1]SALES PERTYPE'!$D$10:$BA$53,MATCH($C40,'[1]SALES PERTYPE'!$B$10:$B$53,0),MATCH("Y31d",'[1]SALES PERTYPE'!$D$8:$BA$8,0)+1),0)</f>
        <v>21594000</v>
      </c>
      <c r="BL40" s="33" cm="1">
        <f t="array" ref="BL40">IFERROR(INDEX('[1]Sales per type Agustus'!$D$10:$BA$52,MATCH($C40,'[1]Sales per type Agustus'!$B$10:$B$52,0),MATCH("Y31d",'[1]Sales per type Agustus'!$D$8:$BA$8,0)+1),0)</f>
        <v>7198000</v>
      </c>
      <c r="BM40" s="33">
        <f t="shared" si="19"/>
        <v>14396000</v>
      </c>
      <c r="BN40" s="33">
        <f>IFERROR(INDEX('[1]SALES PERTYPE'!$D$10:$BA$53,MATCH($C40,'[1]SALES PERTYPE'!$B$10:$B$53,0),MATCH("Y500",'[1]SALES PERTYPE'!$D$8:$BA$8,0)),0)</f>
        <v>2</v>
      </c>
      <c r="BO40" s="33">
        <f>IFERROR(INDEX('[1]Sales per type Agustus'!$D$10:$BA$52,MATCH($C40,'[1]Sales per type Agustus'!$B$10:$B$52,0),MATCH("Y500",'[1]Sales per type Agustus'!$D$8:$BA$8,0)),0)</f>
        <v>2</v>
      </c>
      <c r="BP40" s="33">
        <f t="shared" si="20"/>
        <v>0</v>
      </c>
      <c r="BQ40" s="33" cm="1">
        <f t="array" ref="BQ40">IFERROR(INDEX('[1]SALES PERTYPE'!$D$10:$BA$53,MATCH($C40,'[1]SALES PERTYPE'!$B$10:$B$53,0),MATCH("Y500",'[1]SALES PERTYPE'!$D$8:$BA$8,0)+1),0)</f>
        <v>11798000</v>
      </c>
      <c r="BR40" s="33" cm="1">
        <f t="array" ref="BR40">IFERROR(INDEX('[1]Sales per type Agustus'!$D$10:$BA$52,MATCH($C40,'[1]Sales per type Agustus'!$B$10:$B$52,0),MATCH("Y500",'[1]Sales per type Agustus'!$D$8:$BA$8,0)+1),0)</f>
        <v>11798000</v>
      </c>
      <c r="BS40" s="33">
        <f t="shared" si="21"/>
        <v>0</v>
      </c>
      <c r="BT40" s="33">
        <f>IFERROR(INDEX('[1]SALES PERTYPE'!$D$10:$BA$53,MATCH($C40,'[1]SALES PERTYPE'!$B$10:$B$53,0),MATCH("IQOO 15R",'[1]SALES PERTYPE'!$D$8:$BA$8,0)),0)</f>
        <v>0</v>
      </c>
      <c r="BU40" s="33">
        <f>IFERROR(INDEX('[1]Sales per type Agustus'!$D$10:$BA$52,MATCH($C40,'[1]Sales per type Agustus'!$B$10:$B$52,0),MATCH("IQOO 15R",'[1]Sales per type Agustus'!$D$8:$BA$8,0)),0)</f>
        <v>2</v>
      </c>
      <c r="BV40" s="33">
        <f t="shared" si="22"/>
        <v>-2</v>
      </c>
      <c r="BW40" s="33" cm="1">
        <f t="array" ref="BW40">IFERROR(INDEX('[1]SALES PERTYPE'!$D$10:$BA$53,MATCH($C40,'[1]SALES PERTYPE'!$B$10:$B$53,0),MATCH("IQOO 15R",'[1]SALES PERTYPE'!$D$8:$BA$8,0)+1),0)</f>
        <v>0</v>
      </c>
      <c r="BX40" s="33" cm="1">
        <f t="array" ref="BX40">IFERROR(INDEX('[1]Sales per type Agustus'!$D$10:$BA$52,MATCH($C40,'[1]Sales per type Agustus'!$B$10:$B$52,0),MATCH("IQOO 15R",'[1]Sales per type Agustus'!$D$8:$BA$8,0)+1),0)</f>
        <v>23998000</v>
      </c>
      <c r="BY40" s="33">
        <f t="shared" si="23"/>
        <v>-23998000</v>
      </c>
      <c r="BZ40" s="33">
        <f>IFERROR(INDEX('[1]SALES PERTYPE'!$D$10:$BA$53,MATCH($C40,'[1]SALES PERTYPE'!$B$10:$B$53,0),MATCH("V60 Lite",'[1]SALES PERTYPE'!$D$8:$BA$8,0)),0)</f>
        <v>8</v>
      </c>
      <c r="CA40" s="33">
        <f>IFERROR(INDEX('[1]Sales per type Agustus'!$D$10:$BA$52,MATCH($C40,'[1]Sales per type Agustus'!$B$10:$B$52,0),MATCH("V60 Lite",'[1]Sales per type Agustus'!$D$8:$BA$8,0)),0)</f>
        <v>3</v>
      </c>
      <c r="CB40" s="33">
        <f t="shared" si="24"/>
        <v>5</v>
      </c>
      <c r="CC40" s="33" cm="1">
        <f t="array" ref="CC40">IFERROR(INDEX('[1]SALES PERTYPE'!$D$10:$BA$53,MATCH($C40,'[1]SALES PERTYPE'!$B$10:$B$53,0),MATCH("V60 Lite",'[1]SALES PERTYPE'!$D$8:$BA$8,0)+1),0)</f>
        <v>47192000</v>
      </c>
      <c r="CD40" s="33" cm="1">
        <f t="array" ref="CD40">IFERROR(INDEX('[1]Sales per type Agustus'!$D$10:$BA$52,MATCH($C40,'[1]Sales per type Agustus'!$B$10:$B$52,0),MATCH("V60 Lite",'[1]Sales per type Agustus'!$D$8:$BA$8,0)+1),0)</f>
        <v>17697000</v>
      </c>
      <c r="CE40" s="33">
        <f t="shared" si="25"/>
        <v>29495000</v>
      </c>
      <c r="CF40" s="33">
        <f>IFERROR(INDEX('[1]SALES PERTYPE'!$D$10:$BA$53,MATCH($C40,'[1]SALES PERTYPE'!$B$10:$B$53,0),MATCH("X300 Ultra",'[1]SALES PERTYPE'!$D$8:$BA$8,0)),0)</f>
        <v>0</v>
      </c>
      <c r="CG40" s="33">
        <f>IFERROR(INDEX('[1]Sales per type Agustus'!$D$10:$BA$52,MATCH($C40,'[1]Sales per type Agustus'!$B$10:$B$52,0),MATCH("X300 Ultra",'[1]Sales per type Agustus'!$D$8:$BA$8,0)),0)</f>
        <v>1</v>
      </c>
      <c r="CH40" s="33">
        <f t="shared" si="26"/>
        <v>-1</v>
      </c>
      <c r="CI40" s="33" cm="1">
        <f t="array" ref="CI40">IFERROR(INDEX('[1]SALES PERTYPE'!$D$10:$BA$53,MATCH($C40,'[1]SALES PERTYPE'!$B$10:$B$53,0),MATCH("X300 Ultra",'[1]SALES PERTYPE'!$D$8:$BA$8,0)+1),0)</f>
        <v>0</v>
      </c>
      <c r="CJ40" s="33" cm="1">
        <f t="array" ref="CJ40">IFERROR(INDEX('[1]Sales per type Agustus'!$D$10:$BA$52,MATCH($C40,'[1]Sales per type Agustus'!$B$10:$B$52,0),MATCH("X300 Ultra",'[1]Sales per type Agustus'!$D$8:$BA$8,0)+1),0)</f>
        <v>25999000</v>
      </c>
      <c r="CK40" s="33">
        <f t="shared" si="27"/>
        <v>-25999000</v>
      </c>
      <c r="CL40" s="33">
        <f>IFERROR(INDEX('[1]SALES PERTYPE'!$D$10:$BA$53,MATCH($C40,'[1]SALES PERTYPE'!$B$10:$B$53,0),MATCH("IQOO 15",'[1]SALES PERTYPE'!$D$8:$BA$8,0)),0)</f>
        <v>0</v>
      </c>
      <c r="CM40" s="33">
        <f>IFERROR(INDEX('[1]Sales per type Agustus'!$D$10:$BA$52,MATCH($C40,'[1]Sales per type Agustus'!$B$10:$B$52,0),MATCH("IQOO 15",'[1]Sales per type Agustus'!$D$8:$BA$8,0)),0)</f>
        <v>0</v>
      </c>
      <c r="CN40" s="33">
        <f t="shared" si="28"/>
        <v>0</v>
      </c>
      <c r="CO40" s="33" cm="1">
        <f t="array" ref="CO40">IFERROR(INDEX('[1]SALES PERTYPE'!$D$10:$BA$53,MATCH($C40,'[1]SALES PERTYPE'!$B$10:$B$53,0),MATCH("IQOO 15",'[1]SALES PERTYPE'!$D$8:$BA$8,0)+1),0)</f>
        <v>0</v>
      </c>
      <c r="CP40" s="33" cm="1">
        <f t="array" ref="CP40">IFERROR(INDEX('[1]Sales per type Agustus'!$D$10:$BA$52,MATCH($C40,'[1]Sales per type Agustus'!$B$10:$B$52,0),MATCH("IQOO 15",'[1]Sales per type Agustus'!$D$8:$BA$8,0)+1),0)</f>
        <v>0</v>
      </c>
      <c r="CQ40" s="33">
        <f t="shared" si="29"/>
        <v>0</v>
      </c>
      <c r="CR40" s="33">
        <f>IFERROR(INDEX('[1]SALES PERTYPE'!$D$10:$BA$53,MATCH($C40,'[1]SALES PERTYPE'!$B$10:$B$53,0),MATCH("IQOO Z11x",'[1]SALES PERTYPE'!$D$8:$BA$8,0)),0)</f>
        <v>6</v>
      </c>
      <c r="CS40" s="33">
        <f>IFERROR(INDEX('[1]Sales per type Agustus'!$D$10:$BA$52,MATCH($C40,'[1]Sales per type Agustus'!$B$10:$B$52,0),MATCH("IQOO Z11x",'[1]Sales per type Agustus'!$D$8:$BA$8,0)),0)</f>
        <v>1</v>
      </c>
      <c r="CT40" s="33">
        <f t="shared" si="30"/>
        <v>5</v>
      </c>
      <c r="CU40" s="33" cm="1">
        <f t="array" ref="CU40">IFERROR(INDEX('[1]SALES PERTYPE'!$D$10:$BA$53,MATCH($C40,'[1]SALES PERTYPE'!$B$10:$B$53,0),MATCH("IQOO Z11x",'[1]SALES PERTYPE'!$D$8:$BA$8,0)+1),0)</f>
        <v>29694000</v>
      </c>
      <c r="CV40" s="33" cm="1">
        <f t="array" ref="CV40">IFERROR(INDEX('[1]Sales per type Agustus'!$D$10:$BA$52,MATCH($C40,'[1]Sales per type Agustus'!$B$10:$B$52,0),MATCH("IQOO Z11x",'[1]Sales per type Agustus'!$D$8:$BA$8,0)+1),0)</f>
        <v>5699000</v>
      </c>
      <c r="CW40" s="33">
        <f t="shared" si="31"/>
        <v>23995000</v>
      </c>
      <c r="CX40" s="33">
        <f>IFERROR(INDEX('[1]SALES PERTYPE'!$D$10:$BA$53,MATCH($C40,'[1]SALES PERTYPE'!$B$10:$B$53,0),MATCH("IQOO Z11",'[1]SALES PERTYPE'!$D$8:$BA$8,0)),0)</f>
        <v>3</v>
      </c>
      <c r="CY40" s="33">
        <f>IFERROR(INDEX('[1]Sales per type Agustus'!$D$10:$BA$52,MATCH($C40,'[1]Sales per type Agustus'!$B$10:$B$52,0),MATCH("IQOO Z11",'[1]Sales per type Agustus'!$D$8:$BA$8,0)),0)</f>
        <v>0</v>
      </c>
      <c r="CZ40" s="33">
        <f t="shared" si="32"/>
        <v>3</v>
      </c>
      <c r="DA40" s="33" cm="1">
        <f t="array" ref="DA40">IFERROR(INDEX('[1]SALES PERTYPE'!$D$10:$BA$53,MATCH($C40,'[1]SALES PERTYPE'!$B$10:$B$53,0),MATCH("IQOO Z11",'[1]SALES PERTYPE'!$D$8:$BA$8,0)+1),0)</f>
        <v>23697000</v>
      </c>
      <c r="DB40" s="33" cm="1">
        <f t="array" ref="DB40">IFERROR(INDEX('[1]Sales per type Agustus'!$D$10:$BA$52,MATCH($C40,'[1]Sales per type Agustus'!$B$10:$B$52,0),MATCH("IQOO Z11",'[1]Sales per type Agustus'!$D$8:$BA$8,0)+1),0)</f>
        <v>0</v>
      </c>
      <c r="DC40" s="33">
        <f t="shared" si="33"/>
        <v>23697000</v>
      </c>
      <c r="DD40" s="33">
        <f>IFERROR(INDEX('[1]SALES PERTYPE'!$D$10:$BA$53,MATCH($C40,'[1]SALES PERTYPE'!$B$10:$B$53,0),MATCH("WATCH 3",'[1]SALES PERTYPE'!$D$8:$BA$8,0)),0)</f>
        <v>0</v>
      </c>
      <c r="DE40" s="33">
        <f>IFERROR(INDEX('[1]Sales per type Agustus'!$D$10:$BA$52,MATCH($C40,'[1]Sales per type Agustus'!$B$10:$B$52,0),MATCH("WATCH 3",'[1]Sales per type Agustus'!$D$8:$BA$8,0)),0)</f>
        <v>0</v>
      </c>
      <c r="DF40" s="33">
        <f t="shared" si="34"/>
        <v>0</v>
      </c>
      <c r="DG40" s="33" cm="1">
        <f t="array" ref="DG40">IFERROR(INDEX('[1]SALES PERTYPE'!$D$10:$BA$53,MATCH($C40,'[1]SALES PERTYPE'!$B$10:$B$53,0),MATCH("WATCH 3",'[1]SALES PERTYPE'!$D$8:$BA$8,0)+1),0)</f>
        <v>0</v>
      </c>
      <c r="DH40" s="33" cm="1">
        <f t="array" ref="DH40">IFERROR(INDEX('[1]Sales per type Agustus'!$D$10:$BA$52,MATCH($C40,'[1]Sales per type Agustus'!$B$10:$B$52,0),MATCH("WATCH 3",'[1]Sales per type Agustus'!$D$8:$BA$8,0)+1),0)</f>
        <v>0</v>
      </c>
      <c r="DI40" s="33">
        <f t="shared" si="35"/>
        <v>0</v>
      </c>
      <c r="DJ40" s="33">
        <f>IFERROR(INDEX('[1]SALES PERTYPE'!$D$10:$BA$53,MATCH($C40,'[1]SALES PERTYPE'!$B$10:$B$53,0),MATCH("X Fold5",'[1]SALES PERTYPE'!$D$8:$BA$8,0)),0)</f>
        <v>0</v>
      </c>
      <c r="DK40" s="33">
        <f>IFERROR(INDEX('[1]Sales per type Agustus'!$D$10:$BA$52,MATCH($C40,'[1]Sales per type Agustus'!$B$10:$B$52,0),MATCH("X Fold5",'[1]Sales per type Agustus'!$D$8:$BA$8,0)),0)</f>
        <v>0</v>
      </c>
      <c r="DL40" s="33">
        <f t="shared" si="36"/>
        <v>0</v>
      </c>
      <c r="DM40" s="33" cm="1">
        <f t="array" ref="DM40">IFERROR(INDEX('[1]SALES PERTYPE'!$D$10:$BA$53,MATCH($C40,'[1]SALES PERTYPE'!$B$10:$B$53,0),MATCH("X Fold5",'[1]SALES PERTYPE'!$D$8:$BA$8,0)+1),0)</f>
        <v>0</v>
      </c>
      <c r="DN40" s="33" cm="1">
        <f t="array" ref="DN40">IFERROR(INDEX('[1]Sales per type Agustus'!$D$10:$BA$52,MATCH($C40,'[1]Sales per type Agustus'!$B$10:$B$52,0),MATCH("X Fold5",'[1]Sales per type Agustus'!$D$8:$BA$8,0)+1),0)</f>
        <v>0</v>
      </c>
      <c r="DO40" s="33">
        <f t="shared" si="37"/>
        <v>0</v>
      </c>
      <c r="DP40" s="33">
        <f>IFERROR(INDEX('[1]SALES PERTYPE'!$D$10:$BA$53,MATCH($C40,'[1]SALES PERTYPE'!$B$10:$B$53,0),MATCH("X300 PRO",'[1]SALES PERTYPE'!$D$8:$BA$8,0)),0)</f>
        <v>0</v>
      </c>
      <c r="DQ40" s="33">
        <f>IFERROR(INDEX('[1]Sales per type Agustus'!$D$10:$BA$52,MATCH($C40,'[1]Sales per type Agustus'!$B$10:$B$52,0),MATCH("X300 PRO",'[1]Sales per type Agustus'!$D$8:$BA$8,0)),0)</f>
        <v>0</v>
      </c>
      <c r="DR40" s="33">
        <f t="shared" si="38"/>
        <v>0</v>
      </c>
      <c r="DS40" s="33" cm="1">
        <f t="array" ref="DS40">IFERROR(INDEX('[1]SALES PERTYPE'!$D$10:$BA$53,MATCH($C40,'[1]SALES PERTYPE'!$B$10:$B$53,0),MATCH("X300 PRO",'[1]SALES PERTYPE'!$D$8:$BA$8,0)+1),0)</f>
        <v>0</v>
      </c>
      <c r="DT40" s="33" cm="1">
        <f t="array" ref="DT40">IFERROR(INDEX('[1]Sales per type Agustus'!$D$10:$BA$52,MATCH($C40,'[1]Sales per type Agustus'!$B$10:$B$52,0),MATCH("X300 PRO",'[1]Sales per type Agustus'!$D$8:$BA$8,0)+1),0)</f>
        <v>0</v>
      </c>
      <c r="DU40" s="33">
        <f t="shared" si="39"/>
        <v>0</v>
      </c>
      <c r="DV40" s="33">
        <f>IFERROR(INDEX('[1]SALES PERTYPE'!$D$10:$BA$53,MATCH($C40,'[1]SALES PERTYPE'!$B$10:$B$53,0),MATCH("X300 ",'[1]SALES PERTYPE'!$D$8:$BA$8,0)),0)</f>
        <v>0</v>
      </c>
      <c r="DW40" s="33">
        <f>IFERROR(INDEX('[1]Sales per type Agustus'!$D$10:$BA$52,MATCH($C40,'[1]Sales per type Agustus'!$B$10:$B$52,0),MATCH("X300 ",'[1]Sales per type Agustus'!$D$8:$BA$8,0)),0)</f>
        <v>0</v>
      </c>
      <c r="DX40" s="33">
        <f t="shared" si="40"/>
        <v>0</v>
      </c>
      <c r="DY40" s="33" cm="1">
        <f t="array" ref="DY40">IFERROR(INDEX('[1]SALES PERTYPE'!$D$10:$BA$53,MATCH($C40,'[1]SALES PERTYPE'!$B$10:$B$53,0),MATCH("X300 ",'[1]SALES PERTYPE'!$D$8:$BA$8,0)+1),0)</f>
        <v>0</v>
      </c>
      <c r="DZ40" s="33" cm="1">
        <f t="array" ref="DZ40">IFERROR(INDEX('[1]Sales per type Agustus'!$D$10:$BA$52,MATCH($C40,'[1]Sales per type Agustus'!$B$10:$B$52,0),MATCH("X300 ",'[1]Sales per type Agustus'!$D$8:$BA$8,0)+1),0)</f>
        <v>0</v>
      </c>
      <c r="EA40" s="33">
        <f t="shared" si="41"/>
        <v>0</v>
      </c>
      <c r="EB40" s="33">
        <f t="shared" si="42"/>
        <v>90</v>
      </c>
      <c r="EC40" s="33">
        <f t="shared" si="42"/>
        <v>95</v>
      </c>
      <c r="ED40" s="33">
        <f t="shared" si="43"/>
        <v>-5</v>
      </c>
      <c r="EE40" s="33">
        <f t="shared" si="44"/>
        <v>392510000</v>
      </c>
      <c r="EF40" s="33">
        <f t="shared" si="44"/>
        <v>385605000</v>
      </c>
      <c r="EG40" s="33">
        <f t="shared" si="45"/>
        <v>6905000</v>
      </c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</row>
    <row r="41" spans="1:184" ht="16" x14ac:dyDescent="0.2">
      <c r="A41" s="31">
        <f>'[1]ACHIEVEMENT STORE'!A41</f>
        <v>37</v>
      </c>
      <c r="B41" s="32" t="str">
        <f>'[1]ACHIEVEMENT STORE'!B41</f>
        <v>619-万隆市区BDG KOTA</v>
      </c>
      <c r="C41" s="31">
        <f>'[1]ACHIEVEMENT STORE'!C41</f>
        <v>6190707</v>
      </c>
      <c r="D41" s="32" t="str">
        <f>'[1]ACHIEVEMENT STORE'!D41</f>
        <v>6190707-BEC VIVO STORE LU</v>
      </c>
      <c r="E41" s="32" t="str">
        <f>'[1]ACHIEVEMENT STORE'!E41</f>
        <v>NENG TOTOH</v>
      </c>
      <c r="F41" s="33">
        <f>IFERROR(INDEX('[1]SALES PERTYPE'!$D$10:$BA$53,MATCH($C41,'[1]SALES PERTYPE'!$B$10:$B$53,0),MATCH("Y05",'[1]SALES PERTYPE'!$D$8:$BA$8,0)),0)</f>
        <v>34</v>
      </c>
      <c r="G41" s="33">
        <f>IFERROR(INDEX('[1]Sales per type Agustus'!$D$10:$BA$52,MATCH($C41,'[1]Sales per type Agustus'!$B$10:$B$52,0),MATCH("Y05",'[1]Sales per type Agustus'!$D$8:$BA$8,0)),0)</f>
        <v>27</v>
      </c>
      <c r="H41" s="33">
        <f t="shared" si="0"/>
        <v>7</v>
      </c>
      <c r="I41" s="33" cm="1">
        <f t="array" ref="I41">IFERROR(INDEX('[1]SALES PERTYPE'!$D$10:$BA$53,MATCH($C41,'[1]SALES PERTYPE'!$B$10:$B$53,0),MATCH("Y05",'[1]SALES PERTYPE'!$D$8:$BA$8,0)+1),0)</f>
        <v>83566000</v>
      </c>
      <c r="J41" s="33" cm="1">
        <f t="array" ref="J41">IFERROR(INDEX('[1]Sales per type Agustus'!$D$10:$BA$52,MATCH($C41,'[1]Sales per type Agustus'!$B$10:$B$52,0),MATCH("Y05",'[1]Sales per type Agustus'!$D$8:$BA$8,0)+1),0)</f>
        <v>66573000</v>
      </c>
      <c r="K41" s="33">
        <f t="shared" si="1"/>
        <v>16993000</v>
      </c>
      <c r="L41" s="33">
        <f>IFERROR(INDEX('[1]SALES PERTYPE'!$D$10:$BA$53,MATCH($C41,'[1]SALES PERTYPE'!$B$10:$B$53,0),MATCH("Y11d",'[1]SALES PERTYPE'!$D$8:$BA$8,0)),0)</f>
        <v>18</v>
      </c>
      <c r="M41" s="33">
        <f>IFERROR(INDEX('[1]Sales per type Agustus'!$D$10:$BA$52,MATCH($C41,'[1]Sales per type Agustus'!$B$10:$B$52,0),MATCH("Y11d",'[1]Sales per type Agustus'!$D$8:$BA$8,0)),0)</f>
        <v>27</v>
      </c>
      <c r="N41" s="33">
        <f t="shared" si="2"/>
        <v>-9</v>
      </c>
      <c r="O41" s="33" cm="1">
        <f t="array" ref="O41">IFERROR(INDEX('[1]SALES PERTYPE'!$D$10:$BA$53,MATCH($C41,'[1]SALES PERTYPE'!$B$10:$B$53,0),MATCH("Y11d",'[1]SALES PERTYPE'!$D$8:$BA$8,0)+1),0)</f>
        <v>48382000</v>
      </c>
      <c r="P41" s="33" cm="1">
        <f t="array" ref="P41">IFERROR(INDEX('[1]Sales per type Agustus'!$D$10:$BA$52,MATCH($C41,'[1]Sales per type Agustus'!$B$10:$B$52,0),MATCH("Y11d",'[1]Sales per type Agustus'!$D$8:$BA$8,0)+1),0)</f>
        <v>72773000</v>
      </c>
      <c r="Q41" s="33">
        <f t="shared" si="3"/>
        <v>-24391000</v>
      </c>
      <c r="R41" s="33">
        <f>IFERROR(INDEX('[1]SALES PERTYPE'!$D$10:$BA$53,MATCH($C41,'[1]SALES PERTYPE'!$B$10:$B$53,0),MATCH("Watch GT 2",'[1]SALES PERTYPE'!$D$8:$BA$8,0)),0)</f>
        <v>0</v>
      </c>
      <c r="S41" s="33">
        <f>IFERROR(INDEX('[1]Sales per type Agustus'!$D$10:$BA$52,MATCH($C41,'[1]Sales per type Agustus'!$B$10:$B$52,0),MATCH("Watch GT 2",'[1]Sales per type Agustus'!$D$8:$BA$8,0)),0)</f>
        <v>0</v>
      </c>
      <c r="T41" s="33">
        <f t="shared" si="4"/>
        <v>0</v>
      </c>
      <c r="U41" s="33" cm="1">
        <f t="array" ref="U41">IFERROR(INDEX('[1]SALES PERTYPE'!$D$10:$BA$53,MATCH($C41,'[1]SALES PERTYPE'!$B$10:$B$53,0),MATCH("Watch GT 2",'[1]SALES PERTYPE'!$D$8:$BA$8,0)+1),0)</f>
        <v>0</v>
      </c>
      <c r="V41" s="33" cm="1">
        <f t="array" ref="V41">IFERROR(INDEX('[1]Sales per type Agustus'!$D$10:$BA$52,MATCH($C41,'[1]Sales per type Agustus'!$B$10:$B$52,0),MATCH("Watch GT 2",'[1]Sales per type Agustus'!$D$8:$BA$8,0)+1),0)</f>
        <v>0</v>
      </c>
      <c r="W41" s="33">
        <f t="shared" si="5"/>
        <v>0</v>
      </c>
      <c r="X41" s="33">
        <f>IFERROR(INDEX('[1]SALES PERTYPE'!$D$10:$BA$53,MATCH($C41,'[1]SALES PERTYPE'!$B$10:$B$53,0),MATCH("Y05e",'[1]SALES PERTYPE'!$D$8:$BA$8,0)),0)</f>
        <v>19</v>
      </c>
      <c r="Y41" s="33">
        <f>IFERROR(INDEX('[1]Sales per type Agustus'!$D$10:$BA$52,MATCH($C41,'[1]Sales per type Agustus'!$B$10:$B$52,0),MATCH("Y05e",'[1]Sales per type Agustus'!$D$8:$BA$8,0)),0)</f>
        <v>11</v>
      </c>
      <c r="Z41" s="33">
        <f t="shared" si="6"/>
        <v>8</v>
      </c>
      <c r="AA41" s="33" cm="1">
        <f t="array" ref="AA41">IFERROR(INDEX('[1]SALES PERTYPE'!$D$10:$BA$53,MATCH($C41,'[1]SALES PERTYPE'!$B$10:$B$53,0),MATCH("Y05e",'[1]SALES PERTYPE'!$D$8:$BA$8,0)+1),0)</f>
        <v>40481000</v>
      </c>
      <c r="AB41" s="33" cm="1">
        <f t="array" ref="AB41">IFERROR(INDEX('[1]Sales per type Agustus'!$D$10:$BA$52,MATCH($C41,'[1]Sales per type Agustus'!$B$10:$B$52,0),MATCH("Y05e",'[1]Sales per type Agustus'!$D$8:$BA$8,0)+1),0)</f>
        <v>23089000</v>
      </c>
      <c r="AC41" s="33">
        <f t="shared" si="7"/>
        <v>17392000</v>
      </c>
      <c r="AD41" s="33">
        <f>IFERROR(INDEX('[1]SALES PERTYPE'!$D$10:$BA$53,MATCH($C41,'[1]SALES PERTYPE'!$B$10:$B$53,0),MATCH("V70",'[1]SALES PERTYPE'!$D$8:$BA$8,0)),0)</f>
        <v>1</v>
      </c>
      <c r="AE41" s="33">
        <f>IFERROR(INDEX('[1]Sales per type Agustus'!$D$10:$BA$52,MATCH($C41,'[1]Sales per type Agustus'!$B$10:$B$52,0),MATCH("V70",'[1]Sales per type Agustus'!$D$8:$BA$8,0)),0)</f>
        <v>2</v>
      </c>
      <c r="AF41" s="33">
        <f t="shared" si="8"/>
        <v>-1</v>
      </c>
      <c r="AG41" s="33" cm="1">
        <f t="array" ref="AG41">IFERROR(INDEX('[1]SALES PERTYPE'!$D$10:$BA$53,MATCH($C41,'[1]SALES PERTYPE'!$B$10:$B$53,0),MATCH("V70",'[1]SALES PERTYPE'!$D$8:$BA$8,0)+1),0)</f>
        <v>9999000</v>
      </c>
      <c r="AH41" s="33" cm="1">
        <f t="array" ref="AH41">IFERROR(INDEX('[1]Sales per type Agustus'!$D$10:$BA$52,MATCH($C41,'[1]Sales per type Agustus'!$B$10:$B$52,0),MATCH("V70",'[1]Sales per type Agustus'!$D$8:$BA$8,0)+1),0)</f>
        <v>19998000</v>
      </c>
      <c r="AI41" s="33">
        <f t="shared" si="9"/>
        <v>-9999000</v>
      </c>
      <c r="AJ41" s="33">
        <f>IFERROR(INDEX('[1]SALES PERTYPE'!$D$10:$BA$53,MATCH($C41,'[1]SALES PERTYPE'!$B$10:$B$53,0),MATCH("Y31d Pro",'[1]SALES PERTYPE'!$D$8:$BA$8,0)),0)</f>
        <v>13</v>
      </c>
      <c r="AK41" s="33">
        <f>IFERROR(INDEX('[1]Sales per type Agustus'!$D$10:$BA$52,MATCH($C41,'[1]Sales per type Agustus'!$B$10:$B$52,0),MATCH("Y31d Pro",'[1]Sales per type Agustus'!$D$8:$BA$8,0)),0)</f>
        <v>17</v>
      </c>
      <c r="AL41" s="33">
        <f t="shared" si="10"/>
        <v>-4</v>
      </c>
      <c r="AM41" s="33" cm="1">
        <f t="array" ref="AM41">IFERROR(INDEX('[1]SALES PERTYPE'!$D$10:$BA$53,MATCH($C41,'[1]SALES PERTYPE'!$B$10:$B$53,0),MATCH("Y31d Pro",'[1]SALES PERTYPE'!$D$8:$BA$8,0)+1),0)</f>
        <v>56087000</v>
      </c>
      <c r="AN41" s="33" cm="1">
        <f t="array" ref="AN41">IFERROR(INDEX('[1]Sales per type Agustus'!$D$10:$BA$52,MATCH($C41,'[1]Sales per type Agustus'!$B$10:$B$52,0),MATCH("Y31d Pro",'[1]Sales per type Agustus'!$D$8:$BA$8,0)+1),0)</f>
        <v>79283000</v>
      </c>
      <c r="AO41" s="33">
        <f t="shared" si="11"/>
        <v>-23196000</v>
      </c>
      <c r="AP41" s="33" cm="1">
        <f t="array" ref="AP41">IFERROR(INDEX('[1]SALES PERTYPE'!$D$10:$BA$53,MATCH($C41,'[1]SALES PERTYPE'!$B$10:$B$53,0),$EI$3),0)</f>
        <v>9</v>
      </c>
      <c r="AQ41" s="33" cm="1">
        <f t="array" ref="AQ41">IFERROR(INDEX('[1]Sales per type Agustus'!$D$10:$BA$52,MATCH($C41,'[1]Sales per type Agustus'!$B$10:$B$52,0),$EI$2),0)</f>
        <v>0</v>
      </c>
      <c r="AR41" s="33">
        <f t="shared" si="12"/>
        <v>9</v>
      </c>
      <c r="AS41" s="33" cm="1">
        <f t="array" ref="AS41">IFERROR(INDEX('[1]SALES PERTYPE'!$D$10:$BA$53,MATCH($C41,'[1]SALES PERTYPE'!$B$10:$B$53,0),$EI$3+1),0)</f>
        <v>29991000</v>
      </c>
      <c r="AT41" s="33" cm="1">
        <f t="array" ref="AT41">IFERROR(INDEX('[1]Sales per type Agustus'!$D$10:$BA$52,MATCH($C41,'[1]Sales per type Agustus'!$B$10:$B$52,0),$EI$2+1),0)</f>
        <v>0</v>
      </c>
      <c r="AU41" s="33">
        <f t="shared" si="13"/>
        <v>29991000</v>
      </c>
      <c r="AV41" s="33">
        <f>IFERROR(INDEX('[1]SALES PERTYPE'!$D$10:$BA$53,MATCH($C41,'[1]SALES PERTYPE'!$B$10:$B$53,0),MATCH("Y31d ",'[1]SALES PERTYPE'!$D$8:$BA$8,0)),0)</f>
        <v>3</v>
      </c>
      <c r="AW41" s="33">
        <f>IFERROR(INDEX('[1]Sales per type Agustus'!$D$10:$BA$52,MATCH($C41,'[1]Sales per type Agustus'!$B$10:$B$52,0),MATCH("Y31d ",'[1]Sales per type Agustus'!$D$8:$BA$8,0)),0)</f>
        <v>0</v>
      </c>
      <c r="AX41" s="33">
        <f t="shared" si="14"/>
        <v>3</v>
      </c>
      <c r="AY41" s="33" cm="1">
        <f t="array" ref="AY41">IFERROR(INDEX('[1]SALES PERTYPE'!$D$10:$BA$53,MATCH($C41,'[1]SALES PERTYPE'!$B$10:$B$53,0),MATCH("Y31d ",'[1]SALES PERTYPE'!$D$8:$BA$8,0)+1),0)</f>
        <v>10797000</v>
      </c>
      <c r="AZ41" s="33" cm="1">
        <f t="array" ref="AZ41">IFERROR(INDEX('[1]Sales per type Agustus'!$D$10:$BA$52,MATCH($C41,'[1]Sales per type Agustus'!$B$10:$B$52,0),MATCH("Y31d ",'[1]Sales per type Agustus'!$D$8:$BA$8,0)+1),0)</f>
        <v>0</v>
      </c>
      <c r="BA41" s="33">
        <f t="shared" si="15"/>
        <v>10797000</v>
      </c>
      <c r="BB41" s="33">
        <f>IFERROR(INDEX('[1]SALES PERTYPE'!$D$10:$BA$53,MATCH($C41,'[1]SALES PERTYPE'!$B$10:$B$53,0),MATCH("V70 FE",'[1]SALES PERTYPE'!$D$8:$BA$8,0)),0)</f>
        <v>4</v>
      </c>
      <c r="BC41" s="33">
        <f>IFERROR(INDEX('[1]Sales per type Agustus'!$D$10:$BA$52,MATCH($C41,'[1]Sales per type Agustus'!$B$10:$B$52,0),MATCH("V70 FE",'[1]Sales per type Agustus'!$D$8:$BA$8,0)),0)</f>
        <v>3</v>
      </c>
      <c r="BD41" s="33">
        <f t="shared" si="16"/>
        <v>1</v>
      </c>
      <c r="BE41" s="33" cm="1">
        <f t="array" ref="BE41">IFERROR(INDEX('[1]SALES PERTYPE'!$D$10:$BA$53,MATCH($C41,'[1]SALES PERTYPE'!$B$10:$B$53,0),MATCH("V70 FE",'[1]SALES PERTYPE'!$D$8:$BA$8,0)+1),0)</f>
        <v>29996000</v>
      </c>
      <c r="BF41" s="33" cm="1">
        <f t="array" ref="BF41">IFERROR(INDEX('[1]Sales per type Agustus'!$D$10:$BA$52,MATCH($C41,'[1]Sales per type Agustus'!$B$10:$B$52,0),MATCH("V70 FE",'[1]Sales per type Agustus'!$D$8:$BA$8,0)+1),0)</f>
        <v>23997000</v>
      </c>
      <c r="BG41" s="33">
        <f t="shared" si="17"/>
        <v>5999000</v>
      </c>
      <c r="BH41" s="33">
        <f>IFERROR(INDEX('[1]SALES PERTYPE'!$D$10:$BA$53,MATCH($C41,'[1]SALES PERTYPE'!$B$10:$B$53,0),MATCH("Y31d",'[1]SALES PERTYPE'!$D$8:$BA$8,0)),0)</f>
        <v>4</v>
      </c>
      <c r="BI41" s="33">
        <f>IFERROR(INDEX('[1]Sales per type Agustus'!$D$10:$BA$52,MATCH($C41,'[1]Sales per type Agustus'!$B$10:$B$52,0),MATCH("Y31d",'[1]Sales per type Agustus'!$D$8:$BA$8,0)),0)</f>
        <v>1</v>
      </c>
      <c r="BJ41" s="33">
        <f t="shared" si="18"/>
        <v>3</v>
      </c>
      <c r="BK41" s="33" cm="1">
        <f t="array" ref="BK41">IFERROR(INDEX('[1]SALES PERTYPE'!$D$10:$BA$53,MATCH($C41,'[1]SALES PERTYPE'!$B$10:$B$53,0),MATCH("Y31d",'[1]SALES PERTYPE'!$D$8:$BA$8,0)+1),0)</f>
        <v>14396000</v>
      </c>
      <c r="BL41" s="33" cm="1">
        <f t="array" ref="BL41">IFERROR(INDEX('[1]Sales per type Agustus'!$D$10:$BA$52,MATCH($C41,'[1]Sales per type Agustus'!$B$10:$B$52,0),MATCH("Y31d",'[1]Sales per type Agustus'!$D$8:$BA$8,0)+1),0)</f>
        <v>3599000</v>
      </c>
      <c r="BM41" s="33">
        <f t="shared" si="19"/>
        <v>10797000</v>
      </c>
      <c r="BN41" s="33">
        <f>IFERROR(INDEX('[1]SALES PERTYPE'!$D$10:$BA$53,MATCH($C41,'[1]SALES PERTYPE'!$B$10:$B$53,0),MATCH("Y500",'[1]SALES PERTYPE'!$D$8:$BA$8,0)),0)</f>
        <v>2</v>
      </c>
      <c r="BO41" s="33">
        <f>IFERROR(INDEX('[1]Sales per type Agustus'!$D$10:$BA$52,MATCH($C41,'[1]Sales per type Agustus'!$B$10:$B$52,0),MATCH("Y500",'[1]Sales per type Agustus'!$D$8:$BA$8,0)),0)</f>
        <v>1</v>
      </c>
      <c r="BP41" s="33">
        <f t="shared" si="20"/>
        <v>1</v>
      </c>
      <c r="BQ41" s="33" cm="1">
        <f t="array" ref="BQ41">IFERROR(INDEX('[1]SALES PERTYPE'!$D$10:$BA$53,MATCH($C41,'[1]SALES PERTYPE'!$B$10:$B$53,0),MATCH("Y500",'[1]SALES PERTYPE'!$D$8:$BA$8,0)+1),0)</f>
        <v>11798000</v>
      </c>
      <c r="BR41" s="33" cm="1">
        <f t="array" ref="BR41">IFERROR(INDEX('[1]Sales per type Agustus'!$D$10:$BA$52,MATCH($C41,'[1]Sales per type Agustus'!$B$10:$B$52,0),MATCH("Y500",'[1]Sales per type Agustus'!$D$8:$BA$8,0)+1),0)</f>
        <v>5499000</v>
      </c>
      <c r="BS41" s="33">
        <f t="shared" si="21"/>
        <v>6299000</v>
      </c>
      <c r="BT41" s="33">
        <f>IFERROR(INDEX('[1]SALES PERTYPE'!$D$10:$BA$53,MATCH($C41,'[1]SALES PERTYPE'!$B$10:$B$53,0),MATCH("IQOO 15R",'[1]SALES PERTYPE'!$D$8:$BA$8,0)),0)</f>
        <v>0</v>
      </c>
      <c r="BU41" s="33">
        <f>IFERROR(INDEX('[1]Sales per type Agustus'!$D$10:$BA$52,MATCH($C41,'[1]Sales per type Agustus'!$B$10:$B$52,0),MATCH("IQOO 15R",'[1]Sales per type Agustus'!$D$8:$BA$8,0)),0)</f>
        <v>2</v>
      </c>
      <c r="BV41" s="33">
        <f t="shared" si="22"/>
        <v>-2</v>
      </c>
      <c r="BW41" s="33" cm="1">
        <f t="array" ref="BW41">IFERROR(INDEX('[1]SALES PERTYPE'!$D$10:$BA$53,MATCH($C41,'[1]SALES PERTYPE'!$B$10:$B$53,0),MATCH("IQOO 15R",'[1]SALES PERTYPE'!$D$8:$BA$8,0)+1),0)</f>
        <v>0</v>
      </c>
      <c r="BX41" s="33" cm="1">
        <f t="array" ref="BX41">IFERROR(INDEX('[1]Sales per type Agustus'!$D$10:$BA$52,MATCH($C41,'[1]Sales per type Agustus'!$B$10:$B$52,0),MATCH("IQOO 15R",'[1]Sales per type Agustus'!$D$8:$BA$8,0)+1),0)</f>
        <v>23998000</v>
      </c>
      <c r="BY41" s="33">
        <f t="shared" si="23"/>
        <v>-23998000</v>
      </c>
      <c r="BZ41" s="33">
        <f>IFERROR(INDEX('[1]SALES PERTYPE'!$D$10:$BA$53,MATCH($C41,'[1]SALES PERTYPE'!$B$10:$B$53,0),MATCH("V60 Lite",'[1]SALES PERTYPE'!$D$8:$BA$8,0)),0)</f>
        <v>16</v>
      </c>
      <c r="CA41" s="33">
        <f>IFERROR(INDEX('[1]Sales per type Agustus'!$D$10:$BA$52,MATCH($C41,'[1]Sales per type Agustus'!$B$10:$B$52,0),MATCH("V60 Lite",'[1]Sales per type Agustus'!$D$8:$BA$8,0)),0)</f>
        <v>5</v>
      </c>
      <c r="CB41" s="33">
        <f t="shared" si="24"/>
        <v>11</v>
      </c>
      <c r="CC41" s="33" cm="1">
        <f t="array" ref="CC41">IFERROR(INDEX('[1]SALES PERTYPE'!$D$10:$BA$53,MATCH($C41,'[1]SALES PERTYPE'!$B$10:$B$53,0),MATCH("V60 Lite",'[1]SALES PERTYPE'!$D$8:$BA$8,0)+1),0)</f>
        <v>94384000</v>
      </c>
      <c r="CD41" s="33" cm="1">
        <f t="array" ref="CD41">IFERROR(INDEX('[1]Sales per type Agustus'!$D$10:$BA$52,MATCH($C41,'[1]Sales per type Agustus'!$B$10:$B$52,0),MATCH("V60 Lite",'[1]Sales per type Agustus'!$D$8:$BA$8,0)+1),0)</f>
        <v>28895000</v>
      </c>
      <c r="CE41" s="33">
        <f t="shared" si="25"/>
        <v>65489000</v>
      </c>
      <c r="CF41" s="33">
        <f>IFERROR(INDEX('[1]SALES PERTYPE'!$D$10:$BA$53,MATCH($C41,'[1]SALES PERTYPE'!$B$10:$B$53,0),MATCH("X300 Ultra",'[1]SALES PERTYPE'!$D$8:$BA$8,0)),0)</f>
        <v>0</v>
      </c>
      <c r="CG41" s="33">
        <f>IFERROR(INDEX('[1]Sales per type Agustus'!$D$10:$BA$52,MATCH($C41,'[1]Sales per type Agustus'!$B$10:$B$52,0),MATCH("X300 Ultra",'[1]Sales per type Agustus'!$D$8:$BA$8,0)),0)</f>
        <v>0</v>
      </c>
      <c r="CH41" s="33">
        <f t="shared" si="26"/>
        <v>0</v>
      </c>
      <c r="CI41" s="33" cm="1">
        <f t="array" ref="CI41">IFERROR(INDEX('[1]SALES PERTYPE'!$D$10:$BA$53,MATCH($C41,'[1]SALES PERTYPE'!$B$10:$B$53,0),MATCH("X300 Ultra",'[1]SALES PERTYPE'!$D$8:$BA$8,0)+1),0)</f>
        <v>0</v>
      </c>
      <c r="CJ41" s="33" cm="1">
        <f t="array" ref="CJ41">IFERROR(INDEX('[1]Sales per type Agustus'!$D$10:$BA$52,MATCH($C41,'[1]Sales per type Agustus'!$B$10:$B$52,0),MATCH("X300 Ultra",'[1]Sales per type Agustus'!$D$8:$BA$8,0)+1),0)</f>
        <v>0</v>
      </c>
      <c r="CK41" s="33">
        <f t="shared" si="27"/>
        <v>0</v>
      </c>
      <c r="CL41" s="33">
        <f>IFERROR(INDEX('[1]SALES PERTYPE'!$D$10:$BA$53,MATCH($C41,'[1]SALES PERTYPE'!$B$10:$B$53,0),MATCH("IQOO 15",'[1]SALES PERTYPE'!$D$8:$BA$8,0)),0)</f>
        <v>0</v>
      </c>
      <c r="CM41" s="33">
        <f>IFERROR(INDEX('[1]Sales per type Agustus'!$D$10:$BA$52,MATCH($C41,'[1]Sales per type Agustus'!$B$10:$B$52,0),MATCH("IQOO 15",'[1]Sales per type Agustus'!$D$8:$BA$8,0)),0)</f>
        <v>0</v>
      </c>
      <c r="CN41" s="33">
        <f t="shared" si="28"/>
        <v>0</v>
      </c>
      <c r="CO41" s="33" cm="1">
        <f t="array" ref="CO41">IFERROR(INDEX('[1]SALES PERTYPE'!$D$10:$BA$53,MATCH($C41,'[1]SALES PERTYPE'!$B$10:$B$53,0),MATCH("IQOO 15",'[1]SALES PERTYPE'!$D$8:$BA$8,0)+1),0)</f>
        <v>0</v>
      </c>
      <c r="CP41" s="33" cm="1">
        <f t="array" ref="CP41">IFERROR(INDEX('[1]Sales per type Agustus'!$D$10:$BA$52,MATCH($C41,'[1]Sales per type Agustus'!$B$10:$B$52,0),MATCH("IQOO 15",'[1]Sales per type Agustus'!$D$8:$BA$8,0)+1),0)</f>
        <v>0</v>
      </c>
      <c r="CQ41" s="33">
        <f t="shared" si="29"/>
        <v>0</v>
      </c>
      <c r="CR41" s="33">
        <f>IFERROR(INDEX('[1]SALES PERTYPE'!$D$10:$BA$53,MATCH($C41,'[1]SALES PERTYPE'!$B$10:$B$53,0),MATCH("IQOO Z11x",'[1]SALES PERTYPE'!$D$8:$BA$8,0)),0)</f>
        <v>4</v>
      </c>
      <c r="CS41" s="33">
        <f>IFERROR(INDEX('[1]Sales per type Agustus'!$D$10:$BA$52,MATCH($C41,'[1]Sales per type Agustus'!$B$10:$B$52,0),MATCH("IQOO Z11x",'[1]Sales per type Agustus'!$D$8:$BA$8,0)),0)</f>
        <v>1</v>
      </c>
      <c r="CT41" s="33">
        <f t="shared" si="30"/>
        <v>3</v>
      </c>
      <c r="CU41" s="33" cm="1">
        <f t="array" ref="CU41">IFERROR(INDEX('[1]SALES PERTYPE'!$D$10:$BA$53,MATCH($C41,'[1]SALES PERTYPE'!$B$10:$B$53,0),MATCH("IQOO Z11x",'[1]SALES PERTYPE'!$D$8:$BA$8,0)+1),0)</f>
        <v>19196000</v>
      </c>
      <c r="CV41" s="33" cm="1">
        <f t="array" ref="CV41">IFERROR(INDEX('[1]Sales per type Agustus'!$D$10:$BA$52,MATCH($C41,'[1]Sales per type Agustus'!$B$10:$B$52,0),MATCH("IQOO Z11x",'[1]Sales per type Agustus'!$D$8:$BA$8,0)+1),0)</f>
        <v>5699000</v>
      </c>
      <c r="CW41" s="33">
        <f t="shared" si="31"/>
        <v>13497000</v>
      </c>
      <c r="CX41" s="33">
        <f>IFERROR(INDEX('[1]SALES PERTYPE'!$D$10:$BA$53,MATCH($C41,'[1]SALES PERTYPE'!$B$10:$B$53,0),MATCH("IQOO Z11",'[1]SALES PERTYPE'!$D$8:$BA$8,0)),0)</f>
        <v>3</v>
      </c>
      <c r="CY41" s="33">
        <f>IFERROR(INDEX('[1]Sales per type Agustus'!$D$10:$BA$52,MATCH($C41,'[1]Sales per type Agustus'!$B$10:$B$52,0),MATCH("IQOO Z11",'[1]Sales per type Agustus'!$D$8:$BA$8,0)),0)</f>
        <v>4</v>
      </c>
      <c r="CZ41" s="33">
        <f t="shared" si="32"/>
        <v>-1</v>
      </c>
      <c r="DA41" s="33" cm="1">
        <f t="array" ref="DA41">IFERROR(INDEX('[1]SALES PERTYPE'!$D$10:$BA$53,MATCH($C41,'[1]SALES PERTYPE'!$B$10:$B$53,0),MATCH("IQOO Z11",'[1]SALES PERTYPE'!$D$8:$BA$8,0)+1),0)</f>
        <v>22197000</v>
      </c>
      <c r="DB41" s="33" cm="1">
        <f t="array" ref="DB41">IFERROR(INDEX('[1]Sales per type Agustus'!$D$10:$BA$52,MATCH($C41,'[1]Sales per type Agustus'!$B$10:$B$52,0),MATCH("IQOO Z11",'[1]Sales per type Agustus'!$D$8:$BA$8,0)+1),0)</f>
        <v>27596000</v>
      </c>
      <c r="DC41" s="33">
        <f t="shared" si="33"/>
        <v>-5399000</v>
      </c>
      <c r="DD41" s="33">
        <f>IFERROR(INDEX('[1]SALES PERTYPE'!$D$10:$BA$53,MATCH($C41,'[1]SALES PERTYPE'!$B$10:$B$53,0),MATCH("WATCH 3",'[1]SALES PERTYPE'!$D$8:$BA$8,0)),0)</f>
        <v>0</v>
      </c>
      <c r="DE41" s="33">
        <f>IFERROR(INDEX('[1]Sales per type Agustus'!$D$10:$BA$52,MATCH($C41,'[1]Sales per type Agustus'!$B$10:$B$52,0),MATCH("WATCH 3",'[1]Sales per type Agustus'!$D$8:$BA$8,0)),0)</f>
        <v>0</v>
      </c>
      <c r="DF41" s="33">
        <f t="shared" si="34"/>
        <v>0</v>
      </c>
      <c r="DG41" s="33" cm="1">
        <f t="array" ref="DG41">IFERROR(INDEX('[1]SALES PERTYPE'!$D$10:$BA$53,MATCH($C41,'[1]SALES PERTYPE'!$B$10:$B$53,0),MATCH("WATCH 3",'[1]SALES PERTYPE'!$D$8:$BA$8,0)+1),0)</f>
        <v>0</v>
      </c>
      <c r="DH41" s="33" cm="1">
        <f t="array" ref="DH41">IFERROR(INDEX('[1]Sales per type Agustus'!$D$10:$BA$52,MATCH($C41,'[1]Sales per type Agustus'!$B$10:$B$52,0),MATCH("WATCH 3",'[1]Sales per type Agustus'!$D$8:$BA$8,0)+1),0)</f>
        <v>0</v>
      </c>
      <c r="DI41" s="33">
        <f t="shared" si="35"/>
        <v>0</v>
      </c>
      <c r="DJ41" s="33">
        <f>IFERROR(INDEX('[1]SALES PERTYPE'!$D$10:$BA$53,MATCH($C41,'[1]SALES PERTYPE'!$B$10:$B$53,0),MATCH("X Fold5",'[1]SALES PERTYPE'!$D$8:$BA$8,0)),0)</f>
        <v>0</v>
      </c>
      <c r="DK41" s="33">
        <f>IFERROR(INDEX('[1]Sales per type Agustus'!$D$10:$BA$52,MATCH($C41,'[1]Sales per type Agustus'!$B$10:$B$52,0),MATCH("X Fold5",'[1]Sales per type Agustus'!$D$8:$BA$8,0)),0)</f>
        <v>0</v>
      </c>
      <c r="DL41" s="33">
        <f t="shared" si="36"/>
        <v>0</v>
      </c>
      <c r="DM41" s="33" cm="1">
        <f t="array" ref="DM41">IFERROR(INDEX('[1]SALES PERTYPE'!$D$10:$BA$53,MATCH($C41,'[1]SALES PERTYPE'!$B$10:$B$53,0),MATCH("X Fold5",'[1]SALES PERTYPE'!$D$8:$BA$8,0)+1),0)</f>
        <v>0</v>
      </c>
      <c r="DN41" s="33" cm="1">
        <f t="array" ref="DN41">IFERROR(INDEX('[1]Sales per type Agustus'!$D$10:$BA$52,MATCH($C41,'[1]Sales per type Agustus'!$B$10:$B$52,0),MATCH("X Fold5",'[1]Sales per type Agustus'!$D$8:$BA$8,0)+1),0)</f>
        <v>0</v>
      </c>
      <c r="DO41" s="33">
        <f t="shared" si="37"/>
        <v>0</v>
      </c>
      <c r="DP41" s="33">
        <f>IFERROR(INDEX('[1]SALES PERTYPE'!$D$10:$BA$53,MATCH($C41,'[1]SALES PERTYPE'!$B$10:$B$53,0),MATCH("X300 PRO",'[1]SALES PERTYPE'!$D$8:$BA$8,0)),0)</f>
        <v>0</v>
      </c>
      <c r="DQ41" s="33">
        <f>IFERROR(INDEX('[1]Sales per type Agustus'!$D$10:$BA$52,MATCH($C41,'[1]Sales per type Agustus'!$B$10:$B$52,0),MATCH("X300 PRO",'[1]Sales per type Agustus'!$D$8:$BA$8,0)),0)</f>
        <v>0</v>
      </c>
      <c r="DR41" s="33">
        <f t="shared" si="38"/>
        <v>0</v>
      </c>
      <c r="DS41" s="33" cm="1">
        <f t="array" ref="DS41">IFERROR(INDEX('[1]SALES PERTYPE'!$D$10:$BA$53,MATCH($C41,'[1]SALES PERTYPE'!$B$10:$B$53,0),MATCH("X300 PRO",'[1]SALES PERTYPE'!$D$8:$BA$8,0)+1),0)</f>
        <v>0</v>
      </c>
      <c r="DT41" s="33" cm="1">
        <f t="array" ref="DT41">IFERROR(INDEX('[1]Sales per type Agustus'!$D$10:$BA$52,MATCH($C41,'[1]Sales per type Agustus'!$B$10:$B$52,0),MATCH("X300 PRO",'[1]Sales per type Agustus'!$D$8:$BA$8,0)+1),0)</f>
        <v>0</v>
      </c>
      <c r="DU41" s="33">
        <f t="shared" si="39"/>
        <v>0</v>
      </c>
      <c r="DV41" s="33">
        <f>IFERROR(INDEX('[1]SALES PERTYPE'!$D$10:$BA$53,MATCH($C41,'[1]SALES PERTYPE'!$B$10:$B$53,0),MATCH("X300 ",'[1]SALES PERTYPE'!$D$8:$BA$8,0)),0)</f>
        <v>0</v>
      </c>
      <c r="DW41" s="33">
        <f>IFERROR(INDEX('[1]Sales per type Agustus'!$D$10:$BA$52,MATCH($C41,'[1]Sales per type Agustus'!$B$10:$B$52,0),MATCH("X300 ",'[1]Sales per type Agustus'!$D$8:$BA$8,0)),0)</f>
        <v>0</v>
      </c>
      <c r="DX41" s="33">
        <f t="shared" si="40"/>
        <v>0</v>
      </c>
      <c r="DY41" s="33" cm="1">
        <f t="array" ref="DY41">IFERROR(INDEX('[1]SALES PERTYPE'!$D$10:$BA$53,MATCH($C41,'[1]SALES PERTYPE'!$B$10:$B$53,0),MATCH("X300 ",'[1]SALES PERTYPE'!$D$8:$BA$8,0)+1),0)</f>
        <v>0</v>
      </c>
      <c r="DZ41" s="33" cm="1">
        <f t="array" ref="DZ41">IFERROR(INDEX('[1]Sales per type Agustus'!$D$10:$BA$52,MATCH($C41,'[1]Sales per type Agustus'!$B$10:$B$52,0),MATCH("X300 ",'[1]Sales per type Agustus'!$D$8:$BA$8,0)+1),0)</f>
        <v>0</v>
      </c>
      <c r="EA41" s="33">
        <f t="shared" si="41"/>
        <v>0</v>
      </c>
      <c r="EB41" s="33">
        <f t="shared" si="42"/>
        <v>130</v>
      </c>
      <c r="EC41" s="33">
        <f t="shared" si="42"/>
        <v>101</v>
      </c>
      <c r="ED41" s="33">
        <f t="shared" si="43"/>
        <v>29</v>
      </c>
      <c r="EE41" s="33">
        <f t="shared" si="44"/>
        <v>471270000</v>
      </c>
      <c r="EF41" s="33">
        <f t="shared" si="44"/>
        <v>380999000</v>
      </c>
      <c r="EG41" s="33">
        <f t="shared" si="45"/>
        <v>90271000</v>
      </c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</row>
    <row r="42" spans="1:184" ht="16" x14ac:dyDescent="0.2">
      <c r="A42" s="214">
        <f>'[1]ACHIEVEMENT STORE'!A42</f>
        <v>38</v>
      </c>
      <c r="B42" s="215" t="str">
        <f>'[1]ACHIEVEMENT STORE'!B42</f>
        <v>619-万隆市区BDG KOTA</v>
      </c>
      <c r="C42" s="214">
        <f>'[1]ACHIEVEMENT STORE'!C42</f>
        <v>6190708</v>
      </c>
      <c r="D42" s="215" t="str">
        <f>'[1]ACHIEVEMENT STORE'!D42</f>
        <v>6190708-BEC SC LGAA07</v>
      </c>
      <c r="E42" s="215" t="str">
        <f>'[1]ACHIEVEMENT STORE'!E42</f>
        <v>NENG TOTOH</v>
      </c>
      <c r="F42" s="33">
        <f>IFERROR(INDEX('[1]SALES PERTYPE'!$D$10:$BA$53,MATCH($C42,'[1]SALES PERTYPE'!$B$10:$B$53,0),MATCH("Y05",'[1]SALES PERTYPE'!$D$8:$BA$8,0)),0)</f>
        <v>5</v>
      </c>
      <c r="G42" s="33">
        <f>IFERROR(INDEX('[1]Sales per type Agustus'!$D$10:$BA$52,MATCH($C42,'[1]Sales per type Agustus'!$B$10:$B$52,0),MATCH("Y05",'[1]Sales per type Agustus'!$D$8:$BA$8,0)),0)</f>
        <v>3</v>
      </c>
      <c r="H42" s="33">
        <f t="shared" si="0"/>
        <v>2</v>
      </c>
      <c r="I42" s="33" cm="1">
        <f t="array" ref="I42">IFERROR(INDEX('[1]SALES PERTYPE'!$D$10:$BA$53,MATCH($C42,'[1]SALES PERTYPE'!$B$10:$B$53,0),MATCH("Y05",'[1]SALES PERTYPE'!$D$8:$BA$8,0)+1),0)</f>
        <v>12095000</v>
      </c>
      <c r="J42" s="33" cm="1">
        <f t="array" ref="J42">IFERROR(INDEX('[1]Sales per type Agustus'!$D$10:$BA$52,MATCH($C42,'[1]Sales per type Agustus'!$B$10:$B$52,0),MATCH("Y05",'[1]Sales per type Agustus'!$D$8:$BA$8,0)+1),0)</f>
        <v>6897000</v>
      </c>
      <c r="K42" s="33">
        <f t="shared" si="1"/>
        <v>5198000</v>
      </c>
      <c r="L42" s="33">
        <f>IFERROR(INDEX('[1]SALES PERTYPE'!$D$10:$BA$53,MATCH($C42,'[1]SALES PERTYPE'!$B$10:$B$53,0),MATCH("Y11d",'[1]SALES PERTYPE'!$D$8:$BA$8,0)),0)</f>
        <v>2</v>
      </c>
      <c r="M42" s="33">
        <f>IFERROR(INDEX('[1]Sales per type Agustus'!$D$10:$BA$52,MATCH($C42,'[1]Sales per type Agustus'!$B$10:$B$52,0),MATCH("Y11d",'[1]Sales per type Agustus'!$D$8:$BA$8,0)),0)</f>
        <v>8</v>
      </c>
      <c r="N42" s="33">
        <f t="shared" si="2"/>
        <v>-6</v>
      </c>
      <c r="O42" s="33" cm="1">
        <f t="array" ref="O42">IFERROR(INDEX('[1]SALES PERTYPE'!$D$10:$BA$53,MATCH($C42,'[1]SALES PERTYPE'!$B$10:$B$53,0),MATCH("Y11d",'[1]SALES PERTYPE'!$D$8:$BA$8,0)+1),0)</f>
        <v>5598000</v>
      </c>
      <c r="P42" s="33" cm="1">
        <f t="array" ref="P42">IFERROR(INDEX('[1]Sales per type Agustus'!$D$10:$BA$52,MATCH($C42,'[1]Sales per type Agustus'!$B$10:$B$52,0),MATCH("Y11d",'[1]Sales per type Agustus'!$D$8:$BA$8,0)+1),0)</f>
        <v>21192000</v>
      </c>
      <c r="Q42" s="33">
        <f t="shared" si="3"/>
        <v>-15594000</v>
      </c>
      <c r="R42" s="33">
        <f>IFERROR(INDEX('[1]SALES PERTYPE'!$D$10:$BA$53,MATCH($C42,'[1]SALES PERTYPE'!$B$10:$B$53,0),MATCH("Watch GT 2",'[1]SALES PERTYPE'!$D$8:$BA$8,0)),0)</f>
        <v>0</v>
      </c>
      <c r="S42" s="33">
        <f>IFERROR(INDEX('[1]Sales per type Agustus'!$D$10:$BA$52,MATCH($C42,'[1]Sales per type Agustus'!$B$10:$B$52,0),MATCH("Watch GT 2",'[1]Sales per type Agustus'!$D$8:$BA$8,0)),0)</f>
        <v>0</v>
      </c>
      <c r="T42" s="33">
        <f t="shared" si="4"/>
        <v>0</v>
      </c>
      <c r="U42" s="33" cm="1">
        <f t="array" ref="U42">IFERROR(INDEX('[1]SALES PERTYPE'!$D$10:$BA$53,MATCH($C42,'[1]SALES PERTYPE'!$B$10:$B$53,0),MATCH("Watch GT 2",'[1]SALES PERTYPE'!$D$8:$BA$8,0)+1),0)</f>
        <v>0</v>
      </c>
      <c r="V42" s="33" cm="1">
        <f t="array" ref="V42">IFERROR(INDEX('[1]Sales per type Agustus'!$D$10:$BA$52,MATCH($C42,'[1]Sales per type Agustus'!$B$10:$B$52,0),MATCH("Watch GT 2",'[1]Sales per type Agustus'!$D$8:$BA$8,0)+1),0)</f>
        <v>0</v>
      </c>
      <c r="W42" s="33">
        <f t="shared" si="5"/>
        <v>0</v>
      </c>
      <c r="X42" s="33">
        <f>IFERROR(INDEX('[1]SALES PERTYPE'!$D$10:$BA$53,MATCH($C42,'[1]SALES PERTYPE'!$B$10:$B$53,0),MATCH("Y05e",'[1]SALES PERTYPE'!$D$8:$BA$8,0)),0)</f>
        <v>0</v>
      </c>
      <c r="Y42" s="33">
        <f>IFERROR(INDEX('[1]Sales per type Agustus'!$D$10:$BA$52,MATCH($C42,'[1]Sales per type Agustus'!$B$10:$B$52,0),MATCH("Y05e",'[1]Sales per type Agustus'!$D$8:$BA$8,0)),0)</f>
        <v>1</v>
      </c>
      <c r="Z42" s="33">
        <f t="shared" si="6"/>
        <v>-1</v>
      </c>
      <c r="AA42" s="33" cm="1">
        <f t="array" ref="AA42">IFERROR(INDEX('[1]SALES PERTYPE'!$D$10:$BA$53,MATCH($C42,'[1]SALES PERTYPE'!$B$10:$B$53,0),MATCH("Y05e",'[1]SALES PERTYPE'!$D$8:$BA$8,0)+1),0)</f>
        <v>0</v>
      </c>
      <c r="AB42" s="33" cm="1">
        <f t="array" ref="AB42">IFERROR(INDEX('[1]Sales per type Agustus'!$D$10:$BA$52,MATCH($C42,'[1]Sales per type Agustus'!$B$10:$B$52,0),MATCH("Y05e",'[1]Sales per type Agustus'!$D$8:$BA$8,0)+1),0)</f>
        <v>2099000</v>
      </c>
      <c r="AC42" s="33">
        <f t="shared" si="7"/>
        <v>-2099000</v>
      </c>
      <c r="AD42" s="33">
        <f>IFERROR(INDEX('[1]SALES PERTYPE'!$D$10:$BA$53,MATCH($C42,'[1]SALES PERTYPE'!$B$10:$B$53,0),MATCH("V70",'[1]SALES PERTYPE'!$D$8:$BA$8,0)),0)</f>
        <v>2</v>
      </c>
      <c r="AE42" s="33">
        <f>IFERROR(INDEX('[1]Sales per type Agustus'!$D$10:$BA$52,MATCH($C42,'[1]Sales per type Agustus'!$B$10:$B$52,0),MATCH("V70",'[1]Sales per type Agustus'!$D$8:$BA$8,0)),0)</f>
        <v>1</v>
      </c>
      <c r="AF42" s="33">
        <f t="shared" si="8"/>
        <v>1</v>
      </c>
      <c r="AG42" s="33" cm="1">
        <f t="array" ref="AG42">IFERROR(INDEX('[1]SALES PERTYPE'!$D$10:$BA$53,MATCH($C42,'[1]SALES PERTYPE'!$B$10:$B$53,0),MATCH("V70",'[1]SALES PERTYPE'!$D$8:$BA$8,0)+1),0)</f>
        <v>19998000</v>
      </c>
      <c r="AH42" s="33" cm="1">
        <f t="array" ref="AH42">IFERROR(INDEX('[1]Sales per type Agustus'!$D$10:$BA$52,MATCH($C42,'[1]Sales per type Agustus'!$B$10:$B$52,0),MATCH("V70",'[1]Sales per type Agustus'!$D$8:$BA$8,0)+1),0)</f>
        <v>9999000</v>
      </c>
      <c r="AI42" s="33">
        <f t="shared" si="9"/>
        <v>9999000</v>
      </c>
      <c r="AJ42" s="33">
        <f>IFERROR(INDEX('[1]SALES PERTYPE'!$D$10:$BA$53,MATCH($C42,'[1]SALES PERTYPE'!$B$10:$B$53,0),MATCH("Y31d Pro",'[1]SALES PERTYPE'!$D$8:$BA$8,0)),0)</f>
        <v>8</v>
      </c>
      <c r="AK42" s="33">
        <f>IFERROR(INDEX('[1]Sales per type Agustus'!$D$10:$BA$52,MATCH($C42,'[1]Sales per type Agustus'!$B$10:$B$52,0),MATCH("Y31d Pro",'[1]Sales per type Agustus'!$D$8:$BA$8,0)),0)</f>
        <v>2</v>
      </c>
      <c r="AL42" s="33">
        <f t="shared" si="10"/>
        <v>6</v>
      </c>
      <c r="AM42" s="33" cm="1">
        <f t="array" ref="AM42">IFERROR(INDEX('[1]SALES PERTYPE'!$D$10:$BA$53,MATCH($C42,'[1]SALES PERTYPE'!$B$10:$B$53,0),MATCH("Y31d Pro",'[1]SALES PERTYPE'!$D$8:$BA$8,0)+1),0)</f>
        <v>34392000</v>
      </c>
      <c r="AN42" s="33" cm="1">
        <f t="array" ref="AN42">IFERROR(INDEX('[1]Sales per type Agustus'!$D$10:$BA$52,MATCH($C42,'[1]Sales per type Agustus'!$B$10:$B$52,0),MATCH("Y31d Pro",'[1]Sales per type Agustus'!$D$8:$BA$8,0)+1),0)</f>
        <v>8198000</v>
      </c>
      <c r="AO42" s="33">
        <f t="shared" si="11"/>
        <v>26194000</v>
      </c>
      <c r="AP42" s="33" cm="1">
        <f t="array" ref="AP42">IFERROR(INDEX('[1]SALES PERTYPE'!$D$10:$BA$53,MATCH($C42,'[1]SALES PERTYPE'!$B$10:$B$53,0),$EI$3),0)</f>
        <v>0</v>
      </c>
      <c r="AQ42" s="33" cm="1">
        <f t="array" ref="AQ42">IFERROR(INDEX('[1]Sales per type Agustus'!$D$10:$BA$52,MATCH($C42,'[1]Sales per type Agustus'!$B$10:$B$52,0),$EI$2),0)</f>
        <v>0</v>
      </c>
      <c r="AR42" s="33">
        <f t="shared" si="12"/>
        <v>0</v>
      </c>
      <c r="AS42" s="33" cm="1">
        <f t="array" ref="AS42">IFERROR(INDEX('[1]SALES PERTYPE'!$D$10:$BA$53,MATCH($C42,'[1]SALES PERTYPE'!$B$10:$B$53,0),$EI$3+1),0)</f>
        <v>0</v>
      </c>
      <c r="AT42" s="33" cm="1">
        <f t="array" ref="AT42">IFERROR(INDEX('[1]Sales per type Agustus'!$D$10:$BA$52,MATCH($C42,'[1]Sales per type Agustus'!$B$10:$B$52,0),$EI$2+1),0)</f>
        <v>0</v>
      </c>
      <c r="AU42" s="33">
        <f t="shared" si="13"/>
        <v>0</v>
      </c>
      <c r="AV42" s="33">
        <f>IFERROR(INDEX('[1]SALES PERTYPE'!$D$10:$BA$53,MATCH($C42,'[1]SALES PERTYPE'!$B$10:$B$53,0),MATCH("Y31d ",'[1]SALES PERTYPE'!$D$8:$BA$8,0)),0)</f>
        <v>2</v>
      </c>
      <c r="AW42" s="33">
        <f>IFERROR(INDEX('[1]Sales per type Agustus'!$D$10:$BA$52,MATCH($C42,'[1]Sales per type Agustus'!$B$10:$B$52,0),MATCH("Y31d ",'[1]Sales per type Agustus'!$D$8:$BA$8,0)),0)</f>
        <v>0</v>
      </c>
      <c r="AX42" s="33">
        <f t="shared" si="14"/>
        <v>2</v>
      </c>
      <c r="AY42" s="33" cm="1">
        <f t="array" ref="AY42">IFERROR(INDEX('[1]SALES PERTYPE'!$D$10:$BA$53,MATCH($C42,'[1]SALES PERTYPE'!$B$10:$B$53,0),MATCH("Y31d ",'[1]SALES PERTYPE'!$D$8:$BA$8,0)+1),0)</f>
        <v>7198000</v>
      </c>
      <c r="AZ42" s="33" cm="1">
        <f t="array" ref="AZ42">IFERROR(INDEX('[1]Sales per type Agustus'!$D$10:$BA$52,MATCH($C42,'[1]Sales per type Agustus'!$B$10:$B$52,0),MATCH("Y31d ",'[1]Sales per type Agustus'!$D$8:$BA$8,0)+1),0)</f>
        <v>0</v>
      </c>
      <c r="BA42" s="33">
        <f t="shared" si="15"/>
        <v>7198000</v>
      </c>
      <c r="BB42" s="33">
        <f>IFERROR(INDEX('[1]SALES PERTYPE'!$D$10:$BA$53,MATCH($C42,'[1]SALES PERTYPE'!$B$10:$B$53,0),MATCH("V70 FE",'[1]SALES PERTYPE'!$D$8:$BA$8,0)),0)</f>
        <v>0</v>
      </c>
      <c r="BC42" s="33">
        <f>IFERROR(INDEX('[1]Sales per type Agustus'!$D$10:$BA$52,MATCH($C42,'[1]Sales per type Agustus'!$B$10:$B$52,0),MATCH("V70 FE",'[1]Sales per type Agustus'!$D$8:$BA$8,0)),0)</f>
        <v>0</v>
      </c>
      <c r="BD42" s="33">
        <f t="shared" si="16"/>
        <v>0</v>
      </c>
      <c r="BE42" s="33" cm="1">
        <f t="array" ref="BE42">IFERROR(INDEX('[1]SALES PERTYPE'!$D$10:$BA$53,MATCH($C42,'[1]SALES PERTYPE'!$B$10:$B$53,0),MATCH("V70 FE",'[1]SALES PERTYPE'!$D$8:$BA$8,0)+1),0)</f>
        <v>0</v>
      </c>
      <c r="BF42" s="33" cm="1">
        <f t="array" ref="BF42">IFERROR(INDEX('[1]Sales per type Agustus'!$D$10:$BA$52,MATCH($C42,'[1]Sales per type Agustus'!$B$10:$B$52,0),MATCH("V70 FE",'[1]Sales per type Agustus'!$D$8:$BA$8,0)+1),0)</f>
        <v>0</v>
      </c>
      <c r="BG42" s="33">
        <f t="shared" si="17"/>
        <v>0</v>
      </c>
      <c r="BH42" s="33">
        <f>IFERROR(INDEX('[1]SALES PERTYPE'!$D$10:$BA$53,MATCH($C42,'[1]SALES PERTYPE'!$B$10:$B$53,0),MATCH("Y31d",'[1]SALES PERTYPE'!$D$8:$BA$8,0)),0)</f>
        <v>1</v>
      </c>
      <c r="BI42" s="33">
        <f>IFERROR(INDEX('[1]Sales per type Agustus'!$D$10:$BA$52,MATCH($C42,'[1]Sales per type Agustus'!$B$10:$B$52,0),MATCH("Y31d",'[1]Sales per type Agustus'!$D$8:$BA$8,0)),0)</f>
        <v>0</v>
      </c>
      <c r="BJ42" s="33">
        <f t="shared" si="18"/>
        <v>1</v>
      </c>
      <c r="BK42" s="33" cm="1">
        <f t="array" ref="BK42">IFERROR(INDEX('[1]SALES PERTYPE'!$D$10:$BA$53,MATCH($C42,'[1]SALES PERTYPE'!$B$10:$B$53,0),MATCH("Y31d",'[1]SALES PERTYPE'!$D$8:$BA$8,0)+1),0)</f>
        <v>3599000</v>
      </c>
      <c r="BL42" s="33" cm="1">
        <f t="array" ref="BL42">IFERROR(INDEX('[1]Sales per type Agustus'!$D$10:$BA$52,MATCH($C42,'[1]Sales per type Agustus'!$B$10:$B$52,0),MATCH("Y31d",'[1]Sales per type Agustus'!$D$8:$BA$8,0)+1),0)</f>
        <v>0</v>
      </c>
      <c r="BM42" s="33">
        <f t="shared" si="19"/>
        <v>3599000</v>
      </c>
      <c r="BN42" s="33">
        <f>IFERROR(INDEX('[1]SALES PERTYPE'!$D$10:$BA$53,MATCH($C42,'[1]SALES PERTYPE'!$B$10:$B$53,0),MATCH("Y500",'[1]SALES PERTYPE'!$D$8:$BA$8,0)),0)</f>
        <v>0</v>
      </c>
      <c r="BO42" s="33">
        <f>IFERROR(INDEX('[1]Sales per type Agustus'!$D$10:$BA$52,MATCH($C42,'[1]Sales per type Agustus'!$B$10:$B$52,0),MATCH("Y500",'[1]Sales per type Agustus'!$D$8:$BA$8,0)),0)</f>
        <v>0</v>
      </c>
      <c r="BP42" s="33">
        <f t="shared" si="20"/>
        <v>0</v>
      </c>
      <c r="BQ42" s="33" cm="1">
        <f t="array" ref="BQ42">IFERROR(INDEX('[1]SALES PERTYPE'!$D$10:$BA$53,MATCH($C42,'[1]SALES PERTYPE'!$B$10:$B$53,0),MATCH("Y500",'[1]SALES PERTYPE'!$D$8:$BA$8,0)+1),0)</f>
        <v>0</v>
      </c>
      <c r="BR42" s="33" cm="1">
        <f t="array" ref="BR42">IFERROR(INDEX('[1]Sales per type Agustus'!$D$10:$BA$52,MATCH($C42,'[1]Sales per type Agustus'!$B$10:$B$52,0),MATCH("Y500",'[1]Sales per type Agustus'!$D$8:$BA$8,0)+1),0)</f>
        <v>0</v>
      </c>
      <c r="BS42" s="33">
        <f t="shared" si="21"/>
        <v>0</v>
      </c>
      <c r="BT42" s="33">
        <f>IFERROR(INDEX('[1]SALES PERTYPE'!$D$10:$BA$53,MATCH($C42,'[1]SALES PERTYPE'!$B$10:$B$53,0),MATCH("IQOO 15R",'[1]SALES PERTYPE'!$D$8:$BA$8,0)),0)</f>
        <v>0</v>
      </c>
      <c r="BU42" s="33">
        <f>IFERROR(INDEX('[1]Sales per type Agustus'!$D$10:$BA$52,MATCH($C42,'[1]Sales per type Agustus'!$B$10:$B$52,0),MATCH("IQOO 15R",'[1]Sales per type Agustus'!$D$8:$BA$8,0)),0)</f>
        <v>0</v>
      </c>
      <c r="BV42" s="33">
        <f t="shared" si="22"/>
        <v>0</v>
      </c>
      <c r="BW42" s="33" cm="1">
        <f t="array" ref="BW42">IFERROR(INDEX('[1]SALES PERTYPE'!$D$10:$BA$53,MATCH($C42,'[1]SALES PERTYPE'!$B$10:$B$53,0),MATCH("IQOO 15R",'[1]SALES PERTYPE'!$D$8:$BA$8,0)+1),0)</f>
        <v>0</v>
      </c>
      <c r="BX42" s="33" cm="1">
        <f t="array" ref="BX42">IFERROR(INDEX('[1]Sales per type Agustus'!$D$10:$BA$52,MATCH($C42,'[1]Sales per type Agustus'!$B$10:$B$52,0),MATCH("IQOO 15R",'[1]Sales per type Agustus'!$D$8:$BA$8,0)+1),0)</f>
        <v>0</v>
      </c>
      <c r="BY42" s="33">
        <f t="shared" si="23"/>
        <v>0</v>
      </c>
      <c r="BZ42" s="33">
        <f>IFERROR(INDEX('[1]SALES PERTYPE'!$D$10:$BA$53,MATCH($C42,'[1]SALES PERTYPE'!$B$10:$B$53,0),MATCH("V60 Lite",'[1]SALES PERTYPE'!$D$8:$BA$8,0)),0)</f>
        <v>1</v>
      </c>
      <c r="CA42" s="33">
        <f>IFERROR(INDEX('[1]Sales per type Agustus'!$D$10:$BA$52,MATCH($C42,'[1]Sales per type Agustus'!$B$10:$B$52,0),MATCH("V60 Lite",'[1]Sales per type Agustus'!$D$8:$BA$8,0)),0)</f>
        <v>0</v>
      </c>
      <c r="CB42" s="33">
        <f t="shared" si="24"/>
        <v>1</v>
      </c>
      <c r="CC42" s="33" cm="1">
        <f t="array" ref="CC42">IFERROR(INDEX('[1]SALES PERTYPE'!$D$10:$BA$53,MATCH($C42,'[1]SALES PERTYPE'!$B$10:$B$53,0),MATCH("V60 Lite",'[1]SALES PERTYPE'!$D$8:$BA$8,0)+1),0)</f>
        <v>5899000</v>
      </c>
      <c r="CD42" s="33" cm="1">
        <f t="array" ref="CD42">IFERROR(INDEX('[1]Sales per type Agustus'!$D$10:$BA$52,MATCH($C42,'[1]Sales per type Agustus'!$B$10:$B$52,0),MATCH("V60 Lite",'[1]Sales per type Agustus'!$D$8:$BA$8,0)+1),0)</f>
        <v>0</v>
      </c>
      <c r="CE42" s="33">
        <f t="shared" si="25"/>
        <v>5899000</v>
      </c>
      <c r="CF42" s="33">
        <f>IFERROR(INDEX('[1]SALES PERTYPE'!$D$10:$BA$53,MATCH($C42,'[1]SALES PERTYPE'!$B$10:$B$53,0),MATCH("X300 Ultra",'[1]SALES PERTYPE'!$D$8:$BA$8,0)),0)</f>
        <v>0</v>
      </c>
      <c r="CG42" s="33">
        <f>IFERROR(INDEX('[1]Sales per type Agustus'!$D$10:$BA$52,MATCH($C42,'[1]Sales per type Agustus'!$B$10:$B$52,0),MATCH("X300 Ultra",'[1]Sales per type Agustus'!$D$8:$BA$8,0)),0)</f>
        <v>0</v>
      </c>
      <c r="CH42" s="33">
        <f t="shared" si="26"/>
        <v>0</v>
      </c>
      <c r="CI42" s="33" cm="1">
        <f t="array" ref="CI42">IFERROR(INDEX('[1]SALES PERTYPE'!$D$10:$BA$53,MATCH($C42,'[1]SALES PERTYPE'!$B$10:$B$53,0),MATCH("X300 Ultra",'[1]SALES PERTYPE'!$D$8:$BA$8,0)+1),0)</f>
        <v>0</v>
      </c>
      <c r="CJ42" s="33" cm="1">
        <f t="array" ref="CJ42">IFERROR(INDEX('[1]Sales per type Agustus'!$D$10:$BA$52,MATCH($C42,'[1]Sales per type Agustus'!$B$10:$B$52,0),MATCH("X300 Ultra",'[1]Sales per type Agustus'!$D$8:$BA$8,0)+1),0)</f>
        <v>0</v>
      </c>
      <c r="CK42" s="33">
        <f t="shared" si="27"/>
        <v>0</v>
      </c>
      <c r="CL42" s="33">
        <f>IFERROR(INDEX('[1]SALES PERTYPE'!$D$10:$BA$53,MATCH($C42,'[1]SALES PERTYPE'!$B$10:$B$53,0),MATCH("IQOO 15",'[1]SALES PERTYPE'!$D$8:$BA$8,0)),0)</f>
        <v>0</v>
      </c>
      <c r="CM42" s="33">
        <f>IFERROR(INDEX('[1]Sales per type Agustus'!$D$10:$BA$52,MATCH($C42,'[1]Sales per type Agustus'!$B$10:$B$52,0),MATCH("IQOO 15",'[1]Sales per type Agustus'!$D$8:$BA$8,0)),0)</f>
        <v>0</v>
      </c>
      <c r="CN42" s="33">
        <f t="shared" si="28"/>
        <v>0</v>
      </c>
      <c r="CO42" s="33" cm="1">
        <f t="array" ref="CO42">IFERROR(INDEX('[1]SALES PERTYPE'!$D$10:$BA$53,MATCH($C42,'[1]SALES PERTYPE'!$B$10:$B$53,0),MATCH("IQOO 15",'[1]SALES PERTYPE'!$D$8:$BA$8,0)+1),0)</f>
        <v>0</v>
      </c>
      <c r="CP42" s="33" cm="1">
        <f t="array" ref="CP42">IFERROR(INDEX('[1]Sales per type Agustus'!$D$10:$BA$52,MATCH($C42,'[1]Sales per type Agustus'!$B$10:$B$52,0),MATCH("IQOO 15",'[1]Sales per type Agustus'!$D$8:$BA$8,0)+1),0)</f>
        <v>0</v>
      </c>
      <c r="CQ42" s="33">
        <f t="shared" si="29"/>
        <v>0</v>
      </c>
      <c r="CR42" s="33">
        <f>IFERROR(INDEX('[1]SALES PERTYPE'!$D$10:$BA$53,MATCH($C42,'[1]SALES PERTYPE'!$B$10:$B$53,0),MATCH("IQOO Z11x",'[1]SALES PERTYPE'!$D$8:$BA$8,0)),0)</f>
        <v>0</v>
      </c>
      <c r="CS42" s="33">
        <f>IFERROR(INDEX('[1]Sales per type Agustus'!$D$10:$BA$52,MATCH($C42,'[1]Sales per type Agustus'!$B$10:$B$52,0),MATCH("IQOO Z11x",'[1]Sales per type Agustus'!$D$8:$BA$8,0)),0)</f>
        <v>0</v>
      </c>
      <c r="CT42" s="33">
        <f t="shared" si="30"/>
        <v>0</v>
      </c>
      <c r="CU42" s="33" cm="1">
        <f t="array" ref="CU42">IFERROR(INDEX('[1]SALES PERTYPE'!$D$10:$BA$53,MATCH($C42,'[1]SALES PERTYPE'!$B$10:$B$53,0),MATCH("IQOO Z11x",'[1]SALES PERTYPE'!$D$8:$BA$8,0)+1),0)</f>
        <v>0</v>
      </c>
      <c r="CV42" s="33" cm="1">
        <f t="array" ref="CV42">IFERROR(INDEX('[1]Sales per type Agustus'!$D$10:$BA$52,MATCH($C42,'[1]Sales per type Agustus'!$B$10:$B$52,0),MATCH("IQOO Z11x",'[1]Sales per type Agustus'!$D$8:$BA$8,0)+1),0)</f>
        <v>0</v>
      </c>
      <c r="CW42" s="33">
        <f t="shared" si="31"/>
        <v>0</v>
      </c>
      <c r="CX42" s="33">
        <f>IFERROR(INDEX('[1]SALES PERTYPE'!$D$10:$BA$53,MATCH($C42,'[1]SALES PERTYPE'!$B$10:$B$53,0),MATCH("IQOO Z11",'[1]SALES PERTYPE'!$D$8:$BA$8,0)),0)</f>
        <v>1</v>
      </c>
      <c r="CY42" s="33">
        <f>IFERROR(INDEX('[1]Sales per type Agustus'!$D$10:$BA$52,MATCH($C42,'[1]Sales per type Agustus'!$B$10:$B$52,0),MATCH("IQOO Z11",'[1]Sales per type Agustus'!$D$8:$BA$8,0)),0)</f>
        <v>0</v>
      </c>
      <c r="CZ42" s="33">
        <f t="shared" si="32"/>
        <v>1</v>
      </c>
      <c r="DA42" s="33" cm="1">
        <f t="array" ref="DA42">IFERROR(INDEX('[1]SALES PERTYPE'!$D$10:$BA$53,MATCH($C42,'[1]SALES PERTYPE'!$B$10:$B$53,0),MATCH("IQOO Z11",'[1]SALES PERTYPE'!$D$8:$BA$8,0)+1),0)</f>
        <v>6899000</v>
      </c>
      <c r="DB42" s="33" cm="1">
        <f t="array" ref="DB42">IFERROR(INDEX('[1]Sales per type Agustus'!$D$10:$BA$52,MATCH($C42,'[1]Sales per type Agustus'!$B$10:$B$52,0),MATCH("IQOO Z11",'[1]Sales per type Agustus'!$D$8:$BA$8,0)+1),0)</f>
        <v>0</v>
      </c>
      <c r="DC42" s="33">
        <f t="shared" si="33"/>
        <v>6899000</v>
      </c>
      <c r="DD42" s="33">
        <f>IFERROR(INDEX('[1]SALES PERTYPE'!$D$10:$BA$53,MATCH($C42,'[1]SALES PERTYPE'!$B$10:$B$53,0),MATCH("WATCH 3",'[1]SALES PERTYPE'!$D$8:$BA$8,0)),0)</f>
        <v>0</v>
      </c>
      <c r="DE42" s="33">
        <f>IFERROR(INDEX('[1]Sales per type Agustus'!$D$10:$BA$52,MATCH($C42,'[1]Sales per type Agustus'!$B$10:$B$52,0),MATCH("WATCH 3",'[1]Sales per type Agustus'!$D$8:$BA$8,0)),0)</f>
        <v>0</v>
      </c>
      <c r="DF42" s="33">
        <f t="shared" si="34"/>
        <v>0</v>
      </c>
      <c r="DG42" s="33" cm="1">
        <f t="array" ref="DG42">IFERROR(INDEX('[1]SALES PERTYPE'!$D$10:$BA$53,MATCH($C42,'[1]SALES PERTYPE'!$B$10:$B$53,0),MATCH("WATCH 3",'[1]SALES PERTYPE'!$D$8:$BA$8,0)+1),0)</f>
        <v>0</v>
      </c>
      <c r="DH42" s="33" cm="1">
        <f t="array" ref="DH42">IFERROR(INDEX('[1]Sales per type Agustus'!$D$10:$BA$52,MATCH($C42,'[1]Sales per type Agustus'!$B$10:$B$52,0),MATCH("WATCH 3",'[1]Sales per type Agustus'!$D$8:$BA$8,0)+1),0)</f>
        <v>0</v>
      </c>
      <c r="DI42" s="33">
        <f t="shared" si="35"/>
        <v>0</v>
      </c>
      <c r="DJ42" s="33">
        <f>IFERROR(INDEX('[1]SALES PERTYPE'!$D$10:$BA$53,MATCH($C42,'[1]SALES PERTYPE'!$B$10:$B$53,0),MATCH("X Fold5",'[1]SALES PERTYPE'!$D$8:$BA$8,0)),0)</f>
        <v>0</v>
      </c>
      <c r="DK42" s="33">
        <f>IFERROR(INDEX('[1]Sales per type Agustus'!$D$10:$BA$52,MATCH($C42,'[1]Sales per type Agustus'!$B$10:$B$52,0),MATCH("X Fold5",'[1]Sales per type Agustus'!$D$8:$BA$8,0)),0)</f>
        <v>0</v>
      </c>
      <c r="DL42" s="33">
        <f t="shared" si="36"/>
        <v>0</v>
      </c>
      <c r="DM42" s="33" cm="1">
        <f t="array" ref="DM42">IFERROR(INDEX('[1]SALES PERTYPE'!$D$10:$BA$53,MATCH($C42,'[1]SALES PERTYPE'!$B$10:$B$53,0),MATCH("X Fold5",'[1]SALES PERTYPE'!$D$8:$BA$8,0)+1),0)</f>
        <v>0</v>
      </c>
      <c r="DN42" s="33" cm="1">
        <f t="array" ref="DN42">IFERROR(INDEX('[1]Sales per type Agustus'!$D$10:$BA$52,MATCH($C42,'[1]Sales per type Agustus'!$B$10:$B$52,0),MATCH("X Fold5",'[1]Sales per type Agustus'!$D$8:$BA$8,0)+1),0)</f>
        <v>0</v>
      </c>
      <c r="DO42" s="33">
        <f t="shared" si="37"/>
        <v>0</v>
      </c>
      <c r="DP42" s="33">
        <f>IFERROR(INDEX('[1]SALES PERTYPE'!$D$10:$BA$53,MATCH($C42,'[1]SALES PERTYPE'!$B$10:$B$53,0),MATCH("X300 PRO",'[1]SALES PERTYPE'!$D$8:$BA$8,0)),0)</f>
        <v>0</v>
      </c>
      <c r="DQ42" s="33">
        <f>IFERROR(INDEX('[1]Sales per type Agustus'!$D$10:$BA$52,MATCH($C42,'[1]Sales per type Agustus'!$B$10:$B$52,0),MATCH("X300 PRO",'[1]Sales per type Agustus'!$D$8:$BA$8,0)),0)</f>
        <v>0</v>
      </c>
      <c r="DR42" s="33">
        <f t="shared" si="38"/>
        <v>0</v>
      </c>
      <c r="DS42" s="33" cm="1">
        <f t="array" ref="DS42">IFERROR(INDEX('[1]SALES PERTYPE'!$D$10:$BA$53,MATCH($C42,'[1]SALES PERTYPE'!$B$10:$B$53,0),MATCH("X300 PRO",'[1]SALES PERTYPE'!$D$8:$BA$8,0)+1),0)</f>
        <v>0</v>
      </c>
      <c r="DT42" s="33" cm="1">
        <f t="array" ref="DT42">IFERROR(INDEX('[1]Sales per type Agustus'!$D$10:$BA$52,MATCH($C42,'[1]Sales per type Agustus'!$B$10:$B$52,0),MATCH("X300 PRO",'[1]Sales per type Agustus'!$D$8:$BA$8,0)+1),0)</f>
        <v>0</v>
      </c>
      <c r="DU42" s="33">
        <f t="shared" si="39"/>
        <v>0</v>
      </c>
      <c r="DV42" s="33">
        <f>IFERROR(INDEX('[1]SALES PERTYPE'!$D$10:$BA$53,MATCH($C42,'[1]SALES PERTYPE'!$B$10:$B$53,0),MATCH("X300 ",'[1]SALES PERTYPE'!$D$8:$BA$8,0)),0)</f>
        <v>0</v>
      </c>
      <c r="DW42" s="33">
        <f>IFERROR(INDEX('[1]Sales per type Agustus'!$D$10:$BA$52,MATCH($C42,'[1]Sales per type Agustus'!$B$10:$B$52,0),MATCH("X300 ",'[1]Sales per type Agustus'!$D$8:$BA$8,0)),0)</f>
        <v>0</v>
      </c>
      <c r="DX42" s="33">
        <f t="shared" si="40"/>
        <v>0</v>
      </c>
      <c r="DY42" s="33" cm="1">
        <f t="array" ref="DY42">IFERROR(INDEX('[1]SALES PERTYPE'!$D$10:$BA$53,MATCH($C42,'[1]SALES PERTYPE'!$B$10:$B$53,0),MATCH("X300 ",'[1]SALES PERTYPE'!$D$8:$BA$8,0)+1),0)</f>
        <v>0</v>
      </c>
      <c r="DZ42" s="33" cm="1">
        <f t="array" ref="DZ42">IFERROR(INDEX('[1]Sales per type Agustus'!$D$10:$BA$52,MATCH($C42,'[1]Sales per type Agustus'!$B$10:$B$52,0),MATCH("X300 ",'[1]Sales per type Agustus'!$D$8:$BA$8,0)+1),0)</f>
        <v>0</v>
      </c>
      <c r="EA42" s="33">
        <f t="shared" si="41"/>
        <v>0</v>
      </c>
      <c r="EB42" s="33">
        <f t="shared" si="42"/>
        <v>22</v>
      </c>
      <c r="EC42" s="33">
        <f t="shared" si="42"/>
        <v>15</v>
      </c>
      <c r="ED42" s="33">
        <f t="shared" si="43"/>
        <v>7</v>
      </c>
      <c r="EE42" s="33">
        <f t="shared" si="44"/>
        <v>95678000</v>
      </c>
      <c r="EF42" s="33">
        <f t="shared" si="44"/>
        <v>48385000</v>
      </c>
      <c r="EG42" s="33">
        <f t="shared" si="45"/>
        <v>47293000</v>
      </c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</row>
    <row r="43" spans="1:184" ht="16" x14ac:dyDescent="0.2">
      <c r="A43" s="31">
        <f>'[1]ACHIEVEMENT STORE'!A43</f>
        <v>39</v>
      </c>
      <c r="B43" s="32" t="str">
        <f>'[1]ACHIEVEMENT STORE'!B43</f>
        <v>615-中爪哇东SOLO</v>
      </c>
      <c r="C43" s="31">
        <f>'[1]ACHIEVEMENT STORE'!C43</f>
        <v>6150702</v>
      </c>
      <c r="D43" s="32" t="str">
        <f>'[1]ACHIEVEMENT STORE'!D43</f>
        <v>6150702-GRANMALL SC GF-11</v>
      </c>
      <c r="E43" s="32" t="str">
        <f>'[1]ACHIEVEMENT STORE'!E43</f>
        <v>BIRILYAN KUSWARA</v>
      </c>
      <c r="F43" s="33">
        <f>IFERROR(INDEX('[1]SALES PERTYPE'!$D$10:$BA$53,MATCH($C43,'[1]SALES PERTYPE'!$B$10:$B$53,0),MATCH("Y05",'[1]SALES PERTYPE'!$D$8:$BA$8,0)),0)</f>
        <v>0</v>
      </c>
      <c r="G43" s="33">
        <f>IFERROR(INDEX('[1]Sales per type Agustus'!$D$10:$BA$52,MATCH($C43,'[1]Sales per type Agustus'!$B$10:$B$52,0),MATCH("Y05",'[1]Sales per type Agustus'!$D$8:$BA$8,0)),0)</f>
        <v>1</v>
      </c>
      <c r="H43" s="33">
        <f t="shared" si="0"/>
        <v>-1</v>
      </c>
      <c r="I43" s="33" cm="1">
        <f t="array" ref="I43">IFERROR(INDEX('[1]SALES PERTYPE'!$D$10:$BA$53,MATCH($C43,'[1]SALES PERTYPE'!$B$10:$B$53,0),MATCH("Y05",'[1]SALES PERTYPE'!$D$8:$BA$8,0)+1),0)</f>
        <v>0</v>
      </c>
      <c r="J43" s="33" cm="1">
        <f t="array" ref="J43">IFERROR(INDEX('[1]Sales per type Agustus'!$D$10:$BA$52,MATCH($C43,'[1]Sales per type Agustus'!$B$10:$B$52,0),MATCH("Y05",'[1]Sales per type Agustus'!$D$8:$BA$8,0)+1),0)</f>
        <v>2599000</v>
      </c>
      <c r="K43" s="33">
        <f t="shared" si="1"/>
        <v>-2599000</v>
      </c>
      <c r="L43" s="33">
        <f>IFERROR(INDEX('[1]SALES PERTYPE'!$D$10:$BA$53,MATCH($C43,'[1]SALES PERTYPE'!$B$10:$B$53,0),MATCH("Y11d",'[1]SALES PERTYPE'!$D$8:$BA$8,0)),0)</f>
        <v>1</v>
      </c>
      <c r="M43" s="33">
        <f>IFERROR(INDEX('[1]Sales per type Agustus'!$D$10:$BA$52,MATCH($C43,'[1]Sales per type Agustus'!$B$10:$B$52,0),MATCH("Y11d",'[1]Sales per type Agustus'!$D$8:$BA$8,0)),0)</f>
        <v>0</v>
      </c>
      <c r="N43" s="33">
        <f t="shared" si="2"/>
        <v>1</v>
      </c>
      <c r="O43" s="33" cm="1">
        <f t="array" ref="O43">IFERROR(INDEX('[1]SALES PERTYPE'!$D$10:$BA$53,MATCH($C43,'[1]SALES PERTYPE'!$B$10:$B$53,0),MATCH("Y11d",'[1]SALES PERTYPE'!$D$8:$BA$8,0)+1),0)</f>
        <v>2799000</v>
      </c>
      <c r="P43" s="33" cm="1">
        <f t="array" ref="P43">IFERROR(INDEX('[1]Sales per type Agustus'!$D$10:$BA$52,MATCH($C43,'[1]Sales per type Agustus'!$B$10:$B$52,0),MATCH("Y11d",'[1]Sales per type Agustus'!$D$8:$BA$8,0)+1),0)</f>
        <v>0</v>
      </c>
      <c r="Q43" s="33">
        <f t="shared" si="3"/>
        <v>2799000</v>
      </c>
      <c r="R43" s="33">
        <f>IFERROR(INDEX('[1]SALES PERTYPE'!$D$10:$BA$53,MATCH($C43,'[1]SALES PERTYPE'!$B$10:$B$53,0),MATCH("Watch GT 2",'[1]SALES PERTYPE'!$D$8:$BA$8,0)),0)</f>
        <v>0</v>
      </c>
      <c r="S43" s="33">
        <f>IFERROR(INDEX('[1]Sales per type Agustus'!$D$10:$BA$52,MATCH($C43,'[1]Sales per type Agustus'!$B$10:$B$52,0),MATCH("Watch GT 2",'[1]Sales per type Agustus'!$D$8:$BA$8,0)),0)</f>
        <v>0</v>
      </c>
      <c r="T43" s="33">
        <f t="shared" si="4"/>
        <v>0</v>
      </c>
      <c r="U43" s="33" cm="1">
        <f t="array" ref="U43">IFERROR(INDEX('[1]SALES PERTYPE'!$D$10:$BA$53,MATCH($C43,'[1]SALES PERTYPE'!$B$10:$B$53,0),MATCH("Watch GT 2",'[1]SALES PERTYPE'!$D$8:$BA$8,0)+1),0)</f>
        <v>0</v>
      </c>
      <c r="V43" s="33" cm="1">
        <f t="array" ref="V43">IFERROR(INDEX('[1]Sales per type Agustus'!$D$10:$BA$52,MATCH($C43,'[1]Sales per type Agustus'!$B$10:$B$52,0),MATCH("Watch GT 2",'[1]Sales per type Agustus'!$D$8:$BA$8,0)+1),0)</f>
        <v>0</v>
      </c>
      <c r="W43" s="33">
        <f t="shared" si="5"/>
        <v>0</v>
      </c>
      <c r="X43" s="33">
        <f>IFERROR(INDEX('[1]SALES PERTYPE'!$D$10:$BA$53,MATCH($C43,'[1]SALES PERTYPE'!$B$10:$B$53,0),MATCH("Y05e",'[1]SALES PERTYPE'!$D$8:$BA$8,0)),0)</f>
        <v>0</v>
      </c>
      <c r="Y43" s="33">
        <f>IFERROR(INDEX('[1]Sales per type Agustus'!$D$10:$BA$52,MATCH($C43,'[1]Sales per type Agustus'!$B$10:$B$52,0),MATCH("Y05e",'[1]Sales per type Agustus'!$D$8:$BA$8,0)),0)</f>
        <v>0</v>
      </c>
      <c r="Z43" s="33">
        <f t="shared" si="6"/>
        <v>0</v>
      </c>
      <c r="AA43" s="33" cm="1">
        <f t="array" ref="AA43">IFERROR(INDEX('[1]SALES PERTYPE'!$D$10:$BA$53,MATCH($C43,'[1]SALES PERTYPE'!$B$10:$B$53,0),MATCH("Y05e",'[1]SALES PERTYPE'!$D$8:$BA$8,0)+1),0)</f>
        <v>0</v>
      </c>
      <c r="AB43" s="33" cm="1">
        <f t="array" ref="AB43">IFERROR(INDEX('[1]Sales per type Agustus'!$D$10:$BA$52,MATCH($C43,'[1]Sales per type Agustus'!$B$10:$B$52,0),MATCH("Y05e",'[1]Sales per type Agustus'!$D$8:$BA$8,0)+1),0)</f>
        <v>0</v>
      </c>
      <c r="AC43" s="33">
        <f t="shared" si="7"/>
        <v>0</v>
      </c>
      <c r="AD43" s="33">
        <f>IFERROR(INDEX('[1]SALES PERTYPE'!$D$10:$BA$53,MATCH($C43,'[1]SALES PERTYPE'!$B$10:$B$53,0),MATCH("V70",'[1]SALES PERTYPE'!$D$8:$BA$8,0)),0)</f>
        <v>1</v>
      </c>
      <c r="AE43" s="33">
        <f>IFERROR(INDEX('[1]Sales per type Agustus'!$D$10:$BA$52,MATCH($C43,'[1]Sales per type Agustus'!$B$10:$B$52,0),MATCH("V70",'[1]Sales per type Agustus'!$D$8:$BA$8,0)),0)</f>
        <v>0</v>
      </c>
      <c r="AF43" s="33">
        <f t="shared" si="8"/>
        <v>1</v>
      </c>
      <c r="AG43" s="33" cm="1">
        <f t="array" ref="AG43">IFERROR(INDEX('[1]SALES PERTYPE'!$D$10:$BA$53,MATCH($C43,'[1]SALES PERTYPE'!$B$10:$B$53,0),MATCH("V70",'[1]SALES PERTYPE'!$D$8:$BA$8,0)+1),0)</f>
        <v>9999000</v>
      </c>
      <c r="AH43" s="33" cm="1">
        <f t="array" ref="AH43">IFERROR(INDEX('[1]Sales per type Agustus'!$D$10:$BA$52,MATCH($C43,'[1]Sales per type Agustus'!$B$10:$B$52,0),MATCH("V70",'[1]Sales per type Agustus'!$D$8:$BA$8,0)+1),0)</f>
        <v>0</v>
      </c>
      <c r="AI43" s="33">
        <f t="shared" si="9"/>
        <v>9999000</v>
      </c>
      <c r="AJ43" s="33">
        <f>IFERROR(INDEX('[1]SALES PERTYPE'!$D$10:$BA$53,MATCH($C43,'[1]SALES PERTYPE'!$B$10:$B$53,0),MATCH("Y31d Pro",'[1]SALES PERTYPE'!$D$8:$BA$8,0)),0)</f>
        <v>2</v>
      </c>
      <c r="AK43" s="33">
        <f>IFERROR(INDEX('[1]Sales per type Agustus'!$D$10:$BA$52,MATCH($C43,'[1]Sales per type Agustus'!$B$10:$B$52,0),MATCH("Y31d Pro",'[1]Sales per type Agustus'!$D$8:$BA$8,0)),0)</f>
        <v>1</v>
      </c>
      <c r="AL43" s="33">
        <f t="shared" si="10"/>
        <v>1</v>
      </c>
      <c r="AM43" s="33" cm="1">
        <f t="array" ref="AM43">IFERROR(INDEX('[1]SALES PERTYPE'!$D$10:$BA$53,MATCH($C43,'[1]SALES PERTYPE'!$B$10:$B$53,0),MATCH("Y31d Pro",'[1]SALES PERTYPE'!$D$8:$BA$8,0)+1),0)</f>
        <v>8598000</v>
      </c>
      <c r="AN43" s="33" cm="1">
        <f t="array" ref="AN43">IFERROR(INDEX('[1]Sales per type Agustus'!$D$10:$BA$52,MATCH($C43,'[1]Sales per type Agustus'!$B$10:$B$52,0),MATCH("Y31d Pro",'[1]Sales per type Agustus'!$D$8:$BA$8,0)+1),0)</f>
        <v>4299000</v>
      </c>
      <c r="AO43" s="33">
        <f t="shared" si="11"/>
        <v>4299000</v>
      </c>
      <c r="AP43" s="33" cm="1">
        <f t="array" ref="AP43">IFERROR(INDEX('[1]SALES PERTYPE'!$D$10:$BA$53,MATCH($C43,'[1]SALES PERTYPE'!$B$10:$B$53,0),$EI$3),0)</f>
        <v>1</v>
      </c>
      <c r="AQ43" s="33" cm="1">
        <f t="array" ref="AQ43">IFERROR(INDEX('[1]Sales per type Agustus'!$D$10:$BA$52,MATCH($C43,'[1]Sales per type Agustus'!$B$10:$B$52,0),$EI$2),0)</f>
        <v>0</v>
      </c>
      <c r="AR43" s="33">
        <f t="shared" si="12"/>
        <v>1</v>
      </c>
      <c r="AS43" s="33" cm="1">
        <f t="array" ref="AS43">IFERROR(INDEX('[1]SALES PERTYPE'!$D$10:$BA$53,MATCH($C43,'[1]SALES PERTYPE'!$B$10:$B$53,0),$EI$3+1),0)</f>
        <v>3299000</v>
      </c>
      <c r="AT43" s="33" cm="1">
        <f t="array" ref="AT43">IFERROR(INDEX('[1]Sales per type Agustus'!$D$10:$BA$52,MATCH($C43,'[1]Sales per type Agustus'!$B$10:$B$52,0),$EI$2+1),0)</f>
        <v>0</v>
      </c>
      <c r="AU43" s="33">
        <f t="shared" si="13"/>
        <v>3299000</v>
      </c>
      <c r="AV43" s="33">
        <f>IFERROR(INDEX('[1]SALES PERTYPE'!$D$10:$BA$53,MATCH($C43,'[1]SALES PERTYPE'!$B$10:$B$53,0),MATCH("Y31d ",'[1]SALES PERTYPE'!$D$8:$BA$8,0)),0)</f>
        <v>1</v>
      </c>
      <c r="AW43" s="33">
        <f>IFERROR(INDEX('[1]Sales per type Agustus'!$D$10:$BA$52,MATCH($C43,'[1]Sales per type Agustus'!$B$10:$B$52,0),MATCH("Y31d ",'[1]Sales per type Agustus'!$D$8:$BA$8,0)),0)</f>
        <v>0</v>
      </c>
      <c r="AX43" s="33">
        <f t="shared" si="14"/>
        <v>1</v>
      </c>
      <c r="AY43" s="33" cm="1">
        <f t="array" ref="AY43">IFERROR(INDEX('[1]SALES PERTYPE'!$D$10:$BA$53,MATCH($C43,'[1]SALES PERTYPE'!$B$10:$B$53,0),MATCH("Y31d ",'[1]SALES PERTYPE'!$D$8:$BA$8,0)+1),0)</f>
        <v>3599000</v>
      </c>
      <c r="AZ43" s="33" cm="1">
        <f t="array" ref="AZ43">IFERROR(INDEX('[1]Sales per type Agustus'!$D$10:$BA$52,MATCH($C43,'[1]Sales per type Agustus'!$B$10:$B$52,0),MATCH("Y31d ",'[1]Sales per type Agustus'!$D$8:$BA$8,0)+1),0)</f>
        <v>0</v>
      </c>
      <c r="BA43" s="33">
        <f t="shared" si="15"/>
        <v>3599000</v>
      </c>
      <c r="BB43" s="33">
        <f>IFERROR(INDEX('[1]SALES PERTYPE'!$D$10:$BA$53,MATCH($C43,'[1]SALES PERTYPE'!$B$10:$B$53,0),MATCH("V70 FE",'[1]SALES PERTYPE'!$D$8:$BA$8,0)),0)</f>
        <v>0</v>
      </c>
      <c r="BC43" s="33">
        <f>IFERROR(INDEX('[1]Sales per type Agustus'!$D$10:$BA$52,MATCH($C43,'[1]Sales per type Agustus'!$B$10:$B$52,0),MATCH("V70 FE",'[1]Sales per type Agustus'!$D$8:$BA$8,0)),0)</f>
        <v>0</v>
      </c>
      <c r="BD43" s="33">
        <f t="shared" si="16"/>
        <v>0</v>
      </c>
      <c r="BE43" s="33" cm="1">
        <f t="array" ref="BE43">IFERROR(INDEX('[1]SALES PERTYPE'!$D$10:$BA$53,MATCH($C43,'[1]SALES PERTYPE'!$B$10:$B$53,0),MATCH("V70 FE",'[1]SALES PERTYPE'!$D$8:$BA$8,0)+1),0)</f>
        <v>0</v>
      </c>
      <c r="BF43" s="33" cm="1">
        <f t="array" ref="BF43">IFERROR(INDEX('[1]Sales per type Agustus'!$D$10:$BA$52,MATCH($C43,'[1]Sales per type Agustus'!$B$10:$B$52,0),MATCH("V70 FE",'[1]Sales per type Agustus'!$D$8:$BA$8,0)+1),0)</f>
        <v>0</v>
      </c>
      <c r="BG43" s="33">
        <f t="shared" si="17"/>
        <v>0</v>
      </c>
      <c r="BH43" s="33">
        <f>IFERROR(INDEX('[1]SALES PERTYPE'!$D$10:$BA$53,MATCH($C43,'[1]SALES PERTYPE'!$B$10:$B$53,0),MATCH("Y31d",'[1]SALES PERTYPE'!$D$8:$BA$8,0)),0)</f>
        <v>0</v>
      </c>
      <c r="BI43" s="33">
        <f>IFERROR(INDEX('[1]Sales per type Agustus'!$D$10:$BA$52,MATCH($C43,'[1]Sales per type Agustus'!$B$10:$B$52,0),MATCH("Y31d",'[1]Sales per type Agustus'!$D$8:$BA$8,0)),0)</f>
        <v>1</v>
      </c>
      <c r="BJ43" s="33">
        <f t="shared" si="18"/>
        <v>-1</v>
      </c>
      <c r="BK43" s="33" cm="1">
        <f t="array" ref="BK43">IFERROR(INDEX('[1]SALES PERTYPE'!$D$10:$BA$53,MATCH($C43,'[1]SALES PERTYPE'!$B$10:$B$53,0),MATCH("Y31d",'[1]SALES PERTYPE'!$D$8:$BA$8,0)+1),0)</f>
        <v>0</v>
      </c>
      <c r="BL43" s="33" cm="1">
        <f t="array" ref="BL43">IFERROR(INDEX('[1]Sales per type Agustus'!$D$10:$BA$52,MATCH($C43,'[1]Sales per type Agustus'!$B$10:$B$52,0),MATCH("Y31d",'[1]Sales per type Agustus'!$D$8:$BA$8,0)+1),0)</f>
        <v>3599000</v>
      </c>
      <c r="BM43" s="33">
        <f t="shared" si="19"/>
        <v>-3599000</v>
      </c>
      <c r="BN43" s="33">
        <f>IFERROR(INDEX('[1]SALES PERTYPE'!$D$10:$BA$53,MATCH($C43,'[1]SALES PERTYPE'!$B$10:$B$53,0),MATCH("Y500",'[1]SALES PERTYPE'!$D$8:$BA$8,0)),0)</f>
        <v>0</v>
      </c>
      <c r="BO43" s="33">
        <f>IFERROR(INDEX('[1]Sales per type Agustus'!$D$10:$BA$52,MATCH($C43,'[1]Sales per type Agustus'!$B$10:$B$52,0),MATCH("Y500",'[1]Sales per type Agustus'!$D$8:$BA$8,0)),0)</f>
        <v>4</v>
      </c>
      <c r="BP43" s="33">
        <f t="shared" si="20"/>
        <v>-4</v>
      </c>
      <c r="BQ43" s="33" cm="1">
        <f t="array" ref="BQ43">IFERROR(INDEX('[1]SALES PERTYPE'!$D$10:$BA$53,MATCH($C43,'[1]SALES PERTYPE'!$B$10:$B$53,0),MATCH("Y500",'[1]SALES PERTYPE'!$D$8:$BA$8,0)+1),0)</f>
        <v>0</v>
      </c>
      <c r="BR43" s="33" cm="1">
        <f t="array" ref="BR43">IFERROR(INDEX('[1]Sales per type Agustus'!$D$10:$BA$52,MATCH($C43,'[1]Sales per type Agustus'!$B$10:$B$52,0),MATCH("Y500",'[1]Sales per type Agustus'!$D$8:$BA$8,0)+1),0)</f>
        <v>22796000</v>
      </c>
      <c r="BS43" s="33">
        <f t="shared" si="21"/>
        <v>-22796000</v>
      </c>
      <c r="BT43" s="33">
        <f>IFERROR(INDEX('[1]SALES PERTYPE'!$D$10:$BA$53,MATCH($C43,'[1]SALES PERTYPE'!$B$10:$B$53,0),MATCH("IQOO 15R",'[1]SALES PERTYPE'!$D$8:$BA$8,0)),0)</f>
        <v>1</v>
      </c>
      <c r="BU43" s="33">
        <f>IFERROR(INDEX('[1]Sales per type Agustus'!$D$10:$BA$52,MATCH($C43,'[1]Sales per type Agustus'!$B$10:$B$52,0),MATCH("IQOO 15R",'[1]Sales per type Agustus'!$D$8:$BA$8,0)),0)</f>
        <v>0</v>
      </c>
      <c r="BV43" s="33">
        <f t="shared" si="22"/>
        <v>1</v>
      </c>
      <c r="BW43" s="33" cm="1">
        <f t="array" ref="BW43">IFERROR(INDEX('[1]SALES PERTYPE'!$D$10:$BA$53,MATCH($C43,'[1]SALES PERTYPE'!$B$10:$B$53,0),MATCH("IQOO 15R",'[1]SALES PERTYPE'!$D$8:$BA$8,0)+1),0)</f>
        <v>11999000</v>
      </c>
      <c r="BX43" s="33" cm="1">
        <f t="array" ref="BX43">IFERROR(INDEX('[1]Sales per type Agustus'!$D$10:$BA$52,MATCH($C43,'[1]Sales per type Agustus'!$B$10:$B$52,0),MATCH("IQOO 15R",'[1]Sales per type Agustus'!$D$8:$BA$8,0)+1),0)</f>
        <v>0</v>
      </c>
      <c r="BY43" s="33">
        <f t="shared" si="23"/>
        <v>11999000</v>
      </c>
      <c r="BZ43" s="33">
        <f>IFERROR(INDEX('[1]SALES PERTYPE'!$D$10:$BA$53,MATCH($C43,'[1]SALES PERTYPE'!$B$10:$B$53,0),MATCH("V60 Lite",'[1]SALES PERTYPE'!$D$8:$BA$8,0)),0)</f>
        <v>3</v>
      </c>
      <c r="CA43" s="33">
        <f>IFERROR(INDEX('[1]Sales per type Agustus'!$D$10:$BA$52,MATCH($C43,'[1]Sales per type Agustus'!$B$10:$B$52,0),MATCH("V60 Lite",'[1]Sales per type Agustus'!$D$8:$BA$8,0)),0)</f>
        <v>0</v>
      </c>
      <c r="CB43" s="33">
        <f t="shared" si="24"/>
        <v>3</v>
      </c>
      <c r="CC43" s="33" cm="1">
        <f t="array" ref="CC43">IFERROR(INDEX('[1]SALES PERTYPE'!$D$10:$BA$53,MATCH($C43,'[1]SALES PERTYPE'!$B$10:$B$53,0),MATCH("V60 Lite",'[1]SALES PERTYPE'!$D$8:$BA$8,0)+1),0)</f>
        <v>17697000</v>
      </c>
      <c r="CD43" s="33" cm="1">
        <f t="array" ref="CD43">IFERROR(INDEX('[1]Sales per type Agustus'!$D$10:$BA$52,MATCH($C43,'[1]Sales per type Agustus'!$B$10:$B$52,0),MATCH("V60 Lite",'[1]Sales per type Agustus'!$D$8:$BA$8,0)+1),0)</f>
        <v>0</v>
      </c>
      <c r="CE43" s="33">
        <f t="shared" si="25"/>
        <v>17697000</v>
      </c>
      <c r="CF43" s="33">
        <f>IFERROR(INDEX('[1]SALES PERTYPE'!$D$10:$BA$53,MATCH($C43,'[1]SALES PERTYPE'!$B$10:$B$53,0),MATCH("X300 Ultra",'[1]SALES PERTYPE'!$D$8:$BA$8,0)),0)</f>
        <v>0</v>
      </c>
      <c r="CG43" s="33">
        <f>IFERROR(INDEX('[1]Sales per type Agustus'!$D$10:$BA$52,MATCH($C43,'[1]Sales per type Agustus'!$B$10:$B$52,0),MATCH("X300 Ultra",'[1]Sales per type Agustus'!$D$8:$BA$8,0)),0)</f>
        <v>0</v>
      </c>
      <c r="CH43" s="33">
        <f t="shared" si="26"/>
        <v>0</v>
      </c>
      <c r="CI43" s="33" cm="1">
        <f t="array" ref="CI43">IFERROR(INDEX('[1]SALES PERTYPE'!$D$10:$BA$53,MATCH($C43,'[1]SALES PERTYPE'!$B$10:$B$53,0),MATCH("X300 Ultra",'[1]SALES PERTYPE'!$D$8:$BA$8,0)+1),0)</f>
        <v>0</v>
      </c>
      <c r="CJ43" s="33" cm="1">
        <f t="array" ref="CJ43">IFERROR(INDEX('[1]Sales per type Agustus'!$D$10:$BA$52,MATCH($C43,'[1]Sales per type Agustus'!$B$10:$B$52,0),MATCH("X300 Ultra",'[1]Sales per type Agustus'!$D$8:$BA$8,0)+1),0)</f>
        <v>0</v>
      </c>
      <c r="CK43" s="33">
        <f t="shared" si="27"/>
        <v>0</v>
      </c>
      <c r="CL43" s="33">
        <f>IFERROR(INDEX('[1]SALES PERTYPE'!$D$10:$BA$53,MATCH($C43,'[1]SALES PERTYPE'!$B$10:$B$53,0),MATCH("IQOO 15",'[1]SALES PERTYPE'!$D$8:$BA$8,0)),0)</f>
        <v>0</v>
      </c>
      <c r="CM43" s="33">
        <f>IFERROR(INDEX('[1]Sales per type Agustus'!$D$10:$BA$52,MATCH($C43,'[1]Sales per type Agustus'!$B$10:$B$52,0),MATCH("IQOO 15",'[1]Sales per type Agustus'!$D$8:$BA$8,0)),0)</f>
        <v>0</v>
      </c>
      <c r="CN43" s="33">
        <f t="shared" si="28"/>
        <v>0</v>
      </c>
      <c r="CO43" s="33" cm="1">
        <f t="array" ref="CO43">IFERROR(INDEX('[1]SALES PERTYPE'!$D$10:$BA$53,MATCH($C43,'[1]SALES PERTYPE'!$B$10:$B$53,0),MATCH("IQOO 15",'[1]SALES PERTYPE'!$D$8:$BA$8,0)+1),0)</f>
        <v>0</v>
      </c>
      <c r="CP43" s="33" cm="1">
        <f t="array" ref="CP43">IFERROR(INDEX('[1]Sales per type Agustus'!$D$10:$BA$52,MATCH($C43,'[1]Sales per type Agustus'!$B$10:$B$52,0),MATCH("IQOO 15",'[1]Sales per type Agustus'!$D$8:$BA$8,0)+1),0)</f>
        <v>0</v>
      </c>
      <c r="CQ43" s="33">
        <f t="shared" si="29"/>
        <v>0</v>
      </c>
      <c r="CR43" s="33">
        <f>IFERROR(INDEX('[1]SALES PERTYPE'!$D$10:$BA$53,MATCH($C43,'[1]SALES PERTYPE'!$B$10:$B$53,0),MATCH("IQOO Z11x",'[1]SALES PERTYPE'!$D$8:$BA$8,0)),0)</f>
        <v>0</v>
      </c>
      <c r="CS43" s="33">
        <f>IFERROR(INDEX('[1]Sales per type Agustus'!$D$10:$BA$52,MATCH($C43,'[1]Sales per type Agustus'!$B$10:$B$52,0),MATCH("IQOO Z11x",'[1]Sales per type Agustus'!$D$8:$BA$8,0)),0)</f>
        <v>0</v>
      </c>
      <c r="CT43" s="33">
        <f t="shared" si="30"/>
        <v>0</v>
      </c>
      <c r="CU43" s="33" cm="1">
        <f t="array" ref="CU43">IFERROR(INDEX('[1]SALES PERTYPE'!$D$10:$BA$53,MATCH($C43,'[1]SALES PERTYPE'!$B$10:$B$53,0),MATCH("IQOO Z11x",'[1]SALES PERTYPE'!$D$8:$BA$8,0)+1),0)</f>
        <v>0</v>
      </c>
      <c r="CV43" s="33" cm="1">
        <f t="array" ref="CV43">IFERROR(INDEX('[1]Sales per type Agustus'!$D$10:$BA$52,MATCH($C43,'[1]Sales per type Agustus'!$B$10:$B$52,0),MATCH("IQOO Z11x",'[1]Sales per type Agustus'!$D$8:$BA$8,0)+1),0)</f>
        <v>0</v>
      </c>
      <c r="CW43" s="33">
        <f t="shared" si="31"/>
        <v>0</v>
      </c>
      <c r="CX43" s="33">
        <f>IFERROR(INDEX('[1]SALES PERTYPE'!$D$10:$BA$53,MATCH($C43,'[1]SALES PERTYPE'!$B$10:$B$53,0),MATCH("IQOO Z11",'[1]SALES PERTYPE'!$D$8:$BA$8,0)),0)</f>
        <v>1</v>
      </c>
      <c r="CY43" s="33">
        <f>IFERROR(INDEX('[1]Sales per type Agustus'!$D$10:$BA$52,MATCH($C43,'[1]Sales per type Agustus'!$B$10:$B$52,0),MATCH("IQOO Z11",'[1]Sales per type Agustus'!$D$8:$BA$8,0)),0)</f>
        <v>0</v>
      </c>
      <c r="CZ43" s="33">
        <f t="shared" si="32"/>
        <v>1</v>
      </c>
      <c r="DA43" s="33" cm="1">
        <f t="array" ref="DA43">IFERROR(INDEX('[1]SALES PERTYPE'!$D$10:$BA$53,MATCH($C43,'[1]SALES PERTYPE'!$B$10:$B$53,0),MATCH("IQOO Z11",'[1]SALES PERTYPE'!$D$8:$BA$8,0)+1),0)</f>
        <v>6899000</v>
      </c>
      <c r="DB43" s="33" cm="1">
        <f t="array" ref="DB43">IFERROR(INDEX('[1]Sales per type Agustus'!$D$10:$BA$52,MATCH($C43,'[1]Sales per type Agustus'!$B$10:$B$52,0),MATCH("IQOO Z11",'[1]Sales per type Agustus'!$D$8:$BA$8,0)+1),0)</f>
        <v>0</v>
      </c>
      <c r="DC43" s="33">
        <f t="shared" si="33"/>
        <v>6899000</v>
      </c>
      <c r="DD43" s="33">
        <f>IFERROR(INDEX('[1]SALES PERTYPE'!$D$10:$BA$53,MATCH($C43,'[1]SALES PERTYPE'!$B$10:$B$53,0),MATCH("WATCH 3",'[1]SALES PERTYPE'!$D$8:$BA$8,0)),0)</f>
        <v>0</v>
      </c>
      <c r="DE43" s="33">
        <f>IFERROR(INDEX('[1]Sales per type Agustus'!$D$10:$BA$52,MATCH($C43,'[1]Sales per type Agustus'!$B$10:$B$52,0),MATCH("WATCH 3",'[1]Sales per type Agustus'!$D$8:$BA$8,0)),0)</f>
        <v>0</v>
      </c>
      <c r="DF43" s="33">
        <f t="shared" si="34"/>
        <v>0</v>
      </c>
      <c r="DG43" s="33" cm="1">
        <f t="array" ref="DG43">IFERROR(INDEX('[1]SALES PERTYPE'!$D$10:$BA$53,MATCH($C43,'[1]SALES PERTYPE'!$B$10:$B$53,0),MATCH("WATCH 3",'[1]SALES PERTYPE'!$D$8:$BA$8,0)+1),0)</f>
        <v>0</v>
      </c>
      <c r="DH43" s="33" cm="1">
        <f t="array" ref="DH43">IFERROR(INDEX('[1]Sales per type Agustus'!$D$10:$BA$52,MATCH($C43,'[1]Sales per type Agustus'!$B$10:$B$52,0),MATCH("WATCH 3",'[1]Sales per type Agustus'!$D$8:$BA$8,0)+1),0)</f>
        <v>0</v>
      </c>
      <c r="DI43" s="33">
        <f t="shared" si="35"/>
        <v>0</v>
      </c>
      <c r="DJ43" s="33">
        <f>IFERROR(INDEX('[1]SALES PERTYPE'!$D$10:$BA$53,MATCH($C43,'[1]SALES PERTYPE'!$B$10:$B$53,0),MATCH("X Fold5",'[1]SALES PERTYPE'!$D$8:$BA$8,0)),0)</f>
        <v>0</v>
      </c>
      <c r="DK43" s="33">
        <f>IFERROR(INDEX('[1]Sales per type Agustus'!$D$10:$BA$52,MATCH($C43,'[1]Sales per type Agustus'!$B$10:$B$52,0),MATCH("X Fold5",'[1]Sales per type Agustus'!$D$8:$BA$8,0)),0)</f>
        <v>0</v>
      </c>
      <c r="DL43" s="33">
        <f t="shared" si="36"/>
        <v>0</v>
      </c>
      <c r="DM43" s="33" cm="1">
        <f t="array" ref="DM43">IFERROR(INDEX('[1]SALES PERTYPE'!$D$10:$BA$53,MATCH($C43,'[1]SALES PERTYPE'!$B$10:$B$53,0),MATCH("X Fold5",'[1]SALES PERTYPE'!$D$8:$BA$8,0)+1),0)</f>
        <v>0</v>
      </c>
      <c r="DN43" s="33" cm="1">
        <f t="array" ref="DN43">IFERROR(INDEX('[1]Sales per type Agustus'!$D$10:$BA$52,MATCH($C43,'[1]Sales per type Agustus'!$B$10:$B$52,0),MATCH("X Fold5",'[1]Sales per type Agustus'!$D$8:$BA$8,0)+1),0)</f>
        <v>0</v>
      </c>
      <c r="DO43" s="33">
        <f t="shared" si="37"/>
        <v>0</v>
      </c>
      <c r="DP43" s="33">
        <f>IFERROR(INDEX('[1]SALES PERTYPE'!$D$10:$BA$53,MATCH($C43,'[1]SALES PERTYPE'!$B$10:$B$53,0),MATCH("X300 PRO",'[1]SALES PERTYPE'!$D$8:$BA$8,0)),0)</f>
        <v>0</v>
      </c>
      <c r="DQ43" s="33">
        <f>IFERROR(INDEX('[1]Sales per type Agustus'!$D$10:$BA$52,MATCH($C43,'[1]Sales per type Agustus'!$B$10:$B$52,0),MATCH("X300 PRO",'[1]Sales per type Agustus'!$D$8:$BA$8,0)),0)</f>
        <v>0</v>
      </c>
      <c r="DR43" s="33">
        <f t="shared" si="38"/>
        <v>0</v>
      </c>
      <c r="DS43" s="33" cm="1">
        <f t="array" ref="DS43">IFERROR(INDEX('[1]SALES PERTYPE'!$D$10:$BA$53,MATCH($C43,'[1]SALES PERTYPE'!$B$10:$B$53,0),MATCH("X300 PRO",'[1]SALES PERTYPE'!$D$8:$BA$8,0)+1),0)</f>
        <v>0</v>
      </c>
      <c r="DT43" s="33" cm="1">
        <f t="array" ref="DT43">IFERROR(INDEX('[1]Sales per type Agustus'!$D$10:$BA$52,MATCH($C43,'[1]Sales per type Agustus'!$B$10:$B$52,0),MATCH("X300 PRO",'[1]Sales per type Agustus'!$D$8:$BA$8,0)+1),0)</f>
        <v>0</v>
      </c>
      <c r="DU43" s="33">
        <f t="shared" si="39"/>
        <v>0</v>
      </c>
      <c r="DV43" s="33">
        <f>IFERROR(INDEX('[1]SALES PERTYPE'!$D$10:$BA$53,MATCH($C43,'[1]SALES PERTYPE'!$B$10:$B$53,0),MATCH("X300 ",'[1]SALES PERTYPE'!$D$8:$BA$8,0)),0)</f>
        <v>0</v>
      </c>
      <c r="DW43" s="33">
        <f>IFERROR(INDEX('[1]Sales per type Agustus'!$D$10:$BA$52,MATCH($C43,'[1]Sales per type Agustus'!$B$10:$B$52,0),MATCH("X300 ",'[1]Sales per type Agustus'!$D$8:$BA$8,0)),0)</f>
        <v>0</v>
      </c>
      <c r="DX43" s="33">
        <f t="shared" si="40"/>
        <v>0</v>
      </c>
      <c r="DY43" s="33" cm="1">
        <f t="array" ref="DY43">IFERROR(INDEX('[1]SALES PERTYPE'!$D$10:$BA$53,MATCH($C43,'[1]SALES PERTYPE'!$B$10:$B$53,0),MATCH("X300 ",'[1]SALES PERTYPE'!$D$8:$BA$8,0)+1),0)</f>
        <v>0</v>
      </c>
      <c r="DZ43" s="33" cm="1">
        <f t="array" ref="DZ43">IFERROR(INDEX('[1]Sales per type Agustus'!$D$10:$BA$52,MATCH($C43,'[1]Sales per type Agustus'!$B$10:$B$52,0),MATCH("X300 ",'[1]Sales per type Agustus'!$D$8:$BA$8,0)+1),0)</f>
        <v>0</v>
      </c>
      <c r="EA43" s="33">
        <f t="shared" si="41"/>
        <v>0</v>
      </c>
      <c r="EB43" s="33">
        <f t="shared" si="42"/>
        <v>11</v>
      </c>
      <c r="EC43" s="33">
        <f t="shared" si="42"/>
        <v>7</v>
      </c>
      <c r="ED43" s="33">
        <f t="shared" si="43"/>
        <v>4</v>
      </c>
      <c r="EE43" s="33">
        <f t="shared" si="44"/>
        <v>64889000</v>
      </c>
      <c r="EF43" s="33">
        <f t="shared" si="44"/>
        <v>33293000</v>
      </c>
      <c r="EG43" s="33">
        <f t="shared" si="45"/>
        <v>31596000</v>
      </c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</row>
    <row r="44" spans="1:184" ht="16" x14ac:dyDescent="0.2">
      <c r="A44" s="214">
        <f>'[1]ACHIEVEMENT STORE'!A44</f>
        <v>40</v>
      </c>
      <c r="B44" s="215" t="str">
        <f>'[1]ACHIEVEMENT STORE'!B44</f>
        <v>中爪哇西 - Purwokerto</v>
      </c>
      <c r="C44" s="214">
        <f>'[1]ACHIEVEMENT STORE'!C44</f>
        <v>6130702</v>
      </c>
      <c r="D44" s="215" t="str">
        <f>'[1]ACHIEVEMENT STORE'!D44</f>
        <v>6130702-RITA SUPERMALL SF36-37</v>
      </c>
      <c r="E44" s="215" t="str">
        <f>'[1]ACHIEVEMENT STORE'!E44</f>
        <v>FRISKA FAJAR</v>
      </c>
      <c r="F44" s="33">
        <f>IFERROR(INDEX('[1]SALES PERTYPE'!$D$10:$BA$53,MATCH($C44,'[1]SALES PERTYPE'!$B$10:$B$53,0),MATCH("Y05",'[1]SALES PERTYPE'!$D$8:$BA$8,0)),0)</f>
        <v>12</v>
      </c>
      <c r="G44" s="33">
        <f>IFERROR(INDEX('[1]Sales per type Agustus'!$D$10:$BA$52,MATCH($C44,'[1]Sales per type Agustus'!$B$10:$B$52,0),MATCH("Y05",'[1]Sales per type Agustus'!$D$8:$BA$8,0)),0)</f>
        <v>4</v>
      </c>
      <c r="H44" s="33">
        <f t="shared" si="0"/>
        <v>8</v>
      </c>
      <c r="I44" s="33" cm="1">
        <f t="array" ref="I44">IFERROR(INDEX('[1]SALES PERTYPE'!$D$10:$BA$53,MATCH($C44,'[1]SALES PERTYPE'!$B$10:$B$53,0),MATCH("Y05",'[1]SALES PERTYPE'!$D$8:$BA$8,0)+1),0)</f>
        <v>28788000</v>
      </c>
      <c r="J44" s="33" cm="1">
        <f t="array" ref="J44">IFERROR(INDEX('[1]Sales per type Agustus'!$D$10:$BA$52,MATCH($C44,'[1]Sales per type Agustus'!$B$10:$B$52,0),MATCH("Y05",'[1]Sales per type Agustus'!$D$8:$BA$8,0)+1),0)</f>
        <v>9796000</v>
      </c>
      <c r="K44" s="33">
        <f t="shared" si="1"/>
        <v>18992000</v>
      </c>
      <c r="L44" s="33">
        <f>IFERROR(INDEX('[1]SALES PERTYPE'!$D$10:$BA$53,MATCH($C44,'[1]SALES PERTYPE'!$B$10:$B$53,0),MATCH("Y11d",'[1]SALES PERTYPE'!$D$8:$BA$8,0)),0)</f>
        <v>7</v>
      </c>
      <c r="M44" s="33">
        <f>IFERROR(INDEX('[1]Sales per type Agustus'!$D$10:$BA$52,MATCH($C44,'[1]Sales per type Agustus'!$B$10:$B$52,0),MATCH("Y11d",'[1]Sales per type Agustus'!$D$8:$BA$8,0)),0)</f>
        <v>19</v>
      </c>
      <c r="N44" s="33">
        <f t="shared" si="2"/>
        <v>-12</v>
      </c>
      <c r="O44" s="33" cm="1">
        <f t="array" ref="O44">IFERROR(INDEX('[1]SALES PERTYPE'!$D$10:$BA$53,MATCH($C44,'[1]SALES PERTYPE'!$B$10:$B$53,0),MATCH("Y11d",'[1]SALES PERTYPE'!$D$8:$BA$8,0)+1),0)</f>
        <v>18793000</v>
      </c>
      <c r="P44" s="33" cm="1">
        <f t="array" ref="P44">IFERROR(INDEX('[1]Sales per type Agustus'!$D$10:$BA$52,MATCH($C44,'[1]Sales per type Agustus'!$B$10:$B$52,0),MATCH("Y11d",'[1]Sales per type Agustus'!$D$8:$BA$8,0)+1),0)</f>
        <v>49581000</v>
      </c>
      <c r="Q44" s="33">
        <f t="shared" si="3"/>
        <v>-30788000</v>
      </c>
      <c r="R44" s="33">
        <f>IFERROR(INDEX('[1]SALES PERTYPE'!$D$10:$BA$53,MATCH($C44,'[1]SALES PERTYPE'!$B$10:$B$53,0),MATCH("Watch GT 2",'[1]SALES PERTYPE'!$D$8:$BA$8,0)),0)</f>
        <v>0</v>
      </c>
      <c r="S44" s="33">
        <f>IFERROR(INDEX('[1]Sales per type Agustus'!$D$10:$BA$52,MATCH($C44,'[1]Sales per type Agustus'!$B$10:$B$52,0),MATCH("Watch GT 2",'[1]Sales per type Agustus'!$D$8:$BA$8,0)),0)</f>
        <v>0</v>
      </c>
      <c r="T44" s="33">
        <f t="shared" si="4"/>
        <v>0</v>
      </c>
      <c r="U44" s="33" cm="1">
        <f t="array" ref="U44">IFERROR(INDEX('[1]SALES PERTYPE'!$D$10:$BA$53,MATCH($C44,'[1]SALES PERTYPE'!$B$10:$B$53,0),MATCH("Watch GT 2",'[1]SALES PERTYPE'!$D$8:$BA$8,0)+1),0)</f>
        <v>0</v>
      </c>
      <c r="V44" s="33" cm="1">
        <f t="array" ref="V44">IFERROR(INDEX('[1]Sales per type Agustus'!$D$10:$BA$52,MATCH($C44,'[1]Sales per type Agustus'!$B$10:$B$52,0),MATCH("Watch GT 2",'[1]Sales per type Agustus'!$D$8:$BA$8,0)+1),0)</f>
        <v>0</v>
      </c>
      <c r="W44" s="33">
        <f t="shared" si="5"/>
        <v>0</v>
      </c>
      <c r="X44" s="33">
        <f>IFERROR(INDEX('[1]SALES PERTYPE'!$D$10:$BA$53,MATCH($C44,'[1]SALES PERTYPE'!$B$10:$B$53,0),MATCH("Y05e",'[1]SALES PERTYPE'!$D$8:$BA$8,0)),0)</f>
        <v>1</v>
      </c>
      <c r="Y44" s="33">
        <f>IFERROR(INDEX('[1]Sales per type Agustus'!$D$10:$BA$52,MATCH($C44,'[1]Sales per type Agustus'!$B$10:$B$52,0),MATCH("Y05e",'[1]Sales per type Agustus'!$D$8:$BA$8,0)),0)</f>
        <v>6</v>
      </c>
      <c r="Z44" s="33">
        <f t="shared" si="6"/>
        <v>-5</v>
      </c>
      <c r="AA44" s="33" cm="1">
        <f t="array" ref="AA44">IFERROR(INDEX('[1]SALES PERTYPE'!$D$10:$BA$53,MATCH($C44,'[1]SALES PERTYPE'!$B$10:$B$53,0),MATCH("Y05e",'[1]SALES PERTYPE'!$D$8:$BA$8,0)+1),0)</f>
        <v>2099000</v>
      </c>
      <c r="AB44" s="33" cm="1">
        <f t="array" ref="AB44">IFERROR(INDEX('[1]Sales per type Agustus'!$D$10:$BA$52,MATCH($C44,'[1]Sales per type Agustus'!$B$10:$B$52,0),MATCH("Y05e",'[1]Sales per type Agustus'!$D$8:$BA$8,0)+1),0)</f>
        <v>12594000</v>
      </c>
      <c r="AC44" s="33">
        <f t="shared" si="7"/>
        <v>-10495000</v>
      </c>
      <c r="AD44" s="33">
        <f>IFERROR(INDEX('[1]SALES PERTYPE'!$D$10:$BA$53,MATCH($C44,'[1]SALES PERTYPE'!$B$10:$B$53,0),MATCH("V70",'[1]SALES PERTYPE'!$D$8:$BA$8,0)),0)</f>
        <v>2</v>
      </c>
      <c r="AE44" s="33">
        <f>IFERROR(INDEX('[1]Sales per type Agustus'!$D$10:$BA$52,MATCH($C44,'[1]Sales per type Agustus'!$B$10:$B$52,0),MATCH("V70",'[1]Sales per type Agustus'!$D$8:$BA$8,0)),0)</f>
        <v>4</v>
      </c>
      <c r="AF44" s="33">
        <f t="shared" si="8"/>
        <v>-2</v>
      </c>
      <c r="AG44" s="33" cm="1">
        <f t="array" ref="AG44">IFERROR(INDEX('[1]SALES PERTYPE'!$D$10:$BA$53,MATCH($C44,'[1]SALES PERTYPE'!$B$10:$B$53,0),MATCH("V70",'[1]SALES PERTYPE'!$D$8:$BA$8,0)+1),0)</f>
        <v>19998000</v>
      </c>
      <c r="AH44" s="33" cm="1">
        <f t="array" ref="AH44">IFERROR(INDEX('[1]Sales per type Agustus'!$D$10:$BA$52,MATCH($C44,'[1]Sales per type Agustus'!$B$10:$B$52,0),MATCH("V70",'[1]Sales per type Agustus'!$D$8:$BA$8,0)+1),0)</f>
        <v>38996000</v>
      </c>
      <c r="AI44" s="33">
        <f t="shared" si="9"/>
        <v>-18998000</v>
      </c>
      <c r="AJ44" s="33">
        <f>IFERROR(INDEX('[1]SALES PERTYPE'!$D$10:$BA$53,MATCH($C44,'[1]SALES PERTYPE'!$B$10:$B$53,0),MATCH("Y31d Pro",'[1]SALES PERTYPE'!$D$8:$BA$8,0)),0)</f>
        <v>5</v>
      </c>
      <c r="AK44" s="33">
        <f>IFERROR(INDEX('[1]Sales per type Agustus'!$D$10:$BA$52,MATCH($C44,'[1]Sales per type Agustus'!$B$10:$B$52,0),MATCH("Y31d Pro",'[1]Sales per type Agustus'!$D$8:$BA$8,0)),0)</f>
        <v>10</v>
      </c>
      <c r="AL44" s="33">
        <f t="shared" si="10"/>
        <v>-5</v>
      </c>
      <c r="AM44" s="33" cm="1">
        <f t="array" ref="AM44">IFERROR(INDEX('[1]SALES PERTYPE'!$D$10:$BA$53,MATCH($C44,'[1]SALES PERTYPE'!$B$10:$B$53,0),MATCH("Y31d Pro",'[1]SALES PERTYPE'!$D$8:$BA$8,0)+1),0)</f>
        <v>21295000</v>
      </c>
      <c r="AN44" s="33" cm="1">
        <f t="array" ref="AN44">IFERROR(INDEX('[1]Sales per type Agustus'!$D$10:$BA$52,MATCH($C44,'[1]Sales per type Agustus'!$B$10:$B$52,0),MATCH("Y31d Pro",'[1]Sales per type Agustus'!$D$8:$BA$8,0)+1),0)</f>
        <v>43390000</v>
      </c>
      <c r="AO44" s="33">
        <f t="shared" si="11"/>
        <v>-22095000</v>
      </c>
      <c r="AP44" s="33" cm="1">
        <f t="array" ref="AP44">IFERROR(INDEX('[1]SALES PERTYPE'!$D$10:$BA$53,MATCH($C44,'[1]SALES PERTYPE'!$B$10:$B$53,0),$EI$3),0)</f>
        <v>2</v>
      </c>
      <c r="AQ44" s="33" cm="1">
        <f t="array" ref="AQ44">IFERROR(INDEX('[1]Sales per type Agustus'!$D$10:$BA$52,MATCH($C44,'[1]Sales per type Agustus'!$B$10:$B$52,0),$EI$2),0)</f>
        <v>0</v>
      </c>
      <c r="AR44" s="33">
        <f t="shared" si="12"/>
        <v>2</v>
      </c>
      <c r="AS44" s="33" cm="1">
        <f t="array" ref="AS44">IFERROR(INDEX('[1]SALES PERTYPE'!$D$10:$BA$53,MATCH($C44,'[1]SALES PERTYPE'!$B$10:$B$53,0),$EI$3+1),0)</f>
        <v>6598000</v>
      </c>
      <c r="AT44" s="33" cm="1">
        <f t="array" ref="AT44">IFERROR(INDEX('[1]Sales per type Agustus'!$D$10:$BA$52,MATCH($C44,'[1]Sales per type Agustus'!$B$10:$B$52,0),$EI$2+1),0)</f>
        <v>0</v>
      </c>
      <c r="AU44" s="33">
        <f t="shared" si="13"/>
        <v>6598000</v>
      </c>
      <c r="AV44" s="33">
        <f>IFERROR(INDEX('[1]SALES PERTYPE'!$D$10:$BA$53,MATCH($C44,'[1]SALES PERTYPE'!$B$10:$B$53,0),MATCH("Y31d ",'[1]SALES PERTYPE'!$D$8:$BA$8,0)),0)</f>
        <v>0</v>
      </c>
      <c r="AW44" s="33">
        <f>IFERROR(INDEX('[1]Sales per type Agustus'!$D$10:$BA$52,MATCH($C44,'[1]Sales per type Agustus'!$B$10:$B$52,0),MATCH("Y31d ",'[1]Sales per type Agustus'!$D$8:$BA$8,0)),0)</f>
        <v>0</v>
      </c>
      <c r="AX44" s="33">
        <f t="shared" si="14"/>
        <v>0</v>
      </c>
      <c r="AY44" s="33" cm="1">
        <f t="array" ref="AY44">IFERROR(INDEX('[1]SALES PERTYPE'!$D$10:$BA$53,MATCH($C44,'[1]SALES PERTYPE'!$B$10:$B$53,0),MATCH("Y31d ",'[1]SALES PERTYPE'!$D$8:$BA$8,0)+1),0)</f>
        <v>0</v>
      </c>
      <c r="AZ44" s="33" cm="1">
        <f t="array" ref="AZ44">IFERROR(INDEX('[1]Sales per type Agustus'!$D$10:$BA$52,MATCH($C44,'[1]Sales per type Agustus'!$B$10:$B$52,0),MATCH("Y31d ",'[1]Sales per type Agustus'!$D$8:$BA$8,0)+1),0)</f>
        <v>0</v>
      </c>
      <c r="BA44" s="33">
        <f t="shared" si="15"/>
        <v>0</v>
      </c>
      <c r="BB44" s="33">
        <f>IFERROR(INDEX('[1]SALES PERTYPE'!$D$10:$BA$53,MATCH($C44,'[1]SALES PERTYPE'!$B$10:$B$53,0),MATCH("V70 FE",'[1]SALES PERTYPE'!$D$8:$BA$8,0)),0)</f>
        <v>3</v>
      </c>
      <c r="BC44" s="33">
        <f>IFERROR(INDEX('[1]Sales per type Agustus'!$D$10:$BA$52,MATCH($C44,'[1]Sales per type Agustus'!$B$10:$B$52,0),MATCH("V70 FE",'[1]Sales per type Agustus'!$D$8:$BA$8,0)),0)</f>
        <v>2</v>
      </c>
      <c r="BD44" s="33">
        <f t="shared" si="16"/>
        <v>1</v>
      </c>
      <c r="BE44" s="33" cm="1">
        <f t="array" ref="BE44">IFERROR(INDEX('[1]SALES PERTYPE'!$D$10:$BA$53,MATCH($C44,'[1]SALES PERTYPE'!$B$10:$B$53,0),MATCH("V70 FE",'[1]SALES PERTYPE'!$D$8:$BA$8,0)+1),0)</f>
        <v>23997000</v>
      </c>
      <c r="BF44" s="33" cm="1">
        <f t="array" ref="BF44">IFERROR(INDEX('[1]Sales per type Agustus'!$D$10:$BA$52,MATCH($C44,'[1]Sales per type Agustus'!$B$10:$B$52,0),MATCH("V70 FE",'[1]Sales per type Agustus'!$D$8:$BA$8,0)+1),0)</f>
        <v>13998000</v>
      </c>
      <c r="BG44" s="33">
        <f t="shared" si="17"/>
        <v>9999000</v>
      </c>
      <c r="BH44" s="33">
        <f>IFERROR(INDEX('[1]SALES PERTYPE'!$D$10:$BA$53,MATCH($C44,'[1]SALES PERTYPE'!$B$10:$B$53,0),MATCH("Y31d",'[1]SALES PERTYPE'!$D$8:$BA$8,0)),0)</f>
        <v>1</v>
      </c>
      <c r="BI44" s="33">
        <f>IFERROR(INDEX('[1]Sales per type Agustus'!$D$10:$BA$52,MATCH($C44,'[1]Sales per type Agustus'!$B$10:$B$52,0),MATCH("Y31d",'[1]Sales per type Agustus'!$D$8:$BA$8,0)),0)</f>
        <v>2</v>
      </c>
      <c r="BJ44" s="33">
        <f t="shared" si="18"/>
        <v>-1</v>
      </c>
      <c r="BK44" s="33" cm="1">
        <f t="array" ref="BK44">IFERROR(INDEX('[1]SALES PERTYPE'!$D$10:$BA$53,MATCH($C44,'[1]SALES PERTYPE'!$B$10:$B$53,0),MATCH("Y31d",'[1]SALES PERTYPE'!$D$8:$BA$8,0)+1),0)</f>
        <v>3599000</v>
      </c>
      <c r="BL44" s="33" cm="1">
        <f t="array" ref="BL44">IFERROR(INDEX('[1]Sales per type Agustus'!$D$10:$BA$52,MATCH($C44,'[1]Sales per type Agustus'!$B$10:$B$52,0),MATCH("Y31d",'[1]Sales per type Agustus'!$D$8:$BA$8,0)+1),0)</f>
        <v>7198000</v>
      </c>
      <c r="BM44" s="33">
        <f t="shared" si="19"/>
        <v>-3599000</v>
      </c>
      <c r="BN44" s="33">
        <f>IFERROR(INDEX('[1]SALES PERTYPE'!$D$10:$BA$53,MATCH($C44,'[1]SALES PERTYPE'!$B$10:$B$53,0),MATCH("Y500",'[1]SALES PERTYPE'!$D$8:$BA$8,0)),0)</f>
        <v>0</v>
      </c>
      <c r="BO44" s="33">
        <f>IFERROR(INDEX('[1]Sales per type Agustus'!$D$10:$BA$52,MATCH($C44,'[1]Sales per type Agustus'!$B$10:$B$52,0),MATCH("Y500",'[1]Sales per type Agustus'!$D$8:$BA$8,0)),0)</f>
        <v>1</v>
      </c>
      <c r="BP44" s="33">
        <f t="shared" si="20"/>
        <v>-1</v>
      </c>
      <c r="BQ44" s="33" cm="1">
        <f t="array" ref="BQ44">IFERROR(INDEX('[1]SALES PERTYPE'!$D$10:$BA$53,MATCH($C44,'[1]SALES PERTYPE'!$B$10:$B$53,0),MATCH("Y500",'[1]SALES PERTYPE'!$D$8:$BA$8,0)+1),0)</f>
        <v>0</v>
      </c>
      <c r="BR44" s="33" cm="1">
        <f t="array" ref="BR44">IFERROR(INDEX('[1]Sales per type Agustus'!$D$10:$BA$52,MATCH($C44,'[1]Sales per type Agustus'!$B$10:$B$52,0),MATCH("Y500",'[1]Sales per type Agustus'!$D$8:$BA$8,0)+1),0)</f>
        <v>6299000</v>
      </c>
      <c r="BS44" s="33">
        <f t="shared" si="21"/>
        <v>-6299000</v>
      </c>
      <c r="BT44" s="33">
        <f>IFERROR(INDEX('[1]SALES PERTYPE'!$D$10:$BA$53,MATCH($C44,'[1]SALES PERTYPE'!$B$10:$B$53,0),MATCH("IQOO 15R",'[1]SALES PERTYPE'!$D$8:$BA$8,0)),0)</f>
        <v>0</v>
      </c>
      <c r="BU44" s="33">
        <f>IFERROR(INDEX('[1]Sales per type Agustus'!$D$10:$BA$52,MATCH($C44,'[1]Sales per type Agustus'!$B$10:$B$52,0),MATCH("IQOO 15R",'[1]Sales per type Agustus'!$D$8:$BA$8,0)),0)</f>
        <v>2</v>
      </c>
      <c r="BV44" s="33">
        <f t="shared" si="22"/>
        <v>-2</v>
      </c>
      <c r="BW44" s="33" cm="1">
        <f t="array" ref="BW44">IFERROR(INDEX('[1]SALES PERTYPE'!$D$10:$BA$53,MATCH($C44,'[1]SALES PERTYPE'!$B$10:$B$53,0),MATCH("IQOO 15R",'[1]SALES PERTYPE'!$D$8:$BA$8,0)+1),0)</f>
        <v>0</v>
      </c>
      <c r="BX44" s="33" cm="1">
        <f t="array" ref="BX44">IFERROR(INDEX('[1]Sales per type Agustus'!$D$10:$BA$52,MATCH($C44,'[1]Sales per type Agustus'!$B$10:$B$52,0),MATCH("IQOO 15R",'[1]Sales per type Agustus'!$D$8:$BA$8,0)+1),0)</f>
        <v>23998000</v>
      </c>
      <c r="BY44" s="33">
        <f t="shared" si="23"/>
        <v>-23998000</v>
      </c>
      <c r="BZ44" s="33">
        <f>IFERROR(INDEX('[1]SALES PERTYPE'!$D$10:$BA$53,MATCH($C44,'[1]SALES PERTYPE'!$B$10:$B$53,0),MATCH("V60 Lite",'[1]SALES PERTYPE'!$D$8:$BA$8,0)),0)</f>
        <v>4</v>
      </c>
      <c r="CA44" s="33">
        <f>IFERROR(INDEX('[1]Sales per type Agustus'!$D$10:$BA$52,MATCH($C44,'[1]Sales per type Agustus'!$B$10:$B$52,0),MATCH("V60 Lite",'[1]Sales per type Agustus'!$D$8:$BA$8,0)),0)</f>
        <v>3</v>
      </c>
      <c r="CB44" s="33">
        <f t="shared" si="24"/>
        <v>1</v>
      </c>
      <c r="CC44" s="33" cm="1">
        <f t="array" ref="CC44">IFERROR(INDEX('[1]SALES PERTYPE'!$D$10:$BA$53,MATCH($C44,'[1]SALES PERTYPE'!$B$10:$B$53,0),MATCH("V60 Lite",'[1]SALES PERTYPE'!$D$8:$BA$8,0)+1),0)</f>
        <v>23596000</v>
      </c>
      <c r="CD44" s="33" cm="1">
        <f t="array" ref="CD44">IFERROR(INDEX('[1]Sales per type Agustus'!$D$10:$BA$52,MATCH($C44,'[1]Sales per type Agustus'!$B$10:$B$52,0),MATCH("V60 Lite",'[1]Sales per type Agustus'!$D$8:$BA$8,0)+1),0)</f>
        <v>17697000</v>
      </c>
      <c r="CE44" s="33">
        <f t="shared" si="25"/>
        <v>5899000</v>
      </c>
      <c r="CF44" s="33">
        <f>IFERROR(INDEX('[1]SALES PERTYPE'!$D$10:$BA$53,MATCH($C44,'[1]SALES PERTYPE'!$B$10:$B$53,0),MATCH("X300 Ultra",'[1]SALES PERTYPE'!$D$8:$BA$8,0)),0)</f>
        <v>0</v>
      </c>
      <c r="CG44" s="33">
        <f>IFERROR(INDEX('[1]Sales per type Agustus'!$D$10:$BA$52,MATCH($C44,'[1]Sales per type Agustus'!$B$10:$B$52,0),MATCH("X300 Ultra",'[1]Sales per type Agustus'!$D$8:$BA$8,0)),0)</f>
        <v>0</v>
      </c>
      <c r="CH44" s="33">
        <f t="shared" si="26"/>
        <v>0</v>
      </c>
      <c r="CI44" s="33" cm="1">
        <f t="array" ref="CI44">IFERROR(INDEX('[1]SALES PERTYPE'!$D$10:$BA$53,MATCH($C44,'[1]SALES PERTYPE'!$B$10:$B$53,0),MATCH("X300 Ultra",'[1]SALES PERTYPE'!$D$8:$BA$8,0)+1),0)</f>
        <v>0</v>
      </c>
      <c r="CJ44" s="33" cm="1">
        <f t="array" ref="CJ44">IFERROR(INDEX('[1]Sales per type Agustus'!$D$10:$BA$52,MATCH($C44,'[1]Sales per type Agustus'!$B$10:$B$52,0),MATCH("X300 Ultra",'[1]Sales per type Agustus'!$D$8:$BA$8,0)+1),0)</f>
        <v>0</v>
      </c>
      <c r="CK44" s="33">
        <f t="shared" si="27"/>
        <v>0</v>
      </c>
      <c r="CL44" s="33">
        <f>IFERROR(INDEX('[1]SALES PERTYPE'!$D$10:$BA$53,MATCH($C44,'[1]SALES PERTYPE'!$B$10:$B$53,0),MATCH("IQOO 15",'[1]SALES PERTYPE'!$D$8:$BA$8,0)),0)</f>
        <v>0</v>
      </c>
      <c r="CM44" s="33">
        <f>IFERROR(INDEX('[1]Sales per type Agustus'!$D$10:$BA$52,MATCH($C44,'[1]Sales per type Agustus'!$B$10:$B$52,0),MATCH("IQOO 15",'[1]Sales per type Agustus'!$D$8:$BA$8,0)),0)</f>
        <v>0</v>
      </c>
      <c r="CN44" s="33">
        <f t="shared" si="28"/>
        <v>0</v>
      </c>
      <c r="CO44" s="33" cm="1">
        <f t="array" ref="CO44">IFERROR(INDEX('[1]SALES PERTYPE'!$D$10:$BA$53,MATCH($C44,'[1]SALES PERTYPE'!$B$10:$B$53,0),MATCH("IQOO 15",'[1]SALES PERTYPE'!$D$8:$BA$8,0)+1),0)</f>
        <v>0</v>
      </c>
      <c r="CP44" s="33" cm="1">
        <f t="array" ref="CP44">IFERROR(INDEX('[1]Sales per type Agustus'!$D$10:$BA$52,MATCH($C44,'[1]Sales per type Agustus'!$B$10:$B$52,0),MATCH("IQOO 15",'[1]Sales per type Agustus'!$D$8:$BA$8,0)+1),0)</f>
        <v>0</v>
      </c>
      <c r="CQ44" s="33">
        <f t="shared" si="29"/>
        <v>0</v>
      </c>
      <c r="CR44" s="33">
        <f>IFERROR(INDEX('[1]SALES PERTYPE'!$D$10:$BA$53,MATCH($C44,'[1]SALES PERTYPE'!$B$10:$B$53,0),MATCH("IQOO Z11x",'[1]SALES PERTYPE'!$D$8:$BA$8,0)),0)</f>
        <v>2</v>
      </c>
      <c r="CS44" s="33">
        <f>IFERROR(INDEX('[1]Sales per type Agustus'!$D$10:$BA$52,MATCH($C44,'[1]Sales per type Agustus'!$B$10:$B$52,0),MATCH("IQOO Z11x",'[1]Sales per type Agustus'!$D$8:$BA$8,0)),0)</f>
        <v>1</v>
      </c>
      <c r="CT44" s="33">
        <f t="shared" si="30"/>
        <v>1</v>
      </c>
      <c r="CU44" s="33" cm="1">
        <f t="array" ref="CU44">IFERROR(INDEX('[1]SALES PERTYPE'!$D$10:$BA$53,MATCH($C44,'[1]SALES PERTYPE'!$B$10:$B$53,0),MATCH("IQOO Z11x",'[1]SALES PERTYPE'!$D$8:$BA$8,0)+1),0)</f>
        <v>11398000</v>
      </c>
      <c r="CV44" s="33" cm="1">
        <f t="array" ref="CV44">IFERROR(INDEX('[1]Sales per type Agustus'!$D$10:$BA$52,MATCH($C44,'[1]Sales per type Agustus'!$B$10:$B$52,0),MATCH("IQOO Z11x",'[1]Sales per type Agustus'!$D$8:$BA$8,0)+1),0)</f>
        <v>5699000</v>
      </c>
      <c r="CW44" s="33">
        <f t="shared" si="31"/>
        <v>5699000</v>
      </c>
      <c r="CX44" s="33">
        <f>IFERROR(INDEX('[1]SALES PERTYPE'!$D$10:$BA$53,MATCH($C44,'[1]SALES PERTYPE'!$B$10:$B$53,0),MATCH("IQOO Z11",'[1]SALES PERTYPE'!$D$8:$BA$8,0)),0)</f>
        <v>2</v>
      </c>
      <c r="CY44" s="33">
        <f>IFERROR(INDEX('[1]Sales per type Agustus'!$D$10:$BA$52,MATCH($C44,'[1]Sales per type Agustus'!$B$10:$B$52,0),MATCH("IQOO Z11",'[1]Sales per type Agustus'!$D$8:$BA$8,0)),0)</f>
        <v>3</v>
      </c>
      <c r="CZ44" s="33">
        <f t="shared" si="32"/>
        <v>-1</v>
      </c>
      <c r="DA44" s="33" cm="1">
        <f t="array" ref="DA44">IFERROR(INDEX('[1]SALES PERTYPE'!$D$10:$BA$53,MATCH($C44,'[1]SALES PERTYPE'!$B$10:$B$53,0),MATCH("IQOO Z11",'[1]SALES PERTYPE'!$D$8:$BA$8,0)+1),0)</f>
        <v>13798000</v>
      </c>
      <c r="DB44" s="33" cm="1">
        <f t="array" ref="DB44">IFERROR(INDEX('[1]Sales per type Agustus'!$D$10:$BA$52,MATCH($C44,'[1]Sales per type Agustus'!$B$10:$B$52,0),MATCH("IQOO Z11",'[1]Sales per type Agustus'!$D$8:$BA$8,0)+1),0)</f>
        <v>21997000</v>
      </c>
      <c r="DC44" s="33">
        <f t="shared" si="33"/>
        <v>-8199000</v>
      </c>
      <c r="DD44" s="33">
        <f>IFERROR(INDEX('[1]SALES PERTYPE'!$D$10:$BA$53,MATCH($C44,'[1]SALES PERTYPE'!$B$10:$B$53,0),MATCH("WATCH 3",'[1]SALES PERTYPE'!$D$8:$BA$8,0)),0)</f>
        <v>0</v>
      </c>
      <c r="DE44" s="33">
        <f>IFERROR(INDEX('[1]Sales per type Agustus'!$D$10:$BA$52,MATCH($C44,'[1]Sales per type Agustus'!$B$10:$B$52,0),MATCH("WATCH 3",'[1]Sales per type Agustus'!$D$8:$BA$8,0)),0)</f>
        <v>0</v>
      </c>
      <c r="DF44" s="33">
        <f t="shared" si="34"/>
        <v>0</v>
      </c>
      <c r="DG44" s="33" cm="1">
        <f t="array" ref="DG44">IFERROR(INDEX('[1]SALES PERTYPE'!$D$10:$BA$53,MATCH($C44,'[1]SALES PERTYPE'!$B$10:$B$53,0),MATCH("WATCH 3",'[1]SALES PERTYPE'!$D$8:$BA$8,0)+1),0)</f>
        <v>0</v>
      </c>
      <c r="DH44" s="33" cm="1">
        <f t="array" ref="DH44">IFERROR(INDEX('[1]Sales per type Agustus'!$D$10:$BA$52,MATCH($C44,'[1]Sales per type Agustus'!$B$10:$B$52,0),MATCH("WATCH 3",'[1]Sales per type Agustus'!$D$8:$BA$8,0)+1),0)</f>
        <v>0</v>
      </c>
      <c r="DI44" s="33">
        <f t="shared" si="35"/>
        <v>0</v>
      </c>
      <c r="DJ44" s="33">
        <f>IFERROR(INDEX('[1]SALES PERTYPE'!$D$10:$BA$53,MATCH($C44,'[1]SALES PERTYPE'!$B$10:$B$53,0),MATCH("X Fold5",'[1]SALES PERTYPE'!$D$8:$BA$8,0)),0)</f>
        <v>0</v>
      </c>
      <c r="DK44" s="33">
        <f>IFERROR(INDEX('[1]Sales per type Agustus'!$D$10:$BA$52,MATCH($C44,'[1]Sales per type Agustus'!$B$10:$B$52,0),MATCH("X Fold5",'[1]Sales per type Agustus'!$D$8:$BA$8,0)),0)</f>
        <v>0</v>
      </c>
      <c r="DL44" s="33">
        <f t="shared" si="36"/>
        <v>0</v>
      </c>
      <c r="DM44" s="33" cm="1">
        <f t="array" ref="DM44">IFERROR(INDEX('[1]SALES PERTYPE'!$D$10:$BA$53,MATCH($C44,'[1]SALES PERTYPE'!$B$10:$B$53,0),MATCH("X Fold5",'[1]SALES PERTYPE'!$D$8:$BA$8,0)+1),0)</f>
        <v>0</v>
      </c>
      <c r="DN44" s="33" cm="1">
        <f t="array" ref="DN44">IFERROR(INDEX('[1]Sales per type Agustus'!$D$10:$BA$52,MATCH($C44,'[1]Sales per type Agustus'!$B$10:$B$52,0),MATCH("X Fold5",'[1]Sales per type Agustus'!$D$8:$BA$8,0)+1),0)</f>
        <v>0</v>
      </c>
      <c r="DO44" s="33">
        <f t="shared" si="37"/>
        <v>0</v>
      </c>
      <c r="DP44" s="33">
        <f>IFERROR(INDEX('[1]SALES PERTYPE'!$D$10:$BA$53,MATCH($C44,'[1]SALES PERTYPE'!$B$10:$B$53,0),MATCH("X300 PRO",'[1]SALES PERTYPE'!$D$8:$BA$8,0)),0)</f>
        <v>0</v>
      </c>
      <c r="DQ44" s="33">
        <f>IFERROR(INDEX('[1]Sales per type Agustus'!$D$10:$BA$52,MATCH($C44,'[1]Sales per type Agustus'!$B$10:$B$52,0),MATCH("X300 PRO",'[1]Sales per type Agustus'!$D$8:$BA$8,0)),0)</f>
        <v>0</v>
      </c>
      <c r="DR44" s="33">
        <f t="shared" si="38"/>
        <v>0</v>
      </c>
      <c r="DS44" s="33" cm="1">
        <f t="array" ref="DS44">IFERROR(INDEX('[1]SALES PERTYPE'!$D$10:$BA$53,MATCH($C44,'[1]SALES PERTYPE'!$B$10:$B$53,0),MATCH("X300 PRO",'[1]SALES PERTYPE'!$D$8:$BA$8,0)+1),0)</f>
        <v>0</v>
      </c>
      <c r="DT44" s="33" cm="1">
        <f t="array" ref="DT44">IFERROR(INDEX('[1]Sales per type Agustus'!$D$10:$BA$52,MATCH($C44,'[1]Sales per type Agustus'!$B$10:$B$52,0),MATCH("X300 PRO",'[1]Sales per type Agustus'!$D$8:$BA$8,0)+1),0)</f>
        <v>0</v>
      </c>
      <c r="DU44" s="33">
        <f t="shared" si="39"/>
        <v>0</v>
      </c>
      <c r="DV44" s="33">
        <f>IFERROR(INDEX('[1]SALES PERTYPE'!$D$10:$BA$53,MATCH($C44,'[1]SALES PERTYPE'!$B$10:$B$53,0),MATCH("X300 ",'[1]SALES PERTYPE'!$D$8:$BA$8,0)),0)</f>
        <v>0</v>
      </c>
      <c r="DW44" s="33">
        <f>IFERROR(INDEX('[1]Sales per type Agustus'!$D$10:$BA$52,MATCH($C44,'[1]Sales per type Agustus'!$B$10:$B$52,0),MATCH("X300 ",'[1]Sales per type Agustus'!$D$8:$BA$8,0)),0)</f>
        <v>0</v>
      </c>
      <c r="DX44" s="33">
        <f t="shared" si="40"/>
        <v>0</v>
      </c>
      <c r="DY44" s="33" cm="1">
        <f t="array" ref="DY44">IFERROR(INDEX('[1]SALES PERTYPE'!$D$10:$BA$53,MATCH($C44,'[1]SALES PERTYPE'!$B$10:$B$53,0),MATCH("X300 ",'[1]SALES PERTYPE'!$D$8:$BA$8,0)+1),0)</f>
        <v>0</v>
      </c>
      <c r="DZ44" s="33" cm="1">
        <f t="array" ref="DZ44">IFERROR(INDEX('[1]Sales per type Agustus'!$D$10:$BA$52,MATCH($C44,'[1]Sales per type Agustus'!$B$10:$B$52,0),MATCH("X300 ",'[1]Sales per type Agustus'!$D$8:$BA$8,0)+1),0)</f>
        <v>0</v>
      </c>
      <c r="EA44" s="33">
        <f t="shared" si="41"/>
        <v>0</v>
      </c>
      <c r="EB44" s="33">
        <f t="shared" si="42"/>
        <v>41</v>
      </c>
      <c r="EC44" s="33">
        <f t="shared" si="42"/>
        <v>57</v>
      </c>
      <c r="ED44" s="33">
        <f t="shared" si="43"/>
        <v>-16</v>
      </c>
      <c r="EE44" s="33">
        <f t="shared" si="44"/>
        <v>173959000</v>
      </c>
      <c r="EF44" s="33">
        <f t="shared" si="44"/>
        <v>251243000</v>
      </c>
      <c r="EG44" s="33">
        <f t="shared" si="45"/>
        <v>-77284000</v>
      </c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</row>
    <row r="45" spans="1:184" ht="16" x14ac:dyDescent="0.2">
      <c r="A45" s="31">
        <f>'[1]ACHIEVEMENT STORE'!A45</f>
        <v>41</v>
      </c>
      <c r="B45" s="32" t="str">
        <f>'[1]ACHIEVEMENT STORE'!B45</f>
        <v>614 三宝垄 Semarang</v>
      </c>
      <c r="C45" s="31">
        <f>'[1]ACHIEVEMENT STORE'!C45</f>
        <v>6100702</v>
      </c>
      <c r="D45" s="32" t="str">
        <f>'[1]ACHIEVEMENT STORE'!D45</f>
        <v>6100702-Jogja City Mall VIVO STORE</v>
      </c>
      <c r="E45" s="32" t="str">
        <f>'[1]ACHIEVEMENT STORE'!E45</f>
        <v>BIRILYAN KUSWARA</v>
      </c>
      <c r="F45" s="33">
        <f>IFERROR(INDEX('[1]SALES PERTYPE'!$D$10:$BA$53,MATCH($C45,'[1]SALES PERTYPE'!$B$10:$B$53,0),MATCH("Y05",'[1]SALES PERTYPE'!$D$8:$BA$8,0)),0)</f>
        <v>5</v>
      </c>
      <c r="G45" s="33">
        <f>IFERROR(INDEX('[1]Sales per type Agustus'!$D$10:$BA$52,MATCH($C45,'[1]Sales per type Agustus'!$B$10:$B$52,0),MATCH("Y05",'[1]Sales per type Agustus'!$D$8:$BA$8,0)),0)</f>
        <v>1</v>
      </c>
      <c r="H45" s="33">
        <f t="shared" si="0"/>
        <v>4</v>
      </c>
      <c r="I45" s="33" cm="1">
        <f t="array" ref="I45">IFERROR(INDEX('[1]SALES PERTYPE'!$D$10:$BA$53,MATCH($C45,'[1]SALES PERTYPE'!$B$10:$B$53,0),MATCH("Y05",'[1]SALES PERTYPE'!$D$8:$BA$8,0)+1),0)</f>
        <v>12395000</v>
      </c>
      <c r="J45" s="33" cm="1">
        <f t="array" ref="J45">IFERROR(INDEX('[1]Sales per type Agustus'!$D$10:$BA$52,MATCH($C45,'[1]Sales per type Agustus'!$B$10:$B$52,0),MATCH("Y05",'[1]Sales per type Agustus'!$D$8:$BA$8,0)+1),0)</f>
        <v>2299000</v>
      </c>
      <c r="K45" s="33">
        <f t="shared" si="1"/>
        <v>10096000</v>
      </c>
      <c r="L45" s="33">
        <f>IFERROR(INDEX('[1]SALES PERTYPE'!$D$10:$BA$53,MATCH($C45,'[1]SALES PERTYPE'!$B$10:$B$53,0),MATCH("Y11d",'[1]SALES PERTYPE'!$D$8:$BA$8,0)),0)</f>
        <v>1</v>
      </c>
      <c r="M45" s="33">
        <f>IFERROR(INDEX('[1]Sales per type Agustus'!$D$10:$BA$52,MATCH($C45,'[1]Sales per type Agustus'!$B$10:$B$52,0),MATCH("Y11d",'[1]Sales per type Agustus'!$D$8:$BA$8,0)),0)</f>
        <v>4</v>
      </c>
      <c r="N45" s="33">
        <f t="shared" si="2"/>
        <v>-3</v>
      </c>
      <c r="O45" s="33" cm="1">
        <f t="array" ref="O45">IFERROR(INDEX('[1]SALES PERTYPE'!$D$10:$BA$53,MATCH($C45,'[1]SALES PERTYPE'!$B$10:$B$53,0),MATCH("Y11d",'[1]SALES PERTYPE'!$D$8:$BA$8,0)+1),0)</f>
        <v>2399000</v>
      </c>
      <c r="P45" s="33" cm="1">
        <f t="array" ref="P45">IFERROR(INDEX('[1]Sales per type Agustus'!$D$10:$BA$52,MATCH($C45,'[1]Sales per type Agustus'!$B$10:$B$52,0),MATCH("Y11d",'[1]Sales per type Agustus'!$D$8:$BA$8,0)+1),0)</f>
        <v>9996000</v>
      </c>
      <c r="Q45" s="33">
        <f t="shared" si="3"/>
        <v>-7597000</v>
      </c>
      <c r="R45" s="33">
        <f>IFERROR(INDEX('[1]SALES PERTYPE'!$D$10:$BA$53,MATCH($C45,'[1]SALES PERTYPE'!$B$10:$B$53,0),MATCH("Watch GT 2",'[1]SALES PERTYPE'!$D$8:$BA$8,0)),0)</f>
        <v>0</v>
      </c>
      <c r="S45" s="33">
        <f>IFERROR(INDEX('[1]Sales per type Agustus'!$D$10:$BA$52,MATCH($C45,'[1]Sales per type Agustus'!$B$10:$B$52,0),MATCH("Watch GT 2",'[1]Sales per type Agustus'!$D$8:$BA$8,0)),0)</f>
        <v>1</v>
      </c>
      <c r="T45" s="33">
        <f t="shared" si="4"/>
        <v>-1</v>
      </c>
      <c r="U45" s="33" cm="1">
        <f t="array" ref="U45">IFERROR(INDEX('[1]SALES PERTYPE'!$D$10:$BA$53,MATCH($C45,'[1]SALES PERTYPE'!$B$10:$B$53,0),MATCH("Watch GT 2",'[1]SALES PERTYPE'!$D$8:$BA$8,0)+1),0)</f>
        <v>0</v>
      </c>
      <c r="V45" s="33" cm="1">
        <f t="array" ref="V45">IFERROR(INDEX('[1]Sales per type Agustus'!$D$10:$BA$52,MATCH($C45,'[1]Sales per type Agustus'!$B$10:$B$52,0),MATCH("Watch GT 2",'[1]Sales per type Agustus'!$D$8:$BA$8,0)+1),0)</f>
        <v>1799000</v>
      </c>
      <c r="W45" s="33">
        <f t="shared" si="5"/>
        <v>-1799000</v>
      </c>
      <c r="X45" s="33">
        <f>IFERROR(INDEX('[1]SALES PERTYPE'!$D$10:$BA$53,MATCH($C45,'[1]SALES PERTYPE'!$B$10:$B$53,0),MATCH("Y05e",'[1]SALES PERTYPE'!$D$8:$BA$8,0)),0)</f>
        <v>3</v>
      </c>
      <c r="Y45" s="33">
        <f>IFERROR(INDEX('[1]Sales per type Agustus'!$D$10:$BA$52,MATCH($C45,'[1]Sales per type Agustus'!$B$10:$B$52,0),MATCH("Y05e",'[1]Sales per type Agustus'!$D$8:$BA$8,0)),0)</f>
        <v>3</v>
      </c>
      <c r="Z45" s="33">
        <f t="shared" si="6"/>
        <v>0</v>
      </c>
      <c r="AA45" s="33" cm="1">
        <f t="array" ref="AA45">IFERROR(INDEX('[1]SALES PERTYPE'!$D$10:$BA$53,MATCH($C45,'[1]SALES PERTYPE'!$B$10:$B$53,0),MATCH("Y05e",'[1]SALES PERTYPE'!$D$8:$BA$8,0)+1),0)</f>
        <v>6297000</v>
      </c>
      <c r="AB45" s="33" cm="1">
        <f t="array" ref="AB45">IFERROR(INDEX('[1]Sales per type Agustus'!$D$10:$BA$52,MATCH($C45,'[1]Sales per type Agustus'!$B$10:$B$52,0),MATCH("Y05e",'[1]Sales per type Agustus'!$D$8:$BA$8,0)+1),0)</f>
        <v>6297000</v>
      </c>
      <c r="AC45" s="33">
        <f t="shared" si="7"/>
        <v>0</v>
      </c>
      <c r="AD45" s="33">
        <f>IFERROR(INDEX('[1]SALES PERTYPE'!$D$10:$BA$53,MATCH($C45,'[1]SALES PERTYPE'!$B$10:$B$53,0),MATCH("V70",'[1]SALES PERTYPE'!$D$8:$BA$8,0)),0)</f>
        <v>2</v>
      </c>
      <c r="AE45" s="33">
        <f>IFERROR(INDEX('[1]Sales per type Agustus'!$D$10:$BA$52,MATCH($C45,'[1]Sales per type Agustus'!$B$10:$B$52,0),MATCH("V70",'[1]Sales per type Agustus'!$D$8:$BA$8,0)),0)</f>
        <v>1</v>
      </c>
      <c r="AF45" s="33">
        <f t="shared" si="8"/>
        <v>1</v>
      </c>
      <c r="AG45" s="33" cm="1">
        <f t="array" ref="AG45">IFERROR(INDEX('[1]SALES PERTYPE'!$D$10:$BA$53,MATCH($C45,'[1]SALES PERTYPE'!$B$10:$B$53,0),MATCH("V70",'[1]SALES PERTYPE'!$D$8:$BA$8,0)+1),0)</f>
        <v>19998000</v>
      </c>
      <c r="AH45" s="33" cm="1">
        <f t="array" ref="AH45">IFERROR(INDEX('[1]Sales per type Agustus'!$D$10:$BA$52,MATCH($C45,'[1]Sales per type Agustus'!$B$10:$B$52,0),MATCH("V70",'[1]Sales per type Agustus'!$D$8:$BA$8,0)+1),0)</f>
        <v>9999000</v>
      </c>
      <c r="AI45" s="33">
        <f t="shared" si="9"/>
        <v>9999000</v>
      </c>
      <c r="AJ45" s="33">
        <f>IFERROR(INDEX('[1]SALES PERTYPE'!$D$10:$BA$53,MATCH($C45,'[1]SALES PERTYPE'!$B$10:$B$53,0),MATCH("Y31d Pro",'[1]SALES PERTYPE'!$D$8:$BA$8,0)),0)</f>
        <v>1</v>
      </c>
      <c r="AK45" s="33">
        <f>IFERROR(INDEX('[1]Sales per type Agustus'!$D$10:$BA$52,MATCH($C45,'[1]Sales per type Agustus'!$B$10:$B$52,0),MATCH("Y31d Pro",'[1]Sales per type Agustus'!$D$8:$BA$8,0)),0)</f>
        <v>5</v>
      </c>
      <c r="AL45" s="33">
        <f t="shared" si="10"/>
        <v>-4</v>
      </c>
      <c r="AM45" s="33" cm="1">
        <f t="array" ref="AM45">IFERROR(INDEX('[1]SALES PERTYPE'!$D$10:$BA$53,MATCH($C45,'[1]SALES PERTYPE'!$B$10:$B$53,0),MATCH("Y31d Pro",'[1]SALES PERTYPE'!$D$8:$BA$8,0)+1),0)</f>
        <v>3899000</v>
      </c>
      <c r="AN45" s="33" cm="1">
        <f t="array" ref="AN45">IFERROR(INDEX('[1]Sales per type Agustus'!$D$10:$BA$52,MATCH($C45,'[1]Sales per type Agustus'!$B$10:$B$52,0),MATCH("Y31d Pro",'[1]Sales per type Agustus'!$D$8:$BA$8,0)+1),0)</f>
        <v>21895000</v>
      </c>
      <c r="AO45" s="33">
        <f t="shared" si="11"/>
        <v>-17996000</v>
      </c>
      <c r="AP45" s="33" cm="1">
        <f t="array" ref="AP45">IFERROR(INDEX('[1]SALES PERTYPE'!$D$10:$BA$53,MATCH($C45,'[1]SALES PERTYPE'!$B$10:$B$53,0),$EI$3),0)</f>
        <v>0</v>
      </c>
      <c r="AQ45" s="33" cm="1">
        <f t="array" ref="AQ45">IFERROR(INDEX('[1]Sales per type Agustus'!$D$10:$BA$52,MATCH($C45,'[1]Sales per type Agustus'!$B$10:$B$52,0),$EI$2),0)</f>
        <v>0</v>
      </c>
      <c r="AR45" s="33">
        <f t="shared" si="12"/>
        <v>0</v>
      </c>
      <c r="AS45" s="33" cm="1">
        <f t="array" ref="AS45">IFERROR(INDEX('[1]SALES PERTYPE'!$D$10:$BA$53,MATCH($C45,'[1]SALES PERTYPE'!$B$10:$B$53,0),$EI$3+1),0)</f>
        <v>0</v>
      </c>
      <c r="AT45" s="33" cm="1">
        <f t="array" ref="AT45">IFERROR(INDEX('[1]Sales per type Agustus'!$D$10:$BA$52,MATCH($C45,'[1]Sales per type Agustus'!$B$10:$B$52,0),$EI$2+1),0)</f>
        <v>0</v>
      </c>
      <c r="AU45" s="33">
        <f t="shared" si="13"/>
        <v>0</v>
      </c>
      <c r="AV45" s="33">
        <f>IFERROR(INDEX('[1]SALES PERTYPE'!$D$10:$BA$53,MATCH($C45,'[1]SALES PERTYPE'!$B$10:$B$53,0),MATCH("Y31d ",'[1]SALES PERTYPE'!$D$8:$BA$8,0)),0)</f>
        <v>1</v>
      </c>
      <c r="AW45" s="33">
        <f>IFERROR(INDEX('[1]Sales per type Agustus'!$D$10:$BA$52,MATCH($C45,'[1]Sales per type Agustus'!$B$10:$B$52,0),MATCH("Y31d ",'[1]Sales per type Agustus'!$D$8:$BA$8,0)),0)</f>
        <v>1</v>
      </c>
      <c r="AX45" s="33">
        <f t="shared" si="14"/>
        <v>0</v>
      </c>
      <c r="AY45" s="33" cm="1">
        <f t="array" ref="AY45">IFERROR(INDEX('[1]SALES PERTYPE'!$D$10:$BA$53,MATCH($C45,'[1]SALES PERTYPE'!$B$10:$B$53,0),MATCH("Y31d ",'[1]SALES PERTYPE'!$D$8:$BA$8,0)+1),0)</f>
        <v>3599000</v>
      </c>
      <c r="AZ45" s="33" cm="1">
        <f t="array" ref="AZ45">IFERROR(INDEX('[1]Sales per type Agustus'!$D$10:$BA$52,MATCH($C45,'[1]Sales per type Agustus'!$B$10:$B$52,0),MATCH("Y31d ",'[1]Sales per type Agustus'!$D$8:$BA$8,0)+1),0)</f>
        <v>3599000</v>
      </c>
      <c r="BA45" s="33">
        <f t="shared" si="15"/>
        <v>0</v>
      </c>
      <c r="BB45" s="33">
        <f>IFERROR(INDEX('[1]SALES PERTYPE'!$D$10:$BA$53,MATCH($C45,'[1]SALES PERTYPE'!$B$10:$B$53,0),MATCH("V70 FE",'[1]SALES PERTYPE'!$D$8:$BA$8,0)),0)</f>
        <v>2</v>
      </c>
      <c r="BC45" s="33">
        <f>IFERROR(INDEX('[1]Sales per type Agustus'!$D$10:$BA$52,MATCH($C45,'[1]Sales per type Agustus'!$B$10:$B$52,0),MATCH("V70 FE",'[1]Sales per type Agustus'!$D$8:$BA$8,0)),0)</f>
        <v>0</v>
      </c>
      <c r="BD45" s="33">
        <f t="shared" si="16"/>
        <v>2</v>
      </c>
      <c r="BE45" s="33" cm="1">
        <f t="array" ref="BE45">IFERROR(INDEX('[1]SALES PERTYPE'!$D$10:$BA$53,MATCH($C45,'[1]SALES PERTYPE'!$B$10:$B$53,0),MATCH("V70 FE",'[1]SALES PERTYPE'!$D$8:$BA$8,0)+1),0)</f>
        <v>13998000</v>
      </c>
      <c r="BF45" s="33" cm="1">
        <f t="array" ref="BF45">IFERROR(INDEX('[1]Sales per type Agustus'!$D$10:$BA$52,MATCH($C45,'[1]Sales per type Agustus'!$B$10:$B$52,0),MATCH("V70 FE",'[1]Sales per type Agustus'!$D$8:$BA$8,0)+1),0)</f>
        <v>0</v>
      </c>
      <c r="BG45" s="33">
        <f t="shared" si="17"/>
        <v>13998000</v>
      </c>
      <c r="BH45" s="33">
        <f>IFERROR(INDEX('[1]SALES PERTYPE'!$D$10:$BA$53,MATCH($C45,'[1]SALES PERTYPE'!$B$10:$B$53,0),MATCH("Y31d",'[1]SALES PERTYPE'!$D$8:$BA$8,0)),0)</f>
        <v>2</v>
      </c>
      <c r="BI45" s="33">
        <f>IFERROR(INDEX('[1]Sales per type Agustus'!$D$10:$BA$52,MATCH($C45,'[1]Sales per type Agustus'!$B$10:$B$52,0),MATCH("Y31d",'[1]Sales per type Agustus'!$D$8:$BA$8,0)),0)</f>
        <v>3</v>
      </c>
      <c r="BJ45" s="33">
        <f t="shared" si="18"/>
        <v>-1</v>
      </c>
      <c r="BK45" s="33" cm="1">
        <f t="array" ref="BK45">IFERROR(INDEX('[1]SALES PERTYPE'!$D$10:$BA$53,MATCH($C45,'[1]SALES PERTYPE'!$B$10:$B$53,0),MATCH("Y31d",'[1]SALES PERTYPE'!$D$8:$BA$8,0)+1),0)</f>
        <v>7198000</v>
      </c>
      <c r="BL45" s="33" cm="1">
        <f t="array" ref="BL45">IFERROR(INDEX('[1]Sales per type Agustus'!$D$10:$BA$52,MATCH($C45,'[1]Sales per type Agustus'!$B$10:$B$52,0),MATCH("Y31d",'[1]Sales per type Agustus'!$D$8:$BA$8,0)+1),0)</f>
        <v>10797000</v>
      </c>
      <c r="BM45" s="33">
        <f t="shared" si="19"/>
        <v>-3599000</v>
      </c>
      <c r="BN45" s="33">
        <f>IFERROR(INDEX('[1]SALES PERTYPE'!$D$10:$BA$53,MATCH($C45,'[1]SALES PERTYPE'!$B$10:$B$53,0),MATCH("Y500",'[1]SALES PERTYPE'!$D$8:$BA$8,0)),0)</f>
        <v>3</v>
      </c>
      <c r="BO45" s="33">
        <f>IFERROR(INDEX('[1]Sales per type Agustus'!$D$10:$BA$52,MATCH($C45,'[1]Sales per type Agustus'!$B$10:$B$52,0),MATCH("Y500",'[1]Sales per type Agustus'!$D$8:$BA$8,0)),0)</f>
        <v>0</v>
      </c>
      <c r="BP45" s="33">
        <f t="shared" si="20"/>
        <v>3</v>
      </c>
      <c r="BQ45" s="33" cm="1">
        <f t="array" ref="BQ45">IFERROR(INDEX('[1]SALES PERTYPE'!$D$10:$BA$53,MATCH($C45,'[1]SALES PERTYPE'!$B$10:$B$53,0),MATCH("Y500",'[1]SALES PERTYPE'!$D$8:$BA$8,0)+1),0)</f>
        <v>18097000</v>
      </c>
      <c r="BR45" s="33" cm="1">
        <f t="array" ref="BR45">IFERROR(INDEX('[1]Sales per type Agustus'!$D$10:$BA$52,MATCH($C45,'[1]Sales per type Agustus'!$B$10:$B$52,0),MATCH("Y500",'[1]Sales per type Agustus'!$D$8:$BA$8,0)+1),0)</f>
        <v>0</v>
      </c>
      <c r="BS45" s="33">
        <f t="shared" si="21"/>
        <v>18097000</v>
      </c>
      <c r="BT45" s="33">
        <f>IFERROR(INDEX('[1]SALES PERTYPE'!$D$10:$BA$53,MATCH($C45,'[1]SALES PERTYPE'!$B$10:$B$53,0),MATCH("IQOO 15R",'[1]SALES PERTYPE'!$D$8:$BA$8,0)),0)</f>
        <v>1</v>
      </c>
      <c r="BU45" s="33">
        <f>IFERROR(INDEX('[1]Sales per type Agustus'!$D$10:$BA$52,MATCH($C45,'[1]Sales per type Agustus'!$B$10:$B$52,0),MATCH("IQOO 15R",'[1]Sales per type Agustus'!$D$8:$BA$8,0)),0)</f>
        <v>1</v>
      </c>
      <c r="BV45" s="33">
        <f t="shared" si="22"/>
        <v>0</v>
      </c>
      <c r="BW45" s="33" cm="1">
        <f t="array" ref="BW45">IFERROR(INDEX('[1]SALES PERTYPE'!$D$10:$BA$53,MATCH($C45,'[1]SALES PERTYPE'!$B$10:$B$53,0),MATCH("IQOO 15R",'[1]SALES PERTYPE'!$D$8:$BA$8,0)+1),0)</f>
        <v>11999000</v>
      </c>
      <c r="BX45" s="33" cm="1">
        <f t="array" ref="BX45">IFERROR(INDEX('[1]Sales per type Agustus'!$D$10:$BA$52,MATCH($C45,'[1]Sales per type Agustus'!$B$10:$B$52,0),MATCH("IQOO 15R",'[1]Sales per type Agustus'!$D$8:$BA$8,0)+1),0)</f>
        <v>11999000</v>
      </c>
      <c r="BY45" s="33">
        <f t="shared" si="23"/>
        <v>0</v>
      </c>
      <c r="BZ45" s="33">
        <f>IFERROR(INDEX('[1]SALES PERTYPE'!$D$10:$BA$53,MATCH($C45,'[1]SALES PERTYPE'!$B$10:$B$53,0),MATCH("V60 Lite",'[1]SALES PERTYPE'!$D$8:$BA$8,0)),0)</f>
        <v>0</v>
      </c>
      <c r="CA45" s="33">
        <f>IFERROR(INDEX('[1]Sales per type Agustus'!$D$10:$BA$52,MATCH($C45,'[1]Sales per type Agustus'!$B$10:$B$52,0),MATCH("V60 Lite",'[1]Sales per type Agustus'!$D$8:$BA$8,0)),0)</f>
        <v>2</v>
      </c>
      <c r="CB45" s="33">
        <f t="shared" si="24"/>
        <v>-2</v>
      </c>
      <c r="CC45" s="33" cm="1">
        <f t="array" ref="CC45">IFERROR(INDEX('[1]SALES PERTYPE'!$D$10:$BA$53,MATCH($C45,'[1]SALES PERTYPE'!$B$10:$B$53,0),MATCH("V60 Lite",'[1]SALES PERTYPE'!$D$8:$BA$8,0)+1),0)</f>
        <v>0</v>
      </c>
      <c r="CD45" s="33" cm="1">
        <f t="array" ref="CD45">IFERROR(INDEX('[1]Sales per type Agustus'!$D$10:$BA$52,MATCH($C45,'[1]Sales per type Agustus'!$B$10:$B$52,0),MATCH("V60 Lite",'[1]Sales per type Agustus'!$D$8:$BA$8,0)+1),0)</f>
        <v>11798000</v>
      </c>
      <c r="CE45" s="33">
        <f t="shared" si="25"/>
        <v>-11798000</v>
      </c>
      <c r="CF45" s="33">
        <f>IFERROR(INDEX('[1]SALES PERTYPE'!$D$10:$BA$53,MATCH($C45,'[1]SALES PERTYPE'!$B$10:$B$53,0),MATCH("X300 Ultra",'[1]SALES PERTYPE'!$D$8:$BA$8,0)),0)</f>
        <v>0</v>
      </c>
      <c r="CG45" s="33">
        <f>IFERROR(INDEX('[1]Sales per type Agustus'!$D$10:$BA$52,MATCH($C45,'[1]Sales per type Agustus'!$B$10:$B$52,0),MATCH("X300 Ultra",'[1]Sales per type Agustus'!$D$8:$BA$8,0)),0)</f>
        <v>1</v>
      </c>
      <c r="CH45" s="33">
        <f t="shared" si="26"/>
        <v>-1</v>
      </c>
      <c r="CI45" s="33" cm="1">
        <f t="array" ref="CI45">IFERROR(INDEX('[1]SALES PERTYPE'!$D$10:$BA$53,MATCH($C45,'[1]SALES PERTYPE'!$B$10:$B$53,0),MATCH("X300 Ultra",'[1]SALES PERTYPE'!$D$8:$BA$8,0)+1),0)</f>
        <v>0</v>
      </c>
      <c r="CJ45" s="33" cm="1">
        <f t="array" ref="CJ45">IFERROR(INDEX('[1]Sales per type Agustus'!$D$10:$BA$52,MATCH($C45,'[1]Sales per type Agustus'!$B$10:$B$52,0),MATCH("X300 Ultra",'[1]Sales per type Agustus'!$D$8:$BA$8,0)+1),0)</f>
        <v>29999000</v>
      </c>
      <c r="CK45" s="33">
        <f t="shared" si="27"/>
        <v>-29999000</v>
      </c>
      <c r="CL45" s="33">
        <f>IFERROR(INDEX('[1]SALES PERTYPE'!$D$10:$BA$53,MATCH($C45,'[1]SALES PERTYPE'!$B$10:$B$53,0),MATCH("IQOO 15",'[1]SALES PERTYPE'!$D$8:$BA$8,0)),0)</f>
        <v>0</v>
      </c>
      <c r="CM45" s="33">
        <f>IFERROR(INDEX('[1]Sales per type Agustus'!$D$10:$BA$52,MATCH($C45,'[1]Sales per type Agustus'!$B$10:$B$52,0),MATCH("IQOO 15",'[1]Sales per type Agustus'!$D$8:$BA$8,0)),0)</f>
        <v>0</v>
      </c>
      <c r="CN45" s="33">
        <f t="shared" si="28"/>
        <v>0</v>
      </c>
      <c r="CO45" s="33" cm="1">
        <f t="array" ref="CO45">IFERROR(INDEX('[1]SALES PERTYPE'!$D$10:$BA$53,MATCH($C45,'[1]SALES PERTYPE'!$B$10:$B$53,0),MATCH("IQOO 15",'[1]SALES PERTYPE'!$D$8:$BA$8,0)+1),0)</f>
        <v>0</v>
      </c>
      <c r="CP45" s="33" cm="1">
        <f t="array" ref="CP45">IFERROR(INDEX('[1]Sales per type Agustus'!$D$10:$BA$52,MATCH($C45,'[1]Sales per type Agustus'!$B$10:$B$52,0),MATCH("IQOO 15",'[1]Sales per type Agustus'!$D$8:$BA$8,0)+1),0)</f>
        <v>0</v>
      </c>
      <c r="CQ45" s="33">
        <f t="shared" si="29"/>
        <v>0</v>
      </c>
      <c r="CR45" s="33">
        <f>IFERROR(INDEX('[1]SALES PERTYPE'!$D$10:$BA$53,MATCH($C45,'[1]SALES PERTYPE'!$B$10:$B$53,0),MATCH("IQOO Z11x",'[1]SALES PERTYPE'!$D$8:$BA$8,0)),0)</f>
        <v>0</v>
      </c>
      <c r="CS45" s="33">
        <f>IFERROR(INDEX('[1]Sales per type Agustus'!$D$10:$BA$52,MATCH($C45,'[1]Sales per type Agustus'!$B$10:$B$52,0),MATCH("IQOO Z11x",'[1]Sales per type Agustus'!$D$8:$BA$8,0)),0)</f>
        <v>0</v>
      </c>
      <c r="CT45" s="33">
        <f t="shared" si="30"/>
        <v>0</v>
      </c>
      <c r="CU45" s="33" cm="1">
        <f t="array" ref="CU45">IFERROR(INDEX('[1]SALES PERTYPE'!$D$10:$BA$53,MATCH($C45,'[1]SALES PERTYPE'!$B$10:$B$53,0),MATCH("IQOO Z11x",'[1]SALES PERTYPE'!$D$8:$BA$8,0)+1),0)</f>
        <v>0</v>
      </c>
      <c r="CV45" s="33" cm="1">
        <f t="array" ref="CV45">IFERROR(INDEX('[1]Sales per type Agustus'!$D$10:$BA$52,MATCH($C45,'[1]Sales per type Agustus'!$B$10:$B$52,0),MATCH("IQOO Z11x",'[1]Sales per type Agustus'!$D$8:$BA$8,0)+1),0)</f>
        <v>0</v>
      </c>
      <c r="CW45" s="33">
        <f t="shared" si="31"/>
        <v>0</v>
      </c>
      <c r="CX45" s="33">
        <f>IFERROR(INDEX('[1]SALES PERTYPE'!$D$10:$BA$53,MATCH($C45,'[1]SALES PERTYPE'!$B$10:$B$53,0),MATCH("IQOO Z11",'[1]SALES PERTYPE'!$D$8:$BA$8,0)),0)</f>
        <v>0</v>
      </c>
      <c r="CY45" s="33">
        <f>IFERROR(INDEX('[1]Sales per type Agustus'!$D$10:$BA$52,MATCH($C45,'[1]Sales per type Agustus'!$B$10:$B$52,0),MATCH("IQOO Z11",'[1]Sales per type Agustus'!$D$8:$BA$8,0)),0)</f>
        <v>1</v>
      </c>
      <c r="CZ45" s="33">
        <f t="shared" si="32"/>
        <v>-1</v>
      </c>
      <c r="DA45" s="33" cm="1">
        <f t="array" ref="DA45">IFERROR(INDEX('[1]SALES PERTYPE'!$D$10:$BA$53,MATCH($C45,'[1]SALES PERTYPE'!$B$10:$B$53,0),MATCH("IQOO Z11",'[1]SALES PERTYPE'!$D$8:$BA$8,0)+1),0)</f>
        <v>0</v>
      </c>
      <c r="DB45" s="33" cm="1">
        <f t="array" ref="DB45">IFERROR(INDEX('[1]Sales per type Agustus'!$D$10:$BA$52,MATCH($C45,'[1]Sales per type Agustus'!$B$10:$B$52,0),MATCH("IQOO Z11",'[1]Sales per type Agustus'!$D$8:$BA$8,0)+1),0)</f>
        <v>6899000</v>
      </c>
      <c r="DC45" s="33">
        <f t="shared" si="33"/>
        <v>-6899000</v>
      </c>
      <c r="DD45" s="33">
        <f>IFERROR(INDEX('[1]SALES PERTYPE'!$D$10:$BA$53,MATCH($C45,'[1]SALES PERTYPE'!$B$10:$B$53,0),MATCH("WATCH 3",'[1]SALES PERTYPE'!$D$8:$BA$8,0)),0)</f>
        <v>0</v>
      </c>
      <c r="DE45" s="33">
        <f>IFERROR(INDEX('[1]Sales per type Agustus'!$D$10:$BA$52,MATCH($C45,'[1]Sales per type Agustus'!$B$10:$B$52,0),MATCH("WATCH 3",'[1]Sales per type Agustus'!$D$8:$BA$8,0)),0)</f>
        <v>0</v>
      </c>
      <c r="DF45" s="33">
        <f t="shared" si="34"/>
        <v>0</v>
      </c>
      <c r="DG45" s="33" cm="1">
        <f t="array" ref="DG45">IFERROR(INDEX('[1]SALES PERTYPE'!$D$10:$BA$53,MATCH($C45,'[1]SALES PERTYPE'!$B$10:$B$53,0),MATCH("WATCH 3",'[1]SALES PERTYPE'!$D$8:$BA$8,0)+1),0)</f>
        <v>0</v>
      </c>
      <c r="DH45" s="33" cm="1">
        <f t="array" ref="DH45">IFERROR(INDEX('[1]Sales per type Agustus'!$D$10:$BA$52,MATCH($C45,'[1]Sales per type Agustus'!$B$10:$B$52,0),MATCH("WATCH 3",'[1]Sales per type Agustus'!$D$8:$BA$8,0)+1),0)</f>
        <v>0</v>
      </c>
      <c r="DI45" s="33">
        <f t="shared" si="35"/>
        <v>0</v>
      </c>
      <c r="DJ45" s="33">
        <f>IFERROR(INDEX('[1]SALES PERTYPE'!$D$10:$BA$53,MATCH($C45,'[1]SALES PERTYPE'!$B$10:$B$53,0),MATCH("X Fold5",'[1]SALES PERTYPE'!$D$8:$BA$8,0)),0)</f>
        <v>0</v>
      </c>
      <c r="DK45" s="33">
        <f>IFERROR(INDEX('[1]Sales per type Agustus'!$D$10:$BA$52,MATCH($C45,'[1]Sales per type Agustus'!$B$10:$B$52,0),MATCH("X Fold5",'[1]Sales per type Agustus'!$D$8:$BA$8,0)),0)</f>
        <v>0</v>
      </c>
      <c r="DL45" s="33">
        <f t="shared" si="36"/>
        <v>0</v>
      </c>
      <c r="DM45" s="33" cm="1">
        <f t="array" ref="DM45">IFERROR(INDEX('[1]SALES PERTYPE'!$D$10:$BA$53,MATCH($C45,'[1]SALES PERTYPE'!$B$10:$B$53,0),MATCH("X Fold5",'[1]SALES PERTYPE'!$D$8:$BA$8,0)+1),0)</f>
        <v>0</v>
      </c>
      <c r="DN45" s="33" cm="1">
        <f t="array" ref="DN45">IFERROR(INDEX('[1]Sales per type Agustus'!$D$10:$BA$52,MATCH($C45,'[1]Sales per type Agustus'!$B$10:$B$52,0),MATCH("X Fold5",'[1]Sales per type Agustus'!$D$8:$BA$8,0)+1),0)</f>
        <v>0</v>
      </c>
      <c r="DO45" s="33">
        <f t="shared" si="37"/>
        <v>0</v>
      </c>
      <c r="DP45" s="33">
        <f>IFERROR(INDEX('[1]SALES PERTYPE'!$D$10:$BA$53,MATCH($C45,'[1]SALES PERTYPE'!$B$10:$B$53,0),MATCH("X300 PRO",'[1]SALES PERTYPE'!$D$8:$BA$8,0)),0)</f>
        <v>0</v>
      </c>
      <c r="DQ45" s="33">
        <f>IFERROR(INDEX('[1]Sales per type Agustus'!$D$10:$BA$52,MATCH($C45,'[1]Sales per type Agustus'!$B$10:$B$52,0),MATCH("X300 PRO",'[1]Sales per type Agustus'!$D$8:$BA$8,0)),0)</f>
        <v>0</v>
      </c>
      <c r="DR45" s="33">
        <f t="shared" si="38"/>
        <v>0</v>
      </c>
      <c r="DS45" s="33" cm="1">
        <f t="array" ref="DS45">IFERROR(INDEX('[1]SALES PERTYPE'!$D$10:$BA$53,MATCH($C45,'[1]SALES PERTYPE'!$B$10:$B$53,0),MATCH("X300 PRO",'[1]SALES PERTYPE'!$D$8:$BA$8,0)+1),0)</f>
        <v>0</v>
      </c>
      <c r="DT45" s="33" cm="1">
        <f t="array" ref="DT45">IFERROR(INDEX('[1]Sales per type Agustus'!$D$10:$BA$52,MATCH($C45,'[1]Sales per type Agustus'!$B$10:$B$52,0),MATCH("X300 PRO",'[1]Sales per type Agustus'!$D$8:$BA$8,0)+1),0)</f>
        <v>0</v>
      </c>
      <c r="DU45" s="33">
        <f t="shared" si="39"/>
        <v>0</v>
      </c>
      <c r="DV45" s="33">
        <f>IFERROR(INDEX('[1]SALES PERTYPE'!$D$10:$BA$53,MATCH($C45,'[1]SALES PERTYPE'!$B$10:$B$53,0),MATCH("X300 ",'[1]SALES PERTYPE'!$D$8:$BA$8,0)),0)</f>
        <v>0</v>
      </c>
      <c r="DW45" s="33">
        <f>IFERROR(INDEX('[1]Sales per type Agustus'!$D$10:$BA$52,MATCH($C45,'[1]Sales per type Agustus'!$B$10:$B$52,0),MATCH("X300 ",'[1]Sales per type Agustus'!$D$8:$BA$8,0)),0)</f>
        <v>0</v>
      </c>
      <c r="DX45" s="33">
        <f t="shared" si="40"/>
        <v>0</v>
      </c>
      <c r="DY45" s="33" cm="1">
        <f t="array" ref="DY45">IFERROR(INDEX('[1]SALES PERTYPE'!$D$10:$BA$53,MATCH($C45,'[1]SALES PERTYPE'!$B$10:$B$53,0),MATCH("X300 ",'[1]SALES PERTYPE'!$D$8:$BA$8,0)+1),0)</f>
        <v>0</v>
      </c>
      <c r="DZ45" s="33" cm="1">
        <f t="array" ref="DZ45">IFERROR(INDEX('[1]Sales per type Agustus'!$D$10:$BA$52,MATCH($C45,'[1]Sales per type Agustus'!$B$10:$B$52,0),MATCH("X300 ",'[1]Sales per type Agustus'!$D$8:$BA$8,0)+1),0)</f>
        <v>0</v>
      </c>
      <c r="EA45" s="33">
        <f t="shared" si="41"/>
        <v>0</v>
      </c>
      <c r="EB45" s="33">
        <f t="shared" si="42"/>
        <v>21</v>
      </c>
      <c r="EC45" s="33">
        <f t="shared" si="42"/>
        <v>24</v>
      </c>
      <c r="ED45" s="33">
        <f t="shared" si="43"/>
        <v>-3</v>
      </c>
      <c r="EE45" s="33">
        <f t="shared" si="44"/>
        <v>99879000</v>
      </c>
      <c r="EF45" s="33">
        <f t="shared" si="44"/>
        <v>127376000</v>
      </c>
      <c r="EG45" s="33">
        <f t="shared" si="45"/>
        <v>-27497000</v>
      </c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</row>
    <row r="46" spans="1:184" ht="16" x14ac:dyDescent="0.2">
      <c r="A46" s="214">
        <f>'[1]ACHIEVEMENT STORE'!A46</f>
        <v>42</v>
      </c>
      <c r="B46" s="215" t="str">
        <f>'[1]ACHIEVEMENT STORE'!B46</f>
        <v>614 三宝垄 Semarang</v>
      </c>
      <c r="C46" s="214">
        <f>'[1]ACHIEVEMENT STORE'!C46</f>
        <v>6140706</v>
      </c>
      <c r="D46" s="215" t="str">
        <f>'[1]ACHIEVEMENT STORE'!D46</f>
        <v>6140706-23 SEMARANG MALL 1F065-66</v>
      </c>
      <c r="E46" s="215" t="str">
        <f>'[1]ACHIEVEMENT STORE'!E46</f>
        <v>VICKY DINDA INEZ</v>
      </c>
      <c r="F46" s="33">
        <f>IFERROR(INDEX('[1]SALES PERTYPE'!$D$10:$BA$53,MATCH($C46,'[1]SALES PERTYPE'!$B$10:$B$53,0),MATCH("Y05",'[1]SALES PERTYPE'!$D$8:$BA$8,0)),0)</f>
        <v>1</v>
      </c>
      <c r="G46" s="33">
        <f>IFERROR(INDEX('[1]Sales per type Agustus'!$D$10:$BA$52,MATCH($C46,'[1]Sales per type Agustus'!$B$10:$B$52,0),MATCH("Y05",'[1]Sales per type Agustus'!$D$8:$BA$8,0)),0)</f>
        <v>3</v>
      </c>
      <c r="H46" s="33">
        <f t="shared" si="0"/>
        <v>-2</v>
      </c>
      <c r="I46" s="33" cm="1">
        <f t="array" ref="I46">IFERROR(INDEX('[1]SALES PERTYPE'!$D$10:$BA$53,MATCH($C46,'[1]SALES PERTYPE'!$B$10:$B$53,0),MATCH("Y05",'[1]SALES PERTYPE'!$D$8:$BA$8,0)+1),0)</f>
        <v>2599000</v>
      </c>
      <c r="J46" s="33" cm="1">
        <f t="array" ref="J46">IFERROR(INDEX('[1]Sales per type Agustus'!$D$10:$BA$52,MATCH($C46,'[1]Sales per type Agustus'!$B$10:$B$52,0),MATCH("Y05",'[1]Sales per type Agustus'!$D$8:$BA$8,0)+1),0)</f>
        <v>7197000</v>
      </c>
      <c r="K46" s="33">
        <f t="shared" si="1"/>
        <v>-4598000</v>
      </c>
      <c r="L46" s="33">
        <f>IFERROR(INDEX('[1]SALES PERTYPE'!$D$10:$BA$53,MATCH($C46,'[1]SALES PERTYPE'!$B$10:$B$53,0),MATCH("Y11d",'[1]SALES PERTYPE'!$D$8:$BA$8,0)),0)</f>
        <v>3</v>
      </c>
      <c r="M46" s="33">
        <f>IFERROR(INDEX('[1]Sales per type Agustus'!$D$10:$BA$52,MATCH($C46,'[1]Sales per type Agustus'!$B$10:$B$52,0),MATCH("Y11d",'[1]Sales per type Agustus'!$D$8:$BA$8,0)),0)</f>
        <v>5</v>
      </c>
      <c r="N46" s="33">
        <f t="shared" si="2"/>
        <v>-2</v>
      </c>
      <c r="O46" s="33" cm="1">
        <f t="array" ref="O46">IFERROR(INDEX('[1]SALES PERTYPE'!$D$10:$BA$53,MATCH($C46,'[1]SALES PERTYPE'!$B$10:$B$53,0),MATCH("Y11d",'[1]SALES PERTYPE'!$D$8:$BA$8,0)+1),0)</f>
        <v>7597000</v>
      </c>
      <c r="P46" s="33" cm="1">
        <f t="array" ref="P46">IFERROR(INDEX('[1]Sales per type Agustus'!$D$10:$BA$52,MATCH($C46,'[1]Sales per type Agustus'!$B$10:$B$52,0),MATCH("Y11d",'[1]Sales per type Agustus'!$D$8:$BA$8,0)+1),0)</f>
        <v>13195000</v>
      </c>
      <c r="Q46" s="33">
        <f t="shared" si="3"/>
        <v>-5598000</v>
      </c>
      <c r="R46" s="33">
        <f>IFERROR(INDEX('[1]SALES PERTYPE'!$D$10:$BA$53,MATCH($C46,'[1]SALES PERTYPE'!$B$10:$B$53,0),MATCH("Watch GT 2",'[1]SALES PERTYPE'!$D$8:$BA$8,0)),0)</f>
        <v>0</v>
      </c>
      <c r="S46" s="33">
        <f>IFERROR(INDEX('[1]Sales per type Agustus'!$D$10:$BA$52,MATCH($C46,'[1]Sales per type Agustus'!$B$10:$B$52,0),MATCH("Watch GT 2",'[1]Sales per type Agustus'!$D$8:$BA$8,0)),0)</f>
        <v>0</v>
      </c>
      <c r="T46" s="33">
        <f t="shared" si="4"/>
        <v>0</v>
      </c>
      <c r="U46" s="33" cm="1">
        <f t="array" ref="U46">IFERROR(INDEX('[1]SALES PERTYPE'!$D$10:$BA$53,MATCH($C46,'[1]SALES PERTYPE'!$B$10:$B$53,0),MATCH("Watch GT 2",'[1]SALES PERTYPE'!$D$8:$BA$8,0)+1),0)</f>
        <v>0</v>
      </c>
      <c r="V46" s="33" cm="1">
        <f t="array" ref="V46">IFERROR(INDEX('[1]Sales per type Agustus'!$D$10:$BA$52,MATCH($C46,'[1]Sales per type Agustus'!$B$10:$B$52,0),MATCH("Watch GT 2",'[1]Sales per type Agustus'!$D$8:$BA$8,0)+1),0)</f>
        <v>0</v>
      </c>
      <c r="W46" s="33">
        <f t="shared" si="5"/>
        <v>0</v>
      </c>
      <c r="X46" s="33">
        <f>IFERROR(INDEX('[1]SALES PERTYPE'!$D$10:$BA$53,MATCH($C46,'[1]SALES PERTYPE'!$B$10:$B$53,0),MATCH("Y05e",'[1]SALES PERTYPE'!$D$8:$BA$8,0)),0)</f>
        <v>1</v>
      </c>
      <c r="Y46" s="33">
        <f>IFERROR(INDEX('[1]Sales per type Agustus'!$D$10:$BA$52,MATCH($C46,'[1]Sales per type Agustus'!$B$10:$B$52,0),MATCH("Y05e",'[1]Sales per type Agustus'!$D$8:$BA$8,0)),0)</f>
        <v>3</v>
      </c>
      <c r="Z46" s="33">
        <f t="shared" si="6"/>
        <v>-2</v>
      </c>
      <c r="AA46" s="33" cm="1">
        <f t="array" ref="AA46">IFERROR(INDEX('[1]SALES PERTYPE'!$D$10:$BA$53,MATCH($C46,'[1]SALES PERTYPE'!$B$10:$B$53,0),MATCH("Y05e",'[1]SALES PERTYPE'!$D$8:$BA$8,0)+1),0)</f>
        <v>2299000</v>
      </c>
      <c r="AB46" s="33" cm="1">
        <f t="array" ref="AB46">IFERROR(INDEX('[1]Sales per type Agustus'!$D$10:$BA$52,MATCH($C46,'[1]Sales per type Agustus'!$B$10:$B$52,0),MATCH("Y05e",'[1]Sales per type Agustus'!$D$8:$BA$8,0)+1),0)</f>
        <v>6297000</v>
      </c>
      <c r="AC46" s="33">
        <f t="shared" si="7"/>
        <v>-3998000</v>
      </c>
      <c r="AD46" s="33">
        <f>IFERROR(INDEX('[1]SALES PERTYPE'!$D$10:$BA$53,MATCH($C46,'[1]SALES PERTYPE'!$B$10:$B$53,0),MATCH("V70",'[1]SALES PERTYPE'!$D$8:$BA$8,0)),0)</f>
        <v>3</v>
      </c>
      <c r="AE46" s="33">
        <f>IFERROR(INDEX('[1]Sales per type Agustus'!$D$10:$BA$52,MATCH($C46,'[1]Sales per type Agustus'!$B$10:$B$52,0),MATCH("V70",'[1]Sales per type Agustus'!$D$8:$BA$8,0)),0)</f>
        <v>2</v>
      </c>
      <c r="AF46" s="33">
        <f t="shared" si="8"/>
        <v>1</v>
      </c>
      <c r="AG46" s="33" cm="1">
        <f t="array" ref="AG46">IFERROR(INDEX('[1]SALES PERTYPE'!$D$10:$BA$53,MATCH($C46,'[1]SALES PERTYPE'!$B$10:$B$53,0),MATCH("V70",'[1]SALES PERTYPE'!$D$8:$BA$8,0)+1),0)</f>
        <v>29997000</v>
      </c>
      <c r="AH46" s="33" cm="1">
        <f t="array" ref="AH46">IFERROR(INDEX('[1]Sales per type Agustus'!$D$10:$BA$52,MATCH($C46,'[1]Sales per type Agustus'!$B$10:$B$52,0),MATCH("V70",'[1]Sales per type Agustus'!$D$8:$BA$8,0)+1),0)</f>
        <v>19998000</v>
      </c>
      <c r="AI46" s="33">
        <f t="shared" si="9"/>
        <v>9999000</v>
      </c>
      <c r="AJ46" s="33">
        <f>IFERROR(INDEX('[1]SALES PERTYPE'!$D$10:$BA$53,MATCH($C46,'[1]SALES PERTYPE'!$B$10:$B$53,0),MATCH("Y31d Pro",'[1]SALES PERTYPE'!$D$8:$BA$8,0)),0)</f>
        <v>2</v>
      </c>
      <c r="AK46" s="33">
        <f>IFERROR(INDEX('[1]Sales per type Agustus'!$D$10:$BA$52,MATCH($C46,'[1]Sales per type Agustus'!$B$10:$B$52,0),MATCH("Y31d Pro",'[1]Sales per type Agustus'!$D$8:$BA$8,0)),0)</f>
        <v>1</v>
      </c>
      <c r="AL46" s="33">
        <f t="shared" si="10"/>
        <v>1</v>
      </c>
      <c r="AM46" s="33" cm="1">
        <f t="array" ref="AM46">IFERROR(INDEX('[1]SALES PERTYPE'!$D$10:$BA$53,MATCH($C46,'[1]SALES PERTYPE'!$B$10:$B$53,0),MATCH("Y31d Pro",'[1]SALES PERTYPE'!$D$8:$BA$8,0)+1),0)</f>
        <v>7798000</v>
      </c>
      <c r="AN46" s="33" cm="1">
        <f t="array" ref="AN46">IFERROR(INDEX('[1]Sales per type Agustus'!$D$10:$BA$52,MATCH($C46,'[1]Sales per type Agustus'!$B$10:$B$52,0),MATCH("Y31d Pro",'[1]Sales per type Agustus'!$D$8:$BA$8,0)+1),0)</f>
        <v>3899000</v>
      </c>
      <c r="AO46" s="33">
        <f t="shared" si="11"/>
        <v>3899000</v>
      </c>
      <c r="AP46" s="33" cm="1">
        <f t="array" ref="AP46">IFERROR(INDEX('[1]SALES PERTYPE'!$D$10:$BA$53,MATCH($C46,'[1]SALES PERTYPE'!$B$10:$B$53,0),$EI$3),0)</f>
        <v>2</v>
      </c>
      <c r="AQ46" s="33" cm="1">
        <f t="array" ref="AQ46">IFERROR(INDEX('[1]Sales per type Agustus'!$D$10:$BA$52,MATCH($C46,'[1]Sales per type Agustus'!$B$10:$B$52,0),$EI$2),0)</f>
        <v>0</v>
      </c>
      <c r="AR46" s="33">
        <f t="shared" si="12"/>
        <v>2</v>
      </c>
      <c r="AS46" s="33" cm="1">
        <f t="array" ref="AS46">IFERROR(INDEX('[1]SALES PERTYPE'!$D$10:$BA$53,MATCH($C46,'[1]SALES PERTYPE'!$B$10:$B$53,0),$EI$3+1),0)</f>
        <v>7198000</v>
      </c>
      <c r="AT46" s="33" cm="1">
        <f t="array" ref="AT46">IFERROR(INDEX('[1]Sales per type Agustus'!$D$10:$BA$52,MATCH($C46,'[1]Sales per type Agustus'!$B$10:$B$52,0),$EI$2+1),0)</f>
        <v>0</v>
      </c>
      <c r="AU46" s="33">
        <f t="shared" si="13"/>
        <v>7198000</v>
      </c>
      <c r="AV46" s="33">
        <f>IFERROR(INDEX('[1]SALES PERTYPE'!$D$10:$BA$53,MATCH($C46,'[1]SALES PERTYPE'!$B$10:$B$53,0),MATCH("Y31d ",'[1]SALES PERTYPE'!$D$8:$BA$8,0)),0)</f>
        <v>0</v>
      </c>
      <c r="AW46" s="33">
        <f>IFERROR(INDEX('[1]Sales per type Agustus'!$D$10:$BA$52,MATCH($C46,'[1]Sales per type Agustus'!$B$10:$B$52,0),MATCH("Y31d ",'[1]Sales per type Agustus'!$D$8:$BA$8,0)),0)</f>
        <v>0</v>
      </c>
      <c r="AX46" s="33">
        <f t="shared" si="14"/>
        <v>0</v>
      </c>
      <c r="AY46" s="33" cm="1">
        <f t="array" ref="AY46">IFERROR(INDEX('[1]SALES PERTYPE'!$D$10:$BA$53,MATCH($C46,'[1]SALES PERTYPE'!$B$10:$B$53,0),MATCH("Y31d ",'[1]SALES PERTYPE'!$D$8:$BA$8,0)+1),0)</f>
        <v>0</v>
      </c>
      <c r="AZ46" s="33" cm="1">
        <f t="array" ref="AZ46">IFERROR(INDEX('[1]Sales per type Agustus'!$D$10:$BA$52,MATCH($C46,'[1]Sales per type Agustus'!$B$10:$B$52,0),MATCH("Y31d ",'[1]Sales per type Agustus'!$D$8:$BA$8,0)+1),0)</f>
        <v>0</v>
      </c>
      <c r="BA46" s="33">
        <f t="shared" si="15"/>
        <v>0</v>
      </c>
      <c r="BB46" s="33">
        <f>IFERROR(INDEX('[1]SALES PERTYPE'!$D$10:$BA$53,MATCH($C46,'[1]SALES PERTYPE'!$B$10:$B$53,0),MATCH("V70 FE",'[1]SALES PERTYPE'!$D$8:$BA$8,0)),0)</f>
        <v>3</v>
      </c>
      <c r="BC46" s="33">
        <f>IFERROR(INDEX('[1]Sales per type Agustus'!$D$10:$BA$52,MATCH($C46,'[1]Sales per type Agustus'!$B$10:$B$52,0),MATCH("V70 FE",'[1]Sales per type Agustus'!$D$8:$BA$8,0)),0)</f>
        <v>1</v>
      </c>
      <c r="BD46" s="33">
        <f t="shared" si="16"/>
        <v>2</v>
      </c>
      <c r="BE46" s="33" cm="1">
        <f t="array" ref="BE46">IFERROR(INDEX('[1]SALES PERTYPE'!$D$10:$BA$53,MATCH($C46,'[1]SALES PERTYPE'!$B$10:$B$53,0),MATCH("V70 FE",'[1]SALES PERTYPE'!$D$8:$BA$8,0)+1),0)</f>
        <v>20997000</v>
      </c>
      <c r="BF46" s="33" cm="1">
        <f t="array" ref="BF46">IFERROR(INDEX('[1]Sales per type Agustus'!$D$10:$BA$52,MATCH($C46,'[1]Sales per type Agustus'!$B$10:$B$52,0),MATCH("V70 FE",'[1]Sales per type Agustus'!$D$8:$BA$8,0)+1),0)</f>
        <v>6999000</v>
      </c>
      <c r="BG46" s="33">
        <f t="shared" si="17"/>
        <v>13998000</v>
      </c>
      <c r="BH46" s="33">
        <f>IFERROR(INDEX('[1]SALES PERTYPE'!$D$10:$BA$53,MATCH($C46,'[1]SALES PERTYPE'!$B$10:$B$53,0),MATCH("Y31d",'[1]SALES PERTYPE'!$D$8:$BA$8,0)),0)</f>
        <v>0</v>
      </c>
      <c r="BI46" s="33">
        <f>IFERROR(INDEX('[1]Sales per type Agustus'!$D$10:$BA$52,MATCH($C46,'[1]Sales per type Agustus'!$B$10:$B$52,0),MATCH("Y31d",'[1]Sales per type Agustus'!$D$8:$BA$8,0)),0)</f>
        <v>0</v>
      </c>
      <c r="BJ46" s="33">
        <f t="shared" si="18"/>
        <v>0</v>
      </c>
      <c r="BK46" s="33" cm="1">
        <f t="array" ref="BK46">IFERROR(INDEX('[1]SALES PERTYPE'!$D$10:$BA$53,MATCH($C46,'[1]SALES PERTYPE'!$B$10:$B$53,0),MATCH("Y31d",'[1]SALES PERTYPE'!$D$8:$BA$8,0)+1),0)</f>
        <v>0</v>
      </c>
      <c r="BL46" s="33" cm="1">
        <f t="array" ref="BL46">IFERROR(INDEX('[1]Sales per type Agustus'!$D$10:$BA$52,MATCH($C46,'[1]Sales per type Agustus'!$B$10:$B$52,0),MATCH("Y31d",'[1]Sales per type Agustus'!$D$8:$BA$8,0)+1),0)</f>
        <v>0</v>
      </c>
      <c r="BM46" s="33">
        <f t="shared" si="19"/>
        <v>0</v>
      </c>
      <c r="BN46" s="33">
        <f>IFERROR(INDEX('[1]SALES PERTYPE'!$D$10:$BA$53,MATCH($C46,'[1]SALES PERTYPE'!$B$10:$B$53,0),MATCH("Y500",'[1]SALES PERTYPE'!$D$8:$BA$8,0)),0)</f>
        <v>1</v>
      </c>
      <c r="BO46" s="33">
        <f>IFERROR(INDEX('[1]Sales per type Agustus'!$D$10:$BA$52,MATCH($C46,'[1]Sales per type Agustus'!$B$10:$B$52,0),MATCH("Y500",'[1]Sales per type Agustus'!$D$8:$BA$8,0)),0)</f>
        <v>2</v>
      </c>
      <c r="BP46" s="33">
        <f t="shared" si="20"/>
        <v>-1</v>
      </c>
      <c r="BQ46" s="33" cm="1">
        <f t="array" ref="BQ46">IFERROR(INDEX('[1]SALES PERTYPE'!$D$10:$BA$53,MATCH($C46,'[1]SALES PERTYPE'!$B$10:$B$53,0),MATCH("Y500",'[1]SALES PERTYPE'!$D$8:$BA$8,0)+1),0)</f>
        <v>6299000</v>
      </c>
      <c r="BR46" s="33" cm="1">
        <f t="array" ref="BR46">IFERROR(INDEX('[1]Sales per type Agustus'!$D$10:$BA$52,MATCH($C46,'[1]Sales per type Agustus'!$B$10:$B$52,0),MATCH("Y500",'[1]Sales per type Agustus'!$D$8:$BA$8,0)+1),0)</f>
        <v>12598000</v>
      </c>
      <c r="BS46" s="33">
        <f t="shared" si="21"/>
        <v>-6299000</v>
      </c>
      <c r="BT46" s="33">
        <f>IFERROR(INDEX('[1]SALES PERTYPE'!$D$10:$BA$53,MATCH($C46,'[1]SALES PERTYPE'!$B$10:$B$53,0),MATCH("IQOO 15R",'[1]SALES PERTYPE'!$D$8:$BA$8,0)),0)</f>
        <v>0</v>
      </c>
      <c r="BU46" s="33">
        <f>IFERROR(INDEX('[1]Sales per type Agustus'!$D$10:$BA$52,MATCH($C46,'[1]Sales per type Agustus'!$B$10:$B$52,0),MATCH("IQOO 15R",'[1]Sales per type Agustus'!$D$8:$BA$8,0)),0)</f>
        <v>1</v>
      </c>
      <c r="BV46" s="33">
        <f t="shared" si="22"/>
        <v>-1</v>
      </c>
      <c r="BW46" s="33" cm="1">
        <f t="array" ref="BW46">IFERROR(INDEX('[1]SALES PERTYPE'!$D$10:$BA$53,MATCH($C46,'[1]SALES PERTYPE'!$B$10:$B$53,0),MATCH("IQOO 15R",'[1]SALES PERTYPE'!$D$8:$BA$8,0)+1),0)</f>
        <v>0</v>
      </c>
      <c r="BX46" s="33" cm="1">
        <f t="array" ref="BX46">IFERROR(INDEX('[1]Sales per type Agustus'!$D$10:$BA$52,MATCH($C46,'[1]Sales per type Agustus'!$B$10:$B$52,0),MATCH("IQOO 15R",'[1]Sales per type Agustus'!$D$8:$BA$8,0)+1),0)</f>
        <v>11999000</v>
      </c>
      <c r="BY46" s="33">
        <f t="shared" si="23"/>
        <v>-11999000</v>
      </c>
      <c r="BZ46" s="33">
        <f>IFERROR(INDEX('[1]SALES PERTYPE'!$D$10:$BA$53,MATCH($C46,'[1]SALES PERTYPE'!$B$10:$B$53,0),MATCH("V60 Lite",'[1]SALES PERTYPE'!$D$8:$BA$8,0)),0)</f>
        <v>0</v>
      </c>
      <c r="CA46" s="33">
        <f>IFERROR(INDEX('[1]Sales per type Agustus'!$D$10:$BA$52,MATCH($C46,'[1]Sales per type Agustus'!$B$10:$B$52,0),MATCH("V60 Lite",'[1]Sales per type Agustus'!$D$8:$BA$8,0)),0)</f>
        <v>0</v>
      </c>
      <c r="CB46" s="33">
        <f t="shared" si="24"/>
        <v>0</v>
      </c>
      <c r="CC46" s="33" cm="1">
        <f t="array" ref="CC46">IFERROR(INDEX('[1]SALES PERTYPE'!$D$10:$BA$53,MATCH($C46,'[1]SALES PERTYPE'!$B$10:$B$53,0),MATCH("V60 Lite",'[1]SALES PERTYPE'!$D$8:$BA$8,0)+1),0)</f>
        <v>0</v>
      </c>
      <c r="CD46" s="33" cm="1">
        <f t="array" ref="CD46">IFERROR(INDEX('[1]Sales per type Agustus'!$D$10:$BA$52,MATCH($C46,'[1]Sales per type Agustus'!$B$10:$B$52,0),MATCH("V60 Lite",'[1]Sales per type Agustus'!$D$8:$BA$8,0)+1),0)</f>
        <v>0</v>
      </c>
      <c r="CE46" s="33">
        <f t="shared" si="25"/>
        <v>0</v>
      </c>
      <c r="CF46" s="33">
        <f>IFERROR(INDEX('[1]SALES PERTYPE'!$D$10:$BA$53,MATCH($C46,'[1]SALES PERTYPE'!$B$10:$B$53,0),MATCH("X300 Ultra",'[1]SALES PERTYPE'!$D$8:$BA$8,0)),0)</f>
        <v>0</v>
      </c>
      <c r="CG46" s="33">
        <f>IFERROR(INDEX('[1]Sales per type Agustus'!$D$10:$BA$52,MATCH($C46,'[1]Sales per type Agustus'!$B$10:$B$52,0),MATCH("X300 Ultra",'[1]Sales per type Agustus'!$D$8:$BA$8,0)),0)</f>
        <v>1</v>
      </c>
      <c r="CH46" s="33">
        <f t="shared" si="26"/>
        <v>-1</v>
      </c>
      <c r="CI46" s="33" cm="1">
        <f t="array" ref="CI46">IFERROR(INDEX('[1]SALES PERTYPE'!$D$10:$BA$53,MATCH($C46,'[1]SALES PERTYPE'!$B$10:$B$53,0),MATCH("X300 Ultra",'[1]SALES PERTYPE'!$D$8:$BA$8,0)+1),0)</f>
        <v>0</v>
      </c>
      <c r="CJ46" s="33" cm="1">
        <f t="array" ref="CJ46">IFERROR(INDEX('[1]Sales per type Agustus'!$D$10:$BA$52,MATCH($C46,'[1]Sales per type Agustus'!$B$10:$B$52,0),MATCH("X300 Ultra",'[1]Sales per type Agustus'!$D$8:$BA$8,0)+1),0)</f>
        <v>25999000</v>
      </c>
      <c r="CK46" s="33">
        <f t="shared" si="27"/>
        <v>-25999000</v>
      </c>
      <c r="CL46" s="33">
        <f>IFERROR(INDEX('[1]SALES PERTYPE'!$D$10:$BA$53,MATCH($C46,'[1]SALES PERTYPE'!$B$10:$B$53,0),MATCH("IQOO 15",'[1]SALES PERTYPE'!$D$8:$BA$8,0)),0)</f>
        <v>0</v>
      </c>
      <c r="CM46" s="33">
        <f>IFERROR(INDEX('[1]Sales per type Agustus'!$D$10:$BA$52,MATCH($C46,'[1]Sales per type Agustus'!$B$10:$B$52,0),MATCH("IQOO 15",'[1]Sales per type Agustus'!$D$8:$BA$8,0)),0)</f>
        <v>0</v>
      </c>
      <c r="CN46" s="33">
        <f t="shared" si="28"/>
        <v>0</v>
      </c>
      <c r="CO46" s="33" cm="1">
        <f t="array" ref="CO46">IFERROR(INDEX('[1]SALES PERTYPE'!$D$10:$BA$53,MATCH($C46,'[1]SALES PERTYPE'!$B$10:$B$53,0),MATCH("IQOO 15",'[1]SALES PERTYPE'!$D$8:$BA$8,0)+1),0)</f>
        <v>0</v>
      </c>
      <c r="CP46" s="33" cm="1">
        <f t="array" ref="CP46">IFERROR(INDEX('[1]Sales per type Agustus'!$D$10:$BA$52,MATCH($C46,'[1]Sales per type Agustus'!$B$10:$B$52,0),MATCH("IQOO 15",'[1]Sales per type Agustus'!$D$8:$BA$8,0)+1),0)</f>
        <v>0</v>
      </c>
      <c r="CQ46" s="33">
        <f t="shared" si="29"/>
        <v>0</v>
      </c>
      <c r="CR46" s="33">
        <f>IFERROR(INDEX('[1]SALES PERTYPE'!$D$10:$BA$53,MATCH($C46,'[1]SALES PERTYPE'!$B$10:$B$53,0),MATCH("IQOO Z11x",'[1]SALES PERTYPE'!$D$8:$BA$8,0)),0)</f>
        <v>0</v>
      </c>
      <c r="CS46" s="33">
        <f>IFERROR(INDEX('[1]Sales per type Agustus'!$D$10:$BA$52,MATCH($C46,'[1]Sales per type Agustus'!$B$10:$B$52,0),MATCH("IQOO Z11x",'[1]Sales per type Agustus'!$D$8:$BA$8,0)),0)</f>
        <v>1</v>
      </c>
      <c r="CT46" s="33">
        <f t="shared" si="30"/>
        <v>-1</v>
      </c>
      <c r="CU46" s="33" cm="1">
        <f t="array" ref="CU46">IFERROR(INDEX('[1]SALES PERTYPE'!$D$10:$BA$53,MATCH($C46,'[1]SALES PERTYPE'!$B$10:$B$53,0),MATCH("IQOO Z11x",'[1]SALES PERTYPE'!$D$8:$BA$8,0)+1),0)</f>
        <v>0</v>
      </c>
      <c r="CV46" s="33" cm="1">
        <f t="array" ref="CV46">IFERROR(INDEX('[1]Sales per type Agustus'!$D$10:$BA$52,MATCH($C46,'[1]Sales per type Agustus'!$B$10:$B$52,0),MATCH("IQOO Z11x",'[1]Sales per type Agustus'!$D$8:$BA$8,0)+1),0)</f>
        <v>5699000</v>
      </c>
      <c r="CW46" s="33">
        <f t="shared" si="31"/>
        <v>-5699000</v>
      </c>
      <c r="CX46" s="33">
        <f>IFERROR(INDEX('[1]SALES PERTYPE'!$D$10:$BA$53,MATCH($C46,'[1]SALES PERTYPE'!$B$10:$B$53,0),MATCH("IQOO Z11",'[1]SALES PERTYPE'!$D$8:$BA$8,0)),0)</f>
        <v>0</v>
      </c>
      <c r="CY46" s="33">
        <f>IFERROR(INDEX('[1]Sales per type Agustus'!$D$10:$BA$52,MATCH($C46,'[1]Sales per type Agustus'!$B$10:$B$52,0),MATCH("IQOO Z11",'[1]Sales per type Agustus'!$D$8:$BA$8,0)),0)</f>
        <v>4</v>
      </c>
      <c r="CZ46" s="33">
        <f t="shared" si="32"/>
        <v>-4</v>
      </c>
      <c r="DA46" s="33" cm="1">
        <f t="array" ref="DA46">IFERROR(INDEX('[1]SALES PERTYPE'!$D$10:$BA$53,MATCH($C46,'[1]SALES PERTYPE'!$B$10:$B$53,0),MATCH("IQOO Z11",'[1]SALES PERTYPE'!$D$8:$BA$8,0)+1),0)</f>
        <v>0</v>
      </c>
      <c r="DB46" s="33" cm="1">
        <f t="array" ref="DB46">IFERROR(INDEX('[1]Sales per type Agustus'!$D$10:$BA$52,MATCH($C46,'[1]Sales per type Agustus'!$B$10:$B$52,0),MATCH("IQOO Z11",'[1]Sales per type Agustus'!$D$8:$BA$8,0)+1),0)</f>
        <v>29096000</v>
      </c>
      <c r="DC46" s="33">
        <f t="shared" si="33"/>
        <v>-29096000</v>
      </c>
      <c r="DD46" s="33">
        <f>IFERROR(INDEX('[1]SALES PERTYPE'!$D$10:$BA$53,MATCH($C46,'[1]SALES PERTYPE'!$B$10:$B$53,0),MATCH("WATCH 3",'[1]SALES PERTYPE'!$D$8:$BA$8,0)),0)</f>
        <v>0</v>
      </c>
      <c r="DE46" s="33">
        <f>IFERROR(INDEX('[1]Sales per type Agustus'!$D$10:$BA$52,MATCH($C46,'[1]Sales per type Agustus'!$B$10:$B$52,0),MATCH("WATCH 3",'[1]Sales per type Agustus'!$D$8:$BA$8,0)),0)</f>
        <v>0</v>
      </c>
      <c r="DF46" s="33">
        <f t="shared" si="34"/>
        <v>0</v>
      </c>
      <c r="DG46" s="33" cm="1">
        <f t="array" ref="DG46">IFERROR(INDEX('[1]SALES PERTYPE'!$D$10:$BA$53,MATCH($C46,'[1]SALES PERTYPE'!$B$10:$B$53,0),MATCH("WATCH 3",'[1]SALES PERTYPE'!$D$8:$BA$8,0)+1),0)</f>
        <v>0</v>
      </c>
      <c r="DH46" s="33" cm="1">
        <f t="array" ref="DH46">IFERROR(INDEX('[1]Sales per type Agustus'!$D$10:$BA$52,MATCH($C46,'[1]Sales per type Agustus'!$B$10:$B$52,0),MATCH("WATCH 3",'[1]Sales per type Agustus'!$D$8:$BA$8,0)+1),0)</f>
        <v>0</v>
      </c>
      <c r="DI46" s="33">
        <f t="shared" si="35"/>
        <v>0</v>
      </c>
      <c r="DJ46" s="33">
        <f>IFERROR(INDEX('[1]SALES PERTYPE'!$D$10:$BA$53,MATCH($C46,'[1]SALES PERTYPE'!$B$10:$B$53,0),MATCH("X Fold5",'[1]SALES PERTYPE'!$D$8:$BA$8,0)),0)</f>
        <v>0</v>
      </c>
      <c r="DK46" s="33">
        <f>IFERROR(INDEX('[1]Sales per type Agustus'!$D$10:$BA$52,MATCH($C46,'[1]Sales per type Agustus'!$B$10:$B$52,0),MATCH("X Fold5",'[1]Sales per type Agustus'!$D$8:$BA$8,0)),0)</f>
        <v>0</v>
      </c>
      <c r="DL46" s="33">
        <f t="shared" si="36"/>
        <v>0</v>
      </c>
      <c r="DM46" s="33" cm="1">
        <f t="array" ref="DM46">IFERROR(INDEX('[1]SALES PERTYPE'!$D$10:$BA$53,MATCH($C46,'[1]SALES PERTYPE'!$B$10:$B$53,0),MATCH("X Fold5",'[1]SALES PERTYPE'!$D$8:$BA$8,0)+1),0)</f>
        <v>0</v>
      </c>
      <c r="DN46" s="33" cm="1">
        <f t="array" ref="DN46">IFERROR(INDEX('[1]Sales per type Agustus'!$D$10:$BA$52,MATCH($C46,'[1]Sales per type Agustus'!$B$10:$B$52,0),MATCH("X Fold5",'[1]Sales per type Agustus'!$D$8:$BA$8,0)+1),0)</f>
        <v>0</v>
      </c>
      <c r="DO46" s="33">
        <f t="shared" si="37"/>
        <v>0</v>
      </c>
      <c r="DP46" s="33">
        <f>IFERROR(INDEX('[1]SALES PERTYPE'!$D$10:$BA$53,MATCH($C46,'[1]SALES PERTYPE'!$B$10:$B$53,0),MATCH("X300 PRO",'[1]SALES PERTYPE'!$D$8:$BA$8,0)),0)</f>
        <v>0</v>
      </c>
      <c r="DQ46" s="33">
        <f>IFERROR(INDEX('[1]Sales per type Agustus'!$D$10:$BA$52,MATCH($C46,'[1]Sales per type Agustus'!$B$10:$B$52,0),MATCH("X300 PRO",'[1]Sales per type Agustus'!$D$8:$BA$8,0)),0)</f>
        <v>0</v>
      </c>
      <c r="DR46" s="33">
        <f t="shared" si="38"/>
        <v>0</v>
      </c>
      <c r="DS46" s="33" cm="1">
        <f t="array" ref="DS46">IFERROR(INDEX('[1]SALES PERTYPE'!$D$10:$BA$53,MATCH($C46,'[1]SALES PERTYPE'!$B$10:$B$53,0),MATCH("X300 PRO",'[1]SALES PERTYPE'!$D$8:$BA$8,0)+1),0)</f>
        <v>0</v>
      </c>
      <c r="DT46" s="33" cm="1">
        <f t="array" ref="DT46">IFERROR(INDEX('[1]Sales per type Agustus'!$D$10:$BA$52,MATCH($C46,'[1]Sales per type Agustus'!$B$10:$B$52,0),MATCH("X300 PRO",'[1]Sales per type Agustus'!$D$8:$BA$8,0)+1),0)</f>
        <v>0</v>
      </c>
      <c r="DU46" s="33">
        <f t="shared" si="39"/>
        <v>0</v>
      </c>
      <c r="DV46" s="33">
        <f>IFERROR(INDEX('[1]SALES PERTYPE'!$D$10:$BA$53,MATCH($C46,'[1]SALES PERTYPE'!$B$10:$B$53,0),MATCH("X300 ",'[1]SALES PERTYPE'!$D$8:$BA$8,0)),0)</f>
        <v>0</v>
      </c>
      <c r="DW46" s="33">
        <f>IFERROR(INDEX('[1]Sales per type Agustus'!$D$10:$BA$52,MATCH($C46,'[1]Sales per type Agustus'!$B$10:$B$52,0),MATCH("X300 ",'[1]Sales per type Agustus'!$D$8:$BA$8,0)),0)</f>
        <v>1</v>
      </c>
      <c r="DX46" s="33">
        <f t="shared" si="40"/>
        <v>-1</v>
      </c>
      <c r="DY46" s="33" cm="1">
        <f t="array" ref="DY46">IFERROR(INDEX('[1]SALES PERTYPE'!$D$10:$BA$53,MATCH($C46,'[1]SALES PERTYPE'!$B$10:$B$53,0),MATCH("X300 ",'[1]SALES PERTYPE'!$D$8:$BA$8,0)+1),0)</f>
        <v>0</v>
      </c>
      <c r="DZ46" s="33" cm="1">
        <f t="array" ref="DZ46">IFERROR(INDEX('[1]Sales per type Agustus'!$D$10:$BA$52,MATCH($C46,'[1]Sales per type Agustus'!$B$10:$B$52,0),MATCH("X300 ",'[1]Sales per type Agustus'!$D$8:$BA$8,0)+1),0)</f>
        <v>16999000</v>
      </c>
      <c r="EA46" s="33">
        <f t="shared" si="41"/>
        <v>-16999000</v>
      </c>
      <c r="EB46" s="33">
        <f t="shared" si="42"/>
        <v>16</v>
      </c>
      <c r="EC46" s="33">
        <f t="shared" si="42"/>
        <v>25</v>
      </c>
      <c r="ED46" s="33">
        <f t="shared" si="43"/>
        <v>-9</v>
      </c>
      <c r="EE46" s="33">
        <f t="shared" si="44"/>
        <v>84784000</v>
      </c>
      <c r="EF46" s="33">
        <f t="shared" si="44"/>
        <v>159975000</v>
      </c>
      <c r="EG46" s="33">
        <f t="shared" si="45"/>
        <v>-75191000</v>
      </c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</row>
    <row r="47" spans="1:184" ht="16" x14ac:dyDescent="0.2">
      <c r="A47" s="31">
        <f>'[1]ACHIEVEMENT STORE'!A47</f>
        <v>43</v>
      </c>
      <c r="B47" s="32" t="str">
        <f>'[1]ACHIEVEMENT STORE'!B47</f>
        <v>614 三宝垄 Semarang</v>
      </c>
      <c r="C47" s="31">
        <f>'[1]ACHIEVEMENT STORE'!C47</f>
        <v>6140705</v>
      </c>
      <c r="D47" s="32" t="str">
        <f>'[1]ACHIEVEMENT STORE'!D47</f>
        <v>6140705-QUEENCITY 2F027</v>
      </c>
      <c r="E47" s="32" t="str">
        <f>'[1]ACHIEVEMENT STORE'!E47</f>
        <v>VICKY DINDA INEZ</v>
      </c>
      <c r="F47" s="33">
        <f>IFERROR(INDEX('[1]SALES PERTYPE'!$D$10:$BA$53,MATCH($C47,'[1]SALES PERTYPE'!$B$10:$B$53,0),MATCH("Y05",'[1]SALES PERTYPE'!$D$8:$BA$8,0)),0)</f>
        <v>2</v>
      </c>
      <c r="G47" s="33">
        <f>IFERROR(INDEX('[1]Sales per type Agustus'!$D$10:$BA$52,MATCH($C47,'[1]Sales per type Agustus'!$B$10:$B$52,0),MATCH("Y05",'[1]Sales per type Agustus'!$D$8:$BA$8,0)),0)</f>
        <v>3</v>
      </c>
      <c r="H47" s="33">
        <f t="shared" si="0"/>
        <v>-1</v>
      </c>
      <c r="I47" s="33" cm="1">
        <f t="array" ref="I47">IFERROR(INDEX('[1]SALES PERTYPE'!$D$10:$BA$53,MATCH($C47,'[1]SALES PERTYPE'!$B$10:$B$53,0),MATCH("Y05",'[1]SALES PERTYPE'!$D$8:$BA$8,0)+1),0)</f>
        <v>5198000</v>
      </c>
      <c r="J47" s="33" cm="1">
        <f t="array" ref="J47">IFERROR(INDEX('[1]Sales per type Agustus'!$D$10:$BA$52,MATCH($C47,'[1]Sales per type Agustus'!$B$10:$B$52,0),MATCH("Y05",'[1]Sales per type Agustus'!$D$8:$BA$8,0)+1),0)</f>
        <v>7497000</v>
      </c>
      <c r="K47" s="33">
        <f t="shared" si="1"/>
        <v>-2299000</v>
      </c>
      <c r="L47" s="33">
        <f>IFERROR(INDEX('[1]SALES PERTYPE'!$D$10:$BA$53,MATCH($C47,'[1]SALES PERTYPE'!$B$10:$B$53,0),MATCH("Y11d",'[1]SALES PERTYPE'!$D$8:$BA$8,0)),0)</f>
        <v>2</v>
      </c>
      <c r="M47" s="33">
        <f>IFERROR(INDEX('[1]Sales per type Agustus'!$D$10:$BA$52,MATCH($C47,'[1]Sales per type Agustus'!$B$10:$B$52,0),MATCH("Y11d",'[1]Sales per type Agustus'!$D$8:$BA$8,0)),0)</f>
        <v>4</v>
      </c>
      <c r="N47" s="33">
        <f t="shared" si="2"/>
        <v>-2</v>
      </c>
      <c r="O47" s="33" cm="1">
        <f t="array" ref="O47">IFERROR(INDEX('[1]SALES PERTYPE'!$D$10:$BA$53,MATCH($C47,'[1]SALES PERTYPE'!$B$10:$B$53,0),MATCH("Y11d",'[1]SALES PERTYPE'!$D$8:$BA$8,0)+1),0)</f>
        <v>5198000</v>
      </c>
      <c r="P47" s="33" cm="1">
        <f t="array" ref="P47">IFERROR(INDEX('[1]Sales per type Agustus'!$D$10:$BA$52,MATCH($C47,'[1]Sales per type Agustus'!$B$10:$B$52,0),MATCH("Y11d",'[1]Sales per type Agustus'!$D$8:$BA$8,0)+1),0)</f>
        <v>10396000</v>
      </c>
      <c r="Q47" s="33">
        <f t="shared" si="3"/>
        <v>-5198000</v>
      </c>
      <c r="R47" s="33">
        <f>IFERROR(INDEX('[1]SALES PERTYPE'!$D$10:$BA$53,MATCH($C47,'[1]SALES PERTYPE'!$B$10:$B$53,0),MATCH("Watch GT 2",'[1]SALES PERTYPE'!$D$8:$BA$8,0)),0)</f>
        <v>0</v>
      </c>
      <c r="S47" s="33">
        <f>IFERROR(INDEX('[1]Sales per type Agustus'!$D$10:$BA$52,MATCH($C47,'[1]Sales per type Agustus'!$B$10:$B$52,0),MATCH("Watch GT 2",'[1]Sales per type Agustus'!$D$8:$BA$8,0)),0)</f>
        <v>0</v>
      </c>
      <c r="T47" s="33">
        <f t="shared" si="4"/>
        <v>0</v>
      </c>
      <c r="U47" s="33" cm="1">
        <f t="array" ref="U47">IFERROR(INDEX('[1]SALES PERTYPE'!$D$10:$BA$53,MATCH($C47,'[1]SALES PERTYPE'!$B$10:$B$53,0),MATCH("Watch GT 2",'[1]SALES PERTYPE'!$D$8:$BA$8,0)+1),0)</f>
        <v>0</v>
      </c>
      <c r="V47" s="33" cm="1">
        <f t="array" ref="V47">IFERROR(INDEX('[1]Sales per type Agustus'!$D$10:$BA$52,MATCH($C47,'[1]Sales per type Agustus'!$B$10:$B$52,0),MATCH("Watch GT 2",'[1]Sales per type Agustus'!$D$8:$BA$8,0)+1),0)</f>
        <v>0</v>
      </c>
      <c r="W47" s="33">
        <f t="shared" si="5"/>
        <v>0</v>
      </c>
      <c r="X47" s="33">
        <f>IFERROR(INDEX('[1]SALES PERTYPE'!$D$10:$BA$53,MATCH($C47,'[1]SALES PERTYPE'!$B$10:$B$53,0),MATCH("Y05e",'[1]SALES PERTYPE'!$D$8:$BA$8,0)),0)</f>
        <v>0</v>
      </c>
      <c r="Y47" s="33">
        <f>IFERROR(INDEX('[1]Sales per type Agustus'!$D$10:$BA$52,MATCH($C47,'[1]Sales per type Agustus'!$B$10:$B$52,0),MATCH("Y05e",'[1]Sales per type Agustus'!$D$8:$BA$8,0)),0)</f>
        <v>5</v>
      </c>
      <c r="Z47" s="33">
        <f t="shared" si="6"/>
        <v>-5</v>
      </c>
      <c r="AA47" s="33" cm="1">
        <f t="array" ref="AA47">IFERROR(INDEX('[1]SALES PERTYPE'!$D$10:$BA$53,MATCH($C47,'[1]SALES PERTYPE'!$B$10:$B$53,0),MATCH("Y05e",'[1]SALES PERTYPE'!$D$8:$BA$8,0)+1),0)</f>
        <v>0</v>
      </c>
      <c r="AB47" s="33" cm="1">
        <f t="array" ref="AB47">IFERROR(INDEX('[1]Sales per type Agustus'!$D$10:$BA$52,MATCH($C47,'[1]Sales per type Agustus'!$B$10:$B$52,0),MATCH("Y05e",'[1]Sales per type Agustus'!$D$8:$BA$8,0)+1),0)</f>
        <v>10495000</v>
      </c>
      <c r="AC47" s="33">
        <f t="shared" si="7"/>
        <v>-10495000</v>
      </c>
      <c r="AD47" s="33">
        <f>IFERROR(INDEX('[1]SALES PERTYPE'!$D$10:$BA$53,MATCH($C47,'[1]SALES PERTYPE'!$B$10:$B$53,0),MATCH("V70",'[1]SALES PERTYPE'!$D$8:$BA$8,0)),0)</f>
        <v>6</v>
      </c>
      <c r="AE47" s="33">
        <f>IFERROR(INDEX('[1]Sales per type Agustus'!$D$10:$BA$52,MATCH($C47,'[1]Sales per type Agustus'!$B$10:$B$52,0),MATCH("V70",'[1]Sales per type Agustus'!$D$8:$BA$8,0)),0)</f>
        <v>2</v>
      </c>
      <c r="AF47" s="33">
        <f t="shared" si="8"/>
        <v>4</v>
      </c>
      <c r="AG47" s="33" cm="1">
        <f t="array" ref="AG47">IFERROR(INDEX('[1]SALES PERTYPE'!$D$10:$BA$53,MATCH($C47,'[1]SALES PERTYPE'!$B$10:$B$53,0),MATCH("V70",'[1]SALES PERTYPE'!$D$8:$BA$8,0)+1),0)</f>
        <v>59994000</v>
      </c>
      <c r="AH47" s="33" cm="1">
        <f t="array" ref="AH47">IFERROR(INDEX('[1]Sales per type Agustus'!$D$10:$BA$52,MATCH($C47,'[1]Sales per type Agustus'!$B$10:$B$52,0),MATCH("V70",'[1]Sales per type Agustus'!$D$8:$BA$8,0)+1),0)</f>
        <v>19998000</v>
      </c>
      <c r="AI47" s="33">
        <f t="shared" si="9"/>
        <v>39996000</v>
      </c>
      <c r="AJ47" s="33">
        <f>IFERROR(INDEX('[1]SALES PERTYPE'!$D$10:$BA$53,MATCH($C47,'[1]SALES PERTYPE'!$B$10:$B$53,0),MATCH("Y31d Pro",'[1]SALES PERTYPE'!$D$8:$BA$8,0)),0)</f>
        <v>6</v>
      </c>
      <c r="AK47" s="33">
        <f>IFERROR(INDEX('[1]Sales per type Agustus'!$D$10:$BA$52,MATCH($C47,'[1]Sales per type Agustus'!$B$10:$B$52,0),MATCH("Y31d Pro",'[1]Sales per type Agustus'!$D$8:$BA$8,0)),0)</f>
        <v>9</v>
      </c>
      <c r="AL47" s="33">
        <f t="shared" si="10"/>
        <v>-3</v>
      </c>
      <c r="AM47" s="33" cm="1">
        <f t="array" ref="AM47">IFERROR(INDEX('[1]SALES PERTYPE'!$D$10:$BA$53,MATCH($C47,'[1]SALES PERTYPE'!$B$10:$B$53,0),MATCH("Y31d Pro",'[1]SALES PERTYPE'!$D$8:$BA$8,0)+1),0)</f>
        <v>30194000</v>
      </c>
      <c r="AN47" s="33" cm="1">
        <f t="array" ref="AN47">IFERROR(INDEX('[1]Sales per type Agustus'!$D$10:$BA$52,MATCH($C47,'[1]Sales per type Agustus'!$B$10:$B$52,0),MATCH("Y31d Pro",'[1]Sales per type Agustus'!$D$8:$BA$8,0)+1),0)</f>
        <v>38891000</v>
      </c>
      <c r="AO47" s="33">
        <f t="shared" si="11"/>
        <v>-8697000</v>
      </c>
      <c r="AP47" s="33" cm="1">
        <f t="array" ref="AP47">IFERROR(INDEX('[1]SALES PERTYPE'!$D$10:$BA$53,MATCH($C47,'[1]SALES PERTYPE'!$B$10:$B$53,0),$EI$3),0)</f>
        <v>2</v>
      </c>
      <c r="AQ47" s="33" cm="1">
        <f t="array" ref="AQ47">IFERROR(INDEX('[1]Sales per type Agustus'!$D$10:$BA$52,MATCH($C47,'[1]Sales per type Agustus'!$B$10:$B$52,0),$EI$2),0)</f>
        <v>0</v>
      </c>
      <c r="AR47" s="33">
        <f t="shared" si="12"/>
        <v>2</v>
      </c>
      <c r="AS47" s="33" cm="1">
        <f t="array" ref="AS47">IFERROR(INDEX('[1]SALES PERTYPE'!$D$10:$BA$53,MATCH($C47,'[1]SALES PERTYPE'!$B$10:$B$53,0),$EI$3+1),0)</f>
        <v>6598000</v>
      </c>
      <c r="AT47" s="33" cm="1">
        <f t="array" ref="AT47">IFERROR(INDEX('[1]Sales per type Agustus'!$D$10:$BA$52,MATCH($C47,'[1]Sales per type Agustus'!$B$10:$B$52,0),$EI$2+1),0)</f>
        <v>0</v>
      </c>
      <c r="AU47" s="33">
        <f t="shared" si="13"/>
        <v>6598000</v>
      </c>
      <c r="AV47" s="33">
        <f>IFERROR(INDEX('[1]SALES PERTYPE'!$D$10:$BA$53,MATCH($C47,'[1]SALES PERTYPE'!$B$10:$B$53,0),MATCH("Y31d ",'[1]SALES PERTYPE'!$D$8:$BA$8,0)),0)</f>
        <v>0</v>
      </c>
      <c r="AW47" s="33">
        <f>IFERROR(INDEX('[1]Sales per type Agustus'!$D$10:$BA$52,MATCH($C47,'[1]Sales per type Agustus'!$B$10:$B$52,0),MATCH("Y31d ",'[1]Sales per type Agustus'!$D$8:$BA$8,0)),0)</f>
        <v>0</v>
      </c>
      <c r="AX47" s="33">
        <f t="shared" si="14"/>
        <v>0</v>
      </c>
      <c r="AY47" s="33" cm="1">
        <f t="array" ref="AY47">IFERROR(INDEX('[1]SALES PERTYPE'!$D$10:$BA$53,MATCH($C47,'[1]SALES PERTYPE'!$B$10:$B$53,0),MATCH("Y31d ",'[1]SALES PERTYPE'!$D$8:$BA$8,0)+1),0)</f>
        <v>0</v>
      </c>
      <c r="AZ47" s="33" cm="1">
        <f t="array" ref="AZ47">IFERROR(INDEX('[1]Sales per type Agustus'!$D$10:$BA$52,MATCH($C47,'[1]Sales per type Agustus'!$B$10:$B$52,0),MATCH("Y31d ",'[1]Sales per type Agustus'!$D$8:$BA$8,0)+1),0)</f>
        <v>0</v>
      </c>
      <c r="BA47" s="33">
        <f t="shared" si="15"/>
        <v>0</v>
      </c>
      <c r="BB47" s="33">
        <f>IFERROR(INDEX('[1]SALES PERTYPE'!$D$10:$BA$53,MATCH($C47,'[1]SALES PERTYPE'!$B$10:$B$53,0),MATCH("V70 FE",'[1]SALES PERTYPE'!$D$8:$BA$8,0)),0)</f>
        <v>23</v>
      </c>
      <c r="BC47" s="33">
        <f>IFERROR(INDEX('[1]Sales per type Agustus'!$D$10:$BA$52,MATCH($C47,'[1]Sales per type Agustus'!$B$10:$B$52,0),MATCH("V70 FE",'[1]Sales per type Agustus'!$D$8:$BA$8,0)),0)</f>
        <v>3</v>
      </c>
      <c r="BD47" s="33">
        <f t="shared" si="16"/>
        <v>20</v>
      </c>
      <c r="BE47" s="33" cm="1">
        <f t="array" ref="BE47">IFERROR(INDEX('[1]SALES PERTYPE'!$D$10:$BA$53,MATCH($C47,'[1]SALES PERTYPE'!$B$10:$B$53,0),MATCH("V70 FE",'[1]SALES PERTYPE'!$D$8:$BA$8,0)+1),0)</f>
        <v>163977000</v>
      </c>
      <c r="BF47" s="33" cm="1">
        <f t="array" ref="BF47">IFERROR(INDEX('[1]Sales per type Agustus'!$D$10:$BA$52,MATCH($C47,'[1]Sales per type Agustus'!$B$10:$B$52,0),MATCH("V70 FE",'[1]Sales per type Agustus'!$D$8:$BA$8,0)+1),0)</f>
        <v>20997000</v>
      </c>
      <c r="BG47" s="33">
        <f t="shared" si="17"/>
        <v>142980000</v>
      </c>
      <c r="BH47" s="33">
        <f>IFERROR(INDEX('[1]SALES PERTYPE'!$D$10:$BA$53,MATCH($C47,'[1]SALES PERTYPE'!$B$10:$B$53,0),MATCH("Y31d",'[1]SALES PERTYPE'!$D$8:$BA$8,0)),0)</f>
        <v>0</v>
      </c>
      <c r="BI47" s="33">
        <f>IFERROR(INDEX('[1]Sales per type Agustus'!$D$10:$BA$52,MATCH($C47,'[1]Sales per type Agustus'!$B$10:$B$52,0),MATCH("Y31d",'[1]Sales per type Agustus'!$D$8:$BA$8,0)),0)</f>
        <v>0</v>
      </c>
      <c r="BJ47" s="33">
        <f t="shared" si="18"/>
        <v>0</v>
      </c>
      <c r="BK47" s="33" cm="1">
        <f t="array" ref="BK47">IFERROR(INDEX('[1]SALES PERTYPE'!$D$10:$BA$53,MATCH($C47,'[1]SALES PERTYPE'!$B$10:$B$53,0),MATCH("Y31d",'[1]SALES PERTYPE'!$D$8:$BA$8,0)+1),0)</f>
        <v>0</v>
      </c>
      <c r="BL47" s="33" cm="1">
        <f t="array" ref="BL47">IFERROR(INDEX('[1]Sales per type Agustus'!$D$10:$BA$52,MATCH($C47,'[1]Sales per type Agustus'!$B$10:$B$52,0),MATCH("Y31d",'[1]Sales per type Agustus'!$D$8:$BA$8,0)+1),0)</f>
        <v>0</v>
      </c>
      <c r="BM47" s="33">
        <f t="shared" si="19"/>
        <v>0</v>
      </c>
      <c r="BN47" s="33">
        <f>IFERROR(INDEX('[1]SALES PERTYPE'!$D$10:$BA$53,MATCH($C47,'[1]SALES PERTYPE'!$B$10:$B$53,0),MATCH("Y500",'[1]SALES PERTYPE'!$D$8:$BA$8,0)),0)</f>
        <v>2</v>
      </c>
      <c r="BO47" s="33">
        <f>IFERROR(INDEX('[1]Sales per type Agustus'!$D$10:$BA$52,MATCH($C47,'[1]Sales per type Agustus'!$B$10:$B$52,0),MATCH("Y500",'[1]Sales per type Agustus'!$D$8:$BA$8,0)),0)</f>
        <v>0</v>
      </c>
      <c r="BP47" s="33">
        <f t="shared" si="20"/>
        <v>2</v>
      </c>
      <c r="BQ47" s="33" cm="1">
        <f t="array" ref="BQ47">IFERROR(INDEX('[1]SALES PERTYPE'!$D$10:$BA$53,MATCH($C47,'[1]SALES PERTYPE'!$B$10:$B$53,0),MATCH("Y500",'[1]SALES PERTYPE'!$D$8:$BA$8,0)+1),0)</f>
        <v>12598000</v>
      </c>
      <c r="BR47" s="33" cm="1">
        <f t="array" ref="BR47">IFERROR(INDEX('[1]Sales per type Agustus'!$D$10:$BA$52,MATCH($C47,'[1]Sales per type Agustus'!$B$10:$B$52,0),MATCH("Y500",'[1]Sales per type Agustus'!$D$8:$BA$8,0)+1),0)</f>
        <v>0</v>
      </c>
      <c r="BS47" s="33">
        <f t="shared" si="21"/>
        <v>12598000</v>
      </c>
      <c r="BT47" s="33">
        <f>IFERROR(INDEX('[1]SALES PERTYPE'!$D$10:$BA$53,MATCH($C47,'[1]SALES PERTYPE'!$B$10:$B$53,0),MATCH("IQOO 15R",'[1]SALES PERTYPE'!$D$8:$BA$8,0)),0)</f>
        <v>2</v>
      </c>
      <c r="BU47" s="33">
        <f>IFERROR(INDEX('[1]Sales per type Agustus'!$D$10:$BA$52,MATCH($C47,'[1]Sales per type Agustus'!$B$10:$B$52,0),MATCH("IQOO 15R",'[1]Sales per type Agustus'!$D$8:$BA$8,0)),0)</f>
        <v>1</v>
      </c>
      <c r="BV47" s="33">
        <f t="shared" si="22"/>
        <v>1</v>
      </c>
      <c r="BW47" s="33" cm="1">
        <f t="array" ref="BW47">IFERROR(INDEX('[1]SALES PERTYPE'!$D$10:$BA$53,MATCH($C47,'[1]SALES PERTYPE'!$B$10:$B$53,0),MATCH("IQOO 15R",'[1]SALES PERTYPE'!$D$8:$BA$8,0)+1),0)</f>
        <v>23998000</v>
      </c>
      <c r="BX47" s="33" cm="1">
        <f t="array" ref="BX47">IFERROR(INDEX('[1]Sales per type Agustus'!$D$10:$BA$52,MATCH($C47,'[1]Sales per type Agustus'!$B$10:$B$52,0),MATCH("IQOO 15R",'[1]Sales per type Agustus'!$D$8:$BA$8,0)+1),0)</f>
        <v>11999000</v>
      </c>
      <c r="BY47" s="33">
        <f t="shared" si="23"/>
        <v>11999000</v>
      </c>
      <c r="BZ47" s="33">
        <f>IFERROR(INDEX('[1]SALES PERTYPE'!$D$10:$BA$53,MATCH($C47,'[1]SALES PERTYPE'!$B$10:$B$53,0),MATCH("V60 Lite",'[1]SALES PERTYPE'!$D$8:$BA$8,0)),0)</f>
        <v>1</v>
      </c>
      <c r="CA47" s="33">
        <f>IFERROR(INDEX('[1]Sales per type Agustus'!$D$10:$BA$52,MATCH($C47,'[1]Sales per type Agustus'!$B$10:$B$52,0),MATCH("V60 Lite",'[1]Sales per type Agustus'!$D$8:$BA$8,0)),0)</f>
        <v>4</v>
      </c>
      <c r="CB47" s="33">
        <f t="shared" si="24"/>
        <v>-3</v>
      </c>
      <c r="CC47" s="33" cm="1">
        <f t="array" ref="CC47">IFERROR(INDEX('[1]SALES PERTYPE'!$D$10:$BA$53,MATCH($C47,'[1]SALES PERTYPE'!$B$10:$B$53,0),MATCH("V60 Lite",'[1]SALES PERTYPE'!$D$8:$BA$8,0)+1),0)</f>
        <v>5899000</v>
      </c>
      <c r="CD47" s="33" cm="1">
        <f t="array" ref="CD47">IFERROR(INDEX('[1]Sales per type Agustus'!$D$10:$BA$52,MATCH($C47,'[1]Sales per type Agustus'!$B$10:$B$52,0),MATCH("V60 Lite",'[1]Sales per type Agustus'!$D$8:$BA$8,0)+1),0)</f>
        <v>23596000</v>
      </c>
      <c r="CE47" s="33">
        <f t="shared" si="25"/>
        <v>-17697000</v>
      </c>
      <c r="CF47" s="33">
        <f>IFERROR(INDEX('[1]SALES PERTYPE'!$D$10:$BA$53,MATCH($C47,'[1]SALES PERTYPE'!$B$10:$B$53,0),MATCH("X300 Ultra",'[1]SALES PERTYPE'!$D$8:$BA$8,0)),0)</f>
        <v>2</v>
      </c>
      <c r="CG47" s="33">
        <f>IFERROR(INDEX('[1]Sales per type Agustus'!$D$10:$BA$52,MATCH($C47,'[1]Sales per type Agustus'!$B$10:$B$52,0),MATCH("X300 Ultra",'[1]Sales per type Agustus'!$D$8:$BA$8,0)),0)</f>
        <v>1</v>
      </c>
      <c r="CH47" s="33">
        <f t="shared" si="26"/>
        <v>1</v>
      </c>
      <c r="CI47" s="33" cm="1">
        <f t="array" ref="CI47">IFERROR(INDEX('[1]SALES PERTYPE'!$D$10:$BA$53,MATCH($C47,'[1]SALES PERTYPE'!$B$10:$B$53,0),MATCH("X300 Ultra",'[1]SALES PERTYPE'!$D$8:$BA$8,0)+1),0)</f>
        <v>51998000</v>
      </c>
      <c r="CJ47" s="33" cm="1">
        <f t="array" ref="CJ47">IFERROR(INDEX('[1]Sales per type Agustus'!$D$10:$BA$52,MATCH($C47,'[1]Sales per type Agustus'!$B$10:$B$52,0),MATCH("X300 Ultra",'[1]Sales per type Agustus'!$D$8:$BA$8,0)+1),0)</f>
        <v>25999000</v>
      </c>
      <c r="CK47" s="33">
        <f t="shared" si="27"/>
        <v>25999000</v>
      </c>
      <c r="CL47" s="33">
        <f>IFERROR(INDEX('[1]SALES PERTYPE'!$D$10:$BA$53,MATCH($C47,'[1]SALES PERTYPE'!$B$10:$B$53,0),MATCH("IQOO 15",'[1]SALES PERTYPE'!$D$8:$BA$8,0)),0)</f>
        <v>0</v>
      </c>
      <c r="CM47" s="33">
        <f>IFERROR(INDEX('[1]Sales per type Agustus'!$D$10:$BA$52,MATCH($C47,'[1]Sales per type Agustus'!$B$10:$B$52,0),MATCH("IQOO 15",'[1]Sales per type Agustus'!$D$8:$BA$8,0)),0)</f>
        <v>0</v>
      </c>
      <c r="CN47" s="33">
        <f t="shared" si="28"/>
        <v>0</v>
      </c>
      <c r="CO47" s="33" cm="1">
        <f t="array" ref="CO47">IFERROR(INDEX('[1]SALES PERTYPE'!$D$10:$BA$53,MATCH($C47,'[1]SALES PERTYPE'!$B$10:$B$53,0),MATCH("IQOO 15",'[1]SALES PERTYPE'!$D$8:$BA$8,0)+1),0)</f>
        <v>0</v>
      </c>
      <c r="CP47" s="33" cm="1">
        <f t="array" ref="CP47">IFERROR(INDEX('[1]Sales per type Agustus'!$D$10:$BA$52,MATCH($C47,'[1]Sales per type Agustus'!$B$10:$B$52,0),MATCH("IQOO 15",'[1]Sales per type Agustus'!$D$8:$BA$8,0)+1),0)</f>
        <v>0</v>
      </c>
      <c r="CQ47" s="33">
        <f t="shared" si="29"/>
        <v>0</v>
      </c>
      <c r="CR47" s="33">
        <f>IFERROR(INDEX('[1]SALES PERTYPE'!$D$10:$BA$53,MATCH($C47,'[1]SALES PERTYPE'!$B$10:$B$53,0),MATCH("IQOO Z11x",'[1]SALES PERTYPE'!$D$8:$BA$8,0)),0)</f>
        <v>1</v>
      </c>
      <c r="CS47" s="33">
        <f>IFERROR(INDEX('[1]Sales per type Agustus'!$D$10:$BA$52,MATCH($C47,'[1]Sales per type Agustus'!$B$10:$B$52,0),MATCH("IQOO Z11x",'[1]Sales per type Agustus'!$D$8:$BA$8,0)),0)</f>
        <v>2</v>
      </c>
      <c r="CT47" s="33">
        <f t="shared" si="30"/>
        <v>-1</v>
      </c>
      <c r="CU47" s="33" cm="1">
        <f t="array" ref="CU47">IFERROR(INDEX('[1]SALES PERTYPE'!$D$10:$BA$53,MATCH($C47,'[1]SALES PERTYPE'!$B$10:$B$53,0),MATCH("IQOO Z11x",'[1]SALES PERTYPE'!$D$8:$BA$8,0)+1),0)</f>
        <v>4799000</v>
      </c>
      <c r="CV47" s="33" cm="1">
        <f t="array" ref="CV47">IFERROR(INDEX('[1]Sales per type Agustus'!$D$10:$BA$52,MATCH($C47,'[1]Sales per type Agustus'!$B$10:$B$52,0),MATCH("IQOO Z11x",'[1]Sales per type Agustus'!$D$8:$BA$8,0)+1),0)</f>
        <v>11398000</v>
      </c>
      <c r="CW47" s="33">
        <f t="shared" si="31"/>
        <v>-6599000</v>
      </c>
      <c r="CX47" s="33">
        <f>IFERROR(INDEX('[1]SALES PERTYPE'!$D$10:$BA$53,MATCH($C47,'[1]SALES PERTYPE'!$B$10:$B$53,0),MATCH("IQOO Z11",'[1]SALES PERTYPE'!$D$8:$BA$8,0)),0)</f>
        <v>4</v>
      </c>
      <c r="CY47" s="33">
        <f>IFERROR(INDEX('[1]Sales per type Agustus'!$D$10:$BA$52,MATCH($C47,'[1]Sales per type Agustus'!$B$10:$B$52,0),MATCH("IQOO Z11",'[1]Sales per type Agustus'!$D$8:$BA$8,0)),0)</f>
        <v>8</v>
      </c>
      <c r="CZ47" s="33">
        <f t="shared" si="32"/>
        <v>-4</v>
      </c>
      <c r="DA47" s="33" cm="1">
        <f t="array" ref="DA47">IFERROR(INDEX('[1]SALES PERTYPE'!$D$10:$BA$53,MATCH($C47,'[1]SALES PERTYPE'!$B$10:$B$53,0),MATCH("IQOO Z11",'[1]SALES PERTYPE'!$D$8:$BA$8,0)+1),0)</f>
        <v>30596000</v>
      </c>
      <c r="DB47" s="33" cm="1">
        <f t="array" ref="DB47">IFERROR(INDEX('[1]Sales per type Agustus'!$D$10:$BA$52,MATCH($C47,'[1]Sales per type Agustus'!$B$10:$B$52,0),MATCH("IQOO Z11",'[1]Sales per type Agustus'!$D$8:$BA$8,0)+1),0)</f>
        <v>58192000</v>
      </c>
      <c r="DC47" s="33">
        <f t="shared" si="33"/>
        <v>-27596000</v>
      </c>
      <c r="DD47" s="33">
        <f>IFERROR(INDEX('[1]SALES PERTYPE'!$D$10:$BA$53,MATCH($C47,'[1]SALES PERTYPE'!$B$10:$B$53,0),MATCH("WATCH 3",'[1]SALES PERTYPE'!$D$8:$BA$8,0)),0)</f>
        <v>0</v>
      </c>
      <c r="DE47" s="33">
        <f>IFERROR(INDEX('[1]Sales per type Agustus'!$D$10:$BA$52,MATCH($C47,'[1]Sales per type Agustus'!$B$10:$B$52,0),MATCH("WATCH 3",'[1]Sales per type Agustus'!$D$8:$BA$8,0)),0)</f>
        <v>0</v>
      </c>
      <c r="DF47" s="33">
        <f t="shared" si="34"/>
        <v>0</v>
      </c>
      <c r="DG47" s="33" cm="1">
        <f t="array" ref="DG47">IFERROR(INDEX('[1]SALES PERTYPE'!$D$10:$BA$53,MATCH($C47,'[1]SALES PERTYPE'!$B$10:$B$53,0),MATCH("WATCH 3",'[1]SALES PERTYPE'!$D$8:$BA$8,0)+1),0)</f>
        <v>0</v>
      </c>
      <c r="DH47" s="33" cm="1">
        <f t="array" ref="DH47">IFERROR(INDEX('[1]Sales per type Agustus'!$D$10:$BA$52,MATCH($C47,'[1]Sales per type Agustus'!$B$10:$B$52,0),MATCH("WATCH 3",'[1]Sales per type Agustus'!$D$8:$BA$8,0)+1),0)</f>
        <v>0</v>
      </c>
      <c r="DI47" s="33">
        <f t="shared" si="35"/>
        <v>0</v>
      </c>
      <c r="DJ47" s="33">
        <f>IFERROR(INDEX('[1]SALES PERTYPE'!$D$10:$BA$53,MATCH($C47,'[1]SALES PERTYPE'!$B$10:$B$53,0),MATCH("X Fold5",'[1]SALES PERTYPE'!$D$8:$BA$8,0)),0)</f>
        <v>0</v>
      </c>
      <c r="DK47" s="33">
        <f>IFERROR(INDEX('[1]Sales per type Agustus'!$D$10:$BA$52,MATCH($C47,'[1]Sales per type Agustus'!$B$10:$B$52,0),MATCH("X Fold5",'[1]Sales per type Agustus'!$D$8:$BA$8,0)),0)</f>
        <v>0</v>
      </c>
      <c r="DL47" s="33">
        <f t="shared" si="36"/>
        <v>0</v>
      </c>
      <c r="DM47" s="33" cm="1">
        <f t="array" ref="DM47">IFERROR(INDEX('[1]SALES PERTYPE'!$D$10:$BA$53,MATCH($C47,'[1]SALES PERTYPE'!$B$10:$B$53,0),MATCH("X Fold5",'[1]SALES PERTYPE'!$D$8:$BA$8,0)+1),0)</f>
        <v>0</v>
      </c>
      <c r="DN47" s="33" cm="1">
        <f t="array" ref="DN47">IFERROR(INDEX('[1]Sales per type Agustus'!$D$10:$BA$52,MATCH($C47,'[1]Sales per type Agustus'!$B$10:$B$52,0),MATCH("X Fold5",'[1]Sales per type Agustus'!$D$8:$BA$8,0)+1),0)</f>
        <v>0</v>
      </c>
      <c r="DO47" s="33">
        <f t="shared" si="37"/>
        <v>0</v>
      </c>
      <c r="DP47" s="33">
        <f>IFERROR(INDEX('[1]SALES PERTYPE'!$D$10:$BA$53,MATCH($C47,'[1]SALES PERTYPE'!$B$10:$B$53,0),MATCH("X300 PRO",'[1]SALES PERTYPE'!$D$8:$BA$8,0)),0)</f>
        <v>0</v>
      </c>
      <c r="DQ47" s="33">
        <f>IFERROR(INDEX('[1]Sales per type Agustus'!$D$10:$BA$52,MATCH($C47,'[1]Sales per type Agustus'!$B$10:$B$52,0),MATCH("X300 PRO",'[1]Sales per type Agustus'!$D$8:$BA$8,0)),0)</f>
        <v>0</v>
      </c>
      <c r="DR47" s="33">
        <f t="shared" si="38"/>
        <v>0</v>
      </c>
      <c r="DS47" s="33" cm="1">
        <f t="array" ref="DS47">IFERROR(INDEX('[1]SALES PERTYPE'!$D$10:$BA$53,MATCH($C47,'[1]SALES PERTYPE'!$B$10:$B$53,0),MATCH("X300 PRO",'[1]SALES PERTYPE'!$D$8:$BA$8,0)+1),0)</f>
        <v>0</v>
      </c>
      <c r="DT47" s="33" cm="1">
        <f t="array" ref="DT47">IFERROR(INDEX('[1]Sales per type Agustus'!$D$10:$BA$52,MATCH($C47,'[1]Sales per type Agustus'!$B$10:$B$52,0),MATCH("X300 PRO",'[1]Sales per type Agustus'!$D$8:$BA$8,0)+1),0)</f>
        <v>0</v>
      </c>
      <c r="DU47" s="33">
        <f t="shared" si="39"/>
        <v>0</v>
      </c>
      <c r="DV47" s="33">
        <f>IFERROR(INDEX('[1]SALES PERTYPE'!$D$10:$BA$53,MATCH($C47,'[1]SALES PERTYPE'!$B$10:$B$53,0),MATCH("X300 ",'[1]SALES PERTYPE'!$D$8:$BA$8,0)),0)</f>
        <v>0</v>
      </c>
      <c r="DW47" s="33">
        <f>IFERROR(INDEX('[1]Sales per type Agustus'!$D$10:$BA$52,MATCH($C47,'[1]Sales per type Agustus'!$B$10:$B$52,0),MATCH("X300 ",'[1]Sales per type Agustus'!$D$8:$BA$8,0)),0)</f>
        <v>0</v>
      </c>
      <c r="DX47" s="33">
        <f t="shared" si="40"/>
        <v>0</v>
      </c>
      <c r="DY47" s="33" cm="1">
        <f t="array" ref="DY47">IFERROR(INDEX('[1]SALES PERTYPE'!$D$10:$BA$53,MATCH($C47,'[1]SALES PERTYPE'!$B$10:$B$53,0),MATCH("X300 ",'[1]SALES PERTYPE'!$D$8:$BA$8,0)+1),0)</f>
        <v>0</v>
      </c>
      <c r="DZ47" s="33" cm="1">
        <f t="array" ref="DZ47">IFERROR(INDEX('[1]Sales per type Agustus'!$D$10:$BA$52,MATCH($C47,'[1]Sales per type Agustus'!$B$10:$B$52,0),MATCH("X300 ",'[1]Sales per type Agustus'!$D$8:$BA$8,0)+1),0)</f>
        <v>0</v>
      </c>
      <c r="EA47" s="33">
        <f t="shared" si="41"/>
        <v>0</v>
      </c>
      <c r="EB47" s="33">
        <f t="shared" si="42"/>
        <v>53</v>
      </c>
      <c r="EC47" s="33">
        <f t="shared" si="42"/>
        <v>42</v>
      </c>
      <c r="ED47" s="33">
        <f t="shared" si="43"/>
        <v>11</v>
      </c>
      <c r="EE47" s="33">
        <f t="shared" si="44"/>
        <v>401047000</v>
      </c>
      <c r="EF47" s="33">
        <f t="shared" si="44"/>
        <v>239458000</v>
      </c>
      <c r="EG47" s="33">
        <f t="shared" si="45"/>
        <v>161589000</v>
      </c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</row>
    <row r="48" spans="1:184" ht="16" x14ac:dyDescent="0.2">
      <c r="A48" s="34" t="s">
        <v>67</v>
      </c>
      <c r="B48" s="34"/>
      <c r="C48" s="34"/>
      <c r="D48" s="34"/>
      <c r="E48" s="34"/>
      <c r="F48" s="35">
        <f>SUM(F5:F47)</f>
        <v>658</v>
      </c>
      <c r="G48" s="35">
        <f>SUM(G5:G47)</f>
        <v>478</v>
      </c>
      <c r="H48" s="35">
        <f t="shared" si="0"/>
        <v>180</v>
      </c>
      <c r="I48" s="35">
        <f>SUM(I5:I47)</f>
        <v>1603942000</v>
      </c>
      <c r="J48" s="35">
        <f>SUM(J5:J47)</f>
        <v>1164322000</v>
      </c>
      <c r="K48" s="35">
        <f t="shared" si="1"/>
        <v>439620000</v>
      </c>
      <c r="L48" s="35">
        <f>SUM(L5:L47)</f>
        <v>372</v>
      </c>
      <c r="M48" s="35">
        <f>SUM(M5:M47)</f>
        <v>649</v>
      </c>
      <c r="N48" s="35">
        <f t="shared" si="2"/>
        <v>-277</v>
      </c>
      <c r="O48" s="35">
        <f>SUM(O5:O47)</f>
        <v>992028000</v>
      </c>
      <c r="P48" s="35">
        <f>SUM(P5:P47)</f>
        <v>1718551000</v>
      </c>
      <c r="Q48" s="35">
        <f t="shared" si="3"/>
        <v>-726523000</v>
      </c>
      <c r="R48" s="35">
        <f>SUM(R5:R47)</f>
        <v>1</v>
      </c>
      <c r="S48" s="35">
        <f>SUM(S5:S47)</f>
        <v>4</v>
      </c>
      <c r="T48" s="35">
        <f t="shared" si="4"/>
        <v>-3</v>
      </c>
      <c r="U48" s="35">
        <f>SUM(U5:U47)</f>
        <v>1799000</v>
      </c>
      <c r="V48" s="35">
        <f>SUM(V5:V47)</f>
        <v>7196000</v>
      </c>
      <c r="W48" s="35">
        <f t="shared" si="5"/>
        <v>-5397000</v>
      </c>
      <c r="X48" s="35">
        <f>SUM(X5:X47)</f>
        <v>415</v>
      </c>
      <c r="Y48" s="35">
        <f>SUM(Y5:Y47)</f>
        <v>634</v>
      </c>
      <c r="Z48" s="35">
        <f t="shared" si="6"/>
        <v>-219</v>
      </c>
      <c r="AA48" s="35">
        <f>SUM(AA5:AA47)</f>
        <v>905285000</v>
      </c>
      <c r="AB48" s="35">
        <f>SUM(AB5:AB47)</f>
        <v>1330766000</v>
      </c>
      <c r="AC48" s="35">
        <f t="shared" si="7"/>
        <v>-425481000</v>
      </c>
      <c r="AD48" s="35">
        <f>SUM(AD5:AD47)</f>
        <v>148</v>
      </c>
      <c r="AE48" s="35">
        <f>SUM(AE5:AE47)</f>
        <v>58</v>
      </c>
      <c r="AF48" s="35">
        <f t="shared" si="8"/>
        <v>90</v>
      </c>
      <c r="AG48" s="35">
        <f>SUM(AG5:AG47)</f>
        <v>1469852000</v>
      </c>
      <c r="AH48" s="35">
        <f>SUM(AH5:AH47)</f>
        <v>577942000</v>
      </c>
      <c r="AI48" s="35">
        <f t="shared" si="9"/>
        <v>891910000</v>
      </c>
      <c r="AJ48" s="35">
        <f>SUM(AJ5:AJ47)</f>
        <v>390</v>
      </c>
      <c r="AK48" s="35">
        <f>SUM(AK5:AK47)</f>
        <v>447</v>
      </c>
      <c r="AL48" s="35">
        <f t="shared" si="10"/>
        <v>-57</v>
      </c>
      <c r="AM48" s="35">
        <f>SUM(AM5:AM47)</f>
        <v>1697210000</v>
      </c>
      <c r="AN48" s="35">
        <f>SUM(AN5:AN47)</f>
        <v>2008853000</v>
      </c>
      <c r="AO48" s="35">
        <f t="shared" si="11"/>
        <v>-311643000</v>
      </c>
      <c r="AP48" s="35">
        <f>SUM(AP5:AP47)</f>
        <v>152</v>
      </c>
      <c r="AQ48" s="35">
        <f>SUM(AQ5:AQ47)</f>
        <v>23</v>
      </c>
      <c r="AR48" s="35">
        <f t="shared" si="12"/>
        <v>129</v>
      </c>
      <c r="AS48" s="35">
        <f>SUM(AS5:AS47)</f>
        <v>504948000</v>
      </c>
      <c r="AT48" s="35">
        <f>SUM(AT5:AT47)</f>
        <v>82777000</v>
      </c>
      <c r="AU48" s="35">
        <f t="shared" si="13"/>
        <v>422171000</v>
      </c>
      <c r="AV48" s="35">
        <f>SUM(AV5:AV47)</f>
        <v>48</v>
      </c>
      <c r="AW48" s="35">
        <f>SUM(AW5:AW47)</f>
        <v>61</v>
      </c>
      <c r="AX48" s="35">
        <f t="shared" si="14"/>
        <v>-13</v>
      </c>
      <c r="AY48" s="35">
        <f>SUM(AY5:AY47)</f>
        <v>172752000</v>
      </c>
      <c r="AZ48" s="35">
        <f>SUM(AZ5:AZ47)</f>
        <v>219539000</v>
      </c>
      <c r="BA48" s="35">
        <f t="shared" si="15"/>
        <v>-46787000</v>
      </c>
      <c r="BB48" s="35">
        <f>SUM(BB5:BB47)</f>
        <v>111</v>
      </c>
      <c r="BC48" s="35">
        <f>SUM(BC5:BC47)</f>
        <v>112</v>
      </c>
      <c r="BD48" s="35">
        <f t="shared" si="16"/>
        <v>-1</v>
      </c>
      <c r="BE48" s="35">
        <f>SUM(BE5:BE47)</f>
        <v>822889000</v>
      </c>
      <c r="BF48" s="35">
        <f>SUM(BF5:BF47)</f>
        <v>860088000</v>
      </c>
      <c r="BG48" s="35">
        <f t="shared" si="17"/>
        <v>-37199000</v>
      </c>
      <c r="BH48" s="35">
        <f>SUM(BH5:BH47)</f>
        <v>46</v>
      </c>
      <c r="BI48" s="35">
        <f>SUM(BI5:BI47)</f>
        <v>65</v>
      </c>
      <c r="BJ48" s="35">
        <f t="shared" si="18"/>
        <v>-19</v>
      </c>
      <c r="BK48" s="35">
        <f>SUM(BK5:BK47)</f>
        <v>165554000</v>
      </c>
      <c r="BL48" s="35">
        <f>SUM(BL5:BL47)</f>
        <v>233935000</v>
      </c>
      <c r="BM48" s="35">
        <f t="shared" si="19"/>
        <v>-68381000</v>
      </c>
      <c r="BN48" s="35">
        <f>SUM(BN5:BN47)</f>
        <v>61</v>
      </c>
      <c r="BO48" s="35">
        <f>SUM(BO5:BO47)</f>
        <v>87</v>
      </c>
      <c r="BP48" s="35">
        <f t="shared" si="20"/>
        <v>-26</v>
      </c>
      <c r="BQ48" s="35">
        <f>SUM(BQ5:BQ47)</f>
        <v>358639000</v>
      </c>
      <c r="BR48" s="35">
        <f>SUM(BR5:BR47)</f>
        <v>506413000</v>
      </c>
      <c r="BS48" s="35">
        <f t="shared" si="21"/>
        <v>-147774000</v>
      </c>
      <c r="BT48" s="35">
        <f>SUM(BT5:BT47)</f>
        <v>8</v>
      </c>
      <c r="BU48" s="35">
        <f>SUM(BU5:BU47)</f>
        <v>25</v>
      </c>
      <c r="BV48" s="35">
        <f t="shared" si="22"/>
        <v>-17</v>
      </c>
      <c r="BW48" s="35">
        <f>SUM(BW5:BW47)</f>
        <v>95992000</v>
      </c>
      <c r="BX48" s="35">
        <f>SUM(BX5:BX47)</f>
        <v>299975000</v>
      </c>
      <c r="BY48" s="35">
        <f t="shared" si="23"/>
        <v>-203983000</v>
      </c>
      <c r="BZ48" s="35">
        <f>SUM(BZ5:BZ47)</f>
        <v>170</v>
      </c>
      <c r="CA48" s="35">
        <f>SUM(CA5:CA47)</f>
        <v>97</v>
      </c>
      <c r="CB48" s="35">
        <f t="shared" si="24"/>
        <v>73</v>
      </c>
      <c r="CC48" s="35">
        <f>SUM(CC5:CC47)</f>
        <v>1006430000</v>
      </c>
      <c r="CD48" s="35">
        <f>SUM(CD5:CD47)</f>
        <v>566603000</v>
      </c>
      <c r="CE48" s="35">
        <f t="shared" si="25"/>
        <v>439827000</v>
      </c>
      <c r="CF48" s="35">
        <f>SUM(CF5:CF47)</f>
        <v>17</v>
      </c>
      <c r="CG48" s="35">
        <f>SUM(CG5:CG47)</f>
        <v>22</v>
      </c>
      <c r="CH48" s="35">
        <f t="shared" si="26"/>
        <v>-5</v>
      </c>
      <c r="CI48" s="35">
        <f>SUM(CI5:CI47)</f>
        <v>453983000</v>
      </c>
      <c r="CJ48" s="35">
        <f>SUM(CJ5:CJ47)</f>
        <v>587978000</v>
      </c>
      <c r="CK48" s="35">
        <f t="shared" si="27"/>
        <v>-133995000</v>
      </c>
      <c r="CL48" s="35">
        <f>SUM(CL5:CL47)</f>
        <v>0</v>
      </c>
      <c r="CM48" s="35">
        <f>SUM(CM5:CM47)</f>
        <v>1</v>
      </c>
      <c r="CN48" s="35">
        <f t="shared" si="28"/>
        <v>-1</v>
      </c>
      <c r="CO48" s="35">
        <f>SUM(CO5:CO47)</f>
        <v>0</v>
      </c>
      <c r="CP48" s="35">
        <f>SUM(CP5:CP47)</f>
        <v>15999000</v>
      </c>
      <c r="CQ48" s="35">
        <f t="shared" si="29"/>
        <v>-15999000</v>
      </c>
      <c r="CR48" s="35">
        <f>SUM(CR5:CR47)</f>
        <v>59</v>
      </c>
      <c r="CS48" s="35">
        <f>SUM(CS5:CS47)</f>
        <v>29</v>
      </c>
      <c r="CT48" s="35">
        <f t="shared" si="30"/>
        <v>30</v>
      </c>
      <c r="CU48" s="35">
        <f>SUM(CU5:CU47)</f>
        <v>293941000</v>
      </c>
      <c r="CV48" s="35">
        <f>SUM(CV5:CV47)</f>
        <v>165071000</v>
      </c>
      <c r="CW48" s="35">
        <f t="shared" si="31"/>
        <v>128870000</v>
      </c>
      <c r="CX48" s="35">
        <f>SUM(CX5:CX47)</f>
        <v>80</v>
      </c>
      <c r="CY48" s="35">
        <f>SUM(CY5:CY47)</f>
        <v>76</v>
      </c>
      <c r="CZ48" s="35">
        <f t="shared" si="32"/>
        <v>4</v>
      </c>
      <c r="DA48" s="35">
        <f>SUM(DA5:DA47)</f>
        <v>569920000</v>
      </c>
      <c r="DB48" s="35">
        <f>SUM(DB5:DB47)</f>
        <v>554224000</v>
      </c>
      <c r="DC48" s="35">
        <f t="shared" si="33"/>
        <v>15696000</v>
      </c>
      <c r="DD48" s="35">
        <f>SUM(DD5:DD47)</f>
        <v>2</v>
      </c>
      <c r="DE48" s="35">
        <f>SUM(DE5:DE47)</f>
        <v>0</v>
      </c>
      <c r="DF48" s="35">
        <f t="shared" si="34"/>
        <v>2</v>
      </c>
      <c r="DG48" s="35">
        <f>SUM(DG5:DG47)</f>
        <v>5998000</v>
      </c>
      <c r="DH48" s="35">
        <f>SUM(DH5:DH47)</f>
        <v>0</v>
      </c>
      <c r="DI48" s="35">
        <f t="shared" si="35"/>
        <v>5998000</v>
      </c>
      <c r="DJ48" s="35">
        <f>SUM(DJ5:DJ47)</f>
        <v>0</v>
      </c>
      <c r="DK48" s="35">
        <f>SUM(DK5:DK47)</f>
        <v>0</v>
      </c>
      <c r="DL48" s="35">
        <f t="shared" si="36"/>
        <v>0</v>
      </c>
      <c r="DM48" s="35">
        <f>SUM(DM5:DM47)</f>
        <v>0</v>
      </c>
      <c r="DN48" s="35">
        <f>SUM(DN5:DN47)</f>
        <v>0</v>
      </c>
      <c r="DO48" s="35">
        <f t="shared" si="37"/>
        <v>0</v>
      </c>
      <c r="DP48" s="35">
        <f>SUM(DP5:DP47)</f>
        <v>0</v>
      </c>
      <c r="DQ48" s="35">
        <f>SUM(DQ5:DQ47)</f>
        <v>0</v>
      </c>
      <c r="DR48" s="35">
        <f t="shared" si="38"/>
        <v>0</v>
      </c>
      <c r="DS48" s="35">
        <f>SUM(DS5:DS47)</f>
        <v>0</v>
      </c>
      <c r="DT48" s="35">
        <f>SUM(DT5:DT47)</f>
        <v>0</v>
      </c>
      <c r="DU48" s="35">
        <f t="shared" si="39"/>
        <v>0</v>
      </c>
      <c r="DV48" s="35">
        <f>SUM(DV5:DV47)</f>
        <v>2</v>
      </c>
      <c r="DW48" s="35">
        <f>SUM(DW5:DW47)</f>
        <v>1</v>
      </c>
      <c r="DX48" s="35">
        <f t="shared" si="40"/>
        <v>1</v>
      </c>
      <c r="DY48" s="35">
        <f>SUM(DY5:DY47)</f>
        <v>31998000</v>
      </c>
      <c r="DZ48" s="35">
        <f>SUM(DZ5:DZ47)</f>
        <v>16999000</v>
      </c>
      <c r="EA48" s="35">
        <f t="shared" si="41"/>
        <v>14999000</v>
      </c>
      <c r="EB48" s="35">
        <f>SUM(EB5:EB47)</f>
        <v>2740</v>
      </c>
      <c r="EC48" s="35">
        <f>SUM(EC5:EC47)</f>
        <v>2869</v>
      </c>
      <c r="ED48" s="35">
        <f t="shared" si="43"/>
        <v>-129</v>
      </c>
      <c r="EE48" s="35">
        <f>SUM(EE5:EE47)</f>
        <v>11153160000</v>
      </c>
      <c r="EF48" s="35">
        <f>SUM(EF5:EF47)</f>
        <v>10917231000</v>
      </c>
      <c r="EG48" s="35">
        <f t="shared" si="45"/>
        <v>235929000</v>
      </c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</row>
    <row r="49" spans="6:184" ht="16" x14ac:dyDescent="0.2"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</row>
    <row r="50" spans="6:184" ht="16" x14ac:dyDescent="0.2"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</row>
    <row r="51" spans="6:184" ht="16" x14ac:dyDescent="0.2"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</row>
    <row r="52" spans="6:184" ht="16" x14ac:dyDescent="0.2"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</row>
    <row r="53" spans="6:184" ht="16" x14ac:dyDescent="0.2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</row>
    <row r="54" spans="6:184" ht="16" x14ac:dyDescent="0.2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</row>
    <row r="55" spans="6:184" ht="16" x14ac:dyDescent="0.2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</row>
    <row r="56" spans="6:184" ht="16" x14ac:dyDescent="0.2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</row>
    <row r="57" spans="6:184" ht="16" x14ac:dyDescent="0.2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</row>
    <row r="58" spans="6:184" ht="16" x14ac:dyDescent="0.2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</row>
    <row r="59" spans="6:184" ht="16" x14ac:dyDescent="0.2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</row>
    <row r="60" spans="6:184" ht="16" x14ac:dyDescent="0.2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</row>
  </sheetData>
  <mergeCells count="28">
    <mergeCell ref="DV3:EA3"/>
    <mergeCell ref="EB3:EG3"/>
    <mergeCell ref="A3:A4"/>
    <mergeCell ref="B3:B4"/>
    <mergeCell ref="C3:C4"/>
    <mergeCell ref="D3:D4"/>
    <mergeCell ref="E3:E4"/>
    <mergeCell ref="CR3:CW3"/>
    <mergeCell ref="CX3:DC3"/>
    <mergeCell ref="DD3:DI3"/>
    <mergeCell ref="DJ3:DO3"/>
    <mergeCell ref="DP3:DU3"/>
    <mergeCell ref="A1:EG1"/>
    <mergeCell ref="F3:K3"/>
    <mergeCell ref="L3:Q3"/>
    <mergeCell ref="R3:W3"/>
    <mergeCell ref="X3:AC3"/>
    <mergeCell ref="AD3:AI3"/>
    <mergeCell ref="AJ3:AO3"/>
    <mergeCell ref="AP3:AU3"/>
    <mergeCell ref="AV3:BA3"/>
    <mergeCell ref="BB3:BG3"/>
    <mergeCell ref="BH3:BM3"/>
    <mergeCell ref="BN3:BS3"/>
    <mergeCell ref="BT3:BY3"/>
    <mergeCell ref="BZ3:CE3"/>
    <mergeCell ref="CF3:CK3"/>
    <mergeCell ref="CL3:C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24"/>
  <sheetViews>
    <sheetView zoomScaleNormal="75" workbookViewId="0">
      <selection sqref="A1:V122"/>
    </sheetView>
  </sheetViews>
  <sheetFormatPr baseColWidth="10" defaultColWidth="9.1640625" defaultRowHeight="15" outlineLevelRow="1" outlineLevelCol="1" x14ac:dyDescent="0.2"/>
  <cols>
    <col min="1" max="1" width="26" style="64" customWidth="1"/>
    <col min="2" max="2" width="18.5" style="64" customWidth="1"/>
    <col min="3" max="3" width="25.6640625" style="64" customWidth="1"/>
    <col min="4" max="4" width="10.33203125" style="94" customWidth="1"/>
    <col min="5" max="5" width="49.5" style="64" customWidth="1"/>
    <col min="6" max="6" width="38" style="94" customWidth="1"/>
    <col min="7" max="7" width="10.6640625" style="95" bestFit="1" customWidth="1"/>
    <col min="8" max="9" width="8.6640625" style="95" customWidth="1"/>
    <col min="10" max="10" width="9.6640625" style="95" bestFit="1" customWidth="1" outlineLevel="1"/>
    <col min="11" max="13" width="8.6640625" style="95" customWidth="1"/>
    <col min="14" max="15" width="8.6640625" style="95" customWidth="1" outlineLevel="1"/>
    <col min="16" max="16" width="13.5" style="96" customWidth="1"/>
    <col min="17" max="17" width="10.83203125" style="96" customWidth="1" outlineLevel="1"/>
    <col min="18" max="25" width="8.6640625" style="95" customWidth="1"/>
    <col min="26" max="28" width="9.1640625" style="64"/>
    <col min="29" max="29" width="8.5" style="64" customWidth="1"/>
    <col min="30" max="16384" width="9.1640625" style="64"/>
  </cols>
  <sheetData>
    <row r="1" spans="1:33" ht="15" customHeight="1" x14ac:dyDescent="0.2">
      <c r="A1" s="324" t="s">
        <v>37</v>
      </c>
      <c r="B1" s="324"/>
      <c r="C1" s="324"/>
      <c r="D1" s="61" t="s">
        <v>2</v>
      </c>
      <c r="E1" s="62" t="s">
        <v>1</v>
      </c>
      <c r="F1" s="63" t="s">
        <v>3</v>
      </c>
      <c r="G1" s="325" t="s">
        <v>24</v>
      </c>
      <c r="H1" s="325"/>
      <c r="I1" s="325"/>
      <c r="J1" s="325"/>
      <c r="K1" s="325"/>
      <c r="L1" s="315" t="s">
        <v>23</v>
      </c>
      <c r="M1" s="316" t="s">
        <v>21</v>
      </c>
      <c r="N1" s="317" t="s">
        <v>105</v>
      </c>
      <c r="O1" s="318" t="s">
        <v>106</v>
      </c>
      <c r="P1" s="318"/>
      <c r="Q1" s="318"/>
      <c r="R1" s="318"/>
      <c r="S1" s="319" t="s">
        <v>107</v>
      </c>
      <c r="T1" s="319"/>
      <c r="U1" s="319"/>
      <c r="V1" s="319"/>
      <c r="W1"/>
      <c r="X1"/>
      <c r="Y1"/>
    </row>
    <row r="2" spans="1:33" ht="17" thickBot="1" x14ac:dyDescent="0.25">
      <c r="A2" s="324"/>
      <c r="B2" s="324"/>
      <c r="C2" s="324"/>
      <c r="D2" s="65">
        <v>28</v>
      </c>
      <c r="E2" s="66">
        <v>30</v>
      </c>
      <c r="F2" s="67">
        <f>D2/E2</f>
        <v>0.93333333333333335</v>
      </c>
      <c r="G2" s="325"/>
      <c r="H2" s="325"/>
      <c r="I2" s="325"/>
      <c r="J2" s="325"/>
      <c r="K2" s="325"/>
      <c r="L2" s="315"/>
      <c r="M2" s="316"/>
      <c r="N2" s="317"/>
      <c r="O2" s="318"/>
      <c r="P2" s="318"/>
      <c r="Q2" s="318"/>
      <c r="R2" s="318"/>
      <c r="S2" s="319"/>
      <c r="T2" s="319"/>
      <c r="U2" s="319"/>
      <c r="V2" s="319"/>
      <c r="W2"/>
      <c r="X2"/>
      <c r="Y2"/>
    </row>
    <row r="3" spans="1:33" s="68" customFormat="1" ht="18" customHeight="1" x14ac:dyDescent="0.2">
      <c r="A3" s="298" t="s">
        <v>17</v>
      </c>
      <c r="B3" s="300" t="s">
        <v>18</v>
      </c>
      <c r="C3" s="302" t="s">
        <v>108</v>
      </c>
      <c r="D3" s="304" t="s">
        <v>20</v>
      </c>
      <c r="E3" s="312" t="s">
        <v>109</v>
      </c>
      <c r="F3" s="312" t="s">
        <v>110</v>
      </c>
      <c r="G3" s="296" t="s">
        <v>332</v>
      </c>
      <c r="H3" s="296" t="s">
        <v>333</v>
      </c>
      <c r="I3" s="296" t="s">
        <v>28</v>
      </c>
      <c r="J3" s="296" t="s">
        <v>111</v>
      </c>
      <c r="K3" s="296" t="s">
        <v>25</v>
      </c>
      <c r="L3" s="292" t="s">
        <v>27</v>
      </c>
      <c r="M3" s="292" t="s">
        <v>27</v>
      </c>
      <c r="N3" s="294" t="s">
        <v>112</v>
      </c>
      <c r="O3" s="308" t="s">
        <v>113</v>
      </c>
      <c r="P3" s="308"/>
      <c r="Q3" s="308" t="s">
        <v>33</v>
      </c>
      <c r="R3" s="308"/>
      <c r="S3" s="309" t="s">
        <v>113</v>
      </c>
      <c r="T3" s="309"/>
      <c r="U3" s="309" t="s">
        <v>33</v>
      </c>
      <c r="V3" s="309"/>
      <c r="W3"/>
      <c r="X3"/>
      <c r="Y3"/>
    </row>
    <row r="4" spans="1:33" s="68" customFormat="1" ht="37" customHeight="1" thickBot="1" x14ac:dyDescent="0.25">
      <c r="A4" s="299"/>
      <c r="B4" s="301"/>
      <c r="C4" s="303"/>
      <c r="D4" s="304"/>
      <c r="E4" s="313"/>
      <c r="F4" s="303"/>
      <c r="G4" s="297"/>
      <c r="H4" s="297"/>
      <c r="I4" s="297"/>
      <c r="J4" s="297"/>
      <c r="K4" s="297"/>
      <c r="L4" s="293"/>
      <c r="M4" s="293"/>
      <c r="N4" s="295"/>
      <c r="O4" s="69" t="s">
        <v>114</v>
      </c>
      <c r="P4" s="69" t="s">
        <v>337</v>
      </c>
      <c r="Q4" s="69" t="s">
        <v>115</v>
      </c>
      <c r="R4" s="69" t="s">
        <v>28</v>
      </c>
      <c r="S4" s="70" t="s">
        <v>114</v>
      </c>
      <c r="T4" s="70" t="s">
        <v>337</v>
      </c>
      <c r="U4" s="70" t="s">
        <v>115</v>
      </c>
      <c r="V4" s="70" t="s">
        <v>28</v>
      </c>
      <c r="W4"/>
      <c r="X4"/>
      <c r="Y4"/>
      <c r="AC4" s="64"/>
      <c r="AD4" s="64"/>
      <c r="AE4" s="64"/>
      <c r="AF4" s="64"/>
      <c r="AG4" s="64"/>
    </row>
    <row r="5" spans="1:33" ht="17" outlineLevel="1" x14ac:dyDescent="0.2">
      <c r="A5" s="7" t="s">
        <v>116</v>
      </c>
      <c r="B5" s="71">
        <v>6010701</v>
      </c>
      <c r="C5" s="8" t="s">
        <v>41</v>
      </c>
      <c r="D5" s="305">
        <v>6</v>
      </c>
      <c r="E5" s="9" t="s">
        <v>117</v>
      </c>
      <c r="F5" s="10" t="s">
        <v>118</v>
      </c>
      <c r="G5" s="73">
        <f>IFERROR(VLOOKUP($B5,'[1]KPI Promotor'!$G:$K,5,0),0)</f>
        <v>170000000</v>
      </c>
      <c r="H5" s="74">
        <f>SUMIF('[1]SALES BY PROMOTOR'!$D:$D,$F5,'[1]SALES BY PROMOTOR'!$J:$J)</f>
        <v>118069000</v>
      </c>
      <c r="I5" s="75">
        <f>IFERROR(H5/G5,0)</f>
        <v>0.69452352941176465</v>
      </c>
      <c r="J5" s="73">
        <f>IFERROR(H5/$D$2*$E$2,0)</f>
        <v>126502500</v>
      </c>
      <c r="K5" s="76">
        <f>IFERROR(H5/M5,0)</f>
        <v>3808677.4193548388</v>
      </c>
      <c r="L5" s="77">
        <f>SUMIF('[1]SALES BY PROMOTOR'!$D:$D,$F5,'[1]SALES BY PROMOTOR'!$G:$G)</f>
        <v>15</v>
      </c>
      <c r="M5" s="77">
        <f>SUMIF('[1]SALES BY PROMOTOR'!$D:$D,$F5,'[1]SALES BY PROMOTOR'!$I:$I)</f>
        <v>31</v>
      </c>
      <c r="N5" s="75">
        <f>IFERROR(L5/M5,0)</f>
        <v>0.4838709677419355</v>
      </c>
      <c r="O5" s="78">
        <f>IFERROR(VLOOKUP($F5,'[1]Sales By Promotor Last Month'!D:G,4,0),0)</f>
        <v>14</v>
      </c>
      <c r="P5" s="78">
        <f>+L5</f>
        <v>15</v>
      </c>
      <c r="Q5" s="79">
        <f>P5-O5</f>
        <v>1</v>
      </c>
      <c r="R5" s="80">
        <f>IFERROR(Q5/O5,0)</f>
        <v>7.1428571428571425E-2</v>
      </c>
      <c r="S5" s="78">
        <f>IFERROR(VLOOKUP($F5,'[1]Sales By Promotor Last Month'!D:I,6,0),0)</f>
        <v>42</v>
      </c>
      <c r="T5" s="78">
        <f>+M5</f>
        <v>31</v>
      </c>
      <c r="U5" s="79">
        <f>T5-S5</f>
        <v>-11</v>
      </c>
      <c r="V5" s="80">
        <f>IFERROR(U5/S5,0)</f>
        <v>-0.26190476190476192</v>
      </c>
      <c r="W5"/>
      <c r="X5"/>
      <c r="Y5"/>
    </row>
    <row r="6" spans="1:33" ht="17" outlineLevel="1" x14ac:dyDescent="0.2">
      <c r="A6" s="11" t="s">
        <v>116</v>
      </c>
      <c r="B6" s="71">
        <v>6010701</v>
      </c>
      <c r="C6" s="10" t="s">
        <v>41</v>
      </c>
      <c r="D6" s="306"/>
      <c r="E6" s="12" t="s">
        <v>117</v>
      </c>
      <c r="F6" s="10" t="s">
        <v>119</v>
      </c>
      <c r="G6" s="73">
        <f>IFERROR(VLOOKUP($B6,'[1]KPI Promotor'!$G:$K,5,0),0)</f>
        <v>170000000</v>
      </c>
      <c r="H6" s="74">
        <f>SUMIF('[1]SALES BY PROMOTOR'!$D:$D,$F6,'[1]SALES BY PROMOTOR'!$J:$J)</f>
        <v>149454000</v>
      </c>
      <c r="I6" s="75">
        <f t="shared" ref="I6:I70" si="0">IFERROR(H6/G6,0)</f>
        <v>0.8791411764705882</v>
      </c>
      <c r="J6" s="73">
        <f t="shared" ref="J6:J70" si="1">IFERROR(H6/$D$2*$E$2,0)</f>
        <v>160129285.71428573</v>
      </c>
      <c r="K6" s="76">
        <f t="shared" ref="K6:K70" si="2">IFERROR(H6/M6,0)</f>
        <v>3249000</v>
      </c>
      <c r="L6" s="77">
        <f>SUMIF('[1]SALES BY PROMOTOR'!$D:$D,$F6,'[1]SALES BY PROMOTOR'!$G:$G)</f>
        <v>16</v>
      </c>
      <c r="M6" s="77">
        <f>SUMIF('[1]SALES BY PROMOTOR'!$D:$D,$F6,'[1]SALES BY PROMOTOR'!$I:$I)</f>
        <v>46</v>
      </c>
      <c r="N6" s="75">
        <f t="shared" ref="N6:N70" si="3">IFERROR(L6/M6,0)</f>
        <v>0.34782608695652173</v>
      </c>
      <c r="O6" s="78">
        <f>IFERROR(VLOOKUP($F6,'[1]Sales By Promotor Last Month'!D:G,4,0),0)</f>
        <v>17</v>
      </c>
      <c r="P6" s="78">
        <f t="shared" ref="P6:P70" si="4">+L6</f>
        <v>16</v>
      </c>
      <c r="Q6" s="79">
        <f t="shared" ref="Q6:Q70" si="5">P6-O6</f>
        <v>-1</v>
      </c>
      <c r="R6" s="80">
        <f t="shared" ref="R6:R70" si="6">IFERROR(Q6/O6,0)</f>
        <v>-5.8823529411764705E-2</v>
      </c>
      <c r="S6" s="78">
        <f>IFERROR(VLOOKUP($F6,'[1]Sales By Promotor Last Month'!D:I,6,0),0)</f>
        <v>42</v>
      </c>
      <c r="T6" s="78">
        <f t="shared" ref="T6:T70" si="7">+M6</f>
        <v>46</v>
      </c>
      <c r="U6" s="79">
        <f t="shared" ref="U6:U70" si="8">T6-S6</f>
        <v>4</v>
      </c>
      <c r="V6" s="80">
        <f t="shared" ref="V6:V70" si="9">IFERROR(U6/S6,0)</f>
        <v>9.5238095238095233E-2</v>
      </c>
      <c r="W6"/>
      <c r="X6"/>
      <c r="Y6"/>
    </row>
    <row r="7" spans="1:33" ht="15" customHeight="1" outlineLevel="1" x14ac:dyDescent="0.2">
      <c r="A7" s="11" t="s">
        <v>116</v>
      </c>
      <c r="B7" s="71">
        <v>6010701</v>
      </c>
      <c r="C7" s="10" t="s">
        <v>41</v>
      </c>
      <c r="D7" s="306"/>
      <c r="E7" s="12" t="s">
        <v>117</v>
      </c>
      <c r="F7" s="10" t="s">
        <v>120</v>
      </c>
      <c r="G7" s="73">
        <f>IFERROR(VLOOKUP($B7,'[1]KPI Promotor'!$G:$K,5,0),0)</f>
        <v>170000000</v>
      </c>
      <c r="H7" s="74">
        <f>SUMIF('[1]SALES BY PROMOTOR'!$D:$D,$F7,'[1]SALES BY PROMOTOR'!$J:$J)</f>
        <v>107070000</v>
      </c>
      <c r="I7" s="75">
        <f t="shared" si="0"/>
        <v>0.62982352941176467</v>
      </c>
      <c r="J7" s="73">
        <f t="shared" si="1"/>
        <v>114717857.14285713</v>
      </c>
      <c r="K7" s="76">
        <f t="shared" si="2"/>
        <v>3569000</v>
      </c>
      <c r="L7" s="77">
        <f>SUMIF('[1]SALES BY PROMOTOR'!$D:$D,$F7,'[1]SALES BY PROMOTOR'!$G:$G)</f>
        <v>11</v>
      </c>
      <c r="M7" s="77">
        <f>SUMIF('[1]SALES BY PROMOTOR'!$D:$D,$F7,'[1]SALES BY PROMOTOR'!$I:$I)</f>
        <v>30</v>
      </c>
      <c r="N7" s="75">
        <f t="shared" si="3"/>
        <v>0.36666666666666664</v>
      </c>
      <c r="O7" s="78">
        <f>IFERROR(VLOOKUP($F7,'[1]Sales By Promotor Last Month'!D:G,4,0),0)</f>
        <v>18</v>
      </c>
      <c r="P7" s="78">
        <f t="shared" si="4"/>
        <v>11</v>
      </c>
      <c r="Q7" s="79">
        <f t="shared" si="5"/>
        <v>-7</v>
      </c>
      <c r="R7" s="80">
        <f t="shared" si="6"/>
        <v>-0.3888888888888889</v>
      </c>
      <c r="S7" s="78">
        <f>IFERROR(VLOOKUP($F7,'[1]Sales By Promotor Last Month'!D:I,6,0),0)</f>
        <v>42</v>
      </c>
      <c r="T7" s="78">
        <f t="shared" si="7"/>
        <v>30</v>
      </c>
      <c r="U7" s="79">
        <f t="shared" si="8"/>
        <v>-12</v>
      </c>
      <c r="V7" s="80">
        <f t="shared" si="9"/>
        <v>-0.2857142857142857</v>
      </c>
      <c r="W7"/>
      <c r="X7"/>
      <c r="Y7"/>
    </row>
    <row r="8" spans="1:33" ht="17" outlineLevel="1" x14ac:dyDescent="0.2">
      <c r="A8" s="11" t="s">
        <v>116</v>
      </c>
      <c r="B8" s="71">
        <v>6010701</v>
      </c>
      <c r="C8" s="10" t="s">
        <v>41</v>
      </c>
      <c r="D8" s="306"/>
      <c r="E8" s="12" t="s">
        <v>117</v>
      </c>
      <c r="F8" s="10" t="s">
        <v>121</v>
      </c>
      <c r="G8" s="73">
        <f>IFERROR(VLOOKUP($B8,'[1]KPI Promotor'!$G:$K,5,0),0)</f>
        <v>170000000</v>
      </c>
      <c r="H8" s="74">
        <f>SUMIF('[1]SALES BY PROMOTOR'!$D:$D,$F8,'[1]SALES BY PROMOTOR'!$J:$J)</f>
        <v>87770000</v>
      </c>
      <c r="I8" s="75">
        <f t="shared" si="0"/>
        <v>0.51629411764705879</v>
      </c>
      <c r="J8" s="73">
        <f t="shared" si="1"/>
        <v>94039285.714285716</v>
      </c>
      <c r="K8" s="76">
        <f t="shared" si="2"/>
        <v>2925666.6666666665</v>
      </c>
      <c r="L8" s="77">
        <f>SUMIF('[1]SALES BY PROMOTOR'!$D:$D,$F8,'[1]SALES BY PROMOTOR'!$G:$G)</f>
        <v>9</v>
      </c>
      <c r="M8" s="77">
        <f>SUMIF('[1]SALES BY PROMOTOR'!$D:$D,$F8,'[1]SALES BY PROMOTOR'!$I:$I)</f>
        <v>30</v>
      </c>
      <c r="N8" s="75">
        <f t="shared" si="3"/>
        <v>0.3</v>
      </c>
      <c r="O8" s="78">
        <f>IFERROR(VLOOKUP($F8,'[1]Sales By Promotor Last Month'!D:G,4,0),0)</f>
        <v>19</v>
      </c>
      <c r="P8" s="78">
        <f t="shared" si="4"/>
        <v>9</v>
      </c>
      <c r="Q8" s="79">
        <f t="shared" si="5"/>
        <v>-10</v>
      </c>
      <c r="R8" s="80">
        <f t="shared" si="6"/>
        <v>-0.52631578947368418</v>
      </c>
      <c r="S8" s="78">
        <f>IFERROR(VLOOKUP($F8,'[1]Sales By Promotor Last Month'!D:I,6,0),0)</f>
        <v>41</v>
      </c>
      <c r="T8" s="78">
        <f t="shared" si="7"/>
        <v>30</v>
      </c>
      <c r="U8" s="79">
        <f t="shared" si="8"/>
        <v>-11</v>
      </c>
      <c r="V8" s="80">
        <f t="shared" si="9"/>
        <v>-0.26829268292682928</v>
      </c>
      <c r="W8"/>
      <c r="X8"/>
      <c r="Y8"/>
    </row>
    <row r="9" spans="1:33" ht="17" outlineLevel="1" x14ac:dyDescent="0.2">
      <c r="A9" s="11" t="s">
        <v>116</v>
      </c>
      <c r="B9" s="71">
        <v>6010701</v>
      </c>
      <c r="C9" s="10" t="s">
        <v>41</v>
      </c>
      <c r="D9" s="306"/>
      <c r="E9" s="12" t="s">
        <v>117</v>
      </c>
      <c r="F9" s="10" t="s">
        <v>122</v>
      </c>
      <c r="G9" s="73">
        <f>IFERROR(VLOOKUP($B9,'[1]KPI Promotor'!$G:$K,5,0),0)</f>
        <v>170000000</v>
      </c>
      <c r="H9" s="74">
        <f>SUMIF('[1]SALES BY PROMOTOR'!$D:$D,$F9,'[1]SALES BY PROMOTOR'!$J:$J)</f>
        <v>169556000</v>
      </c>
      <c r="I9" s="75">
        <f t="shared" si="0"/>
        <v>0.99738823529411769</v>
      </c>
      <c r="J9" s="73">
        <f t="shared" si="1"/>
        <v>181667142.85714284</v>
      </c>
      <c r="K9" s="76">
        <f t="shared" si="2"/>
        <v>3853545.4545454546</v>
      </c>
      <c r="L9" s="77">
        <f>SUMIF('[1]SALES BY PROMOTOR'!$D:$D,$F9,'[1]SALES BY PROMOTOR'!$G:$G)</f>
        <v>15</v>
      </c>
      <c r="M9" s="77">
        <f>SUMIF('[1]SALES BY PROMOTOR'!$D:$D,$F9,'[1]SALES BY PROMOTOR'!$I:$I)</f>
        <v>44</v>
      </c>
      <c r="N9" s="75">
        <f t="shared" si="3"/>
        <v>0.34090909090909088</v>
      </c>
      <c r="O9" s="78">
        <f>IFERROR(VLOOKUP($F9,'[1]Sales By Promotor Last Month'!D:G,4,0),0)</f>
        <v>10</v>
      </c>
      <c r="P9" s="78">
        <f t="shared" si="4"/>
        <v>15</v>
      </c>
      <c r="Q9" s="79">
        <f t="shared" si="5"/>
        <v>5</v>
      </c>
      <c r="R9" s="80">
        <f t="shared" si="6"/>
        <v>0.5</v>
      </c>
      <c r="S9" s="78">
        <f>IFERROR(VLOOKUP($F9,'[1]Sales By Promotor Last Month'!D:I,6,0),0)</f>
        <v>49</v>
      </c>
      <c r="T9" s="78">
        <f t="shared" si="7"/>
        <v>44</v>
      </c>
      <c r="U9" s="79">
        <f t="shared" si="8"/>
        <v>-5</v>
      </c>
      <c r="V9" s="80">
        <f t="shared" si="9"/>
        <v>-0.10204081632653061</v>
      </c>
      <c r="W9"/>
      <c r="X9"/>
      <c r="Y9"/>
    </row>
    <row r="10" spans="1:33" ht="17" customHeight="1" outlineLevel="1" x14ac:dyDescent="0.2">
      <c r="A10" s="11" t="s">
        <v>116</v>
      </c>
      <c r="B10" s="71">
        <v>6010701</v>
      </c>
      <c r="C10" s="10" t="s">
        <v>41</v>
      </c>
      <c r="D10" s="307"/>
      <c r="E10" s="12" t="s">
        <v>117</v>
      </c>
      <c r="F10" s="10" t="s">
        <v>123</v>
      </c>
      <c r="G10" s="73">
        <f>IFERROR(VLOOKUP($B10,'[1]KPI Promotor'!$G:$K,5,0),0)</f>
        <v>170000000</v>
      </c>
      <c r="H10" s="74">
        <f>SUMIF('[1]SALES BY PROMOTOR'!$D:$D,$F10,'[1]SALES BY PROMOTOR'!$J:$J)</f>
        <v>179165000</v>
      </c>
      <c r="I10" s="75">
        <f t="shared" si="0"/>
        <v>1.0539117647058824</v>
      </c>
      <c r="J10" s="73">
        <f t="shared" si="1"/>
        <v>191962500</v>
      </c>
      <c r="K10" s="76">
        <f t="shared" si="2"/>
        <v>5119000</v>
      </c>
      <c r="L10" s="77">
        <f>SUMIF('[1]SALES BY PROMOTOR'!$D:$D,$F10,'[1]SALES BY PROMOTOR'!$G:$G)</f>
        <v>26</v>
      </c>
      <c r="M10" s="77">
        <f>SUMIF('[1]SALES BY PROMOTOR'!$D:$D,$F10,'[1]SALES BY PROMOTOR'!$I:$I)</f>
        <v>35</v>
      </c>
      <c r="N10" s="75">
        <f t="shared" si="3"/>
        <v>0.74285714285714288</v>
      </c>
      <c r="O10" s="78">
        <f>IFERROR(VLOOKUP($F10,'[1]Sales By Promotor Last Month'!D:G,4,0),0)</f>
        <v>33</v>
      </c>
      <c r="P10" s="78">
        <f t="shared" si="4"/>
        <v>26</v>
      </c>
      <c r="Q10" s="79">
        <f t="shared" si="5"/>
        <v>-7</v>
      </c>
      <c r="R10" s="80">
        <f t="shared" si="6"/>
        <v>-0.21212121212121213</v>
      </c>
      <c r="S10" s="78">
        <f>IFERROR(VLOOKUP($F10,'[1]Sales By Promotor Last Month'!D:I,6,0),0)</f>
        <v>54</v>
      </c>
      <c r="T10" s="78">
        <f t="shared" si="7"/>
        <v>35</v>
      </c>
      <c r="U10" s="79">
        <f t="shared" si="8"/>
        <v>-19</v>
      </c>
      <c r="V10" s="80">
        <f t="shared" si="9"/>
        <v>-0.35185185185185186</v>
      </c>
      <c r="W10"/>
      <c r="X10"/>
      <c r="Y10"/>
    </row>
    <row r="11" spans="1:33" ht="17" outlineLevel="1" x14ac:dyDescent="0.2">
      <c r="A11" s="11" t="s">
        <v>116</v>
      </c>
      <c r="B11" s="71">
        <v>6010702</v>
      </c>
      <c r="C11" s="10" t="s">
        <v>41</v>
      </c>
      <c r="D11" s="305">
        <v>6</v>
      </c>
      <c r="E11" s="12" t="s">
        <v>124</v>
      </c>
      <c r="F11" s="10" t="s">
        <v>125</v>
      </c>
      <c r="G11" s="73">
        <f>IFERROR(VLOOKUP($B11,'[1]KPI Promotor'!$G:$K,5,0),0)</f>
        <v>170000000</v>
      </c>
      <c r="H11" s="74">
        <f>SUMIF('[1]SALES BY PROMOTOR'!$D:$D,$F11,'[1]SALES BY PROMOTOR'!$J:$J)</f>
        <v>166162000</v>
      </c>
      <c r="I11" s="75">
        <f t="shared" si="0"/>
        <v>0.97742352941176469</v>
      </c>
      <c r="J11" s="73">
        <f t="shared" si="1"/>
        <v>178030714.28571427</v>
      </c>
      <c r="K11" s="76">
        <f t="shared" si="2"/>
        <v>4372684.2105263155</v>
      </c>
      <c r="L11" s="77">
        <f>SUMIF('[1]SALES BY PROMOTOR'!$D:$D,$F11,'[1]SALES BY PROMOTOR'!$G:$G)</f>
        <v>17</v>
      </c>
      <c r="M11" s="77">
        <f>SUMIF('[1]SALES BY PROMOTOR'!$D:$D,$F11,'[1]SALES BY PROMOTOR'!$I:$I)</f>
        <v>38</v>
      </c>
      <c r="N11" s="75">
        <f t="shared" si="3"/>
        <v>0.44736842105263158</v>
      </c>
      <c r="O11" s="78">
        <f>IFERROR(VLOOKUP($F11,'[1]Sales By Promotor Last Month'!D:G,4,0),0)</f>
        <v>16</v>
      </c>
      <c r="P11" s="78">
        <f t="shared" si="4"/>
        <v>17</v>
      </c>
      <c r="Q11" s="79">
        <f t="shared" si="5"/>
        <v>1</v>
      </c>
      <c r="R11" s="80">
        <f t="shared" si="6"/>
        <v>6.25E-2</v>
      </c>
      <c r="S11" s="78">
        <f>IFERROR(VLOOKUP($F11,'[1]Sales By Promotor Last Month'!D:I,6,0),0)</f>
        <v>51</v>
      </c>
      <c r="T11" s="78">
        <f t="shared" si="7"/>
        <v>38</v>
      </c>
      <c r="U11" s="79">
        <f t="shared" si="8"/>
        <v>-13</v>
      </c>
      <c r="V11" s="80">
        <f t="shared" si="9"/>
        <v>-0.25490196078431371</v>
      </c>
      <c r="W11"/>
      <c r="X11"/>
      <c r="Y11"/>
    </row>
    <row r="12" spans="1:33" ht="17" outlineLevel="1" x14ac:dyDescent="0.2">
      <c r="A12" s="11" t="s">
        <v>116</v>
      </c>
      <c r="B12" s="71">
        <v>6010702</v>
      </c>
      <c r="C12" s="10" t="s">
        <v>41</v>
      </c>
      <c r="D12" s="306"/>
      <c r="E12" s="12" t="s">
        <v>124</v>
      </c>
      <c r="F12" s="10" t="s">
        <v>126</v>
      </c>
      <c r="G12" s="73">
        <f>IFERROR(VLOOKUP($B12,'[1]KPI Promotor'!$G:$K,5,0),0)</f>
        <v>170000000</v>
      </c>
      <c r="H12" s="74">
        <f>SUMIF('[1]SALES BY PROMOTOR'!$D:$D,$F12,'[1]SALES BY PROMOTOR'!$J:$J)</f>
        <v>191452000</v>
      </c>
      <c r="I12" s="75">
        <f t="shared" si="0"/>
        <v>1.1261882352941177</v>
      </c>
      <c r="J12" s="73">
        <f t="shared" si="1"/>
        <v>205127142.85714284</v>
      </c>
      <c r="K12" s="76">
        <f t="shared" si="2"/>
        <v>3988583.3333333335</v>
      </c>
      <c r="L12" s="77">
        <f>SUMIF('[1]SALES BY PROMOTOR'!$D:$D,$F12,'[1]SALES BY PROMOTOR'!$G:$G)</f>
        <v>18</v>
      </c>
      <c r="M12" s="77">
        <f>SUMIF('[1]SALES BY PROMOTOR'!$D:$D,$F12,'[1]SALES BY PROMOTOR'!$I:$I)</f>
        <v>48</v>
      </c>
      <c r="N12" s="75">
        <f t="shared" si="3"/>
        <v>0.375</v>
      </c>
      <c r="O12" s="78">
        <f>IFERROR(VLOOKUP($F12,'[1]Sales By Promotor Last Month'!D:G,4,0),0)</f>
        <v>17</v>
      </c>
      <c r="P12" s="78">
        <f t="shared" si="4"/>
        <v>18</v>
      </c>
      <c r="Q12" s="79">
        <f t="shared" si="5"/>
        <v>1</v>
      </c>
      <c r="R12" s="80">
        <f t="shared" si="6"/>
        <v>5.8823529411764705E-2</v>
      </c>
      <c r="S12" s="78">
        <f>IFERROR(VLOOKUP($F12,'[1]Sales By Promotor Last Month'!D:I,6,0),0)</f>
        <v>58</v>
      </c>
      <c r="T12" s="78">
        <f t="shared" si="7"/>
        <v>48</v>
      </c>
      <c r="U12" s="79">
        <f t="shared" si="8"/>
        <v>-10</v>
      </c>
      <c r="V12" s="80">
        <f t="shared" si="9"/>
        <v>-0.17241379310344829</v>
      </c>
      <c r="W12"/>
      <c r="X12"/>
      <c r="Y12"/>
    </row>
    <row r="13" spans="1:33" ht="17" outlineLevel="1" x14ac:dyDescent="0.2">
      <c r="A13" s="11" t="s">
        <v>116</v>
      </c>
      <c r="B13" s="71">
        <v>6010702</v>
      </c>
      <c r="C13" s="10" t="s">
        <v>41</v>
      </c>
      <c r="D13" s="306"/>
      <c r="E13" s="12" t="s">
        <v>124</v>
      </c>
      <c r="F13" s="10" t="s">
        <v>127</v>
      </c>
      <c r="G13" s="73">
        <f>IFERROR(VLOOKUP($B13,'[1]KPI Promotor'!$G:$K,5,0),0)</f>
        <v>170000000</v>
      </c>
      <c r="H13" s="74">
        <f>SUMIF('[1]SALES BY PROMOTOR'!$D:$D,$F13,'[1]SALES BY PROMOTOR'!$J:$J)</f>
        <v>124759000</v>
      </c>
      <c r="I13" s="75">
        <f t="shared" si="0"/>
        <v>0.73387647058823524</v>
      </c>
      <c r="J13" s="73">
        <f t="shared" si="1"/>
        <v>133670357.14285715</v>
      </c>
      <c r="K13" s="76">
        <f t="shared" si="2"/>
        <v>3042902.4390243902</v>
      </c>
      <c r="L13" s="77">
        <f>SUMIF('[1]SALES BY PROMOTOR'!$D:$D,$F13,'[1]SALES BY PROMOTOR'!$G:$G)</f>
        <v>10</v>
      </c>
      <c r="M13" s="77">
        <f>SUMIF('[1]SALES BY PROMOTOR'!$D:$D,$F13,'[1]SALES BY PROMOTOR'!$I:$I)</f>
        <v>41</v>
      </c>
      <c r="N13" s="75">
        <f t="shared" si="3"/>
        <v>0.24390243902439024</v>
      </c>
      <c r="O13" s="78">
        <f>IFERROR(VLOOKUP($F13,'[1]Sales By Promotor Last Month'!D:G,4,0),0)</f>
        <v>17</v>
      </c>
      <c r="P13" s="78">
        <f t="shared" si="4"/>
        <v>10</v>
      </c>
      <c r="Q13" s="79">
        <f t="shared" si="5"/>
        <v>-7</v>
      </c>
      <c r="R13" s="80">
        <f t="shared" si="6"/>
        <v>-0.41176470588235292</v>
      </c>
      <c r="S13" s="78">
        <f>IFERROR(VLOOKUP($F13,'[1]Sales By Promotor Last Month'!D:I,6,0),0)</f>
        <v>47</v>
      </c>
      <c r="T13" s="78">
        <f t="shared" si="7"/>
        <v>41</v>
      </c>
      <c r="U13" s="79">
        <f t="shared" si="8"/>
        <v>-6</v>
      </c>
      <c r="V13" s="80">
        <f t="shared" si="9"/>
        <v>-0.1276595744680851</v>
      </c>
      <c r="W13"/>
      <c r="X13"/>
      <c r="Y13"/>
    </row>
    <row r="14" spans="1:33" ht="17" outlineLevel="1" x14ac:dyDescent="0.2">
      <c r="A14" s="11" t="s">
        <v>116</v>
      </c>
      <c r="B14" s="71">
        <v>6010702</v>
      </c>
      <c r="C14" s="10" t="s">
        <v>41</v>
      </c>
      <c r="D14" s="306"/>
      <c r="E14" s="12" t="s">
        <v>124</v>
      </c>
      <c r="F14" s="10" t="s">
        <v>128</v>
      </c>
      <c r="G14" s="73">
        <f>IFERROR(VLOOKUP($B14,'[1]KPI Promotor'!$G:$K,5,0),0)</f>
        <v>170000000</v>
      </c>
      <c r="H14" s="74">
        <f>SUMIF('[1]SALES BY PROMOTOR'!$D:$D,$F14,'[1]SALES BY PROMOTOR'!$J:$J)</f>
        <v>79077000</v>
      </c>
      <c r="I14" s="75">
        <f t="shared" si="0"/>
        <v>0.46515882352941179</v>
      </c>
      <c r="J14" s="73">
        <f t="shared" si="1"/>
        <v>84725357.142857134</v>
      </c>
      <c r="K14" s="76">
        <f t="shared" si="2"/>
        <v>3438130.4347826089</v>
      </c>
      <c r="L14" s="77">
        <f>SUMIF('[1]SALES BY PROMOTOR'!$D:$D,$F14,'[1]SALES BY PROMOTOR'!$G:$G)</f>
        <v>9</v>
      </c>
      <c r="M14" s="77">
        <f>SUMIF('[1]SALES BY PROMOTOR'!$D:$D,$F14,'[1]SALES BY PROMOTOR'!$I:$I)</f>
        <v>23</v>
      </c>
      <c r="N14" s="75">
        <f t="shared" si="3"/>
        <v>0.39130434782608697</v>
      </c>
      <c r="O14" s="78">
        <f>IFERROR(VLOOKUP($F14,'[1]Sales By Promotor Last Month'!D:G,4,0),0)</f>
        <v>10</v>
      </c>
      <c r="P14" s="78">
        <f t="shared" si="4"/>
        <v>9</v>
      </c>
      <c r="Q14" s="79">
        <f t="shared" si="5"/>
        <v>-1</v>
      </c>
      <c r="R14" s="80">
        <f t="shared" si="6"/>
        <v>-0.1</v>
      </c>
      <c r="S14" s="78">
        <f>IFERROR(VLOOKUP($F14,'[1]Sales By Promotor Last Month'!D:I,6,0),0)</f>
        <v>40</v>
      </c>
      <c r="T14" s="78">
        <f t="shared" si="7"/>
        <v>23</v>
      </c>
      <c r="U14" s="79">
        <f t="shared" si="8"/>
        <v>-17</v>
      </c>
      <c r="V14" s="80">
        <f t="shared" si="9"/>
        <v>-0.42499999999999999</v>
      </c>
      <c r="W14"/>
      <c r="X14"/>
      <c r="Y14"/>
    </row>
    <row r="15" spans="1:33" ht="17" outlineLevel="1" x14ac:dyDescent="0.2">
      <c r="A15" s="11" t="s">
        <v>116</v>
      </c>
      <c r="B15" s="71">
        <v>6010702</v>
      </c>
      <c r="C15" s="10" t="s">
        <v>41</v>
      </c>
      <c r="D15" s="306"/>
      <c r="E15" s="12" t="s">
        <v>124</v>
      </c>
      <c r="F15" s="10" t="s">
        <v>129</v>
      </c>
      <c r="G15" s="73">
        <f>IFERROR(VLOOKUP($B15,'[1]KPI Promotor'!$G:$K,5,0),0)</f>
        <v>170000000</v>
      </c>
      <c r="H15" s="74">
        <f>SUMIF('[1]SALES BY PROMOTOR'!$D:$D,$F15,'[1]SALES BY PROMOTOR'!$J:$J)</f>
        <v>118760000</v>
      </c>
      <c r="I15" s="75">
        <f t="shared" si="0"/>
        <v>0.69858823529411762</v>
      </c>
      <c r="J15" s="73">
        <f t="shared" si="1"/>
        <v>127242857.14285715</v>
      </c>
      <c r="K15" s="76">
        <f t="shared" si="2"/>
        <v>2969000</v>
      </c>
      <c r="L15" s="77">
        <f>SUMIF('[1]SALES BY PROMOTOR'!$D:$D,$F15,'[1]SALES BY PROMOTOR'!$G:$G)</f>
        <v>9</v>
      </c>
      <c r="M15" s="77">
        <f>SUMIF('[1]SALES BY PROMOTOR'!$D:$D,$F15,'[1]SALES BY PROMOTOR'!$I:$I)</f>
        <v>40</v>
      </c>
      <c r="N15" s="75">
        <f t="shared" si="3"/>
        <v>0.22500000000000001</v>
      </c>
      <c r="O15" s="78">
        <f>IFERROR(VLOOKUP($F15,'[1]Sales By Promotor Last Month'!D:G,4,0),0)</f>
        <v>11</v>
      </c>
      <c r="P15" s="78">
        <f t="shared" si="4"/>
        <v>9</v>
      </c>
      <c r="Q15" s="79">
        <f t="shared" si="5"/>
        <v>-2</v>
      </c>
      <c r="R15" s="80">
        <f t="shared" si="6"/>
        <v>-0.18181818181818182</v>
      </c>
      <c r="S15" s="78">
        <f>IFERROR(VLOOKUP($F15,'[1]Sales By Promotor Last Month'!D:I,6,0),0)</f>
        <v>49</v>
      </c>
      <c r="T15" s="78">
        <f t="shared" si="7"/>
        <v>40</v>
      </c>
      <c r="U15" s="79">
        <f t="shared" si="8"/>
        <v>-9</v>
      </c>
      <c r="V15" s="80">
        <f t="shared" si="9"/>
        <v>-0.18367346938775511</v>
      </c>
      <c r="W15"/>
      <c r="X15"/>
      <c r="Y15"/>
    </row>
    <row r="16" spans="1:33" ht="17" outlineLevel="1" x14ac:dyDescent="0.2">
      <c r="A16" s="11" t="s">
        <v>116</v>
      </c>
      <c r="B16" s="71">
        <v>6010702</v>
      </c>
      <c r="C16" s="10" t="s">
        <v>41</v>
      </c>
      <c r="D16" s="307"/>
      <c r="E16" s="12" t="s">
        <v>124</v>
      </c>
      <c r="F16" s="10" t="s">
        <v>130</v>
      </c>
      <c r="G16" s="73">
        <f>IFERROR(VLOOKUP($B16,'[1]KPI Promotor'!$G:$K,5,0),0)</f>
        <v>170000000</v>
      </c>
      <c r="H16" s="74">
        <f>SUMIF('[1]SALES BY PROMOTOR'!$D:$D,$F16,'[1]SALES BY PROMOTOR'!$J:$J)</f>
        <v>119969000</v>
      </c>
      <c r="I16" s="75">
        <f t="shared" si="0"/>
        <v>0.70569999999999999</v>
      </c>
      <c r="J16" s="73">
        <f t="shared" si="1"/>
        <v>128538214.28571428</v>
      </c>
      <c r="K16" s="76">
        <f t="shared" si="2"/>
        <v>3869967.7419354836</v>
      </c>
      <c r="L16" s="77">
        <f>SUMIF('[1]SALES BY PROMOTOR'!$D:$D,$F16,'[1]SALES BY PROMOTOR'!$G:$G)</f>
        <v>14</v>
      </c>
      <c r="M16" s="77">
        <f>SUMIF('[1]SALES BY PROMOTOR'!$D:$D,$F16,'[1]SALES BY PROMOTOR'!$I:$I)</f>
        <v>31</v>
      </c>
      <c r="N16" s="75">
        <f t="shared" si="3"/>
        <v>0.45161290322580644</v>
      </c>
      <c r="O16" s="78">
        <f>IFERROR(VLOOKUP($F16,'[1]Sales By Promotor Last Month'!D:G,4,0),0)</f>
        <v>6</v>
      </c>
      <c r="P16" s="78">
        <f t="shared" si="4"/>
        <v>14</v>
      </c>
      <c r="Q16" s="79">
        <f t="shared" si="5"/>
        <v>8</v>
      </c>
      <c r="R16" s="80">
        <f t="shared" si="6"/>
        <v>1.3333333333333333</v>
      </c>
      <c r="S16" s="78">
        <f>IFERROR(VLOOKUP($F16,'[1]Sales By Promotor Last Month'!D:I,6,0),0)</f>
        <v>40</v>
      </c>
      <c r="T16" s="78">
        <f t="shared" si="7"/>
        <v>31</v>
      </c>
      <c r="U16" s="79">
        <f t="shared" si="8"/>
        <v>-9</v>
      </c>
      <c r="V16" s="80">
        <f t="shared" si="9"/>
        <v>-0.22500000000000001</v>
      </c>
      <c r="W16"/>
      <c r="X16"/>
      <c r="Y16"/>
    </row>
    <row r="17" spans="1:25" ht="17" outlineLevel="1" x14ac:dyDescent="0.2">
      <c r="A17" s="11" t="s">
        <v>116</v>
      </c>
      <c r="B17" s="71">
        <v>6010703</v>
      </c>
      <c r="C17" s="10" t="s">
        <v>42</v>
      </c>
      <c r="D17" s="305">
        <v>3</v>
      </c>
      <c r="E17" s="12" t="s">
        <v>131</v>
      </c>
      <c r="F17" s="10" t="s">
        <v>132</v>
      </c>
      <c r="G17" s="73">
        <f>IFERROR(VLOOKUP($B17,'[1]KPI Promotor'!$G:$K,5,0),0)</f>
        <v>170000000</v>
      </c>
      <c r="H17" s="74">
        <f>SUMIF('[1]SALES BY PROMOTOR'!$D:$D,$F17,'[1]SALES BY PROMOTOR'!$J:$J)</f>
        <v>175244000</v>
      </c>
      <c r="I17" s="75">
        <f t="shared" si="0"/>
        <v>1.0308470588235294</v>
      </c>
      <c r="J17" s="73">
        <f t="shared" si="1"/>
        <v>187761428.57142857</v>
      </c>
      <c r="K17" s="76">
        <f t="shared" si="2"/>
        <v>3129357.1428571427</v>
      </c>
      <c r="L17" s="77">
        <f>SUMIF('[1]SALES BY PROMOTOR'!$D:$D,$F17,'[1]SALES BY PROMOTOR'!$G:$G)</f>
        <v>17</v>
      </c>
      <c r="M17" s="77">
        <f>SUMIF('[1]SALES BY PROMOTOR'!$D:$D,$F17,'[1]SALES BY PROMOTOR'!$I:$I)</f>
        <v>56</v>
      </c>
      <c r="N17" s="75">
        <f t="shared" si="3"/>
        <v>0.30357142857142855</v>
      </c>
      <c r="O17" s="78">
        <f>IFERROR(VLOOKUP($F17,'[1]Sales By Promotor Last Month'!D:G,4,0),0)</f>
        <v>12</v>
      </c>
      <c r="P17" s="78">
        <f t="shared" si="4"/>
        <v>17</v>
      </c>
      <c r="Q17" s="79">
        <f t="shared" si="5"/>
        <v>5</v>
      </c>
      <c r="R17" s="80">
        <f t="shared" si="6"/>
        <v>0.41666666666666669</v>
      </c>
      <c r="S17" s="78">
        <f>IFERROR(VLOOKUP($F17,'[1]Sales By Promotor Last Month'!D:I,6,0),0)</f>
        <v>50</v>
      </c>
      <c r="T17" s="78">
        <f t="shared" si="7"/>
        <v>56</v>
      </c>
      <c r="U17" s="79">
        <f t="shared" si="8"/>
        <v>6</v>
      </c>
      <c r="V17" s="80">
        <f t="shared" si="9"/>
        <v>0.12</v>
      </c>
      <c r="W17"/>
      <c r="X17"/>
      <c r="Y17"/>
    </row>
    <row r="18" spans="1:25" ht="17" outlineLevel="1" x14ac:dyDescent="0.2">
      <c r="A18" s="11" t="s">
        <v>116</v>
      </c>
      <c r="B18" s="71">
        <v>6010703</v>
      </c>
      <c r="C18" s="10" t="s">
        <v>42</v>
      </c>
      <c r="D18" s="306"/>
      <c r="E18" s="12" t="s">
        <v>131</v>
      </c>
      <c r="F18" s="10" t="s">
        <v>133</v>
      </c>
      <c r="G18" s="73">
        <f>IFERROR(VLOOKUP($B18,'[1]KPI Promotor'!$G:$K,5,0),0)</f>
        <v>170000000</v>
      </c>
      <c r="H18" s="74">
        <f>SUMIF('[1]SALES BY PROMOTOR'!$D:$D,$F18,'[1]SALES BY PROMOTOR'!$J:$J)</f>
        <v>65677000</v>
      </c>
      <c r="I18" s="75">
        <f t="shared" si="0"/>
        <v>0.38633529411764705</v>
      </c>
      <c r="J18" s="73">
        <f t="shared" si="1"/>
        <v>70368214.285714284</v>
      </c>
      <c r="K18" s="76">
        <f t="shared" si="2"/>
        <v>2855521.7391304346</v>
      </c>
      <c r="L18" s="77">
        <f>SUMIF('[1]SALES BY PROMOTOR'!$D:$D,$F18,'[1]SALES BY PROMOTOR'!$G:$G)</f>
        <v>3</v>
      </c>
      <c r="M18" s="77">
        <f>SUMIF('[1]SALES BY PROMOTOR'!$D:$D,$F18,'[1]SALES BY PROMOTOR'!$I:$I)</f>
        <v>23</v>
      </c>
      <c r="N18" s="75">
        <f t="shared" si="3"/>
        <v>0.13043478260869565</v>
      </c>
      <c r="O18" s="78">
        <f>IFERROR(VLOOKUP($F18,'[1]Sales By Promotor Last Month'!D:G,4,0),0)</f>
        <v>3</v>
      </c>
      <c r="P18" s="78">
        <f t="shared" si="4"/>
        <v>3</v>
      </c>
      <c r="Q18" s="79">
        <f t="shared" si="5"/>
        <v>0</v>
      </c>
      <c r="R18" s="80">
        <f t="shared" si="6"/>
        <v>0</v>
      </c>
      <c r="S18" s="78">
        <f>IFERROR(VLOOKUP($F18,'[1]Sales By Promotor Last Month'!D:I,6,0),0)</f>
        <v>41</v>
      </c>
      <c r="T18" s="78">
        <f t="shared" si="7"/>
        <v>23</v>
      </c>
      <c r="U18" s="79">
        <f t="shared" si="8"/>
        <v>-18</v>
      </c>
      <c r="V18" s="80">
        <f t="shared" si="9"/>
        <v>-0.43902439024390244</v>
      </c>
      <c r="W18"/>
      <c r="X18"/>
      <c r="Y18"/>
    </row>
    <row r="19" spans="1:25" ht="17" outlineLevel="1" x14ac:dyDescent="0.2">
      <c r="A19" s="11" t="s">
        <v>116</v>
      </c>
      <c r="B19" s="71">
        <v>6010703</v>
      </c>
      <c r="C19" s="10" t="s">
        <v>42</v>
      </c>
      <c r="D19" s="307"/>
      <c r="E19" s="12" t="s">
        <v>131</v>
      </c>
      <c r="F19" s="10" t="s">
        <v>134</v>
      </c>
      <c r="G19" s="73">
        <f>IFERROR(VLOOKUP($B19,'[1]KPI Promotor'!$G:$K,5,0),0)</f>
        <v>170000000</v>
      </c>
      <c r="H19" s="74">
        <f>SUMIF('[1]SALES BY PROMOTOR'!$D:$D,$F19,'[1]SALES BY PROMOTOR'!$J:$J)</f>
        <v>73176000</v>
      </c>
      <c r="I19" s="75">
        <f t="shared" si="0"/>
        <v>0.4304470588235294</v>
      </c>
      <c r="J19" s="73">
        <f t="shared" si="1"/>
        <v>78402857.142857134</v>
      </c>
      <c r="K19" s="76">
        <f t="shared" si="2"/>
        <v>3049000</v>
      </c>
      <c r="L19" s="77">
        <f>SUMIF('[1]SALES BY PROMOTOR'!$D:$D,$F19,'[1]SALES BY PROMOTOR'!$G:$G)</f>
        <v>6</v>
      </c>
      <c r="M19" s="77">
        <f>SUMIF('[1]SALES BY PROMOTOR'!$D:$D,$F19,'[1]SALES BY PROMOTOR'!$I:$I)</f>
        <v>24</v>
      </c>
      <c r="N19" s="75">
        <f t="shared" si="3"/>
        <v>0.25</v>
      </c>
      <c r="O19" s="78">
        <f>IFERROR(VLOOKUP($F19,'[1]Sales By Promotor Last Month'!D:G,4,0),0)</f>
        <v>8</v>
      </c>
      <c r="P19" s="78">
        <f t="shared" si="4"/>
        <v>6</v>
      </c>
      <c r="Q19" s="79">
        <f t="shared" si="5"/>
        <v>-2</v>
      </c>
      <c r="R19" s="80">
        <f t="shared" si="6"/>
        <v>-0.25</v>
      </c>
      <c r="S19" s="78">
        <f>IFERROR(VLOOKUP($F19,'[1]Sales By Promotor Last Month'!D:I,6,0),0)</f>
        <v>47</v>
      </c>
      <c r="T19" s="78">
        <f t="shared" si="7"/>
        <v>24</v>
      </c>
      <c r="U19" s="79">
        <f t="shared" si="8"/>
        <v>-23</v>
      </c>
      <c r="V19" s="80">
        <f t="shared" si="9"/>
        <v>-0.48936170212765956</v>
      </c>
      <c r="W19"/>
      <c r="X19"/>
      <c r="Y19"/>
    </row>
    <row r="20" spans="1:25" ht="17" outlineLevel="1" x14ac:dyDescent="0.2">
      <c r="A20" s="11" t="s">
        <v>116</v>
      </c>
      <c r="B20" s="71">
        <v>6010708</v>
      </c>
      <c r="C20" s="10" t="s">
        <v>40</v>
      </c>
      <c r="D20" s="305">
        <v>3</v>
      </c>
      <c r="E20" s="12" t="s">
        <v>135</v>
      </c>
      <c r="F20" s="10" t="s">
        <v>136</v>
      </c>
      <c r="G20" s="73">
        <f>IFERROR(VLOOKUP($B20,'[1]KPI Promotor'!$G:$K,5,0),0)</f>
        <v>170000000</v>
      </c>
      <c r="H20" s="74">
        <f>SUMIF('[1]SALES BY PROMOTOR'!$D:$D,$F20,'[1]SALES BY PROMOTOR'!$J:$J)</f>
        <v>135181000</v>
      </c>
      <c r="I20" s="75">
        <f t="shared" si="0"/>
        <v>0.79518235294117645</v>
      </c>
      <c r="J20" s="73">
        <f t="shared" si="1"/>
        <v>144836785.71428573</v>
      </c>
      <c r="K20" s="76">
        <f t="shared" si="2"/>
        <v>7114789.4736842103</v>
      </c>
      <c r="L20" s="77">
        <f>SUMIF('[1]SALES BY PROMOTOR'!$D:$D,$F20,'[1]SALES BY PROMOTOR'!$G:$G)</f>
        <v>12</v>
      </c>
      <c r="M20" s="77">
        <f>SUMIF('[1]SALES BY PROMOTOR'!$D:$D,$F20,'[1]SALES BY PROMOTOR'!$I:$I)</f>
        <v>19</v>
      </c>
      <c r="N20" s="75">
        <f t="shared" si="3"/>
        <v>0.63157894736842102</v>
      </c>
      <c r="O20" s="78">
        <f>IFERROR(VLOOKUP($F20,'[1]Sales By Promotor Last Month'!D:G,4,0),0)</f>
        <v>11</v>
      </c>
      <c r="P20" s="78">
        <f t="shared" si="4"/>
        <v>12</v>
      </c>
      <c r="Q20" s="79">
        <f t="shared" si="5"/>
        <v>1</v>
      </c>
      <c r="R20" s="80">
        <f t="shared" si="6"/>
        <v>9.0909090909090912E-2</v>
      </c>
      <c r="S20" s="78">
        <f>IFERROR(VLOOKUP($F20,'[1]Sales By Promotor Last Month'!D:I,6,0),0)</f>
        <v>17</v>
      </c>
      <c r="T20" s="78">
        <f t="shared" si="7"/>
        <v>19</v>
      </c>
      <c r="U20" s="79">
        <f t="shared" si="8"/>
        <v>2</v>
      </c>
      <c r="V20" s="80">
        <f t="shared" si="9"/>
        <v>0.11764705882352941</v>
      </c>
      <c r="W20"/>
      <c r="X20"/>
      <c r="Y20"/>
    </row>
    <row r="21" spans="1:25" ht="17" outlineLevel="1" x14ac:dyDescent="0.2">
      <c r="A21" s="11" t="s">
        <v>116</v>
      </c>
      <c r="B21" s="71">
        <v>6010708</v>
      </c>
      <c r="C21" s="10" t="s">
        <v>40</v>
      </c>
      <c r="D21" s="306"/>
      <c r="E21" s="12" t="s">
        <v>135</v>
      </c>
      <c r="F21" s="10" t="s">
        <v>137</v>
      </c>
      <c r="G21" s="73">
        <f>IFERROR(VLOOKUP($B21,'[1]KPI Promotor'!$G:$K,5,0),0)</f>
        <v>170000000</v>
      </c>
      <c r="H21" s="74">
        <f>SUMIF('[1]SALES BY PROMOTOR'!$D:$D,$F21,'[1]SALES BY PROMOTOR'!$J:$J)</f>
        <v>152378000</v>
      </c>
      <c r="I21" s="75">
        <f t="shared" si="0"/>
        <v>0.8963411764705882</v>
      </c>
      <c r="J21" s="73">
        <f t="shared" si="1"/>
        <v>163262142.85714284</v>
      </c>
      <c r="K21" s="76">
        <f t="shared" si="2"/>
        <v>6926272.7272727275</v>
      </c>
      <c r="L21" s="77">
        <f>SUMIF('[1]SALES BY PROMOTOR'!$D:$D,$F21,'[1]SALES BY PROMOTOR'!$G:$G)</f>
        <v>14</v>
      </c>
      <c r="M21" s="77">
        <f>SUMIF('[1]SALES BY PROMOTOR'!$D:$D,$F21,'[1]SALES BY PROMOTOR'!$I:$I)</f>
        <v>22</v>
      </c>
      <c r="N21" s="75">
        <f t="shared" si="3"/>
        <v>0.63636363636363635</v>
      </c>
      <c r="O21" s="78">
        <f>IFERROR(VLOOKUP($F21,'[1]Sales By Promotor Last Month'!D:G,4,0),0)</f>
        <v>7</v>
      </c>
      <c r="P21" s="78">
        <f t="shared" si="4"/>
        <v>14</v>
      </c>
      <c r="Q21" s="79">
        <f t="shared" si="5"/>
        <v>7</v>
      </c>
      <c r="R21" s="80">
        <f t="shared" si="6"/>
        <v>1</v>
      </c>
      <c r="S21" s="78">
        <f>IFERROR(VLOOKUP($F21,'[1]Sales By Promotor Last Month'!D:I,6,0),0)</f>
        <v>16</v>
      </c>
      <c r="T21" s="78">
        <f t="shared" si="7"/>
        <v>22</v>
      </c>
      <c r="U21" s="79">
        <f t="shared" si="8"/>
        <v>6</v>
      </c>
      <c r="V21" s="80">
        <f t="shared" si="9"/>
        <v>0.375</v>
      </c>
      <c r="W21"/>
      <c r="X21"/>
      <c r="Y21"/>
    </row>
    <row r="22" spans="1:25" ht="17" outlineLevel="1" x14ac:dyDescent="0.2">
      <c r="A22" s="11" t="s">
        <v>116</v>
      </c>
      <c r="B22" s="71">
        <v>6010708</v>
      </c>
      <c r="C22" s="10" t="s">
        <v>40</v>
      </c>
      <c r="D22" s="306"/>
      <c r="E22" s="12" t="s">
        <v>135</v>
      </c>
      <c r="F22" s="10" t="s">
        <v>138</v>
      </c>
      <c r="G22" s="73">
        <f>IFERROR(VLOOKUP($B22,'[1]KPI Promotor'!$G:$K,5,0),0)</f>
        <v>170000000</v>
      </c>
      <c r="H22" s="74">
        <f>SUMIF('[1]SALES BY PROMOTOR'!$D:$D,$F22,'[1]SALES BY PROMOTOR'!$J:$J)</f>
        <v>180763000</v>
      </c>
      <c r="I22" s="75">
        <f t="shared" si="0"/>
        <v>1.0633117647058823</v>
      </c>
      <c r="J22" s="73">
        <f t="shared" si="1"/>
        <v>193674642.85714284</v>
      </c>
      <c r="K22" s="76">
        <f t="shared" si="2"/>
        <v>4885486.4864864862</v>
      </c>
      <c r="L22" s="77">
        <f>SUMIF('[1]SALES BY PROMOTOR'!$D:$D,$F22,'[1]SALES BY PROMOTOR'!$G:$G)</f>
        <v>17</v>
      </c>
      <c r="M22" s="77">
        <f>SUMIF('[1]SALES BY PROMOTOR'!$D:$D,$F22,'[1]SALES BY PROMOTOR'!$I:$I)</f>
        <v>37</v>
      </c>
      <c r="N22" s="75">
        <f t="shared" si="3"/>
        <v>0.45945945945945948</v>
      </c>
      <c r="O22" s="78">
        <f>IFERROR(VLOOKUP($F22,'[1]Sales By Promotor Last Month'!D:G,4,0),0)</f>
        <v>18</v>
      </c>
      <c r="P22" s="78">
        <f t="shared" si="4"/>
        <v>17</v>
      </c>
      <c r="Q22" s="79">
        <f t="shared" si="5"/>
        <v>-1</v>
      </c>
      <c r="R22" s="80">
        <f t="shared" si="6"/>
        <v>-5.5555555555555552E-2</v>
      </c>
      <c r="S22" s="78">
        <f>IFERROR(VLOOKUP($F22,'[1]Sales By Promotor Last Month'!D:I,6,0),0)</f>
        <v>38</v>
      </c>
      <c r="T22" s="78">
        <f t="shared" si="7"/>
        <v>37</v>
      </c>
      <c r="U22" s="79">
        <f t="shared" si="8"/>
        <v>-1</v>
      </c>
      <c r="V22" s="80">
        <f t="shared" si="9"/>
        <v>-2.6315789473684209E-2</v>
      </c>
      <c r="W22"/>
      <c r="X22"/>
      <c r="Y22"/>
    </row>
    <row r="23" spans="1:25" ht="17" outlineLevel="1" x14ac:dyDescent="0.2">
      <c r="A23" s="11" t="s">
        <v>116</v>
      </c>
      <c r="B23" s="71">
        <v>6010709</v>
      </c>
      <c r="C23" s="10" t="s">
        <v>42</v>
      </c>
      <c r="D23" s="306">
        <v>7</v>
      </c>
      <c r="E23" s="12" t="s">
        <v>139</v>
      </c>
      <c r="F23" s="10" t="s">
        <v>140</v>
      </c>
      <c r="G23" s="73">
        <f>IFERROR(VLOOKUP($B23,'[1]KPI Promotor'!$G:$K,5,0),0)</f>
        <v>170000000</v>
      </c>
      <c r="H23" s="74">
        <f>SUMIF('[1]SALES BY PROMOTOR'!$D:$D,$F23,'[1]SALES BY PROMOTOR'!$J:$J)</f>
        <v>191842000</v>
      </c>
      <c r="I23" s="75">
        <f t="shared" si="0"/>
        <v>1.1284823529411765</v>
      </c>
      <c r="J23" s="73">
        <f t="shared" si="1"/>
        <v>205545000</v>
      </c>
      <c r="K23" s="76">
        <f t="shared" si="2"/>
        <v>3307620.6896551726</v>
      </c>
      <c r="L23" s="77">
        <f>SUMIF('[1]SALES BY PROMOTOR'!$D:$D,$F23,'[1]SALES BY PROMOTOR'!$G:$G)</f>
        <v>24</v>
      </c>
      <c r="M23" s="77">
        <f>SUMIF('[1]SALES BY PROMOTOR'!$D:$D,$F23,'[1]SALES BY PROMOTOR'!$I:$I)</f>
        <v>58</v>
      </c>
      <c r="N23" s="75">
        <f t="shared" si="3"/>
        <v>0.41379310344827586</v>
      </c>
      <c r="O23" s="78">
        <f>IFERROR(VLOOKUP($F23,'[1]Sales By Promotor Last Month'!D:G,4,0),0)</f>
        <v>13</v>
      </c>
      <c r="P23" s="78">
        <f t="shared" si="4"/>
        <v>24</v>
      </c>
      <c r="Q23" s="79">
        <f t="shared" si="5"/>
        <v>11</v>
      </c>
      <c r="R23" s="80">
        <f t="shared" si="6"/>
        <v>0.84615384615384615</v>
      </c>
      <c r="S23" s="78">
        <f>IFERROR(VLOOKUP($F23,'[1]Sales By Promotor Last Month'!D:I,6,0),0)</f>
        <v>60</v>
      </c>
      <c r="T23" s="78">
        <f t="shared" si="7"/>
        <v>58</v>
      </c>
      <c r="U23" s="79">
        <f t="shared" si="8"/>
        <v>-2</v>
      </c>
      <c r="V23" s="80">
        <f t="shared" si="9"/>
        <v>-3.3333333333333333E-2</v>
      </c>
      <c r="W23"/>
      <c r="X23"/>
      <c r="Y23"/>
    </row>
    <row r="24" spans="1:25" ht="17" outlineLevel="1" x14ac:dyDescent="0.2">
      <c r="A24" s="11" t="s">
        <v>116</v>
      </c>
      <c r="B24" s="71">
        <v>6010709</v>
      </c>
      <c r="C24" s="10" t="s">
        <v>42</v>
      </c>
      <c r="D24" s="306"/>
      <c r="E24" s="12" t="s">
        <v>139</v>
      </c>
      <c r="F24" s="10" t="s">
        <v>141</v>
      </c>
      <c r="G24" s="73">
        <f>IFERROR(VLOOKUP($B24,'[1]KPI Promotor'!$G:$K,5,0),0)</f>
        <v>170000000</v>
      </c>
      <c r="H24" s="74">
        <f>SUMIF('[1]SALES BY PROMOTOR'!$D:$D,$F24,'[1]SALES BY PROMOTOR'!$J:$J)</f>
        <v>75675000</v>
      </c>
      <c r="I24" s="75">
        <f t="shared" si="0"/>
        <v>0.4451470588235294</v>
      </c>
      <c r="J24" s="73">
        <f t="shared" si="1"/>
        <v>81080357.142857134</v>
      </c>
      <c r="K24" s="76">
        <f t="shared" si="2"/>
        <v>3027000</v>
      </c>
      <c r="L24" s="77">
        <f>SUMIF('[1]SALES BY PROMOTOR'!$D:$D,$F24,'[1]SALES BY PROMOTOR'!$G:$G)</f>
        <v>6</v>
      </c>
      <c r="M24" s="77">
        <f>SUMIF('[1]SALES BY PROMOTOR'!$D:$D,$F24,'[1]SALES BY PROMOTOR'!$I:$I)</f>
        <v>25</v>
      </c>
      <c r="N24" s="75">
        <f t="shared" si="3"/>
        <v>0.24</v>
      </c>
      <c r="O24" s="78">
        <f>IFERROR(VLOOKUP($F24,'[1]Sales By Promotor Last Month'!D:G,4,0),0)</f>
        <v>8</v>
      </c>
      <c r="P24" s="78">
        <f t="shared" si="4"/>
        <v>6</v>
      </c>
      <c r="Q24" s="79">
        <f t="shared" si="5"/>
        <v>-2</v>
      </c>
      <c r="R24" s="80">
        <f t="shared" si="6"/>
        <v>-0.25</v>
      </c>
      <c r="S24" s="78">
        <f>IFERROR(VLOOKUP($F24,'[1]Sales By Promotor Last Month'!D:I,6,0),0)</f>
        <v>44</v>
      </c>
      <c r="T24" s="78">
        <f t="shared" si="7"/>
        <v>25</v>
      </c>
      <c r="U24" s="79">
        <f t="shared" si="8"/>
        <v>-19</v>
      </c>
      <c r="V24" s="80">
        <f t="shared" si="9"/>
        <v>-0.43181818181818182</v>
      </c>
      <c r="W24"/>
      <c r="X24"/>
      <c r="Y24"/>
    </row>
    <row r="25" spans="1:25" ht="17" outlineLevel="1" x14ac:dyDescent="0.2">
      <c r="A25" s="11" t="s">
        <v>116</v>
      </c>
      <c r="B25" s="71">
        <v>6010709</v>
      </c>
      <c r="C25" s="10" t="s">
        <v>42</v>
      </c>
      <c r="D25" s="306"/>
      <c r="E25" s="12" t="s">
        <v>139</v>
      </c>
      <c r="F25" s="10" t="s">
        <v>142</v>
      </c>
      <c r="G25" s="73">
        <f>IFERROR(VLOOKUP($B25,'[1]KPI Promotor'!$G:$K,5,0),0)</f>
        <v>170000000</v>
      </c>
      <c r="H25" s="74">
        <f>SUMIF('[1]SALES BY PROMOTOR'!$D:$D,$F25,'[1]SALES BY PROMOTOR'!$J:$J)</f>
        <v>182546000</v>
      </c>
      <c r="I25" s="75">
        <f t="shared" si="0"/>
        <v>1.0738000000000001</v>
      </c>
      <c r="J25" s="73">
        <f t="shared" si="1"/>
        <v>195585000</v>
      </c>
      <c r="K25" s="76">
        <f t="shared" si="2"/>
        <v>3380481.4814814813</v>
      </c>
      <c r="L25" s="77">
        <f>SUMIF('[1]SALES BY PROMOTOR'!$D:$D,$F25,'[1]SALES BY PROMOTOR'!$G:$G)</f>
        <v>15</v>
      </c>
      <c r="M25" s="77">
        <f>SUMIF('[1]SALES BY PROMOTOR'!$D:$D,$F25,'[1]SALES BY PROMOTOR'!$I:$I)</f>
        <v>54</v>
      </c>
      <c r="N25" s="75">
        <f t="shared" si="3"/>
        <v>0.27777777777777779</v>
      </c>
      <c r="O25" s="78">
        <f>IFERROR(VLOOKUP($F25,'[1]Sales By Promotor Last Month'!D:G,4,0),0)</f>
        <v>14</v>
      </c>
      <c r="P25" s="78">
        <f t="shared" si="4"/>
        <v>15</v>
      </c>
      <c r="Q25" s="79">
        <f t="shared" si="5"/>
        <v>1</v>
      </c>
      <c r="R25" s="80">
        <f t="shared" si="6"/>
        <v>7.1428571428571425E-2</v>
      </c>
      <c r="S25" s="78">
        <f>IFERROR(VLOOKUP($F25,'[1]Sales By Promotor Last Month'!D:I,6,0),0)</f>
        <v>50</v>
      </c>
      <c r="T25" s="78">
        <f t="shared" si="7"/>
        <v>54</v>
      </c>
      <c r="U25" s="79">
        <f t="shared" si="8"/>
        <v>4</v>
      </c>
      <c r="V25" s="80">
        <f t="shared" si="9"/>
        <v>0.08</v>
      </c>
      <c r="W25"/>
      <c r="X25"/>
      <c r="Y25"/>
    </row>
    <row r="26" spans="1:25" ht="17" outlineLevel="1" x14ac:dyDescent="0.2">
      <c r="A26" s="11" t="s">
        <v>116</v>
      </c>
      <c r="B26" s="71">
        <v>6010709</v>
      </c>
      <c r="C26" s="10" t="s">
        <v>42</v>
      </c>
      <c r="D26" s="306"/>
      <c r="E26" s="12" t="s">
        <v>139</v>
      </c>
      <c r="F26" s="10" t="s">
        <v>143</v>
      </c>
      <c r="G26" s="73">
        <f>IFERROR(VLOOKUP($B26,'[1]KPI Promotor'!$G:$K,5,0),0)</f>
        <v>170000000</v>
      </c>
      <c r="H26" s="74">
        <f>SUMIF('[1]SALES BY PROMOTOR'!$D:$D,$F26,'[1]SALES BY PROMOTOR'!$J:$J)</f>
        <v>191946000</v>
      </c>
      <c r="I26" s="75">
        <f t="shared" si="0"/>
        <v>1.1290941176470588</v>
      </c>
      <c r="J26" s="73">
        <f t="shared" si="1"/>
        <v>205656428.57142857</v>
      </c>
      <c r="K26" s="76">
        <f t="shared" si="2"/>
        <v>3554555.5555555555</v>
      </c>
      <c r="L26" s="77">
        <f>SUMIF('[1]SALES BY PROMOTOR'!$D:$D,$F26,'[1]SALES BY PROMOTOR'!$G:$G)</f>
        <v>19</v>
      </c>
      <c r="M26" s="77">
        <f>SUMIF('[1]SALES BY PROMOTOR'!$D:$D,$F26,'[1]SALES BY PROMOTOR'!$I:$I)</f>
        <v>54</v>
      </c>
      <c r="N26" s="75">
        <f t="shared" si="3"/>
        <v>0.35185185185185186</v>
      </c>
      <c r="O26" s="78">
        <f>IFERROR(VLOOKUP($F26,'[1]Sales By Promotor Last Month'!D:G,4,0),0)</f>
        <v>19</v>
      </c>
      <c r="P26" s="78">
        <f t="shared" si="4"/>
        <v>19</v>
      </c>
      <c r="Q26" s="79">
        <f t="shared" si="5"/>
        <v>0</v>
      </c>
      <c r="R26" s="80">
        <f t="shared" si="6"/>
        <v>0</v>
      </c>
      <c r="S26" s="78">
        <f>IFERROR(VLOOKUP($F26,'[1]Sales By Promotor Last Month'!D:I,6,0),0)</f>
        <v>60</v>
      </c>
      <c r="T26" s="78">
        <f t="shared" si="7"/>
        <v>54</v>
      </c>
      <c r="U26" s="79">
        <f t="shared" si="8"/>
        <v>-6</v>
      </c>
      <c r="V26" s="80">
        <f t="shared" si="9"/>
        <v>-0.1</v>
      </c>
      <c r="W26"/>
      <c r="X26"/>
      <c r="Y26"/>
    </row>
    <row r="27" spans="1:25" ht="17" outlineLevel="1" x14ac:dyDescent="0.2">
      <c r="A27" s="11" t="s">
        <v>116</v>
      </c>
      <c r="B27" s="71">
        <v>6010709</v>
      </c>
      <c r="C27" s="10" t="s">
        <v>42</v>
      </c>
      <c r="D27" s="306"/>
      <c r="E27" s="12" t="s">
        <v>139</v>
      </c>
      <c r="F27" s="10" t="s">
        <v>144</v>
      </c>
      <c r="G27" s="73">
        <f>IFERROR(VLOOKUP($B27,'[1]KPI Promotor'!$G:$K,5,0),0)</f>
        <v>170000000</v>
      </c>
      <c r="H27" s="74">
        <f>SUMIF('[1]SALES BY PROMOTOR'!$D:$D,$F27,'[1]SALES BY PROMOTOR'!$J:$J)</f>
        <v>152958000</v>
      </c>
      <c r="I27" s="75">
        <f t="shared" si="0"/>
        <v>0.89975294117647053</v>
      </c>
      <c r="J27" s="73">
        <f t="shared" si="1"/>
        <v>163883571.42857143</v>
      </c>
      <c r="K27" s="76">
        <f t="shared" si="2"/>
        <v>3641857.1428571427</v>
      </c>
      <c r="L27" s="77">
        <f>SUMIF('[1]SALES BY PROMOTOR'!$D:$D,$F27,'[1]SALES BY PROMOTOR'!$G:$G)</f>
        <v>20</v>
      </c>
      <c r="M27" s="77">
        <f>SUMIF('[1]SALES BY PROMOTOR'!$D:$D,$F27,'[1]SALES BY PROMOTOR'!$I:$I)</f>
        <v>42</v>
      </c>
      <c r="N27" s="75">
        <f t="shared" si="3"/>
        <v>0.47619047619047616</v>
      </c>
      <c r="O27" s="78">
        <f>IFERROR(VLOOKUP($F27,'[1]Sales By Promotor Last Month'!D:G,4,0),0)</f>
        <v>12</v>
      </c>
      <c r="P27" s="78">
        <f t="shared" si="4"/>
        <v>20</v>
      </c>
      <c r="Q27" s="79">
        <f t="shared" si="5"/>
        <v>8</v>
      </c>
      <c r="R27" s="80">
        <f t="shared" si="6"/>
        <v>0.66666666666666663</v>
      </c>
      <c r="S27" s="78">
        <f>IFERROR(VLOOKUP($F27,'[1]Sales By Promotor Last Month'!D:I,6,0),0)</f>
        <v>45</v>
      </c>
      <c r="T27" s="78">
        <f t="shared" si="7"/>
        <v>42</v>
      </c>
      <c r="U27" s="79">
        <f t="shared" si="8"/>
        <v>-3</v>
      </c>
      <c r="V27" s="80">
        <f t="shared" si="9"/>
        <v>-6.6666666666666666E-2</v>
      </c>
      <c r="W27"/>
      <c r="X27"/>
      <c r="Y27"/>
    </row>
    <row r="28" spans="1:25" ht="17" outlineLevel="1" x14ac:dyDescent="0.2">
      <c r="A28" s="11" t="s">
        <v>116</v>
      </c>
      <c r="B28" s="71">
        <v>6010709</v>
      </c>
      <c r="C28" s="10" t="s">
        <v>42</v>
      </c>
      <c r="D28" s="306"/>
      <c r="E28" s="12" t="s">
        <v>139</v>
      </c>
      <c r="F28" s="10" t="s">
        <v>145</v>
      </c>
      <c r="G28" s="73">
        <f>IFERROR(VLOOKUP($B28,'[1]KPI Promotor'!$G:$K,5,0),0)</f>
        <v>170000000</v>
      </c>
      <c r="H28" s="74">
        <f>SUMIF('[1]SALES BY PROMOTOR'!$D:$D,$F28,'[1]SALES BY PROMOTOR'!$J:$J)</f>
        <v>77075000</v>
      </c>
      <c r="I28" s="75">
        <f t="shared" si="0"/>
        <v>0.45338235294117646</v>
      </c>
      <c r="J28" s="73">
        <f t="shared" si="1"/>
        <v>82580357.142857134</v>
      </c>
      <c r="K28" s="76">
        <f t="shared" si="2"/>
        <v>3083000</v>
      </c>
      <c r="L28" s="77">
        <f>SUMIF('[1]SALES BY PROMOTOR'!$D:$D,$F28,'[1]SALES BY PROMOTOR'!$G:$G)</f>
        <v>8</v>
      </c>
      <c r="M28" s="77">
        <f>SUMIF('[1]SALES BY PROMOTOR'!$D:$D,$F28,'[1]SALES BY PROMOTOR'!$I:$I)</f>
        <v>25</v>
      </c>
      <c r="N28" s="75">
        <f t="shared" si="3"/>
        <v>0.32</v>
      </c>
      <c r="O28" s="78">
        <f>IFERROR(VLOOKUP($F28,'[1]Sales By Promotor Last Month'!D:G,4,0),0)</f>
        <v>6</v>
      </c>
      <c r="P28" s="78">
        <f t="shared" si="4"/>
        <v>8</v>
      </c>
      <c r="Q28" s="79">
        <f t="shared" si="5"/>
        <v>2</v>
      </c>
      <c r="R28" s="80">
        <f t="shared" si="6"/>
        <v>0.33333333333333331</v>
      </c>
      <c r="S28" s="78">
        <f>IFERROR(VLOOKUP($F28,'[1]Sales By Promotor Last Month'!D:I,6,0),0)</f>
        <v>42</v>
      </c>
      <c r="T28" s="78">
        <f t="shared" si="7"/>
        <v>25</v>
      </c>
      <c r="U28" s="79">
        <f t="shared" si="8"/>
        <v>-17</v>
      </c>
      <c r="V28" s="80">
        <f t="shared" si="9"/>
        <v>-0.40476190476190477</v>
      </c>
      <c r="W28"/>
      <c r="X28"/>
      <c r="Y28"/>
    </row>
    <row r="29" spans="1:25" ht="17" outlineLevel="1" x14ac:dyDescent="0.2">
      <c r="A29" s="11" t="s">
        <v>116</v>
      </c>
      <c r="B29" s="71">
        <v>6010709</v>
      </c>
      <c r="C29" s="10" t="s">
        <v>42</v>
      </c>
      <c r="D29" s="307"/>
      <c r="E29" s="12" t="s">
        <v>139</v>
      </c>
      <c r="F29" s="10" t="s">
        <v>146</v>
      </c>
      <c r="G29" s="73">
        <f>IFERROR(VLOOKUP($B29,'[1]KPI Promotor'!$G:$K,5,0),0)</f>
        <v>170000000</v>
      </c>
      <c r="H29" s="74">
        <f>SUMIF('[1]SALES BY PROMOTOR'!$D:$D,$F29,'[1]SALES BY PROMOTOR'!$J:$J)</f>
        <v>179440000</v>
      </c>
      <c r="I29" s="75">
        <f t="shared" si="0"/>
        <v>1.0555294117647058</v>
      </c>
      <c r="J29" s="73">
        <f t="shared" si="1"/>
        <v>192257142.85714284</v>
      </c>
      <c r="K29" s="76">
        <f t="shared" si="2"/>
        <v>2990666.6666666665</v>
      </c>
      <c r="L29" s="77">
        <f>SUMIF('[1]SALES BY PROMOTOR'!$D:$D,$F29,'[1]SALES BY PROMOTOR'!$G:$G)</f>
        <v>19</v>
      </c>
      <c r="M29" s="77">
        <f>SUMIF('[1]SALES BY PROMOTOR'!$D:$D,$F29,'[1]SALES BY PROMOTOR'!$I:$I)</f>
        <v>60</v>
      </c>
      <c r="N29" s="75">
        <f t="shared" si="3"/>
        <v>0.31666666666666665</v>
      </c>
      <c r="O29" s="78">
        <f>IFERROR(VLOOKUP($F29,'[1]Sales By Promotor Last Month'!D:G,4,0),0)</f>
        <v>12</v>
      </c>
      <c r="P29" s="78">
        <f t="shared" si="4"/>
        <v>19</v>
      </c>
      <c r="Q29" s="79">
        <f t="shared" si="5"/>
        <v>7</v>
      </c>
      <c r="R29" s="80">
        <f t="shared" si="6"/>
        <v>0.58333333333333337</v>
      </c>
      <c r="S29" s="78">
        <f>IFERROR(VLOOKUP($F29,'[1]Sales By Promotor Last Month'!D:I,6,0),0)</f>
        <v>50</v>
      </c>
      <c r="T29" s="78">
        <f t="shared" si="7"/>
        <v>60</v>
      </c>
      <c r="U29" s="79">
        <f t="shared" si="8"/>
        <v>10</v>
      </c>
      <c r="V29" s="80">
        <f t="shared" si="9"/>
        <v>0.2</v>
      </c>
      <c r="W29"/>
      <c r="X29"/>
      <c r="Y29"/>
    </row>
    <row r="30" spans="1:25" ht="17" outlineLevel="1" x14ac:dyDescent="0.2">
      <c r="A30" s="11" t="s">
        <v>116</v>
      </c>
      <c r="B30" s="71">
        <v>6010710</v>
      </c>
      <c r="C30" s="83" t="s">
        <v>42</v>
      </c>
      <c r="D30" s="305">
        <v>3</v>
      </c>
      <c r="E30" s="13" t="s">
        <v>147</v>
      </c>
      <c r="F30" s="10" t="s">
        <v>148</v>
      </c>
      <c r="G30" s="73">
        <f>IFERROR(VLOOKUP($B30,'[1]KPI Promotor'!$G:$K,5,0),0)</f>
        <v>170000000</v>
      </c>
      <c r="H30" s="74">
        <f>SUMIF('[1]SALES BY PROMOTOR'!$D:$D,$F30,'[1]SALES BY PROMOTOR'!$J:$J)</f>
        <v>128459000</v>
      </c>
      <c r="I30" s="75">
        <f t="shared" si="0"/>
        <v>0.75564117647058826</v>
      </c>
      <c r="J30" s="73">
        <f t="shared" si="1"/>
        <v>137634642.85714284</v>
      </c>
      <c r="K30" s="76">
        <f t="shared" si="2"/>
        <v>3133146.3414634145</v>
      </c>
      <c r="L30" s="77">
        <f>SUMIF('[1]SALES BY PROMOTOR'!$D:$D,$F30,'[1]SALES BY PROMOTOR'!$G:$G)</f>
        <v>14</v>
      </c>
      <c r="M30" s="77">
        <f>SUMIF('[1]SALES BY PROMOTOR'!$D:$D,$F30,'[1]SALES BY PROMOTOR'!$I:$I)</f>
        <v>41</v>
      </c>
      <c r="N30" s="75">
        <f t="shared" si="3"/>
        <v>0.34146341463414637</v>
      </c>
      <c r="O30" s="78">
        <f>IFERROR(VLOOKUP($F30,'[1]Sales By Promotor Last Month'!D:G,4,0),0)</f>
        <v>10</v>
      </c>
      <c r="P30" s="78">
        <f t="shared" si="4"/>
        <v>14</v>
      </c>
      <c r="Q30" s="79">
        <f t="shared" si="5"/>
        <v>4</v>
      </c>
      <c r="R30" s="80">
        <f t="shared" si="6"/>
        <v>0.4</v>
      </c>
      <c r="S30" s="78">
        <f>IFERROR(VLOOKUP($F30,'[1]Sales By Promotor Last Month'!D:I,6,0),0)</f>
        <v>40</v>
      </c>
      <c r="T30" s="78">
        <f t="shared" si="7"/>
        <v>41</v>
      </c>
      <c r="U30" s="79">
        <f t="shared" si="8"/>
        <v>1</v>
      </c>
      <c r="V30" s="80">
        <f t="shared" si="9"/>
        <v>2.5000000000000001E-2</v>
      </c>
      <c r="W30"/>
      <c r="X30"/>
      <c r="Y30"/>
    </row>
    <row r="31" spans="1:25" ht="17" outlineLevel="1" x14ac:dyDescent="0.2">
      <c r="A31" s="11" t="s">
        <v>116</v>
      </c>
      <c r="B31" s="71">
        <v>6010710</v>
      </c>
      <c r="C31" s="83" t="s">
        <v>42</v>
      </c>
      <c r="D31" s="306"/>
      <c r="E31" s="13" t="s">
        <v>147</v>
      </c>
      <c r="F31" s="10" t="s">
        <v>149</v>
      </c>
      <c r="G31" s="73">
        <f>IFERROR(VLOOKUP($B31,'[1]KPI Promotor'!$G:$K,5,0),0)</f>
        <v>170000000</v>
      </c>
      <c r="H31" s="74">
        <f>SUMIF('[1]SALES BY PROMOTOR'!$D:$D,$F31,'[1]SALES BY PROMOTOR'!$J:$J)</f>
        <v>67077000</v>
      </c>
      <c r="I31" s="75">
        <f t="shared" si="0"/>
        <v>0.39457058823529412</v>
      </c>
      <c r="J31" s="73">
        <f t="shared" si="1"/>
        <v>71868214.285714284</v>
      </c>
      <c r="K31" s="76">
        <f t="shared" si="2"/>
        <v>2916391.3043478262</v>
      </c>
      <c r="L31" s="77">
        <f>SUMIF('[1]SALES BY PROMOTOR'!$D:$D,$F31,'[1]SALES BY PROMOTOR'!$G:$G)</f>
        <v>5</v>
      </c>
      <c r="M31" s="77">
        <f>SUMIF('[1]SALES BY PROMOTOR'!$D:$D,$F31,'[1]SALES BY PROMOTOR'!$I:$I)</f>
        <v>23</v>
      </c>
      <c r="N31" s="75">
        <f t="shared" si="3"/>
        <v>0.21739130434782608</v>
      </c>
      <c r="O31" s="78">
        <f>IFERROR(VLOOKUP($F31,'[1]Sales By Promotor Last Month'!D:G,4,0),0)</f>
        <v>5</v>
      </c>
      <c r="P31" s="78">
        <f t="shared" si="4"/>
        <v>5</v>
      </c>
      <c r="Q31" s="79">
        <f t="shared" si="5"/>
        <v>0</v>
      </c>
      <c r="R31" s="80">
        <f t="shared" si="6"/>
        <v>0</v>
      </c>
      <c r="S31" s="78">
        <f>IFERROR(VLOOKUP($F31,'[1]Sales By Promotor Last Month'!D:I,6,0),0)</f>
        <v>42</v>
      </c>
      <c r="T31" s="78">
        <f t="shared" si="7"/>
        <v>23</v>
      </c>
      <c r="U31" s="79">
        <f t="shared" si="8"/>
        <v>-19</v>
      </c>
      <c r="V31" s="80">
        <f t="shared" si="9"/>
        <v>-0.45238095238095238</v>
      </c>
      <c r="W31"/>
      <c r="X31"/>
      <c r="Y31"/>
    </row>
    <row r="32" spans="1:25" ht="17" outlineLevel="1" x14ac:dyDescent="0.2">
      <c r="A32" s="11" t="s">
        <v>116</v>
      </c>
      <c r="B32" s="71">
        <v>6010710</v>
      </c>
      <c r="C32" s="83" t="s">
        <v>42</v>
      </c>
      <c r="D32" s="307"/>
      <c r="E32" s="13" t="s">
        <v>147</v>
      </c>
      <c r="F32" s="10" t="s">
        <v>150</v>
      </c>
      <c r="G32" s="73">
        <f>IFERROR(VLOOKUP($B32,'[1]KPI Promotor'!$G:$K,5,0),0)</f>
        <v>170000000</v>
      </c>
      <c r="H32" s="74">
        <f>SUMIF('[1]SALES BY PROMOTOR'!$D:$D,$F32,'[1]SALES BY PROMOTOR'!$J:$J)</f>
        <v>108072000</v>
      </c>
      <c r="I32" s="75">
        <f t="shared" si="0"/>
        <v>0.6357176470588235</v>
      </c>
      <c r="J32" s="73">
        <f t="shared" si="1"/>
        <v>115791428.57142858</v>
      </c>
      <c r="K32" s="76">
        <f t="shared" si="2"/>
        <v>3859714.2857142859</v>
      </c>
      <c r="L32" s="77">
        <f>SUMIF('[1]SALES BY PROMOTOR'!$D:$D,$F32,'[1]SALES BY PROMOTOR'!$G:$G)</f>
        <v>12</v>
      </c>
      <c r="M32" s="77">
        <f>SUMIF('[1]SALES BY PROMOTOR'!$D:$D,$F32,'[1]SALES BY PROMOTOR'!$I:$I)</f>
        <v>28</v>
      </c>
      <c r="N32" s="75">
        <f t="shared" si="3"/>
        <v>0.42857142857142855</v>
      </c>
      <c r="O32" s="78">
        <f>IFERROR(VLOOKUP($F32,'[1]Sales By Promotor Last Month'!D:G,4,0),0)</f>
        <v>11</v>
      </c>
      <c r="P32" s="78">
        <f t="shared" si="4"/>
        <v>12</v>
      </c>
      <c r="Q32" s="79">
        <f t="shared" si="5"/>
        <v>1</v>
      </c>
      <c r="R32" s="80">
        <f t="shared" si="6"/>
        <v>9.0909090909090912E-2</v>
      </c>
      <c r="S32" s="78">
        <f>IFERROR(VLOOKUP($F32,'[1]Sales By Promotor Last Month'!D:I,6,0),0)</f>
        <v>41</v>
      </c>
      <c r="T32" s="78">
        <f t="shared" si="7"/>
        <v>28</v>
      </c>
      <c r="U32" s="79">
        <f t="shared" si="8"/>
        <v>-13</v>
      </c>
      <c r="V32" s="80">
        <f t="shared" si="9"/>
        <v>-0.31707317073170732</v>
      </c>
      <c r="W32"/>
      <c r="X32"/>
      <c r="Y32"/>
    </row>
    <row r="33" spans="1:25" ht="17" outlineLevel="1" x14ac:dyDescent="0.2">
      <c r="A33" s="11" t="s">
        <v>116</v>
      </c>
      <c r="B33" s="71">
        <v>6010711</v>
      </c>
      <c r="C33" s="10" t="s">
        <v>44</v>
      </c>
      <c r="D33" s="305">
        <v>3</v>
      </c>
      <c r="E33" s="12" t="s">
        <v>151</v>
      </c>
      <c r="F33" s="10" t="s">
        <v>152</v>
      </c>
      <c r="G33" s="73">
        <f>IFERROR(VLOOKUP($B33,'[1]KPI Promotor'!$G:$K,5,0),0)</f>
        <v>170000000</v>
      </c>
      <c r="H33" s="74">
        <f>SUMIF('[1]SALES BY PROMOTOR'!$D:$D,$F33,'[1]SALES BY PROMOTOR'!$J:$J)</f>
        <v>23995000</v>
      </c>
      <c r="I33" s="75">
        <f t="shared" si="0"/>
        <v>0.1411470588235294</v>
      </c>
      <c r="J33" s="73">
        <f t="shared" si="1"/>
        <v>25708928.571428571</v>
      </c>
      <c r="K33" s="76">
        <f t="shared" si="2"/>
        <v>4799000</v>
      </c>
      <c r="L33" s="77">
        <f>SUMIF('[1]SALES BY PROMOTOR'!$D:$D,$F33,'[1]SALES BY PROMOTOR'!$G:$G)</f>
        <v>2</v>
      </c>
      <c r="M33" s="77">
        <f>SUMIF('[1]SALES BY PROMOTOR'!$D:$D,$F33,'[1]SALES BY PROMOTOR'!$I:$I)</f>
        <v>5</v>
      </c>
      <c r="N33" s="75">
        <f t="shared" si="3"/>
        <v>0.4</v>
      </c>
      <c r="O33" s="78">
        <f>IFERROR(VLOOKUP($F33,'[1]Sales By Promotor Last Month'!D:G,4,0),0)</f>
        <v>7</v>
      </c>
      <c r="P33" s="78">
        <f t="shared" si="4"/>
        <v>2</v>
      </c>
      <c r="Q33" s="79">
        <f t="shared" si="5"/>
        <v>-5</v>
      </c>
      <c r="R33" s="80">
        <f t="shared" si="6"/>
        <v>-0.7142857142857143</v>
      </c>
      <c r="S33" s="78">
        <f>IFERROR(VLOOKUP($F33,'[1]Sales By Promotor Last Month'!D:I,6,0),0)</f>
        <v>14</v>
      </c>
      <c r="T33" s="78">
        <f t="shared" si="7"/>
        <v>5</v>
      </c>
      <c r="U33" s="79">
        <f t="shared" si="8"/>
        <v>-9</v>
      </c>
      <c r="V33" s="80">
        <f t="shared" si="9"/>
        <v>-0.6428571428571429</v>
      </c>
      <c r="W33"/>
      <c r="X33"/>
      <c r="Y33"/>
    </row>
    <row r="34" spans="1:25" ht="17" outlineLevel="1" x14ac:dyDescent="0.2">
      <c r="A34" s="11" t="s">
        <v>116</v>
      </c>
      <c r="B34" s="71">
        <v>6010711</v>
      </c>
      <c r="C34" s="10" t="s">
        <v>44</v>
      </c>
      <c r="D34" s="306"/>
      <c r="E34" s="12" t="s">
        <v>151</v>
      </c>
      <c r="F34" s="10" t="s">
        <v>153</v>
      </c>
      <c r="G34" s="73">
        <f>IFERROR(VLOOKUP($B34,'[1]KPI Promotor'!$G:$K,5,0),0)</f>
        <v>170000000</v>
      </c>
      <c r="H34" s="74">
        <f>SUMIF('[1]SALES BY PROMOTOR'!$D:$D,$F34,'[1]SALES BY PROMOTOR'!$J:$J)</f>
        <v>3899000</v>
      </c>
      <c r="I34" s="75">
        <f t="shared" si="0"/>
        <v>2.2935294117647057E-2</v>
      </c>
      <c r="J34" s="73">
        <f t="shared" si="1"/>
        <v>4177500</v>
      </c>
      <c r="K34" s="76">
        <f t="shared" si="2"/>
        <v>3899000</v>
      </c>
      <c r="L34" s="77">
        <f>SUMIF('[1]SALES BY PROMOTOR'!$D:$D,$F34,'[1]SALES BY PROMOTOR'!$G:$G)</f>
        <v>1</v>
      </c>
      <c r="M34" s="77">
        <f>SUMIF('[1]SALES BY PROMOTOR'!$D:$D,$F34,'[1]SALES BY PROMOTOR'!$I:$I)</f>
        <v>1</v>
      </c>
      <c r="N34" s="75">
        <f t="shared" si="3"/>
        <v>1</v>
      </c>
      <c r="O34" s="78">
        <f>IFERROR(VLOOKUP($F34,'[1]Sales By Promotor Last Month'!D:G,4,0),0)</f>
        <v>9</v>
      </c>
      <c r="P34" s="78">
        <f t="shared" si="4"/>
        <v>1</v>
      </c>
      <c r="Q34" s="79">
        <f t="shared" si="5"/>
        <v>-8</v>
      </c>
      <c r="R34" s="80">
        <f t="shared" si="6"/>
        <v>-0.88888888888888884</v>
      </c>
      <c r="S34" s="78">
        <f>IFERROR(VLOOKUP($F34,'[1]Sales By Promotor Last Month'!D:I,6,0),0)</f>
        <v>15</v>
      </c>
      <c r="T34" s="78">
        <f t="shared" si="7"/>
        <v>1</v>
      </c>
      <c r="U34" s="79">
        <f t="shared" si="8"/>
        <v>-14</v>
      </c>
      <c r="V34" s="80">
        <f t="shared" si="9"/>
        <v>-0.93333333333333335</v>
      </c>
      <c r="W34"/>
      <c r="X34"/>
      <c r="Y34"/>
    </row>
    <row r="35" spans="1:25" ht="17" outlineLevel="1" x14ac:dyDescent="0.2">
      <c r="A35" s="11" t="s">
        <v>116</v>
      </c>
      <c r="B35" s="71">
        <v>6010711</v>
      </c>
      <c r="C35" s="10" t="s">
        <v>44</v>
      </c>
      <c r="D35" s="307"/>
      <c r="E35" s="12" t="s">
        <v>151</v>
      </c>
      <c r="F35" s="10" t="s">
        <v>154</v>
      </c>
      <c r="G35" s="73">
        <f>IFERROR(VLOOKUP($B35,'[1]KPI Promotor'!$G:$K,5,0),0)</f>
        <v>170000000</v>
      </c>
      <c r="H35" s="74">
        <f>SUMIF('[1]SALES BY PROMOTOR'!$D:$D,$F35,'[1]SALES BY PROMOTOR'!$J:$J)</f>
        <v>139079000</v>
      </c>
      <c r="I35" s="75">
        <f t="shared" si="0"/>
        <v>0.81811176470588232</v>
      </c>
      <c r="J35" s="73">
        <f t="shared" si="1"/>
        <v>149013214.28571427</v>
      </c>
      <c r="K35" s="76">
        <f t="shared" si="2"/>
        <v>6622809.5238095243</v>
      </c>
      <c r="L35" s="77">
        <f>SUMIF('[1]SALES BY PROMOTOR'!$D:$D,$F35,'[1]SALES BY PROMOTOR'!$G:$G)</f>
        <v>12</v>
      </c>
      <c r="M35" s="77">
        <f>SUMIF('[1]SALES BY PROMOTOR'!$D:$D,$F35,'[1]SALES BY PROMOTOR'!$I:$I)</f>
        <v>21</v>
      </c>
      <c r="N35" s="75">
        <f t="shared" si="3"/>
        <v>0.5714285714285714</v>
      </c>
      <c r="O35" s="78">
        <f>IFERROR(VLOOKUP($F35,'[1]Sales By Promotor Last Month'!D:G,4,0),0)</f>
        <v>14</v>
      </c>
      <c r="P35" s="78">
        <f t="shared" si="4"/>
        <v>12</v>
      </c>
      <c r="Q35" s="79">
        <f t="shared" si="5"/>
        <v>-2</v>
      </c>
      <c r="R35" s="80">
        <f t="shared" si="6"/>
        <v>-0.14285714285714285</v>
      </c>
      <c r="S35" s="78">
        <f>IFERROR(VLOOKUP($F35,'[1]Sales By Promotor Last Month'!D:I,6,0),0)</f>
        <v>20</v>
      </c>
      <c r="T35" s="78">
        <f t="shared" si="7"/>
        <v>21</v>
      </c>
      <c r="U35" s="79">
        <f t="shared" si="8"/>
        <v>1</v>
      </c>
      <c r="V35" s="80">
        <f t="shared" si="9"/>
        <v>0.05</v>
      </c>
      <c r="W35"/>
      <c r="X35"/>
      <c r="Y35"/>
    </row>
    <row r="36" spans="1:25" ht="17" outlineLevel="1" x14ac:dyDescent="0.2">
      <c r="A36" s="11" t="s">
        <v>155</v>
      </c>
      <c r="B36" s="71">
        <v>6020704</v>
      </c>
      <c r="C36" s="10" t="s">
        <v>156</v>
      </c>
      <c r="D36" s="305">
        <v>2</v>
      </c>
      <c r="E36" s="12" t="s">
        <v>157</v>
      </c>
      <c r="F36" s="10" t="s">
        <v>158</v>
      </c>
      <c r="G36" s="73">
        <f>IFERROR(VLOOKUP($B36,'[1]KPI Promotor'!$G:$K,5,0),0)</f>
        <v>120000000</v>
      </c>
      <c r="H36" s="74">
        <f>SUMIF('[1]SALES BY PROMOTOR'!$D:$D,$F36,'[1]SALES BY PROMOTOR'!$J:$J)</f>
        <v>54384000</v>
      </c>
      <c r="I36" s="75">
        <f t="shared" si="0"/>
        <v>0.45319999999999999</v>
      </c>
      <c r="J36" s="73">
        <f t="shared" si="1"/>
        <v>58268571.428571433</v>
      </c>
      <c r="K36" s="76">
        <f t="shared" si="2"/>
        <v>3399000</v>
      </c>
      <c r="L36" s="77">
        <f>SUMIF('[1]SALES BY PROMOTOR'!$D:$D,$F36,'[1]SALES BY PROMOTOR'!$G:$G)</f>
        <v>3</v>
      </c>
      <c r="M36" s="77">
        <f>SUMIF('[1]SALES BY PROMOTOR'!$D:$D,$F36,'[1]SALES BY PROMOTOR'!$I:$I)</f>
        <v>16</v>
      </c>
      <c r="N36" s="75">
        <f t="shared" si="3"/>
        <v>0.1875</v>
      </c>
      <c r="O36" s="78">
        <f>IFERROR(VLOOKUP($F36,'[1]Sales By Promotor Last Month'!D:G,4,0),0)</f>
        <v>20</v>
      </c>
      <c r="P36" s="78">
        <f t="shared" si="4"/>
        <v>3</v>
      </c>
      <c r="Q36" s="79">
        <f t="shared" si="5"/>
        <v>-17</v>
      </c>
      <c r="R36" s="80">
        <f t="shared" si="6"/>
        <v>-0.85</v>
      </c>
      <c r="S36" s="78">
        <f>IFERROR(VLOOKUP($F36,'[1]Sales By Promotor Last Month'!D:I,6,0),0)</f>
        <v>38</v>
      </c>
      <c r="T36" s="78">
        <f t="shared" si="7"/>
        <v>16</v>
      </c>
      <c r="U36" s="79">
        <f t="shared" si="8"/>
        <v>-22</v>
      </c>
      <c r="V36" s="80">
        <f t="shared" si="9"/>
        <v>-0.57894736842105265</v>
      </c>
      <c r="W36"/>
      <c r="X36"/>
      <c r="Y36"/>
    </row>
    <row r="37" spans="1:25" ht="17" outlineLevel="1" x14ac:dyDescent="0.2">
      <c r="A37" s="11" t="s">
        <v>155</v>
      </c>
      <c r="B37" s="71">
        <v>6020704</v>
      </c>
      <c r="C37" s="10" t="s">
        <v>156</v>
      </c>
      <c r="D37" s="307"/>
      <c r="E37" s="12" t="s">
        <v>157</v>
      </c>
      <c r="F37" s="10" t="s">
        <v>159</v>
      </c>
      <c r="G37" s="73">
        <f>IFERROR(VLOOKUP($B37,'[1]KPI Promotor'!$G:$K,5,0),0)</f>
        <v>120000000</v>
      </c>
      <c r="H37" s="74">
        <f>SUMIF('[1]SALES BY PROMOTOR'!$D:$D,$F37,'[1]SALES BY PROMOTOR'!$J:$J)</f>
        <v>126171000</v>
      </c>
      <c r="I37" s="75">
        <f t="shared" si="0"/>
        <v>1.0514250000000001</v>
      </c>
      <c r="J37" s="73">
        <f t="shared" si="1"/>
        <v>135183214.28571427</v>
      </c>
      <c r="K37" s="76">
        <f t="shared" si="2"/>
        <v>4350724.1379310349</v>
      </c>
      <c r="L37" s="77">
        <f>SUMIF('[1]SALES BY PROMOTOR'!$D:$D,$F37,'[1]SALES BY PROMOTOR'!$G:$G)</f>
        <v>17</v>
      </c>
      <c r="M37" s="77">
        <f>SUMIF('[1]SALES BY PROMOTOR'!$D:$D,$F37,'[1]SALES BY PROMOTOR'!$I:$I)</f>
        <v>29</v>
      </c>
      <c r="N37" s="75">
        <f t="shared" si="3"/>
        <v>0.58620689655172409</v>
      </c>
      <c r="O37" s="78">
        <f>IFERROR(VLOOKUP($F37,'[1]Sales By Promotor Last Month'!D:G,4,0),0)</f>
        <v>8</v>
      </c>
      <c r="P37" s="78">
        <f t="shared" si="4"/>
        <v>17</v>
      </c>
      <c r="Q37" s="79">
        <f t="shared" si="5"/>
        <v>9</v>
      </c>
      <c r="R37" s="80">
        <f t="shared" si="6"/>
        <v>1.125</v>
      </c>
      <c r="S37" s="78">
        <f>IFERROR(VLOOKUP($F37,'[1]Sales By Promotor Last Month'!D:I,6,0),0)</f>
        <v>25</v>
      </c>
      <c r="T37" s="78">
        <f t="shared" si="7"/>
        <v>29</v>
      </c>
      <c r="U37" s="79">
        <f t="shared" si="8"/>
        <v>4</v>
      </c>
      <c r="V37" s="80">
        <f t="shared" si="9"/>
        <v>0.16</v>
      </c>
      <c r="W37"/>
      <c r="X37"/>
      <c r="Y37"/>
    </row>
    <row r="38" spans="1:25" ht="17" outlineLevel="1" x14ac:dyDescent="0.2">
      <c r="A38" s="11" t="s">
        <v>155</v>
      </c>
      <c r="B38" s="71">
        <v>6020706</v>
      </c>
      <c r="C38" s="10" t="s">
        <v>156</v>
      </c>
      <c r="D38" s="305">
        <v>3</v>
      </c>
      <c r="E38" s="12" t="s">
        <v>160</v>
      </c>
      <c r="F38" s="10" t="s">
        <v>161</v>
      </c>
      <c r="G38" s="73">
        <f>IFERROR(VLOOKUP($B38,'[1]KPI Promotor'!$G:$K,5,0),0)</f>
        <v>120000000</v>
      </c>
      <c r="H38" s="74">
        <f>SUMIF('[1]SALES BY PROMOTOR'!$D:$D,$F38,'[1]SALES BY PROMOTOR'!$J:$J)</f>
        <v>68980000</v>
      </c>
      <c r="I38" s="75">
        <f t="shared" si="0"/>
        <v>0.57483333333333331</v>
      </c>
      <c r="J38" s="73">
        <f t="shared" si="1"/>
        <v>73907142.857142866</v>
      </c>
      <c r="K38" s="76">
        <f t="shared" si="2"/>
        <v>3449000</v>
      </c>
      <c r="L38" s="77">
        <f>SUMIF('[1]SALES BY PROMOTOR'!$D:$D,$F38,'[1]SALES BY PROMOTOR'!$G:$G)</f>
        <v>7</v>
      </c>
      <c r="M38" s="77">
        <f>SUMIF('[1]SALES BY PROMOTOR'!$D:$D,$F38,'[1]SALES BY PROMOTOR'!$I:$I)</f>
        <v>20</v>
      </c>
      <c r="N38" s="75">
        <f t="shared" si="3"/>
        <v>0.35</v>
      </c>
      <c r="O38" s="78">
        <f>IFERROR(VLOOKUP($F38,'[1]Sales By Promotor Last Month'!D:G,4,0),0)</f>
        <v>8</v>
      </c>
      <c r="P38" s="78">
        <f t="shared" si="4"/>
        <v>7</v>
      </c>
      <c r="Q38" s="79">
        <f t="shared" si="5"/>
        <v>-1</v>
      </c>
      <c r="R38" s="80">
        <f t="shared" si="6"/>
        <v>-0.125</v>
      </c>
      <c r="S38" s="78">
        <f>IFERROR(VLOOKUP($F38,'[1]Sales By Promotor Last Month'!D:I,6,0),0)</f>
        <v>18</v>
      </c>
      <c r="T38" s="78">
        <f t="shared" si="7"/>
        <v>20</v>
      </c>
      <c r="U38" s="79">
        <f t="shared" si="8"/>
        <v>2</v>
      </c>
      <c r="V38" s="80">
        <f t="shared" si="9"/>
        <v>0.1111111111111111</v>
      </c>
      <c r="W38"/>
      <c r="X38"/>
      <c r="Y38"/>
    </row>
    <row r="39" spans="1:25" ht="17" outlineLevel="1" x14ac:dyDescent="0.2">
      <c r="A39" s="11" t="s">
        <v>155</v>
      </c>
      <c r="B39" s="71">
        <v>6020706</v>
      </c>
      <c r="C39" s="10" t="s">
        <v>156</v>
      </c>
      <c r="D39" s="306"/>
      <c r="E39" s="12" t="s">
        <v>160</v>
      </c>
      <c r="F39" s="10" t="s">
        <v>162</v>
      </c>
      <c r="G39" s="73">
        <f>IFERROR(VLOOKUP($B39,'[1]KPI Promotor'!$G:$K,5,0),0)</f>
        <v>120000000</v>
      </c>
      <c r="H39" s="74">
        <f>SUMIF('[1]SALES BY PROMOTOR'!$D:$D,$F39,'[1]SALES BY PROMOTOR'!$J:$J)</f>
        <v>123470000</v>
      </c>
      <c r="I39" s="75">
        <f t="shared" si="0"/>
        <v>1.0289166666666667</v>
      </c>
      <c r="J39" s="73">
        <f t="shared" si="1"/>
        <v>132289285.71428572</v>
      </c>
      <c r="K39" s="76">
        <f t="shared" si="2"/>
        <v>4115666.6666666665</v>
      </c>
      <c r="L39" s="77">
        <f>SUMIF('[1]SALES BY PROMOTOR'!$D:$D,$F39,'[1]SALES BY PROMOTOR'!$G:$G)</f>
        <v>16</v>
      </c>
      <c r="M39" s="77">
        <f>SUMIF('[1]SALES BY PROMOTOR'!$D:$D,$F39,'[1]SALES BY PROMOTOR'!$I:$I)</f>
        <v>30</v>
      </c>
      <c r="N39" s="75">
        <f t="shared" si="3"/>
        <v>0.53333333333333333</v>
      </c>
      <c r="O39" s="78">
        <f>IFERROR(VLOOKUP($F39,'[1]Sales By Promotor Last Month'!D:G,4,0),0)</f>
        <v>14</v>
      </c>
      <c r="P39" s="78">
        <f t="shared" si="4"/>
        <v>16</v>
      </c>
      <c r="Q39" s="79">
        <f t="shared" si="5"/>
        <v>2</v>
      </c>
      <c r="R39" s="80">
        <f t="shared" si="6"/>
        <v>0.14285714285714285</v>
      </c>
      <c r="S39" s="78">
        <f>IFERROR(VLOOKUP($F39,'[1]Sales By Promotor Last Month'!D:I,6,0),0)</f>
        <v>35</v>
      </c>
      <c r="T39" s="78">
        <f t="shared" si="7"/>
        <v>30</v>
      </c>
      <c r="U39" s="79">
        <f t="shared" si="8"/>
        <v>-5</v>
      </c>
      <c r="V39" s="80">
        <f t="shared" si="9"/>
        <v>-0.14285714285714285</v>
      </c>
      <c r="W39"/>
      <c r="X39"/>
      <c r="Y39"/>
    </row>
    <row r="40" spans="1:25" ht="17" outlineLevel="1" x14ac:dyDescent="0.2">
      <c r="A40" s="11" t="s">
        <v>155</v>
      </c>
      <c r="B40" s="71">
        <v>6020706</v>
      </c>
      <c r="C40" s="10" t="s">
        <v>156</v>
      </c>
      <c r="D40" s="307"/>
      <c r="E40" s="12" t="s">
        <v>160</v>
      </c>
      <c r="F40" s="10" t="s">
        <v>163</v>
      </c>
      <c r="G40" s="73">
        <f>IFERROR(VLOOKUP($B40,'[1]KPI Promotor'!$G:$K,5,0),0)</f>
        <v>120000000</v>
      </c>
      <c r="H40" s="74">
        <f>SUMIF('[1]SALES BY PROMOTOR'!$D:$D,$F40,'[1]SALES BY PROMOTOR'!$J:$J)</f>
        <v>121565000</v>
      </c>
      <c r="I40" s="75">
        <f t="shared" si="0"/>
        <v>1.0130416666666666</v>
      </c>
      <c r="J40" s="73">
        <f t="shared" si="1"/>
        <v>130248214.28571428</v>
      </c>
      <c r="K40" s="76">
        <f t="shared" si="2"/>
        <v>3473285.7142857141</v>
      </c>
      <c r="L40" s="77">
        <f>SUMIF('[1]SALES BY PROMOTOR'!$D:$D,$F40,'[1]SALES BY PROMOTOR'!$G:$G)</f>
        <v>12</v>
      </c>
      <c r="M40" s="77">
        <f>SUMIF('[1]SALES BY PROMOTOR'!$D:$D,$F40,'[1]SALES BY PROMOTOR'!$I:$I)</f>
        <v>35</v>
      </c>
      <c r="N40" s="75">
        <f t="shared" si="3"/>
        <v>0.34285714285714286</v>
      </c>
      <c r="O40" s="78">
        <f>IFERROR(VLOOKUP($F40,'[1]Sales By Promotor Last Month'!D:G,4,0),0)</f>
        <v>8</v>
      </c>
      <c r="P40" s="78">
        <f t="shared" si="4"/>
        <v>12</v>
      </c>
      <c r="Q40" s="79">
        <f t="shared" si="5"/>
        <v>4</v>
      </c>
      <c r="R40" s="80">
        <f t="shared" si="6"/>
        <v>0.5</v>
      </c>
      <c r="S40" s="78">
        <f>IFERROR(VLOOKUP($F40,'[1]Sales By Promotor Last Month'!D:I,6,0),0)</f>
        <v>35</v>
      </c>
      <c r="T40" s="78">
        <f t="shared" si="7"/>
        <v>35</v>
      </c>
      <c r="U40" s="79">
        <f t="shared" si="8"/>
        <v>0</v>
      </c>
      <c r="V40" s="80">
        <f t="shared" si="9"/>
        <v>0</v>
      </c>
      <c r="W40"/>
      <c r="X40"/>
      <c r="Y40"/>
    </row>
    <row r="41" spans="1:25" ht="17" outlineLevel="1" x14ac:dyDescent="0.2">
      <c r="A41" s="11" t="s">
        <v>155</v>
      </c>
      <c r="B41" s="71">
        <v>6020711</v>
      </c>
      <c r="C41" s="10" t="s">
        <v>164</v>
      </c>
      <c r="D41" s="305">
        <v>3</v>
      </c>
      <c r="E41" s="12" t="s">
        <v>165</v>
      </c>
      <c r="F41" s="10" t="s">
        <v>166</v>
      </c>
      <c r="G41" s="73">
        <f>IFERROR(VLOOKUP($B41,'[1]KPI Promotor'!$G:$K,5,0),0)</f>
        <v>170000000</v>
      </c>
      <c r="H41" s="74">
        <f>SUMIF('[1]SALES BY PROMOTOR'!$D:$D,$F41,'[1]SALES BY PROMOTOR'!$J:$J)</f>
        <v>142871000</v>
      </c>
      <c r="I41" s="75">
        <f t="shared" si="0"/>
        <v>0.84041764705882349</v>
      </c>
      <c r="J41" s="73">
        <f t="shared" si="1"/>
        <v>153076071.42857143</v>
      </c>
      <c r="K41" s="76">
        <f t="shared" si="2"/>
        <v>4926586.2068965519</v>
      </c>
      <c r="L41" s="77">
        <f>SUMIF('[1]SALES BY PROMOTOR'!$D:$D,$F41,'[1]SALES BY PROMOTOR'!$G:$G)</f>
        <v>21</v>
      </c>
      <c r="M41" s="77">
        <f>SUMIF('[1]SALES BY PROMOTOR'!$D:$D,$F41,'[1]SALES BY PROMOTOR'!$I:$I)</f>
        <v>29</v>
      </c>
      <c r="N41" s="75">
        <f t="shared" si="3"/>
        <v>0.72413793103448276</v>
      </c>
      <c r="O41" s="78">
        <f>IFERROR(VLOOKUP($F41,'[1]Sales By Promotor Last Month'!D:G,4,0),0)</f>
        <v>23</v>
      </c>
      <c r="P41" s="78">
        <f t="shared" si="4"/>
        <v>21</v>
      </c>
      <c r="Q41" s="79">
        <f t="shared" si="5"/>
        <v>-2</v>
      </c>
      <c r="R41" s="80">
        <f t="shared" si="6"/>
        <v>-8.6956521739130432E-2</v>
      </c>
      <c r="S41" s="78">
        <f>IFERROR(VLOOKUP($F41,'[1]Sales By Promotor Last Month'!D:I,6,0),0)</f>
        <v>35</v>
      </c>
      <c r="T41" s="78">
        <f t="shared" si="7"/>
        <v>29</v>
      </c>
      <c r="U41" s="79">
        <f t="shared" si="8"/>
        <v>-6</v>
      </c>
      <c r="V41" s="80">
        <f t="shared" si="9"/>
        <v>-0.17142857142857143</v>
      </c>
      <c r="W41"/>
      <c r="X41"/>
      <c r="Y41"/>
    </row>
    <row r="42" spans="1:25" ht="17" outlineLevel="1" x14ac:dyDescent="0.2">
      <c r="A42" s="11" t="s">
        <v>155</v>
      </c>
      <c r="B42" s="71">
        <v>6020711</v>
      </c>
      <c r="C42" s="10" t="s">
        <v>164</v>
      </c>
      <c r="D42" s="306"/>
      <c r="E42" s="12" t="s">
        <v>165</v>
      </c>
      <c r="F42" s="10" t="s">
        <v>167</v>
      </c>
      <c r="G42" s="73">
        <f>IFERROR(VLOOKUP($B42,'[1]KPI Promotor'!$G:$K,5,0),0)</f>
        <v>170000000</v>
      </c>
      <c r="H42" s="74">
        <f>SUMIF('[1]SALES BY PROMOTOR'!$D:$D,$F42,'[1]SALES BY PROMOTOR'!$J:$J)</f>
        <v>130968000</v>
      </c>
      <c r="I42" s="75">
        <f t="shared" si="0"/>
        <v>0.77039999999999997</v>
      </c>
      <c r="J42" s="73">
        <f t="shared" si="1"/>
        <v>140322857.14285716</v>
      </c>
      <c r="K42" s="76">
        <f t="shared" si="2"/>
        <v>4092750</v>
      </c>
      <c r="L42" s="77">
        <f>SUMIF('[1]SALES BY PROMOTOR'!$D:$D,$F42,'[1]SALES BY PROMOTOR'!$G:$G)</f>
        <v>15</v>
      </c>
      <c r="M42" s="77">
        <f>SUMIF('[1]SALES BY PROMOTOR'!$D:$D,$F42,'[1]SALES BY PROMOTOR'!$I:$I)</f>
        <v>32</v>
      </c>
      <c r="N42" s="75">
        <f t="shared" si="3"/>
        <v>0.46875</v>
      </c>
      <c r="O42" s="78">
        <f>IFERROR(VLOOKUP($F42,'[1]Sales By Promotor Last Month'!D:G,4,0),0)</f>
        <v>16</v>
      </c>
      <c r="P42" s="78">
        <f t="shared" si="4"/>
        <v>15</v>
      </c>
      <c r="Q42" s="79">
        <f t="shared" si="5"/>
        <v>-1</v>
      </c>
      <c r="R42" s="80">
        <f t="shared" si="6"/>
        <v>-6.25E-2</v>
      </c>
      <c r="S42" s="78">
        <f>IFERROR(VLOOKUP($F42,'[1]Sales By Promotor Last Month'!D:I,6,0),0)</f>
        <v>35</v>
      </c>
      <c r="T42" s="78">
        <f t="shared" si="7"/>
        <v>32</v>
      </c>
      <c r="U42" s="79">
        <f t="shared" si="8"/>
        <v>-3</v>
      </c>
      <c r="V42" s="80">
        <f t="shared" si="9"/>
        <v>-8.5714285714285715E-2</v>
      </c>
      <c r="W42"/>
      <c r="X42"/>
      <c r="Y42"/>
    </row>
    <row r="43" spans="1:25" ht="17" outlineLevel="1" x14ac:dyDescent="0.2">
      <c r="A43" s="11" t="s">
        <v>155</v>
      </c>
      <c r="B43" s="71">
        <v>6020711</v>
      </c>
      <c r="C43" s="10" t="s">
        <v>164</v>
      </c>
      <c r="D43" s="307"/>
      <c r="E43" s="12" t="s">
        <v>165</v>
      </c>
      <c r="F43" s="10" t="s">
        <v>168</v>
      </c>
      <c r="G43" s="73">
        <f>IFERROR(VLOOKUP($B43,'[1]KPI Promotor'!$G:$K,5,0),0)</f>
        <v>170000000</v>
      </c>
      <c r="H43" s="74">
        <f>SUMIF('[1]SALES BY PROMOTOR'!$D:$D,$F43,'[1]SALES BY PROMOTOR'!$J:$J)</f>
        <v>169976000</v>
      </c>
      <c r="I43" s="75">
        <f t="shared" si="0"/>
        <v>0.9998588235294118</v>
      </c>
      <c r="J43" s="73">
        <f t="shared" si="1"/>
        <v>182117142.85714284</v>
      </c>
      <c r="K43" s="76">
        <f t="shared" si="2"/>
        <v>7082333.333333333</v>
      </c>
      <c r="L43" s="77">
        <f>SUMIF('[1]SALES BY PROMOTOR'!$D:$D,$F43,'[1]SALES BY PROMOTOR'!$G:$G)</f>
        <v>17</v>
      </c>
      <c r="M43" s="77">
        <f>SUMIF('[1]SALES BY PROMOTOR'!$D:$D,$F43,'[1]SALES BY PROMOTOR'!$I:$I)</f>
        <v>24</v>
      </c>
      <c r="N43" s="75">
        <f t="shared" si="3"/>
        <v>0.70833333333333337</v>
      </c>
      <c r="O43" s="78">
        <f>IFERROR(VLOOKUP($F43,'[1]Sales By Promotor Last Month'!D:G,4,0),0)</f>
        <v>10</v>
      </c>
      <c r="P43" s="78">
        <f t="shared" si="4"/>
        <v>17</v>
      </c>
      <c r="Q43" s="79">
        <f t="shared" si="5"/>
        <v>7</v>
      </c>
      <c r="R43" s="80">
        <f t="shared" si="6"/>
        <v>0.7</v>
      </c>
      <c r="S43" s="78">
        <f>IFERROR(VLOOKUP($F43,'[1]Sales By Promotor Last Month'!D:I,6,0),0)</f>
        <v>16</v>
      </c>
      <c r="T43" s="78">
        <f t="shared" si="7"/>
        <v>24</v>
      </c>
      <c r="U43" s="79">
        <f t="shared" si="8"/>
        <v>8</v>
      </c>
      <c r="V43" s="80">
        <f t="shared" si="9"/>
        <v>0.5</v>
      </c>
      <c r="W43"/>
      <c r="X43"/>
      <c r="Y43"/>
    </row>
    <row r="44" spans="1:25" ht="17" outlineLevel="1" x14ac:dyDescent="0.2">
      <c r="A44" s="11" t="s">
        <v>169</v>
      </c>
      <c r="B44" s="71">
        <v>6040701</v>
      </c>
      <c r="C44" s="10" t="s">
        <v>170</v>
      </c>
      <c r="D44" s="305">
        <v>2</v>
      </c>
      <c r="E44" s="12" t="s">
        <v>171</v>
      </c>
      <c r="F44" s="10" t="s">
        <v>172</v>
      </c>
      <c r="G44" s="73">
        <f>IFERROR(VLOOKUP($B44,'[1]KPI Promotor'!$G:$K,5,0),0)</f>
        <v>120000000</v>
      </c>
      <c r="H44" s="74">
        <f>SUMIF('[1]SALES BY PROMOTOR'!$D:$D,$F44,'[1]SALES BY PROMOTOR'!$J:$J)</f>
        <v>143271000</v>
      </c>
      <c r="I44" s="75">
        <f t="shared" si="0"/>
        <v>1.1939249999999999</v>
      </c>
      <c r="J44" s="73">
        <f t="shared" si="1"/>
        <v>153504642.85714284</v>
      </c>
      <c r="K44" s="76">
        <f t="shared" si="2"/>
        <v>4940379.3103448274</v>
      </c>
      <c r="L44" s="77">
        <f>SUMIF('[1]SALES BY PROMOTOR'!$D:$D,$F44,'[1]SALES BY PROMOTOR'!$G:$G)</f>
        <v>19</v>
      </c>
      <c r="M44" s="77">
        <f>SUMIF('[1]SALES BY PROMOTOR'!$D:$D,$F44,'[1]SALES BY PROMOTOR'!$I:$I)</f>
        <v>29</v>
      </c>
      <c r="N44" s="75">
        <f t="shared" si="3"/>
        <v>0.65517241379310343</v>
      </c>
      <c r="O44" s="78">
        <f>IFERROR(VLOOKUP($F44,'[1]Sales By Promotor Last Month'!D:G,4,0),0)</f>
        <v>15</v>
      </c>
      <c r="P44" s="78">
        <f t="shared" si="4"/>
        <v>19</v>
      </c>
      <c r="Q44" s="79">
        <f t="shared" si="5"/>
        <v>4</v>
      </c>
      <c r="R44" s="80">
        <f t="shared" si="6"/>
        <v>0.26666666666666666</v>
      </c>
      <c r="S44" s="78">
        <f>IFERROR(VLOOKUP($F44,'[1]Sales By Promotor Last Month'!D:I,6,0),0)</f>
        <v>30</v>
      </c>
      <c r="T44" s="78">
        <f t="shared" si="7"/>
        <v>29</v>
      </c>
      <c r="U44" s="79">
        <f t="shared" si="8"/>
        <v>-1</v>
      </c>
      <c r="V44" s="80">
        <f t="shared" si="9"/>
        <v>-3.3333333333333333E-2</v>
      </c>
      <c r="W44"/>
      <c r="X44"/>
      <c r="Y44"/>
    </row>
    <row r="45" spans="1:25" ht="17" outlineLevel="1" x14ac:dyDescent="0.2">
      <c r="A45" s="11" t="s">
        <v>169</v>
      </c>
      <c r="B45" s="71">
        <v>6040701</v>
      </c>
      <c r="C45" s="10" t="s">
        <v>170</v>
      </c>
      <c r="D45" s="306"/>
      <c r="E45" s="12" t="s">
        <v>171</v>
      </c>
      <c r="F45" s="10" t="s">
        <v>173</v>
      </c>
      <c r="G45" s="73">
        <f>IFERROR(VLOOKUP($B45,'[1]KPI Promotor'!$G:$K,5,0),0)</f>
        <v>120000000</v>
      </c>
      <c r="H45" s="74">
        <f>SUMIF('[1]SALES BY PROMOTOR'!$D:$D,$F45,'[1]SALES BY PROMOTOR'!$J:$J)</f>
        <v>125073000</v>
      </c>
      <c r="I45" s="75">
        <f t="shared" si="0"/>
        <v>1.0422750000000001</v>
      </c>
      <c r="J45" s="73">
        <f t="shared" si="1"/>
        <v>134006785.71428572</v>
      </c>
      <c r="K45" s="76">
        <f t="shared" si="2"/>
        <v>4632333.333333333</v>
      </c>
      <c r="L45" s="77">
        <f>SUMIF('[1]SALES BY PROMOTOR'!$D:$D,$F45,'[1]SALES BY PROMOTOR'!$G:$G)</f>
        <v>13</v>
      </c>
      <c r="M45" s="77">
        <f>SUMIF('[1]SALES BY PROMOTOR'!$D:$D,$F45,'[1]SALES BY PROMOTOR'!$I:$I)</f>
        <v>27</v>
      </c>
      <c r="N45" s="75">
        <f t="shared" si="3"/>
        <v>0.48148148148148145</v>
      </c>
      <c r="O45" s="78">
        <f>IFERROR(VLOOKUP($F45,'[1]Sales By Promotor Last Month'!D:G,4,0),0)</f>
        <v>9</v>
      </c>
      <c r="P45" s="78">
        <f t="shared" si="4"/>
        <v>13</v>
      </c>
      <c r="Q45" s="79">
        <f t="shared" si="5"/>
        <v>4</v>
      </c>
      <c r="R45" s="80">
        <f t="shared" si="6"/>
        <v>0.44444444444444442</v>
      </c>
      <c r="S45" s="78">
        <f>IFERROR(VLOOKUP($F45,'[1]Sales By Promotor Last Month'!D:I,6,0),0)</f>
        <v>30</v>
      </c>
      <c r="T45" s="78">
        <f t="shared" si="7"/>
        <v>27</v>
      </c>
      <c r="U45" s="79">
        <f t="shared" si="8"/>
        <v>-3</v>
      </c>
      <c r="V45" s="80">
        <f t="shared" si="9"/>
        <v>-0.1</v>
      </c>
      <c r="W45"/>
      <c r="X45"/>
      <c r="Y45"/>
    </row>
    <row r="46" spans="1:25" ht="17" outlineLevel="1" x14ac:dyDescent="0.2">
      <c r="A46" s="11" t="s">
        <v>169</v>
      </c>
      <c r="B46" s="71">
        <v>6080712</v>
      </c>
      <c r="C46" s="10" t="s">
        <v>170</v>
      </c>
      <c r="D46" s="306">
        <v>3</v>
      </c>
      <c r="E46" s="12" t="s">
        <v>174</v>
      </c>
      <c r="F46" s="10" t="s">
        <v>175</v>
      </c>
      <c r="G46" s="73">
        <f>IFERROR(VLOOKUP($B46,'[1]KPI Promotor'!$G:$K,5,0),0)</f>
        <v>120000000</v>
      </c>
      <c r="H46" s="74">
        <f>SUMIF('[1]SALES BY PROMOTOR'!$D:$D,$F46,'[1]SALES BY PROMOTOR'!$J:$J)</f>
        <v>115176000</v>
      </c>
      <c r="I46" s="75">
        <f t="shared" si="0"/>
        <v>0.95979999999999999</v>
      </c>
      <c r="J46" s="73">
        <f t="shared" si="1"/>
        <v>123402857.14285713</v>
      </c>
      <c r="K46" s="76">
        <f t="shared" si="2"/>
        <v>4799000</v>
      </c>
      <c r="L46" s="77">
        <f>SUMIF('[1]SALES BY PROMOTOR'!$D:$D,$F46,'[1]SALES BY PROMOTOR'!$G:$G)</f>
        <v>16</v>
      </c>
      <c r="M46" s="77">
        <f>SUMIF('[1]SALES BY PROMOTOR'!$D:$D,$F46,'[1]SALES BY PROMOTOR'!$I:$I)</f>
        <v>24</v>
      </c>
      <c r="N46" s="75">
        <f t="shared" si="3"/>
        <v>0.66666666666666663</v>
      </c>
      <c r="O46" s="78">
        <f>IFERROR(VLOOKUP($F46,'[1]Sales By Promotor Last Month'!D:G,4,0),0)</f>
        <v>10</v>
      </c>
      <c r="P46" s="78">
        <f t="shared" si="4"/>
        <v>16</v>
      </c>
      <c r="Q46" s="79">
        <f t="shared" si="5"/>
        <v>6</v>
      </c>
      <c r="R46" s="80">
        <f t="shared" si="6"/>
        <v>0.6</v>
      </c>
      <c r="S46" s="78">
        <f>IFERROR(VLOOKUP($F46,'[1]Sales By Promotor Last Month'!D:I,6,0),0)</f>
        <v>25</v>
      </c>
      <c r="T46" s="78">
        <f t="shared" si="7"/>
        <v>24</v>
      </c>
      <c r="U46" s="79">
        <f t="shared" si="8"/>
        <v>-1</v>
      </c>
      <c r="V46" s="80">
        <f t="shared" si="9"/>
        <v>-0.04</v>
      </c>
      <c r="W46"/>
      <c r="X46"/>
      <c r="Y46"/>
    </row>
    <row r="47" spans="1:25" ht="17" outlineLevel="1" x14ac:dyDescent="0.2">
      <c r="A47" s="11" t="s">
        <v>169</v>
      </c>
      <c r="B47" s="71">
        <v>6080712</v>
      </c>
      <c r="C47" s="10" t="s">
        <v>170</v>
      </c>
      <c r="D47" s="306"/>
      <c r="E47" s="12" t="s">
        <v>174</v>
      </c>
      <c r="F47" s="10" t="s">
        <v>176</v>
      </c>
      <c r="G47" s="73">
        <f>IFERROR(VLOOKUP($B47,'[1]KPI Promotor'!$G:$K,5,0),0)</f>
        <v>120000000</v>
      </c>
      <c r="H47" s="74">
        <f>SUMIF('[1]SALES BY PROMOTOR'!$D:$D,$F47,'[1]SALES BY PROMOTOR'!$J:$J)</f>
        <v>36593000</v>
      </c>
      <c r="I47" s="75">
        <f t="shared" si="0"/>
        <v>0.30494166666666667</v>
      </c>
      <c r="J47" s="73">
        <f t="shared" si="1"/>
        <v>39206785.714285709</v>
      </c>
      <c r="K47" s="76">
        <f t="shared" si="2"/>
        <v>5227571.4285714282</v>
      </c>
      <c r="L47" s="77">
        <f>SUMIF('[1]SALES BY PROMOTOR'!$D:$D,$F47,'[1]SALES BY PROMOTOR'!$G:$G)</f>
        <v>5</v>
      </c>
      <c r="M47" s="77">
        <f>SUMIF('[1]SALES BY PROMOTOR'!$D:$D,$F47,'[1]SALES BY PROMOTOR'!$I:$I)</f>
        <v>7</v>
      </c>
      <c r="N47" s="75">
        <f t="shared" si="3"/>
        <v>0.7142857142857143</v>
      </c>
      <c r="O47" s="78">
        <f>IFERROR(VLOOKUP($F47,'[1]Sales By Promotor Last Month'!D:G,4,0),0)</f>
        <v>11</v>
      </c>
      <c r="P47" s="78">
        <f t="shared" si="4"/>
        <v>5</v>
      </c>
      <c r="Q47" s="79">
        <f t="shared" si="5"/>
        <v>-6</v>
      </c>
      <c r="R47" s="80">
        <f t="shared" si="6"/>
        <v>-0.54545454545454541</v>
      </c>
      <c r="S47" s="78">
        <f>IFERROR(VLOOKUP($F47,'[1]Sales By Promotor Last Month'!D:I,6,0),0)</f>
        <v>18</v>
      </c>
      <c r="T47" s="78">
        <f t="shared" si="7"/>
        <v>7</v>
      </c>
      <c r="U47" s="79">
        <f t="shared" si="8"/>
        <v>-11</v>
      </c>
      <c r="V47" s="80">
        <f t="shared" si="9"/>
        <v>-0.61111111111111116</v>
      </c>
      <c r="W47"/>
      <c r="X47"/>
      <c r="Y47"/>
    </row>
    <row r="48" spans="1:25" ht="17" outlineLevel="1" x14ac:dyDescent="0.2">
      <c r="A48" s="11" t="s">
        <v>169</v>
      </c>
      <c r="B48" s="71">
        <v>6080712</v>
      </c>
      <c r="C48" s="10" t="s">
        <v>170</v>
      </c>
      <c r="D48" s="306"/>
      <c r="E48" s="12" t="s">
        <v>174</v>
      </c>
      <c r="F48" s="10" t="s">
        <v>334</v>
      </c>
      <c r="G48" s="73">
        <f>IFERROR(VLOOKUP($B48,'[1]KPI Promotor'!$G:$K,5,0),0)</f>
        <v>120000000</v>
      </c>
      <c r="H48" s="74">
        <f>SUMIF('[1]SALES BY PROMOTOR'!$D:$D,$F48,'[1]SALES BY PROMOTOR'!$J:$J)</f>
        <v>41588000</v>
      </c>
      <c r="I48" s="75">
        <f t="shared" si="0"/>
        <v>0.34656666666666669</v>
      </c>
      <c r="J48" s="73">
        <f t="shared" si="1"/>
        <v>44558571.428571433</v>
      </c>
      <c r="K48" s="76">
        <f t="shared" si="2"/>
        <v>3465666.6666666665</v>
      </c>
      <c r="L48" s="77">
        <f>SUMIF('[1]SALES BY PROMOTOR'!$D:$D,$F48,'[1]SALES BY PROMOTOR'!$G:$G)</f>
        <v>6</v>
      </c>
      <c r="M48" s="77">
        <f>SUMIF('[1]SALES BY PROMOTOR'!$D:$D,$F48,'[1]SALES BY PROMOTOR'!$I:$I)</f>
        <v>12</v>
      </c>
      <c r="N48" s="75">
        <f t="shared" si="3"/>
        <v>0.5</v>
      </c>
      <c r="O48" s="78">
        <f>IFERROR(VLOOKUP($F48,'[1]Sales By Promotor Last Month'!D:G,4,0),0)</f>
        <v>0</v>
      </c>
      <c r="P48" s="78">
        <f t="shared" si="4"/>
        <v>6</v>
      </c>
      <c r="Q48" s="79">
        <f t="shared" si="5"/>
        <v>6</v>
      </c>
      <c r="R48" s="80">
        <f t="shared" si="6"/>
        <v>0</v>
      </c>
      <c r="S48" s="78">
        <f>IFERROR(VLOOKUP($F48,'[1]Sales By Promotor Last Month'!D:I,6,0),0)</f>
        <v>0</v>
      </c>
      <c r="T48" s="78">
        <f t="shared" si="7"/>
        <v>12</v>
      </c>
      <c r="U48" s="79">
        <f t="shared" si="8"/>
        <v>12</v>
      </c>
      <c r="V48" s="80">
        <f t="shared" si="9"/>
        <v>0</v>
      </c>
      <c r="W48"/>
      <c r="X48"/>
      <c r="Y48"/>
    </row>
    <row r="49" spans="1:25" ht="17" outlineLevel="1" x14ac:dyDescent="0.2">
      <c r="A49" s="11" t="s">
        <v>177</v>
      </c>
      <c r="B49" s="71">
        <v>6040702</v>
      </c>
      <c r="C49" s="10" t="s">
        <v>170</v>
      </c>
      <c r="D49" s="71">
        <v>1</v>
      </c>
      <c r="E49" s="14" t="s">
        <v>178</v>
      </c>
      <c r="F49" s="10" t="s">
        <v>179</v>
      </c>
      <c r="G49" s="73">
        <f>IFERROR(VLOOKUP($B49,'[1]KPI Promotor'!$G:$K,5,0),0)</f>
        <v>120000000</v>
      </c>
      <c r="H49" s="74">
        <f>SUMIF('[1]SALES BY PROMOTOR'!$D:$D,$F49,'[1]SALES BY PROMOTOR'!$J:$J)</f>
        <v>24194000</v>
      </c>
      <c r="I49" s="75">
        <f t="shared" si="0"/>
        <v>0.20161666666666667</v>
      </c>
      <c r="J49" s="73">
        <f t="shared" si="1"/>
        <v>25922142.857142854</v>
      </c>
      <c r="K49" s="76">
        <f t="shared" si="2"/>
        <v>4032333.3333333335</v>
      </c>
      <c r="L49" s="77">
        <f>SUMIF('[1]SALES BY PROMOTOR'!$D:$D,$F49,'[1]SALES BY PROMOTOR'!$G:$G)</f>
        <v>3</v>
      </c>
      <c r="M49" s="77">
        <f>SUMIF('[1]SALES BY PROMOTOR'!$D:$D,$F49,'[1]SALES BY PROMOTOR'!$I:$I)</f>
        <v>6</v>
      </c>
      <c r="N49" s="75">
        <f t="shared" si="3"/>
        <v>0.5</v>
      </c>
      <c r="O49" s="78">
        <f>IFERROR(VLOOKUP($F49,'[1]Sales By Promotor Last Month'!D:G,4,0),0)</f>
        <v>15</v>
      </c>
      <c r="P49" s="78">
        <f t="shared" si="4"/>
        <v>3</v>
      </c>
      <c r="Q49" s="79">
        <f t="shared" si="5"/>
        <v>-12</v>
      </c>
      <c r="R49" s="80">
        <f t="shared" si="6"/>
        <v>-0.8</v>
      </c>
      <c r="S49" s="78">
        <f>IFERROR(VLOOKUP($F49,'[1]Sales By Promotor Last Month'!D:I,6,0),0)</f>
        <v>31</v>
      </c>
      <c r="T49" s="78">
        <f t="shared" si="7"/>
        <v>6</v>
      </c>
      <c r="U49" s="79">
        <f t="shared" si="8"/>
        <v>-25</v>
      </c>
      <c r="V49" s="80">
        <f t="shared" si="9"/>
        <v>-0.80645161290322576</v>
      </c>
      <c r="W49"/>
      <c r="X49"/>
      <c r="Y49"/>
    </row>
    <row r="50" spans="1:25" ht="17" outlineLevel="1" x14ac:dyDescent="0.2">
      <c r="A50" s="11" t="s">
        <v>177</v>
      </c>
      <c r="B50" s="71">
        <v>6040703</v>
      </c>
      <c r="C50" s="10" t="s">
        <v>170</v>
      </c>
      <c r="D50" s="314">
        <v>2</v>
      </c>
      <c r="E50" s="15" t="s">
        <v>180</v>
      </c>
      <c r="F50" s="10" t="s">
        <v>181</v>
      </c>
      <c r="G50" s="73">
        <f>IFERROR(VLOOKUP($B50,'[1]KPI Promotor'!$G:$K,5,0),0)</f>
        <v>120000000</v>
      </c>
      <c r="H50" s="74">
        <f>SUMIF('[1]SALES BY PROMOTOR'!$D:$D,$F50,'[1]SALES BY PROMOTOR'!$J:$J)</f>
        <v>20795000</v>
      </c>
      <c r="I50" s="75">
        <f t="shared" si="0"/>
        <v>0.17329166666666668</v>
      </c>
      <c r="J50" s="73">
        <f t="shared" si="1"/>
        <v>22280357.142857146</v>
      </c>
      <c r="K50" s="76">
        <f t="shared" si="2"/>
        <v>4159000</v>
      </c>
      <c r="L50" s="77">
        <f>SUMIF('[1]SALES BY PROMOTOR'!$D:$D,$F50,'[1]SALES BY PROMOTOR'!$G:$G)</f>
        <v>4</v>
      </c>
      <c r="M50" s="77">
        <f>SUMIF('[1]SALES BY PROMOTOR'!$D:$D,$F50,'[1]SALES BY PROMOTOR'!$I:$I)</f>
        <v>5</v>
      </c>
      <c r="N50" s="75">
        <f t="shared" si="3"/>
        <v>0.8</v>
      </c>
      <c r="O50" s="78">
        <f>IFERROR(VLOOKUP($F50,'[1]Sales By Promotor Last Month'!D:G,4,0),0)</f>
        <v>10</v>
      </c>
      <c r="P50" s="78">
        <f t="shared" si="4"/>
        <v>4</v>
      </c>
      <c r="Q50" s="79">
        <f t="shared" si="5"/>
        <v>-6</v>
      </c>
      <c r="R50" s="80">
        <f t="shared" si="6"/>
        <v>-0.6</v>
      </c>
      <c r="S50" s="78">
        <f>IFERROR(VLOOKUP($F50,'[1]Sales By Promotor Last Month'!D:I,6,0),0)</f>
        <v>25</v>
      </c>
      <c r="T50" s="78">
        <f t="shared" si="7"/>
        <v>5</v>
      </c>
      <c r="U50" s="79">
        <f t="shared" si="8"/>
        <v>-20</v>
      </c>
      <c r="V50" s="80">
        <f t="shared" si="9"/>
        <v>-0.8</v>
      </c>
      <c r="W50"/>
      <c r="X50"/>
      <c r="Y50"/>
    </row>
    <row r="51" spans="1:25" ht="17" outlineLevel="1" x14ac:dyDescent="0.2">
      <c r="A51" s="11" t="s">
        <v>177</v>
      </c>
      <c r="B51" s="71">
        <v>6040703</v>
      </c>
      <c r="C51" s="10" t="s">
        <v>170</v>
      </c>
      <c r="D51" s="311"/>
      <c r="E51" s="15" t="s">
        <v>180</v>
      </c>
      <c r="F51" s="16" t="s">
        <v>182</v>
      </c>
      <c r="G51" s="73">
        <f>IFERROR(VLOOKUP($B51,'[1]KPI Promotor'!$G:$K,5,0),0)</f>
        <v>120000000</v>
      </c>
      <c r="H51" s="74">
        <f>SUMIF('[1]SALES BY PROMOTOR'!$D:$D,$F51,'[1]SALES BY PROMOTOR'!$J:$J)</f>
        <v>99883000</v>
      </c>
      <c r="I51" s="75">
        <f t="shared" si="0"/>
        <v>0.83235833333333331</v>
      </c>
      <c r="J51" s="73">
        <f t="shared" si="1"/>
        <v>107017500</v>
      </c>
      <c r="K51" s="76">
        <f t="shared" si="2"/>
        <v>5875470.5882352944</v>
      </c>
      <c r="L51" s="77">
        <f>SUMIF('[1]SALES BY PROMOTOR'!$D:$D,$F51,'[1]SALES BY PROMOTOR'!$G:$G)</f>
        <v>12</v>
      </c>
      <c r="M51" s="77">
        <f>SUMIF('[1]SALES BY PROMOTOR'!$D:$D,$F51,'[1]SALES BY PROMOTOR'!$I:$I)</f>
        <v>17</v>
      </c>
      <c r="N51" s="75">
        <f t="shared" si="3"/>
        <v>0.70588235294117652</v>
      </c>
      <c r="O51" s="78">
        <f>IFERROR(VLOOKUP($F51,'[1]Sales By Promotor Last Month'!D:G,4,0),0)</f>
        <v>6</v>
      </c>
      <c r="P51" s="78">
        <f t="shared" si="4"/>
        <v>12</v>
      </c>
      <c r="Q51" s="79">
        <f t="shared" si="5"/>
        <v>6</v>
      </c>
      <c r="R51" s="80">
        <f t="shared" si="6"/>
        <v>1</v>
      </c>
      <c r="S51" s="78">
        <f>IFERROR(VLOOKUP($F51,'[1]Sales By Promotor Last Month'!D:I,6,0),0)</f>
        <v>10</v>
      </c>
      <c r="T51" s="78">
        <f t="shared" si="7"/>
        <v>17</v>
      </c>
      <c r="U51" s="79">
        <f t="shared" si="8"/>
        <v>7</v>
      </c>
      <c r="V51" s="80">
        <f t="shared" si="9"/>
        <v>0.7</v>
      </c>
      <c r="W51"/>
      <c r="X51"/>
      <c r="Y51"/>
    </row>
    <row r="52" spans="1:25" ht="17" outlineLevel="1" x14ac:dyDescent="0.2">
      <c r="A52" s="11" t="s">
        <v>183</v>
      </c>
      <c r="B52" s="71">
        <v>6050701</v>
      </c>
      <c r="C52" s="10" t="s">
        <v>49</v>
      </c>
      <c r="D52" s="305">
        <v>2</v>
      </c>
      <c r="E52" s="12" t="s">
        <v>184</v>
      </c>
      <c r="F52" s="10" t="s">
        <v>185</v>
      </c>
      <c r="G52" s="73">
        <f>IFERROR(VLOOKUP($B52,'[1]KPI Promotor'!$G:$K,5,0),0)</f>
        <v>140000000</v>
      </c>
      <c r="H52" s="74">
        <f>SUMIF('[1]SALES BY PROMOTOR'!$D:$D,$F52,'[1]SALES BY PROMOTOR'!$J:$J)</f>
        <v>149471000</v>
      </c>
      <c r="I52" s="75">
        <f t="shared" si="0"/>
        <v>1.06765</v>
      </c>
      <c r="J52" s="73">
        <f t="shared" si="1"/>
        <v>160147500</v>
      </c>
      <c r="K52" s="76">
        <f t="shared" si="2"/>
        <v>5154172.4137931038</v>
      </c>
      <c r="L52" s="77">
        <f>SUMIF('[1]SALES BY PROMOTOR'!$D:$D,$F52,'[1]SALES BY PROMOTOR'!$G:$G)</f>
        <v>19</v>
      </c>
      <c r="M52" s="77">
        <f>SUMIF('[1]SALES BY PROMOTOR'!$D:$D,$F52,'[1]SALES BY PROMOTOR'!$I:$I)</f>
        <v>29</v>
      </c>
      <c r="N52" s="75">
        <f t="shared" si="3"/>
        <v>0.65517241379310343</v>
      </c>
      <c r="O52" s="78">
        <f>IFERROR(VLOOKUP($F52,'[1]Sales By Promotor Last Month'!D:G,4,0),0)</f>
        <v>21</v>
      </c>
      <c r="P52" s="78">
        <f t="shared" si="4"/>
        <v>19</v>
      </c>
      <c r="Q52" s="79">
        <f t="shared" si="5"/>
        <v>-2</v>
      </c>
      <c r="R52" s="80">
        <f t="shared" si="6"/>
        <v>-9.5238095238095233E-2</v>
      </c>
      <c r="S52" s="78">
        <f>IFERROR(VLOOKUP($F52,'[1]Sales By Promotor Last Month'!D:I,6,0),0)</f>
        <v>32</v>
      </c>
      <c r="T52" s="78">
        <f t="shared" si="7"/>
        <v>29</v>
      </c>
      <c r="U52" s="79">
        <f t="shared" si="8"/>
        <v>-3</v>
      </c>
      <c r="V52" s="80">
        <f t="shared" si="9"/>
        <v>-9.375E-2</v>
      </c>
      <c r="W52"/>
      <c r="X52"/>
      <c r="Y52"/>
    </row>
    <row r="53" spans="1:25" ht="17" outlineLevel="1" x14ac:dyDescent="0.2">
      <c r="A53" s="11" t="s">
        <v>183</v>
      </c>
      <c r="B53" s="71">
        <v>6050701</v>
      </c>
      <c r="C53" s="10" t="s">
        <v>49</v>
      </c>
      <c r="D53" s="306"/>
      <c r="E53" s="12" t="s">
        <v>184</v>
      </c>
      <c r="F53" s="10" t="s">
        <v>186</v>
      </c>
      <c r="G53" s="73">
        <f>IFERROR(VLOOKUP($B53,'[1]KPI Promotor'!$G:$K,5,0),0)</f>
        <v>140000000</v>
      </c>
      <c r="H53" s="74">
        <f>SUMIF('[1]SALES BY PROMOTOR'!$D:$D,$F53,'[1]SALES BY PROMOTOR'!$J:$J)</f>
        <v>111774000</v>
      </c>
      <c r="I53" s="75">
        <f t="shared" si="0"/>
        <v>0.79838571428571425</v>
      </c>
      <c r="J53" s="73">
        <f t="shared" si="1"/>
        <v>119757857.14285713</v>
      </c>
      <c r="K53" s="76">
        <f t="shared" si="2"/>
        <v>4299000</v>
      </c>
      <c r="L53" s="77">
        <f>SUMIF('[1]SALES BY PROMOTOR'!$D:$D,$F53,'[1]SALES BY PROMOTOR'!$G:$G)</f>
        <v>18</v>
      </c>
      <c r="M53" s="77">
        <f>SUMIF('[1]SALES BY PROMOTOR'!$D:$D,$F53,'[1]SALES BY PROMOTOR'!$I:$I)</f>
        <v>26</v>
      </c>
      <c r="N53" s="75">
        <f t="shared" si="3"/>
        <v>0.69230769230769229</v>
      </c>
      <c r="O53" s="78">
        <f>IFERROR(VLOOKUP($F53,'[1]Sales By Promotor Last Month'!D:G,4,0),0)</f>
        <v>5</v>
      </c>
      <c r="P53" s="78">
        <f t="shared" si="4"/>
        <v>18</v>
      </c>
      <c r="Q53" s="79">
        <f t="shared" si="5"/>
        <v>13</v>
      </c>
      <c r="R53" s="80">
        <f t="shared" si="6"/>
        <v>2.6</v>
      </c>
      <c r="S53" s="78">
        <f>IFERROR(VLOOKUP($F53,'[1]Sales By Promotor Last Month'!D:I,6,0),0)</f>
        <v>11</v>
      </c>
      <c r="T53" s="78">
        <f t="shared" si="7"/>
        <v>26</v>
      </c>
      <c r="U53" s="79">
        <f t="shared" si="8"/>
        <v>15</v>
      </c>
      <c r="V53" s="80">
        <f t="shared" si="9"/>
        <v>1.3636363636363635</v>
      </c>
      <c r="W53"/>
      <c r="X53"/>
      <c r="Y53"/>
    </row>
    <row r="54" spans="1:25" ht="17" outlineLevel="1" x14ac:dyDescent="0.2">
      <c r="A54" s="11" t="s">
        <v>187</v>
      </c>
      <c r="B54" s="71">
        <v>6050705</v>
      </c>
      <c r="C54" s="10" t="s">
        <v>49</v>
      </c>
      <c r="D54" s="306">
        <v>2</v>
      </c>
      <c r="E54" s="12" t="s">
        <v>188</v>
      </c>
      <c r="F54" s="10" t="s">
        <v>189</v>
      </c>
      <c r="G54" s="73">
        <f>IFERROR(VLOOKUP($B54,'[1]KPI Promotor'!$G:$K,5,0),0)</f>
        <v>90000000</v>
      </c>
      <c r="H54" s="74">
        <f>SUMIF('[1]SALES BY PROMOTOR'!$D:$D,$F54,'[1]SALES BY PROMOTOR'!$J:$J)</f>
        <v>86882000</v>
      </c>
      <c r="I54" s="75">
        <f t="shared" si="0"/>
        <v>0.96535555555555552</v>
      </c>
      <c r="J54" s="73">
        <f t="shared" si="1"/>
        <v>93087857.142857134</v>
      </c>
      <c r="K54" s="76">
        <f t="shared" si="2"/>
        <v>4826777.777777778</v>
      </c>
      <c r="L54" s="77">
        <f>SUMIF('[1]SALES BY PROMOTOR'!$D:$D,$F54,'[1]SALES BY PROMOTOR'!$G:$G)</f>
        <v>14</v>
      </c>
      <c r="M54" s="77">
        <f>SUMIF('[1]SALES BY PROMOTOR'!$D:$D,$F54,'[1]SALES BY PROMOTOR'!$I:$I)</f>
        <v>18</v>
      </c>
      <c r="N54" s="75">
        <f t="shared" si="3"/>
        <v>0.77777777777777779</v>
      </c>
      <c r="O54" s="78">
        <f>IFERROR(VLOOKUP($F54,'[1]Sales By Promotor Last Month'!D:G,4,0),0)</f>
        <v>12</v>
      </c>
      <c r="P54" s="78">
        <f t="shared" si="4"/>
        <v>14</v>
      </c>
      <c r="Q54" s="79">
        <f t="shared" si="5"/>
        <v>2</v>
      </c>
      <c r="R54" s="80">
        <f t="shared" si="6"/>
        <v>0.16666666666666666</v>
      </c>
      <c r="S54" s="78">
        <f>IFERROR(VLOOKUP($F54,'[1]Sales By Promotor Last Month'!D:I,6,0),0)</f>
        <v>17</v>
      </c>
      <c r="T54" s="78">
        <f t="shared" si="7"/>
        <v>18</v>
      </c>
      <c r="U54" s="79">
        <f t="shared" si="8"/>
        <v>1</v>
      </c>
      <c r="V54" s="80">
        <f t="shared" si="9"/>
        <v>5.8823529411764705E-2</v>
      </c>
      <c r="W54"/>
      <c r="X54"/>
      <c r="Y54"/>
    </row>
    <row r="55" spans="1:25" ht="17" outlineLevel="1" x14ac:dyDescent="0.2">
      <c r="A55" s="11" t="s">
        <v>187</v>
      </c>
      <c r="B55" s="71">
        <v>6050705</v>
      </c>
      <c r="C55" s="10" t="s">
        <v>49</v>
      </c>
      <c r="D55" s="306"/>
      <c r="E55" s="12" t="s">
        <v>188</v>
      </c>
      <c r="F55" s="10" t="s">
        <v>190</v>
      </c>
      <c r="G55" s="73">
        <f>IFERROR(VLOOKUP($B55,'[1]KPI Promotor'!$G:$K,5,0),0)</f>
        <v>90000000</v>
      </c>
      <c r="H55" s="74">
        <f>SUMIF('[1]SALES BY PROMOTOR'!$D:$D,$F55,'[1]SALES BY PROMOTOR'!$J:$J)</f>
        <v>33492000</v>
      </c>
      <c r="I55" s="75">
        <f t="shared" si="0"/>
        <v>0.37213333333333332</v>
      </c>
      <c r="J55" s="73">
        <f t="shared" si="1"/>
        <v>35884285.714285709</v>
      </c>
      <c r="K55" s="76">
        <f t="shared" si="2"/>
        <v>4186500</v>
      </c>
      <c r="L55" s="77">
        <f>SUMIF('[1]SALES BY PROMOTOR'!$D:$D,$F55,'[1]SALES BY PROMOTOR'!$G:$G)</f>
        <v>4</v>
      </c>
      <c r="M55" s="77">
        <f>SUMIF('[1]SALES BY PROMOTOR'!$D:$D,$F55,'[1]SALES BY PROMOTOR'!$I:$I)</f>
        <v>8</v>
      </c>
      <c r="N55" s="75">
        <f t="shared" si="3"/>
        <v>0.5</v>
      </c>
      <c r="O55" s="78">
        <f>IFERROR(VLOOKUP($F55,'[1]Sales By Promotor Last Month'!D:G,4,0),0)</f>
        <v>3</v>
      </c>
      <c r="P55" s="78">
        <f t="shared" si="4"/>
        <v>4</v>
      </c>
      <c r="Q55" s="79">
        <f t="shared" si="5"/>
        <v>1</v>
      </c>
      <c r="R55" s="80">
        <f t="shared" si="6"/>
        <v>0.33333333333333331</v>
      </c>
      <c r="S55" s="78">
        <f>IFERROR(VLOOKUP($F55,'[1]Sales By Promotor Last Month'!D:I,6,0),0)</f>
        <v>6</v>
      </c>
      <c r="T55" s="78">
        <f t="shared" si="7"/>
        <v>8</v>
      </c>
      <c r="U55" s="79">
        <f t="shared" si="8"/>
        <v>2</v>
      </c>
      <c r="V55" s="80">
        <f t="shared" si="9"/>
        <v>0.33333333333333331</v>
      </c>
      <c r="W55"/>
      <c r="X55"/>
      <c r="Y55"/>
    </row>
    <row r="56" spans="1:25" ht="17" outlineLevel="1" x14ac:dyDescent="0.2">
      <c r="A56" s="11" t="s">
        <v>187</v>
      </c>
      <c r="B56" s="71">
        <v>6050706</v>
      </c>
      <c r="C56" s="10" t="s">
        <v>49</v>
      </c>
      <c r="D56" s="306">
        <v>2</v>
      </c>
      <c r="E56" s="12" t="s">
        <v>191</v>
      </c>
      <c r="F56" s="10" t="s">
        <v>192</v>
      </c>
      <c r="G56" s="73">
        <f>IFERROR(VLOOKUP($B56,'[1]KPI Promotor'!$G:$K,5,0),0)</f>
        <v>0</v>
      </c>
      <c r="H56" s="74">
        <f>SUMIF('[1]SALES BY PROMOTOR'!$D:$D,$F56,'[1]SALES BY PROMOTOR'!$J:$J)</f>
        <v>55288000</v>
      </c>
      <c r="I56" s="75">
        <f t="shared" si="0"/>
        <v>0</v>
      </c>
      <c r="J56" s="73">
        <f t="shared" si="1"/>
        <v>59237142.857142858</v>
      </c>
      <c r="K56" s="76">
        <f t="shared" si="2"/>
        <v>4607333.333333333</v>
      </c>
      <c r="L56" s="77">
        <f>SUMIF('[1]SALES BY PROMOTOR'!$D:$D,$F56,'[1]SALES BY PROMOTOR'!$G:$G)</f>
        <v>8</v>
      </c>
      <c r="M56" s="77">
        <f>SUMIF('[1]SALES BY PROMOTOR'!$D:$D,$F56,'[1]SALES BY PROMOTOR'!$I:$I)</f>
        <v>12</v>
      </c>
      <c r="N56" s="75">
        <f t="shared" si="3"/>
        <v>0.66666666666666663</v>
      </c>
      <c r="O56" s="78">
        <f>IFERROR(VLOOKUP($F56,'[1]Sales By Promotor Last Month'!D:G,4,0),0)</f>
        <v>7</v>
      </c>
      <c r="P56" s="78">
        <f t="shared" si="4"/>
        <v>8</v>
      </c>
      <c r="Q56" s="79">
        <f t="shared" si="5"/>
        <v>1</v>
      </c>
      <c r="R56" s="80">
        <f t="shared" si="6"/>
        <v>0.14285714285714285</v>
      </c>
      <c r="S56" s="78">
        <f>IFERROR(VLOOKUP($F56,'[1]Sales By Promotor Last Month'!D:I,6,0),0)</f>
        <v>23</v>
      </c>
      <c r="T56" s="78">
        <f t="shared" si="7"/>
        <v>12</v>
      </c>
      <c r="U56" s="79">
        <f t="shared" si="8"/>
        <v>-11</v>
      </c>
      <c r="V56" s="80">
        <f t="shared" si="9"/>
        <v>-0.47826086956521741</v>
      </c>
      <c r="W56"/>
      <c r="X56"/>
      <c r="Y56"/>
    </row>
    <row r="57" spans="1:25" ht="17" outlineLevel="1" x14ac:dyDescent="0.2">
      <c r="A57" s="11" t="s">
        <v>187</v>
      </c>
      <c r="B57" s="71">
        <v>6050706</v>
      </c>
      <c r="C57" s="10" t="s">
        <v>49</v>
      </c>
      <c r="D57" s="306"/>
      <c r="E57" s="12" t="s">
        <v>191</v>
      </c>
      <c r="F57" s="10" t="s">
        <v>193</v>
      </c>
      <c r="G57" s="73">
        <f>IFERROR(VLOOKUP($B57,'[1]KPI Promotor'!$G:$K,5,0),0)</f>
        <v>0</v>
      </c>
      <c r="H57" s="74">
        <f>SUMIF('[1]SALES BY PROMOTOR'!$D:$D,$F57,'[1]SALES BY PROMOTOR'!$J:$J)</f>
        <v>63587000</v>
      </c>
      <c r="I57" s="75">
        <f t="shared" si="0"/>
        <v>0</v>
      </c>
      <c r="J57" s="73">
        <f t="shared" si="1"/>
        <v>68128928.571428582</v>
      </c>
      <c r="K57" s="76">
        <f t="shared" si="2"/>
        <v>4891307.692307692</v>
      </c>
      <c r="L57" s="77">
        <f>SUMIF('[1]SALES BY PROMOTOR'!$D:$D,$F57,'[1]SALES BY PROMOTOR'!$G:$G)</f>
        <v>9</v>
      </c>
      <c r="M57" s="77">
        <f>SUMIF('[1]SALES BY PROMOTOR'!$D:$D,$F57,'[1]SALES BY PROMOTOR'!$I:$I)</f>
        <v>13</v>
      </c>
      <c r="N57" s="75">
        <f t="shared" si="3"/>
        <v>0.69230769230769229</v>
      </c>
      <c r="O57" s="78">
        <f>IFERROR(VLOOKUP($F57,'[1]Sales By Promotor Last Month'!D:G,4,0),0)</f>
        <v>5</v>
      </c>
      <c r="P57" s="78">
        <f t="shared" si="4"/>
        <v>9</v>
      </c>
      <c r="Q57" s="79">
        <f t="shared" si="5"/>
        <v>4</v>
      </c>
      <c r="R57" s="80">
        <f t="shared" si="6"/>
        <v>0.8</v>
      </c>
      <c r="S57" s="78">
        <f>IFERROR(VLOOKUP($F57,'[1]Sales By Promotor Last Month'!D:I,6,0),0)</f>
        <v>11</v>
      </c>
      <c r="T57" s="78">
        <f t="shared" si="7"/>
        <v>13</v>
      </c>
      <c r="U57" s="79">
        <f t="shared" si="8"/>
        <v>2</v>
      </c>
      <c r="V57" s="80">
        <f t="shared" si="9"/>
        <v>0.18181818181818182</v>
      </c>
      <c r="W57"/>
      <c r="X57"/>
      <c r="Y57"/>
    </row>
    <row r="58" spans="1:25" ht="17" outlineLevel="1" x14ac:dyDescent="0.2">
      <c r="A58" s="11" t="s">
        <v>187</v>
      </c>
      <c r="B58" s="71">
        <v>6220701</v>
      </c>
      <c r="C58" s="10" t="s">
        <v>49</v>
      </c>
      <c r="D58" s="306">
        <v>2</v>
      </c>
      <c r="E58" s="12" t="s">
        <v>194</v>
      </c>
      <c r="F58" s="10" t="s">
        <v>195</v>
      </c>
      <c r="G58" s="73">
        <f>IFERROR(VLOOKUP($B58,'[1]KPI Promotor'!$G:$K,5,0),0)</f>
        <v>140000000</v>
      </c>
      <c r="H58" s="74">
        <f>SUMIF('[1]SALES BY PROMOTOR'!$D:$D,$F58,'[1]SALES BY PROMOTOR'!$J:$J)</f>
        <v>158867000</v>
      </c>
      <c r="I58" s="75">
        <f t="shared" si="0"/>
        <v>1.1347642857142857</v>
      </c>
      <c r="J58" s="73">
        <f t="shared" si="1"/>
        <v>170214642.85714284</v>
      </c>
      <c r="K58" s="76">
        <f t="shared" si="2"/>
        <v>4814151.5151515156</v>
      </c>
      <c r="L58" s="77">
        <f>SUMIF('[1]SALES BY PROMOTOR'!$D:$D,$F58,'[1]SALES BY PROMOTOR'!$G:$G)</f>
        <v>21</v>
      </c>
      <c r="M58" s="77">
        <f>SUMIF('[1]SALES BY PROMOTOR'!$D:$D,$F58,'[1]SALES BY PROMOTOR'!$I:$I)</f>
        <v>33</v>
      </c>
      <c r="N58" s="75">
        <f t="shared" si="3"/>
        <v>0.63636363636363635</v>
      </c>
      <c r="O58" s="78">
        <f>IFERROR(VLOOKUP($F58,'[1]Sales By Promotor Last Month'!D:G,4,0),0)</f>
        <v>16</v>
      </c>
      <c r="P58" s="78">
        <f t="shared" si="4"/>
        <v>21</v>
      </c>
      <c r="Q58" s="79">
        <f t="shared" si="5"/>
        <v>5</v>
      </c>
      <c r="R58" s="80">
        <f t="shared" si="6"/>
        <v>0.3125</v>
      </c>
      <c r="S58" s="78">
        <f>IFERROR(VLOOKUP($F58,'[1]Sales By Promotor Last Month'!D:I,6,0),0)</f>
        <v>35</v>
      </c>
      <c r="T58" s="78">
        <f t="shared" si="7"/>
        <v>33</v>
      </c>
      <c r="U58" s="79">
        <f t="shared" si="8"/>
        <v>-2</v>
      </c>
      <c r="V58" s="80">
        <f t="shared" si="9"/>
        <v>-5.7142857142857141E-2</v>
      </c>
      <c r="W58"/>
      <c r="X58"/>
      <c r="Y58"/>
    </row>
    <row r="59" spans="1:25" ht="17" outlineLevel="1" x14ac:dyDescent="0.2">
      <c r="A59" s="11" t="s">
        <v>187</v>
      </c>
      <c r="B59" s="71">
        <v>6220701</v>
      </c>
      <c r="C59" s="10" t="s">
        <v>49</v>
      </c>
      <c r="D59" s="307"/>
      <c r="E59" s="12" t="s">
        <v>194</v>
      </c>
      <c r="F59" s="10" t="s">
        <v>196</v>
      </c>
      <c r="G59" s="73">
        <f>IFERROR(VLOOKUP($B59,'[1]KPI Promotor'!$G:$K,5,0),0)</f>
        <v>140000000</v>
      </c>
      <c r="H59" s="74">
        <f>SUMIF('[1]SALES BY PROMOTOR'!$D:$D,$F59,'[1]SALES BY PROMOTOR'!$J:$J)</f>
        <v>135968000</v>
      </c>
      <c r="I59" s="75">
        <f t="shared" si="0"/>
        <v>0.97119999999999995</v>
      </c>
      <c r="J59" s="73">
        <f t="shared" si="1"/>
        <v>145680000</v>
      </c>
      <c r="K59" s="76">
        <f t="shared" si="2"/>
        <v>4249000</v>
      </c>
      <c r="L59" s="77">
        <f>SUMIF('[1]SALES BY PROMOTOR'!$D:$D,$F59,'[1]SALES BY PROMOTOR'!$G:$G)</f>
        <v>20</v>
      </c>
      <c r="M59" s="77">
        <f>SUMIF('[1]SALES BY PROMOTOR'!$D:$D,$F59,'[1]SALES BY PROMOTOR'!$I:$I)</f>
        <v>32</v>
      </c>
      <c r="N59" s="75">
        <f t="shared" si="3"/>
        <v>0.625</v>
      </c>
      <c r="O59" s="78">
        <f>IFERROR(VLOOKUP($F59,'[1]Sales By Promotor Last Month'!D:G,4,0),0)</f>
        <v>11</v>
      </c>
      <c r="P59" s="78">
        <f t="shared" si="4"/>
        <v>20</v>
      </c>
      <c r="Q59" s="79">
        <f t="shared" si="5"/>
        <v>9</v>
      </c>
      <c r="R59" s="80">
        <f t="shared" si="6"/>
        <v>0.81818181818181823</v>
      </c>
      <c r="S59" s="78">
        <f>IFERROR(VLOOKUP($F59,'[1]Sales By Promotor Last Month'!D:I,6,0),0)</f>
        <v>31</v>
      </c>
      <c r="T59" s="78">
        <f t="shared" si="7"/>
        <v>32</v>
      </c>
      <c r="U59" s="79">
        <f t="shared" si="8"/>
        <v>1</v>
      </c>
      <c r="V59" s="80">
        <f t="shared" si="9"/>
        <v>3.2258064516129031E-2</v>
      </c>
      <c r="W59"/>
      <c r="X59"/>
      <c r="Y59"/>
    </row>
    <row r="60" spans="1:25" ht="17" outlineLevel="1" x14ac:dyDescent="0.2">
      <c r="A60" s="11" t="s">
        <v>197</v>
      </c>
      <c r="B60" s="71">
        <v>6100702</v>
      </c>
      <c r="C60" s="10" t="s">
        <v>61</v>
      </c>
      <c r="D60" s="81">
        <v>1</v>
      </c>
      <c r="E60" s="12" t="s">
        <v>198</v>
      </c>
      <c r="F60" s="17" t="s">
        <v>199</v>
      </c>
      <c r="G60" s="73">
        <f>IFERROR(VLOOKUP($B60,'[1]KPI Promotor'!$G:$K,5,0),0)</f>
        <v>90000000</v>
      </c>
      <c r="H60" s="74">
        <f>SUMIF('[1]SALES BY PROMOTOR'!$D:$D,$F60,'[1]SALES BY PROMOTOR'!$J:$J)</f>
        <v>0</v>
      </c>
      <c r="I60" s="75">
        <f t="shared" si="0"/>
        <v>0</v>
      </c>
      <c r="J60" s="73">
        <f t="shared" si="1"/>
        <v>0</v>
      </c>
      <c r="K60" s="76">
        <f t="shared" si="2"/>
        <v>0</v>
      </c>
      <c r="L60" s="77">
        <f>SUMIF('[1]SALES BY PROMOTOR'!$D:$D,$F60,'[1]SALES BY PROMOTOR'!$G:$G)</f>
        <v>0</v>
      </c>
      <c r="M60" s="77">
        <f>SUMIF('[1]SALES BY PROMOTOR'!$D:$D,$F60,'[1]SALES BY PROMOTOR'!$I:$I)</f>
        <v>0</v>
      </c>
      <c r="N60" s="75">
        <f t="shared" si="3"/>
        <v>0</v>
      </c>
      <c r="O60" s="78">
        <f>IFERROR(VLOOKUP($F60,'[1]Sales By Promotor Last Month'!D:G,4,0),0)</f>
        <v>18</v>
      </c>
      <c r="P60" s="78">
        <f t="shared" si="4"/>
        <v>0</v>
      </c>
      <c r="Q60" s="79">
        <f t="shared" si="5"/>
        <v>-18</v>
      </c>
      <c r="R60" s="80">
        <f t="shared" si="6"/>
        <v>-1</v>
      </c>
      <c r="S60" s="78">
        <f>IFERROR(VLOOKUP($F60,'[1]Sales By Promotor Last Month'!D:I,6,0),0)</f>
        <v>27</v>
      </c>
      <c r="T60" s="78">
        <f t="shared" si="7"/>
        <v>0</v>
      </c>
      <c r="U60" s="79">
        <f t="shared" si="8"/>
        <v>-27</v>
      </c>
      <c r="V60" s="80">
        <f t="shared" si="9"/>
        <v>-1</v>
      </c>
      <c r="W60"/>
      <c r="X60"/>
      <c r="Y60"/>
    </row>
    <row r="61" spans="1:25" ht="17" outlineLevel="1" x14ac:dyDescent="0.2">
      <c r="A61" s="84" t="s">
        <v>62</v>
      </c>
      <c r="B61" s="71">
        <v>6130702</v>
      </c>
      <c r="C61" s="85" t="s">
        <v>63</v>
      </c>
      <c r="D61" s="306">
        <v>2</v>
      </c>
      <c r="E61" s="12" t="s">
        <v>200</v>
      </c>
      <c r="F61" s="10" t="s">
        <v>201</v>
      </c>
      <c r="G61" s="73">
        <f>IFERROR(VLOOKUP($B61,'[1]KPI Promotor'!$G:$K,5,0),0)</f>
        <v>170000000</v>
      </c>
      <c r="H61" s="74">
        <f>SUMIF('[1]SALES BY PROMOTOR'!$D:$D,$F61,'[1]SALES BY PROMOTOR'!$J:$J)</f>
        <v>36988000</v>
      </c>
      <c r="I61" s="75">
        <f t="shared" si="0"/>
        <v>0.21757647058823529</v>
      </c>
      <c r="J61" s="73">
        <f t="shared" si="1"/>
        <v>39630000</v>
      </c>
      <c r="K61" s="76">
        <f t="shared" si="2"/>
        <v>3082333.3333333335</v>
      </c>
      <c r="L61" s="77">
        <f>SUMIF('[1]SALES BY PROMOTOR'!$D:$D,$F61,'[1]SALES BY PROMOTOR'!$G:$G)</f>
        <v>4</v>
      </c>
      <c r="M61" s="77">
        <f>SUMIF('[1]SALES BY PROMOTOR'!$D:$D,$F61,'[1]SALES BY PROMOTOR'!$I:$I)</f>
        <v>12</v>
      </c>
      <c r="N61" s="75">
        <f t="shared" si="3"/>
        <v>0.33333333333333331</v>
      </c>
      <c r="O61" s="78">
        <f>IFERROR(VLOOKUP($F61,'[1]Sales By Promotor Last Month'!D:G,4,0),0)</f>
        <v>15</v>
      </c>
      <c r="P61" s="78">
        <f t="shared" si="4"/>
        <v>4</v>
      </c>
      <c r="Q61" s="79">
        <f t="shared" si="5"/>
        <v>-11</v>
      </c>
      <c r="R61" s="80">
        <f t="shared" si="6"/>
        <v>-0.73333333333333328</v>
      </c>
      <c r="S61" s="78">
        <f>IFERROR(VLOOKUP($F61,'[1]Sales By Promotor Last Month'!D:I,6,0),0)</f>
        <v>30</v>
      </c>
      <c r="T61" s="78">
        <f t="shared" si="7"/>
        <v>12</v>
      </c>
      <c r="U61" s="79">
        <f t="shared" si="8"/>
        <v>-18</v>
      </c>
      <c r="V61" s="80">
        <f t="shared" si="9"/>
        <v>-0.6</v>
      </c>
      <c r="W61"/>
      <c r="X61"/>
      <c r="Y61"/>
    </row>
    <row r="62" spans="1:25" ht="17" outlineLevel="1" x14ac:dyDescent="0.2">
      <c r="A62" s="84" t="s">
        <v>62</v>
      </c>
      <c r="B62" s="71">
        <v>6130702</v>
      </c>
      <c r="C62" s="85" t="s">
        <v>63</v>
      </c>
      <c r="D62" s="306"/>
      <c r="E62" s="12" t="s">
        <v>200</v>
      </c>
      <c r="F62" s="10" t="s">
        <v>202</v>
      </c>
      <c r="G62" s="73">
        <f>IFERROR(VLOOKUP($B62,'[1]KPI Promotor'!$G:$K,5,0),0)</f>
        <v>170000000</v>
      </c>
      <c r="H62" s="74">
        <f>SUMIF('[1]SALES BY PROMOTOR'!$D:$D,$F62,'[1]SALES BY PROMOTOR'!$J:$J)</f>
        <v>144670000</v>
      </c>
      <c r="I62" s="75">
        <f t="shared" si="0"/>
        <v>0.85099999999999998</v>
      </c>
      <c r="J62" s="73">
        <f t="shared" si="1"/>
        <v>155003571.42857143</v>
      </c>
      <c r="K62" s="76">
        <f t="shared" si="2"/>
        <v>4822333.333333333</v>
      </c>
      <c r="L62" s="77">
        <f>SUMIF('[1]SALES BY PROMOTOR'!$D:$D,$F62,'[1]SALES BY PROMOTOR'!$G:$G)</f>
        <v>18</v>
      </c>
      <c r="M62" s="77">
        <f>SUMIF('[1]SALES BY PROMOTOR'!$D:$D,$F62,'[1]SALES BY PROMOTOR'!$I:$I)</f>
        <v>30</v>
      </c>
      <c r="N62" s="75">
        <f t="shared" si="3"/>
        <v>0.6</v>
      </c>
      <c r="O62" s="78">
        <f>IFERROR(VLOOKUP($F62,'[1]Sales By Promotor Last Month'!D:G,4,0),0)</f>
        <v>15</v>
      </c>
      <c r="P62" s="78">
        <f t="shared" si="4"/>
        <v>18</v>
      </c>
      <c r="Q62" s="79">
        <f t="shared" si="5"/>
        <v>3</v>
      </c>
      <c r="R62" s="80">
        <f t="shared" si="6"/>
        <v>0.2</v>
      </c>
      <c r="S62" s="78">
        <f>IFERROR(VLOOKUP($F62,'[1]Sales By Promotor Last Month'!D:I,6,0),0)</f>
        <v>30</v>
      </c>
      <c r="T62" s="78">
        <f t="shared" si="7"/>
        <v>30</v>
      </c>
      <c r="U62" s="79">
        <f t="shared" si="8"/>
        <v>0</v>
      </c>
      <c r="V62" s="80">
        <f t="shared" si="9"/>
        <v>0</v>
      </c>
      <c r="W62"/>
      <c r="X62"/>
      <c r="Y62"/>
    </row>
    <row r="63" spans="1:25" ht="17" outlineLevel="1" x14ac:dyDescent="0.2">
      <c r="A63" s="11" t="s">
        <v>203</v>
      </c>
      <c r="B63" s="71">
        <v>6140705</v>
      </c>
      <c r="C63" s="85" t="s">
        <v>66</v>
      </c>
      <c r="D63" s="306">
        <v>4</v>
      </c>
      <c r="E63" s="18" t="s">
        <v>204</v>
      </c>
      <c r="F63" s="10" t="s">
        <v>205</v>
      </c>
      <c r="G63" s="73">
        <f>IFERROR(VLOOKUP($B63,'[1]KPI Promotor'!$G:$K,5,0),0)</f>
        <v>120000000</v>
      </c>
      <c r="H63" s="74">
        <f>SUMIF('[1]SALES BY PROMOTOR'!$D:$D,$F63,'[1]SALES BY PROMOTOR'!$J:$J)</f>
        <v>25394000</v>
      </c>
      <c r="I63" s="75">
        <f t="shared" si="0"/>
        <v>0.21161666666666668</v>
      </c>
      <c r="J63" s="73">
        <f t="shared" si="1"/>
        <v>27207857.142857146</v>
      </c>
      <c r="K63" s="76">
        <f t="shared" si="2"/>
        <v>4232333.333333333</v>
      </c>
      <c r="L63" s="77">
        <f>SUMIF('[1]SALES BY PROMOTOR'!$D:$D,$F63,'[1]SALES BY PROMOTOR'!$G:$G)</f>
        <v>3</v>
      </c>
      <c r="M63" s="77">
        <f>SUMIF('[1]SALES BY PROMOTOR'!$D:$D,$F63,'[1]SALES BY PROMOTOR'!$I:$I)</f>
        <v>6</v>
      </c>
      <c r="N63" s="75">
        <f t="shared" si="3"/>
        <v>0.5</v>
      </c>
      <c r="O63" s="78">
        <f>IFERROR(VLOOKUP($F63,'[1]Sales By Promotor Last Month'!D:G,4,0),0)</f>
        <v>1</v>
      </c>
      <c r="P63" s="78">
        <f t="shared" si="4"/>
        <v>3</v>
      </c>
      <c r="Q63" s="79">
        <f t="shared" si="5"/>
        <v>2</v>
      </c>
      <c r="R63" s="80">
        <f t="shared" si="6"/>
        <v>2</v>
      </c>
      <c r="S63" s="78">
        <f>IFERROR(VLOOKUP($F63,'[1]Sales By Promotor Last Month'!D:I,6,0),0)</f>
        <v>1</v>
      </c>
      <c r="T63" s="78">
        <f t="shared" si="7"/>
        <v>6</v>
      </c>
      <c r="U63" s="79">
        <f t="shared" si="8"/>
        <v>5</v>
      </c>
      <c r="V63" s="80">
        <f t="shared" si="9"/>
        <v>5</v>
      </c>
      <c r="W63"/>
      <c r="X63"/>
      <c r="Y63"/>
    </row>
    <row r="64" spans="1:25" ht="17" outlineLevel="1" x14ac:dyDescent="0.2">
      <c r="A64" s="11" t="s">
        <v>203</v>
      </c>
      <c r="B64" s="71">
        <v>6140705</v>
      </c>
      <c r="C64" s="10" t="s">
        <v>66</v>
      </c>
      <c r="D64" s="306"/>
      <c r="E64" s="18" t="s">
        <v>204</v>
      </c>
      <c r="F64" s="10" t="s">
        <v>206</v>
      </c>
      <c r="G64" s="73">
        <f>IFERROR(VLOOKUP($B64,'[1]KPI Promotor'!$G:$K,5,0),0)</f>
        <v>120000000</v>
      </c>
      <c r="H64" s="74">
        <f>SUMIF('[1]SALES BY PROMOTOR'!$D:$D,$F64,'[1]SALES BY PROMOTOR'!$J:$J)</f>
        <v>0</v>
      </c>
      <c r="I64" s="75">
        <f t="shared" si="0"/>
        <v>0</v>
      </c>
      <c r="J64" s="73">
        <f t="shared" si="1"/>
        <v>0</v>
      </c>
      <c r="K64" s="76">
        <f t="shared" si="2"/>
        <v>0</v>
      </c>
      <c r="L64" s="77">
        <f>SUMIF('[1]SALES BY PROMOTOR'!$D:$D,$F64,'[1]SALES BY PROMOTOR'!$G:$G)</f>
        <v>0</v>
      </c>
      <c r="M64" s="77">
        <f>SUMIF('[1]SALES BY PROMOTOR'!$D:$D,$F64,'[1]SALES BY PROMOTOR'!$I:$I)</f>
        <v>0</v>
      </c>
      <c r="N64" s="75">
        <f t="shared" si="3"/>
        <v>0</v>
      </c>
      <c r="O64" s="78">
        <f>IFERROR(VLOOKUP($F64,'[1]Sales By Promotor Last Month'!D:G,4,0),0)</f>
        <v>1</v>
      </c>
      <c r="P64" s="78">
        <f t="shared" si="4"/>
        <v>0</v>
      </c>
      <c r="Q64" s="79">
        <f t="shared" si="5"/>
        <v>-1</v>
      </c>
      <c r="R64" s="80">
        <f t="shared" si="6"/>
        <v>-1</v>
      </c>
      <c r="S64" s="78">
        <f>IFERROR(VLOOKUP($F64,'[1]Sales By Promotor Last Month'!D:I,6,0),0)</f>
        <v>1</v>
      </c>
      <c r="T64" s="78">
        <f t="shared" si="7"/>
        <v>0</v>
      </c>
      <c r="U64" s="79">
        <f t="shared" si="8"/>
        <v>-1</v>
      </c>
      <c r="V64" s="80">
        <f t="shared" si="9"/>
        <v>-1</v>
      </c>
      <c r="W64"/>
      <c r="X64"/>
      <c r="Y64"/>
    </row>
    <row r="65" spans="1:25" ht="17" outlineLevel="1" x14ac:dyDescent="0.2">
      <c r="A65" s="11" t="s">
        <v>203</v>
      </c>
      <c r="B65" s="71">
        <v>6140705</v>
      </c>
      <c r="C65" s="10" t="s">
        <v>66</v>
      </c>
      <c r="D65" s="306"/>
      <c r="E65" s="18" t="s">
        <v>204</v>
      </c>
      <c r="F65" s="17" t="s">
        <v>207</v>
      </c>
      <c r="G65" s="73">
        <f>IFERROR(VLOOKUP($B65,'[1]KPI Promotor'!$G:$K,5,0),0)</f>
        <v>120000000</v>
      </c>
      <c r="H65" s="74">
        <f>SUMIF('[1]SALES BY PROMOTOR'!$D:$D,$F65,'[1]SALES BY PROMOTOR'!$J:$J)</f>
        <v>26896000</v>
      </c>
      <c r="I65" s="75">
        <f t="shared" si="0"/>
        <v>0.22413333333333332</v>
      </c>
      <c r="J65" s="73">
        <f t="shared" si="1"/>
        <v>28817142.857142854</v>
      </c>
      <c r="K65" s="76">
        <f t="shared" si="2"/>
        <v>6724000</v>
      </c>
      <c r="L65" s="77">
        <f>SUMIF('[1]SALES BY PROMOTOR'!$D:$D,$F65,'[1]SALES BY PROMOTOR'!$G:$G)</f>
        <v>3</v>
      </c>
      <c r="M65" s="77">
        <f>SUMIF('[1]SALES BY PROMOTOR'!$D:$D,$F65,'[1]SALES BY PROMOTOR'!$I:$I)</f>
        <v>4</v>
      </c>
      <c r="N65" s="75">
        <f t="shared" si="3"/>
        <v>0.75</v>
      </c>
      <c r="O65" s="78">
        <f>IFERROR(VLOOKUP($F65,'[1]Sales By Promotor Last Month'!D:G,4,0),0)</f>
        <v>19</v>
      </c>
      <c r="P65" s="78">
        <f t="shared" si="4"/>
        <v>3</v>
      </c>
      <c r="Q65" s="79">
        <f t="shared" si="5"/>
        <v>-16</v>
      </c>
      <c r="R65" s="80">
        <f t="shared" si="6"/>
        <v>-0.84210526315789469</v>
      </c>
      <c r="S65" s="78">
        <f>IFERROR(VLOOKUP($F65,'[1]Sales By Promotor Last Month'!D:I,6,0),0)</f>
        <v>29</v>
      </c>
      <c r="T65" s="78">
        <f t="shared" si="7"/>
        <v>4</v>
      </c>
      <c r="U65" s="79">
        <f t="shared" si="8"/>
        <v>-25</v>
      </c>
      <c r="V65" s="80">
        <f t="shared" si="9"/>
        <v>-0.86206896551724133</v>
      </c>
      <c r="W65"/>
      <c r="X65"/>
      <c r="Y65"/>
    </row>
    <row r="66" spans="1:25" ht="17" outlineLevel="1" x14ac:dyDescent="0.2">
      <c r="A66" s="11" t="s">
        <v>203</v>
      </c>
      <c r="B66" s="71">
        <v>6140705</v>
      </c>
      <c r="C66" s="10" t="s">
        <v>66</v>
      </c>
      <c r="D66" s="306"/>
      <c r="E66" s="18" t="s">
        <v>204</v>
      </c>
      <c r="F66" s="17" t="s">
        <v>66</v>
      </c>
      <c r="G66" s="73">
        <f>IFERROR(VLOOKUP($B66,'[1]KPI Promotor'!$G:$K,5,0),0)</f>
        <v>120000000</v>
      </c>
      <c r="H66" s="74">
        <f>SUMIF('[1]SALES BY PROMOTOR'!$D:$D,$F66,'[1]SALES BY PROMOTOR'!$J:$J)</f>
        <v>115881000</v>
      </c>
      <c r="I66" s="75">
        <f t="shared" si="0"/>
        <v>0.96567499999999995</v>
      </c>
      <c r="J66" s="73">
        <f t="shared" si="1"/>
        <v>124158214.28571428</v>
      </c>
      <c r="K66" s="76">
        <f t="shared" si="2"/>
        <v>6099000</v>
      </c>
      <c r="L66" s="77">
        <f>SUMIF('[1]SALES BY PROMOTOR'!$D:$D,$F66,'[1]SALES BY PROMOTOR'!$G:$G)</f>
        <v>10</v>
      </c>
      <c r="M66" s="77">
        <f>SUMIF('[1]SALES BY PROMOTOR'!$D:$D,$F66,'[1]SALES BY PROMOTOR'!$I:$I)</f>
        <v>19</v>
      </c>
      <c r="N66" s="75">
        <f t="shared" si="3"/>
        <v>0.52631578947368418</v>
      </c>
      <c r="O66" s="78">
        <f>IFERROR(VLOOKUP($F66,'[1]Sales By Promotor Last Month'!D:G,4,0),0)</f>
        <v>0</v>
      </c>
      <c r="P66" s="78">
        <f t="shared" si="4"/>
        <v>10</v>
      </c>
      <c r="Q66" s="79">
        <f t="shared" si="5"/>
        <v>10</v>
      </c>
      <c r="R66" s="80">
        <f t="shared" si="6"/>
        <v>0</v>
      </c>
      <c r="S66" s="78">
        <f>IFERROR(VLOOKUP($F66,'[1]Sales By Promotor Last Month'!D:I,6,0),0)</f>
        <v>0</v>
      </c>
      <c r="T66" s="78">
        <f t="shared" si="7"/>
        <v>19</v>
      </c>
      <c r="U66" s="79">
        <f t="shared" si="8"/>
        <v>19</v>
      </c>
      <c r="V66" s="80">
        <f t="shared" si="9"/>
        <v>0</v>
      </c>
      <c r="W66"/>
      <c r="X66"/>
      <c r="Y66"/>
    </row>
    <row r="67" spans="1:25" ht="17" outlineLevel="1" x14ac:dyDescent="0.2">
      <c r="A67" s="11" t="s">
        <v>203</v>
      </c>
      <c r="B67" s="71">
        <v>6140705</v>
      </c>
      <c r="C67" s="10" t="s">
        <v>66</v>
      </c>
      <c r="D67" s="306"/>
      <c r="E67" s="18" t="s">
        <v>204</v>
      </c>
      <c r="F67" s="17" t="s">
        <v>208</v>
      </c>
      <c r="G67" s="73">
        <f>IFERROR(VLOOKUP($B67,'[1]KPI Promotor'!$G:$K,5,0),0)</f>
        <v>120000000</v>
      </c>
      <c r="H67" s="74">
        <f>SUMIF('[1]SALES BY PROMOTOR'!$D:$D,$F67,'[1]SALES BY PROMOTOR'!$J:$J)</f>
        <v>161477000</v>
      </c>
      <c r="I67" s="75">
        <f t="shared" si="0"/>
        <v>1.3456416666666666</v>
      </c>
      <c r="J67" s="73">
        <f t="shared" si="1"/>
        <v>173011071.42857143</v>
      </c>
      <c r="K67" s="76">
        <f t="shared" si="2"/>
        <v>7020739.1304347822</v>
      </c>
      <c r="L67" s="77">
        <f>SUMIF('[1]SALES BY PROMOTOR'!$D:$D,$F67,'[1]SALES BY PROMOTOR'!$G:$G)</f>
        <v>22</v>
      </c>
      <c r="M67" s="77">
        <f>SUMIF('[1]SALES BY PROMOTOR'!$D:$D,$F67,'[1]SALES BY PROMOTOR'!$I:$I)</f>
        <v>23</v>
      </c>
      <c r="N67" s="75">
        <f t="shared" si="3"/>
        <v>0.95652173913043481</v>
      </c>
      <c r="O67" s="78">
        <f>IFERROR(VLOOKUP($F67,'[1]Sales By Promotor Last Month'!D:G,4,0),0)</f>
        <v>1</v>
      </c>
      <c r="P67" s="78">
        <f t="shared" si="4"/>
        <v>22</v>
      </c>
      <c r="Q67" s="79">
        <f t="shared" si="5"/>
        <v>21</v>
      </c>
      <c r="R67" s="80">
        <f t="shared" si="6"/>
        <v>21</v>
      </c>
      <c r="S67" s="78">
        <f>IFERROR(VLOOKUP($F67,'[1]Sales By Promotor Last Month'!D:I,6,0),0)</f>
        <v>2</v>
      </c>
      <c r="T67" s="78">
        <f t="shared" si="7"/>
        <v>23</v>
      </c>
      <c r="U67" s="79">
        <f t="shared" si="8"/>
        <v>21</v>
      </c>
      <c r="V67" s="80">
        <f t="shared" si="9"/>
        <v>10.5</v>
      </c>
      <c r="W67"/>
      <c r="X67"/>
      <c r="Y67"/>
    </row>
    <row r="68" spans="1:25" ht="17" outlineLevel="1" x14ac:dyDescent="0.2">
      <c r="A68" s="11" t="s">
        <v>203</v>
      </c>
      <c r="B68" s="71">
        <v>6140706</v>
      </c>
      <c r="C68" s="85" t="s">
        <v>209</v>
      </c>
      <c r="D68" s="306">
        <v>3</v>
      </c>
      <c r="E68" s="18" t="s">
        <v>210</v>
      </c>
      <c r="F68" s="17" t="s">
        <v>211</v>
      </c>
      <c r="G68" s="73">
        <f>IFERROR(VLOOKUP($B68,'[1]KPI Promotor'!$G:$K,5,0),0)</f>
        <v>0</v>
      </c>
      <c r="H68" s="74">
        <f>SUMIF('[1]SALES BY PROMOTOR'!$D:$D,$F68,'[1]SALES BY PROMOTOR'!$J:$J)</f>
        <v>144180000</v>
      </c>
      <c r="I68" s="75">
        <f t="shared" si="0"/>
        <v>0</v>
      </c>
      <c r="J68" s="73">
        <f t="shared" si="1"/>
        <v>154478571.42857143</v>
      </c>
      <c r="K68" s="76">
        <f t="shared" si="2"/>
        <v>7209000</v>
      </c>
      <c r="L68" s="77">
        <f>SUMIF('[1]SALES BY PROMOTOR'!$D:$D,$F68,'[1]SALES BY PROMOTOR'!$G:$G)</f>
        <v>20</v>
      </c>
      <c r="M68" s="77">
        <f>SUMIF('[1]SALES BY PROMOTOR'!$D:$D,$F68,'[1]SALES BY PROMOTOR'!$I:$I)</f>
        <v>20</v>
      </c>
      <c r="N68" s="75">
        <f t="shared" si="3"/>
        <v>1</v>
      </c>
      <c r="O68" s="78">
        <f>IFERROR(VLOOKUP($F68,'[1]Sales By Promotor Last Month'!D:G,4,0),0)</f>
        <v>1</v>
      </c>
      <c r="P68" s="78">
        <f t="shared" si="4"/>
        <v>20</v>
      </c>
      <c r="Q68" s="79">
        <f t="shared" si="5"/>
        <v>19</v>
      </c>
      <c r="R68" s="80">
        <f t="shared" si="6"/>
        <v>19</v>
      </c>
      <c r="S68" s="78">
        <f>IFERROR(VLOOKUP($F68,'[1]Sales By Promotor Last Month'!D:I,6,0),0)</f>
        <v>2</v>
      </c>
      <c r="T68" s="78">
        <f t="shared" si="7"/>
        <v>20</v>
      </c>
      <c r="U68" s="79">
        <f t="shared" si="8"/>
        <v>18</v>
      </c>
      <c r="V68" s="80">
        <f t="shared" si="9"/>
        <v>9</v>
      </c>
      <c r="W68"/>
      <c r="X68"/>
      <c r="Y68"/>
    </row>
    <row r="69" spans="1:25" ht="17" outlineLevel="1" x14ac:dyDescent="0.2">
      <c r="A69" s="11" t="s">
        <v>203</v>
      </c>
      <c r="B69" s="71">
        <v>6140706</v>
      </c>
      <c r="C69" s="85" t="s">
        <v>209</v>
      </c>
      <c r="D69" s="306"/>
      <c r="E69" s="18" t="s">
        <v>210</v>
      </c>
      <c r="F69" s="17" t="s">
        <v>212</v>
      </c>
      <c r="G69" s="73">
        <f>IFERROR(VLOOKUP($B69,'[1]KPI Promotor'!$G:$K,5,0),0)</f>
        <v>0</v>
      </c>
      <c r="H69" s="74">
        <f>SUMIF('[1]SALES BY PROMOTOR'!$D:$D,$F69,'[1]SALES BY PROMOTOR'!$J:$J)</f>
        <v>33194000</v>
      </c>
      <c r="I69" s="75">
        <f t="shared" si="0"/>
        <v>0</v>
      </c>
      <c r="J69" s="73">
        <f t="shared" si="1"/>
        <v>35565000</v>
      </c>
      <c r="K69" s="76">
        <f t="shared" si="2"/>
        <v>5532333.333333333</v>
      </c>
      <c r="L69" s="77">
        <f>SUMIF('[1]SALES BY PROMOTOR'!$D:$D,$F69,'[1]SALES BY PROMOTOR'!$G:$G)</f>
        <v>5</v>
      </c>
      <c r="M69" s="77">
        <f>SUMIF('[1]SALES BY PROMOTOR'!$D:$D,$F69,'[1]SALES BY PROMOTOR'!$I:$I)</f>
        <v>6</v>
      </c>
      <c r="N69" s="75">
        <f t="shared" si="3"/>
        <v>0.83333333333333337</v>
      </c>
      <c r="O69" s="78">
        <f>IFERROR(VLOOKUP($F69,'[1]Sales By Promotor Last Month'!D:G,4,0),0)</f>
        <v>10</v>
      </c>
      <c r="P69" s="78">
        <f t="shared" si="4"/>
        <v>5</v>
      </c>
      <c r="Q69" s="79">
        <f t="shared" si="5"/>
        <v>-5</v>
      </c>
      <c r="R69" s="80">
        <f t="shared" si="6"/>
        <v>-0.5</v>
      </c>
      <c r="S69" s="78">
        <f>IFERROR(VLOOKUP($F69,'[1]Sales By Promotor Last Month'!D:I,6,0),0)</f>
        <v>13</v>
      </c>
      <c r="T69" s="78">
        <f t="shared" si="7"/>
        <v>6</v>
      </c>
      <c r="U69" s="79">
        <f t="shared" si="8"/>
        <v>-7</v>
      </c>
      <c r="V69" s="80">
        <f t="shared" si="9"/>
        <v>-0.53846153846153844</v>
      </c>
      <c r="W69"/>
      <c r="X69"/>
      <c r="Y69"/>
    </row>
    <row r="70" spans="1:25" ht="17" outlineLevel="1" x14ac:dyDescent="0.2">
      <c r="A70" s="11" t="s">
        <v>203</v>
      </c>
      <c r="B70" s="71">
        <v>6140706</v>
      </c>
      <c r="C70" s="85" t="s">
        <v>209</v>
      </c>
      <c r="D70" s="307"/>
      <c r="E70" s="18" t="s">
        <v>210</v>
      </c>
      <c r="F70" s="17" t="s">
        <v>213</v>
      </c>
      <c r="G70" s="73">
        <f>IFERROR(VLOOKUP($B70,'[1]KPI Promotor'!$G:$K,5,0),0)</f>
        <v>0</v>
      </c>
      <c r="H70" s="74">
        <f>SUMIF('[1]SALES BY PROMOTOR'!$D:$D,$F70,'[1]SALES BY PROMOTOR'!$J:$J)</f>
        <v>26196000</v>
      </c>
      <c r="I70" s="75">
        <f t="shared" si="0"/>
        <v>0</v>
      </c>
      <c r="J70" s="73">
        <f t="shared" si="1"/>
        <v>28067142.857142854</v>
      </c>
      <c r="K70" s="76">
        <f t="shared" si="2"/>
        <v>6549000</v>
      </c>
      <c r="L70" s="77">
        <f>SUMIF('[1]SALES BY PROMOTOR'!$D:$D,$F70,'[1]SALES BY PROMOTOR'!$G:$G)</f>
        <v>3</v>
      </c>
      <c r="M70" s="77">
        <f>SUMIF('[1]SALES BY PROMOTOR'!$D:$D,$F70,'[1]SALES BY PROMOTOR'!$I:$I)</f>
        <v>4</v>
      </c>
      <c r="N70" s="75">
        <f t="shared" si="3"/>
        <v>0.75</v>
      </c>
      <c r="O70" s="78">
        <f>IFERROR(VLOOKUP($F70,'[1]Sales By Promotor Last Month'!D:G,4,0),0)</f>
        <v>6</v>
      </c>
      <c r="P70" s="78">
        <f t="shared" si="4"/>
        <v>3</v>
      </c>
      <c r="Q70" s="79">
        <f t="shared" si="5"/>
        <v>-3</v>
      </c>
      <c r="R70" s="80">
        <f t="shared" si="6"/>
        <v>-0.5</v>
      </c>
      <c r="S70" s="78">
        <f>IFERROR(VLOOKUP($F70,'[1]Sales By Promotor Last Month'!D:I,6,0),0)</f>
        <v>14</v>
      </c>
      <c r="T70" s="78">
        <f t="shared" si="7"/>
        <v>4</v>
      </c>
      <c r="U70" s="79">
        <f t="shared" si="8"/>
        <v>-10</v>
      </c>
      <c r="V70" s="80">
        <f t="shared" si="9"/>
        <v>-0.7142857142857143</v>
      </c>
      <c r="W70"/>
      <c r="X70"/>
      <c r="Y70"/>
    </row>
    <row r="71" spans="1:25" ht="17" outlineLevel="1" x14ac:dyDescent="0.2">
      <c r="A71" s="11" t="s">
        <v>214</v>
      </c>
      <c r="B71" s="71">
        <v>6180706</v>
      </c>
      <c r="C71" s="10" t="s">
        <v>51</v>
      </c>
      <c r="D71" s="305">
        <v>3</v>
      </c>
      <c r="E71" s="12" t="s">
        <v>215</v>
      </c>
      <c r="F71" s="10" t="s">
        <v>216</v>
      </c>
      <c r="G71" s="73">
        <f>IFERROR(VLOOKUP($B71,'[1]KPI Promotor'!$G:$K,5,0),0)</f>
        <v>170000000</v>
      </c>
      <c r="H71" s="74">
        <f>SUMIF('[1]SALES BY PROMOTOR'!$D:$D,$F71,'[1]SALES BY PROMOTOR'!$J:$J)</f>
        <v>101579000</v>
      </c>
      <c r="I71" s="75">
        <f t="shared" ref="I71:I121" si="10">IFERROR(H71/G71,0)</f>
        <v>0.59752352941176468</v>
      </c>
      <c r="J71" s="73">
        <f t="shared" ref="J71:J121" si="11">IFERROR(H71/$D$2*$E$2,0)</f>
        <v>108834642.85714287</v>
      </c>
      <c r="K71" s="76">
        <f t="shared" ref="K71:K121" si="12">IFERROR(H71/M71,0)</f>
        <v>4837095.2380952379</v>
      </c>
      <c r="L71" s="77">
        <f>SUMIF('[1]SALES BY PROMOTOR'!$D:$D,$F71,'[1]SALES BY PROMOTOR'!$G:$G)</f>
        <v>10</v>
      </c>
      <c r="M71" s="77">
        <f>SUMIF('[1]SALES BY PROMOTOR'!$D:$D,$F71,'[1]SALES BY PROMOTOR'!$I:$I)</f>
        <v>21</v>
      </c>
      <c r="N71" s="75">
        <f t="shared" ref="N71:N121" si="13">IFERROR(L71/M71,0)</f>
        <v>0.47619047619047616</v>
      </c>
      <c r="O71" s="78">
        <f>IFERROR(VLOOKUP($F71,'[1]Sales By Promotor Last Month'!D:G,4,0),0)</f>
        <v>15</v>
      </c>
      <c r="P71" s="78">
        <f t="shared" ref="P71:P121" si="14">+L71</f>
        <v>10</v>
      </c>
      <c r="Q71" s="79">
        <f t="shared" ref="Q71:Q121" si="15">P71-O71</f>
        <v>-5</v>
      </c>
      <c r="R71" s="80">
        <f t="shared" ref="R71:R121" si="16">IFERROR(Q71/O71,0)</f>
        <v>-0.33333333333333331</v>
      </c>
      <c r="S71" s="78">
        <f>IFERROR(VLOOKUP($F71,'[1]Sales By Promotor Last Month'!D:I,6,0),0)</f>
        <v>35</v>
      </c>
      <c r="T71" s="78">
        <f t="shared" ref="T71:T121" si="17">+M71</f>
        <v>21</v>
      </c>
      <c r="U71" s="79">
        <f t="shared" ref="U71:U121" si="18">T71-S71</f>
        <v>-14</v>
      </c>
      <c r="V71" s="80">
        <f t="shared" ref="V71:V121" si="19">IFERROR(U71/S71,0)</f>
        <v>-0.4</v>
      </c>
      <c r="W71"/>
      <c r="X71"/>
      <c r="Y71"/>
    </row>
    <row r="72" spans="1:25" ht="17" outlineLevel="1" x14ac:dyDescent="0.2">
      <c r="A72" s="11" t="s">
        <v>214</v>
      </c>
      <c r="B72" s="71">
        <v>6180706</v>
      </c>
      <c r="C72" s="10" t="s">
        <v>51</v>
      </c>
      <c r="D72" s="306"/>
      <c r="E72" s="12" t="s">
        <v>215</v>
      </c>
      <c r="F72" s="10" t="s">
        <v>217</v>
      </c>
      <c r="G72" s="73">
        <f>IFERROR(VLOOKUP($B72,'[1]KPI Promotor'!$G:$K,5,0),0)</f>
        <v>170000000</v>
      </c>
      <c r="H72" s="74">
        <f>SUMIF('[1]SALES BY PROMOTOR'!$D:$D,$F72,'[1]SALES BY PROMOTOR'!$J:$J)</f>
        <v>191357000</v>
      </c>
      <c r="I72" s="75">
        <f t="shared" si="10"/>
        <v>1.1256294117647059</v>
      </c>
      <c r="J72" s="73">
        <f t="shared" si="11"/>
        <v>205025357.14285716</v>
      </c>
      <c r="K72" s="76">
        <f t="shared" si="12"/>
        <v>4450162.7906976743</v>
      </c>
      <c r="L72" s="77">
        <f>SUMIF('[1]SALES BY PROMOTOR'!$D:$D,$F72,'[1]SALES BY PROMOTOR'!$G:$G)</f>
        <v>30</v>
      </c>
      <c r="M72" s="77">
        <f>SUMIF('[1]SALES BY PROMOTOR'!$D:$D,$F72,'[1]SALES BY PROMOTOR'!$I:$I)</f>
        <v>43</v>
      </c>
      <c r="N72" s="75">
        <f t="shared" si="13"/>
        <v>0.69767441860465118</v>
      </c>
      <c r="O72" s="78">
        <f>IFERROR(VLOOKUP($F72,'[1]Sales By Promotor Last Month'!D:G,4,0),0)</f>
        <v>25</v>
      </c>
      <c r="P72" s="78">
        <f t="shared" si="14"/>
        <v>30</v>
      </c>
      <c r="Q72" s="79">
        <f t="shared" si="15"/>
        <v>5</v>
      </c>
      <c r="R72" s="80">
        <f t="shared" si="16"/>
        <v>0.2</v>
      </c>
      <c r="S72" s="78">
        <f>IFERROR(VLOOKUP($F72,'[1]Sales By Promotor Last Month'!D:I,6,0),0)</f>
        <v>47</v>
      </c>
      <c r="T72" s="78">
        <f t="shared" si="17"/>
        <v>43</v>
      </c>
      <c r="U72" s="79">
        <f t="shared" si="18"/>
        <v>-4</v>
      </c>
      <c r="V72" s="80">
        <f t="shared" si="19"/>
        <v>-8.5106382978723402E-2</v>
      </c>
      <c r="W72"/>
      <c r="X72"/>
      <c r="Y72"/>
    </row>
    <row r="73" spans="1:25" ht="17" outlineLevel="1" x14ac:dyDescent="0.2">
      <c r="A73" s="11" t="s">
        <v>214</v>
      </c>
      <c r="B73" s="71">
        <v>6180706</v>
      </c>
      <c r="C73" s="10" t="s">
        <v>51</v>
      </c>
      <c r="D73" s="307"/>
      <c r="E73" s="12" t="s">
        <v>215</v>
      </c>
      <c r="F73" s="10" t="s">
        <v>218</v>
      </c>
      <c r="G73" s="73">
        <f>IFERROR(VLOOKUP($B73,'[1]KPI Promotor'!$G:$K,5,0),0)</f>
        <v>170000000</v>
      </c>
      <c r="H73" s="74">
        <f>SUMIF('[1]SALES BY PROMOTOR'!$D:$D,$F73,'[1]SALES BY PROMOTOR'!$J:$J)</f>
        <v>69580000</v>
      </c>
      <c r="I73" s="75">
        <f t="shared" si="10"/>
        <v>0.40929411764705881</v>
      </c>
      <c r="J73" s="73">
        <f t="shared" si="11"/>
        <v>74550000</v>
      </c>
      <c r="K73" s="76">
        <f t="shared" si="12"/>
        <v>3479000</v>
      </c>
      <c r="L73" s="77">
        <f>SUMIF('[1]SALES BY PROMOTOR'!$D:$D,$F73,'[1]SALES BY PROMOTOR'!$G:$G)</f>
        <v>8</v>
      </c>
      <c r="M73" s="77">
        <f>SUMIF('[1]SALES BY PROMOTOR'!$D:$D,$F73,'[1]SALES BY PROMOTOR'!$I:$I)</f>
        <v>20</v>
      </c>
      <c r="N73" s="75">
        <f t="shared" si="13"/>
        <v>0.4</v>
      </c>
      <c r="O73" s="78">
        <f>IFERROR(VLOOKUP($F73,'[1]Sales By Promotor Last Month'!D:G,4,0),0)</f>
        <v>12</v>
      </c>
      <c r="P73" s="78">
        <f t="shared" si="14"/>
        <v>8</v>
      </c>
      <c r="Q73" s="79">
        <f t="shared" si="15"/>
        <v>-4</v>
      </c>
      <c r="R73" s="80">
        <f t="shared" si="16"/>
        <v>-0.33333333333333331</v>
      </c>
      <c r="S73" s="78">
        <f>IFERROR(VLOOKUP($F73,'[1]Sales By Promotor Last Month'!D:I,6,0),0)</f>
        <v>27</v>
      </c>
      <c r="T73" s="78">
        <f t="shared" si="17"/>
        <v>20</v>
      </c>
      <c r="U73" s="79">
        <f t="shared" si="18"/>
        <v>-7</v>
      </c>
      <c r="V73" s="80">
        <f t="shared" si="19"/>
        <v>-0.25925925925925924</v>
      </c>
      <c r="W73"/>
      <c r="X73"/>
      <c r="Y73"/>
    </row>
    <row r="74" spans="1:25" ht="17" outlineLevel="1" x14ac:dyDescent="0.2">
      <c r="A74" s="11" t="s">
        <v>214</v>
      </c>
      <c r="B74" s="71">
        <v>6180707</v>
      </c>
      <c r="C74" s="10" t="s">
        <v>51</v>
      </c>
      <c r="D74" s="71">
        <v>1</v>
      </c>
      <c r="E74" s="12" t="s">
        <v>219</v>
      </c>
      <c r="F74" s="10" t="s">
        <v>220</v>
      </c>
      <c r="G74" s="73">
        <f>IFERROR(VLOOKUP($B74,'[1]KPI Promotor'!$G:$K,5,0),0)</f>
        <v>90000000</v>
      </c>
      <c r="H74" s="74">
        <f>SUMIF('[1]SALES BY PROMOTOR'!$D:$D,$F74,'[1]SALES BY PROMOTOR'!$J:$J)</f>
        <v>98376000</v>
      </c>
      <c r="I74" s="75">
        <f t="shared" si="10"/>
        <v>1.0930666666666666</v>
      </c>
      <c r="J74" s="73">
        <f t="shared" si="11"/>
        <v>105402857.14285713</v>
      </c>
      <c r="K74" s="76">
        <f t="shared" si="12"/>
        <v>4099000</v>
      </c>
      <c r="L74" s="77">
        <f>SUMIF('[1]SALES BY PROMOTOR'!$D:$D,$F74,'[1]SALES BY PROMOTOR'!$G:$G)</f>
        <v>13</v>
      </c>
      <c r="M74" s="77">
        <f>SUMIF('[1]SALES BY PROMOTOR'!$D:$D,$F74,'[1]SALES BY PROMOTOR'!$I:$I)</f>
        <v>24</v>
      </c>
      <c r="N74" s="75">
        <f t="shared" si="13"/>
        <v>0.54166666666666663</v>
      </c>
      <c r="O74" s="78">
        <f>IFERROR(VLOOKUP($F74,'[1]Sales By Promotor Last Month'!D:G,4,0),0)</f>
        <v>15</v>
      </c>
      <c r="P74" s="78">
        <f t="shared" si="14"/>
        <v>13</v>
      </c>
      <c r="Q74" s="79">
        <f t="shared" si="15"/>
        <v>-2</v>
      </c>
      <c r="R74" s="80">
        <f t="shared" si="16"/>
        <v>-0.13333333333333333</v>
      </c>
      <c r="S74" s="78">
        <f>IFERROR(VLOOKUP($F74,'[1]Sales By Promotor Last Month'!D:I,6,0),0)</f>
        <v>27</v>
      </c>
      <c r="T74" s="78">
        <f t="shared" si="17"/>
        <v>24</v>
      </c>
      <c r="U74" s="79">
        <f t="shared" si="18"/>
        <v>-3</v>
      </c>
      <c r="V74" s="80">
        <f t="shared" si="19"/>
        <v>-0.1111111111111111</v>
      </c>
      <c r="W74"/>
      <c r="X74"/>
      <c r="Y74"/>
    </row>
    <row r="75" spans="1:25" ht="17" outlineLevel="1" x14ac:dyDescent="0.2">
      <c r="A75" s="11" t="s">
        <v>57</v>
      </c>
      <c r="B75" s="71">
        <v>6190701</v>
      </c>
      <c r="C75" s="10" t="s">
        <v>58</v>
      </c>
      <c r="D75" s="305">
        <v>2</v>
      </c>
      <c r="E75" s="12" t="s">
        <v>221</v>
      </c>
      <c r="F75" s="10" t="s">
        <v>222</v>
      </c>
      <c r="G75" s="73">
        <f>IFERROR(VLOOKUP($B75,'[1]KPI Promotor'!$G:$K,5,0),0)</f>
        <v>120000000</v>
      </c>
      <c r="H75" s="74">
        <f>SUMIF('[1]SALES BY PROMOTOR'!$D:$D,$F75,'[1]SALES BY PROMOTOR'!$J:$J)</f>
        <v>95678000</v>
      </c>
      <c r="I75" s="75">
        <f t="shared" si="10"/>
        <v>0.79731666666666667</v>
      </c>
      <c r="J75" s="73">
        <f t="shared" si="11"/>
        <v>102512142.85714287</v>
      </c>
      <c r="K75" s="76">
        <f t="shared" si="12"/>
        <v>4349000</v>
      </c>
      <c r="L75" s="77">
        <f>SUMIF('[1]SALES BY PROMOTOR'!$D:$D,$F75,'[1]SALES BY PROMOTOR'!$G:$G)</f>
        <v>15</v>
      </c>
      <c r="M75" s="77">
        <f>SUMIF('[1]SALES BY PROMOTOR'!$D:$D,$F75,'[1]SALES BY PROMOTOR'!$I:$I)</f>
        <v>22</v>
      </c>
      <c r="N75" s="75">
        <f t="shared" si="13"/>
        <v>0.68181818181818177</v>
      </c>
      <c r="O75" s="78">
        <f>IFERROR(VLOOKUP($F75,'[1]Sales By Promotor Last Month'!D:G,4,0),0)</f>
        <v>2</v>
      </c>
      <c r="P75" s="78">
        <f t="shared" si="14"/>
        <v>15</v>
      </c>
      <c r="Q75" s="79">
        <f t="shared" si="15"/>
        <v>13</v>
      </c>
      <c r="R75" s="80">
        <f t="shared" si="16"/>
        <v>6.5</v>
      </c>
      <c r="S75" s="78">
        <f>IFERROR(VLOOKUP($F75,'[1]Sales By Promotor Last Month'!D:I,6,0),0)</f>
        <v>13</v>
      </c>
      <c r="T75" s="78">
        <f t="shared" si="17"/>
        <v>22</v>
      </c>
      <c r="U75" s="79">
        <f t="shared" si="18"/>
        <v>9</v>
      </c>
      <c r="V75" s="80">
        <f t="shared" si="19"/>
        <v>0.69230769230769229</v>
      </c>
      <c r="W75"/>
      <c r="X75"/>
      <c r="Y75"/>
    </row>
    <row r="76" spans="1:25" ht="17" outlineLevel="1" x14ac:dyDescent="0.2">
      <c r="A76" s="11" t="s">
        <v>57</v>
      </c>
      <c r="B76" s="71">
        <v>6190701</v>
      </c>
      <c r="C76" s="10" t="s">
        <v>58</v>
      </c>
      <c r="D76" s="307"/>
      <c r="E76" s="12" t="s">
        <v>221</v>
      </c>
      <c r="F76" s="17" t="s">
        <v>223</v>
      </c>
      <c r="G76" s="73">
        <f>IFERROR(VLOOKUP($B76,'[1]KPI Promotor'!$G:$K,5,0),0)</f>
        <v>120000000</v>
      </c>
      <c r="H76" s="74">
        <f>SUMIF('[1]SALES BY PROMOTOR'!$D:$D,$F76,'[1]SALES BY PROMOTOR'!$J:$J)</f>
        <v>114471000</v>
      </c>
      <c r="I76" s="75">
        <f t="shared" si="10"/>
        <v>0.95392500000000002</v>
      </c>
      <c r="J76" s="73">
        <f t="shared" si="11"/>
        <v>122647500</v>
      </c>
      <c r="K76" s="76">
        <f t="shared" si="12"/>
        <v>3947275.8620689656</v>
      </c>
      <c r="L76" s="77">
        <f>SUMIF('[1]SALES BY PROMOTOR'!$D:$D,$F76,'[1]SALES BY PROMOTOR'!$G:$G)</f>
        <v>13</v>
      </c>
      <c r="M76" s="77">
        <f>SUMIF('[1]SALES BY PROMOTOR'!$D:$D,$F76,'[1]SALES BY PROMOTOR'!$I:$I)</f>
        <v>29</v>
      </c>
      <c r="N76" s="75">
        <f t="shared" si="13"/>
        <v>0.44827586206896552</v>
      </c>
      <c r="O76" s="78">
        <f>IFERROR(VLOOKUP($F76,'[1]Sales By Promotor Last Month'!D:G,4,0),0)</f>
        <v>11</v>
      </c>
      <c r="P76" s="78">
        <f t="shared" si="14"/>
        <v>13</v>
      </c>
      <c r="Q76" s="79">
        <f t="shared" si="15"/>
        <v>2</v>
      </c>
      <c r="R76" s="80">
        <f t="shared" si="16"/>
        <v>0.18181818181818182</v>
      </c>
      <c r="S76" s="78">
        <f>IFERROR(VLOOKUP($F76,'[1]Sales By Promotor Last Month'!D:I,6,0),0)</f>
        <v>35</v>
      </c>
      <c r="T76" s="78">
        <f t="shared" si="17"/>
        <v>29</v>
      </c>
      <c r="U76" s="79">
        <f t="shared" si="18"/>
        <v>-6</v>
      </c>
      <c r="V76" s="80">
        <f t="shared" si="19"/>
        <v>-0.17142857142857143</v>
      </c>
      <c r="W76"/>
      <c r="X76"/>
      <c r="Y76"/>
    </row>
    <row r="77" spans="1:25" ht="17" outlineLevel="1" x14ac:dyDescent="0.2">
      <c r="A77" s="11" t="s">
        <v>57</v>
      </c>
      <c r="B77" s="71">
        <v>6190704</v>
      </c>
      <c r="C77" s="10" t="s">
        <v>59</v>
      </c>
      <c r="D77" s="305">
        <v>3</v>
      </c>
      <c r="E77" s="12" t="s">
        <v>224</v>
      </c>
      <c r="F77" s="10" t="s">
        <v>225</v>
      </c>
      <c r="G77" s="73">
        <f>IFERROR(VLOOKUP($B77,'[1]KPI Promotor'!$G:$K,5,0),0)</f>
        <v>120000000</v>
      </c>
      <c r="H77" s="74">
        <f>SUMIF('[1]SALES BY PROMOTOR'!$D:$D,$F77,'[1]SALES BY PROMOTOR'!$J:$J)</f>
        <v>132071000</v>
      </c>
      <c r="I77" s="75">
        <f t="shared" si="10"/>
        <v>1.1005916666666666</v>
      </c>
      <c r="J77" s="73">
        <f t="shared" si="11"/>
        <v>141504642.85714284</v>
      </c>
      <c r="K77" s="76">
        <f t="shared" si="12"/>
        <v>4554172.4137931038</v>
      </c>
      <c r="L77" s="77">
        <f>SUMIF('[1]SALES BY PROMOTOR'!$D:$D,$F77,'[1]SALES BY PROMOTOR'!$G:$G)</f>
        <v>19</v>
      </c>
      <c r="M77" s="77">
        <f>SUMIF('[1]SALES BY PROMOTOR'!$D:$D,$F77,'[1]SALES BY PROMOTOR'!$I:$I)</f>
        <v>29</v>
      </c>
      <c r="N77" s="75">
        <f t="shared" si="13"/>
        <v>0.65517241379310343</v>
      </c>
      <c r="O77" s="78">
        <f>IFERROR(VLOOKUP($F77,'[1]Sales By Promotor Last Month'!D:G,4,0),0)</f>
        <v>16</v>
      </c>
      <c r="P77" s="78">
        <f t="shared" si="14"/>
        <v>19</v>
      </c>
      <c r="Q77" s="79">
        <f t="shared" si="15"/>
        <v>3</v>
      </c>
      <c r="R77" s="80">
        <f t="shared" si="16"/>
        <v>0.1875</v>
      </c>
      <c r="S77" s="78">
        <f>IFERROR(VLOOKUP($F77,'[1]Sales By Promotor Last Month'!D:I,6,0),0)</f>
        <v>35</v>
      </c>
      <c r="T77" s="78">
        <f t="shared" si="17"/>
        <v>29</v>
      </c>
      <c r="U77" s="79">
        <f t="shared" si="18"/>
        <v>-6</v>
      </c>
      <c r="V77" s="80">
        <f t="shared" si="19"/>
        <v>-0.17142857142857143</v>
      </c>
      <c r="W77"/>
      <c r="X77"/>
      <c r="Y77"/>
    </row>
    <row r="78" spans="1:25" ht="17" outlineLevel="1" x14ac:dyDescent="0.2">
      <c r="A78" s="11" t="s">
        <v>57</v>
      </c>
      <c r="B78" s="71">
        <v>6190704</v>
      </c>
      <c r="C78" s="10" t="s">
        <v>59</v>
      </c>
      <c r="D78" s="306"/>
      <c r="E78" s="12" t="s">
        <v>224</v>
      </c>
      <c r="F78" s="10" t="s">
        <v>226</v>
      </c>
      <c r="G78" s="73">
        <f>IFERROR(VLOOKUP($B78,'[1]KPI Promotor'!$G:$K,5,0),0)</f>
        <v>120000000</v>
      </c>
      <c r="H78" s="74">
        <f>SUMIF('[1]SALES BY PROMOTOR'!$D:$D,$F78,'[1]SALES BY PROMOTOR'!$J:$J)</f>
        <v>122972000</v>
      </c>
      <c r="I78" s="75">
        <f t="shared" si="10"/>
        <v>1.0247666666666666</v>
      </c>
      <c r="J78" s="73">
        <f t="shared" si="11"/>
        <v>131755714.28571428</v>
      </c>
      <c r="K78" s="76">
        <f t="shared" si="12"/>
        <v>4391857.1428571427</v>
      </c>
      <c r="L78" s="77">
        <f>SUMIF('[1]SALES BY PROMOTOR'!$D:$D,$F78,'[1]SALES BY PROMOTOR'!$G:$G)</f>
        <v>17</v>
      </c>
      <c r="M78" s="77">
        <f>SUMIF('[1]SALES BY PROMOTOR'!$D:$D,$F78,'[1]SALES BY PROMOTOR'!$I:$I)</f>
        <v>28</v>
      </c>
      <c r="N78" s="75">
        <f t="shared" si="13"/>
        <v>0.6071428571428571</v>
      </c>
      <c r="O78" s="78">
        <f>IFERROR(VLOOKUP($F78,'[1]Sales By Promotor Last Month'!D:G,4,0),0)</f>
        <v>18</v>
      </c>
      <c r="P78" s="78">
        <f t="shared" si="14"/>
        <v>17</v>
      </c>
      <c r="Q78" s="79">
        <f t="shared" si="15"/>
        <v>-1</v>
      </c>
      <c r="R78" s="80">
        <f t="shared" si="16"/>
        <v>-5.5555555555555552E-2</v>
      </c>
      <c r="S78" s="78">
        <f>IFERROR(VLOOKUP($F78,'[1]Sales By Promotor Last Month'!D:I,6,0),0)</f>
        <v>35</v>
      </c>
      <c r="T78" s="78">
        <f t="shared" si="17"/>
        <v>28</v>
      </c>
      <c r="U78" s="79">
        <f t="shared" si="18"/>
        <v>-7</v>
      </c>
      <c r="V78" s="80">
        <f t="shared" si="19"/>
        <v>-0.2</v>
      </c>
      <c r="W78"/>
      <c r="X78"/>
      <c r="Y78"/>
    </row>
    <row r="79" spans="1:25" ht="17" outlineLevel="1" x14ac:dyDescent="0.2">
      <c r="A79" s="11" t="s">
        <v>57</v>
      </c>
      <c r="B79" s="71">
        <v>6190704</v>
      </c>
      <c r="C79" s="10" t="s">
        <v>59</v>
      </c>
      <c r="D79" s="306"/>
      <c r="E79" s="12" t="s">
        <v>224</v>
      </c>
      <c r="F79" s="10" t="s">
        <v>227</v>
      </c>
      <c r="G79" s="73">
        <f>IFERROR(VLOOKUP($B79,'[1]KPI Promotor'!$G:$K,5,0),0)</f>
        <v>120000000</v>
      </c>
      <c r="H79" s="74">
        <f>SUMIF('[1]SALES BY PROMOTOR'!$D:$D,$F79,'[1]SALES BY PROMOTOR'!$J:$J)</f>
        <v>137467000</v>
      </c>
      <c r="I79" s="75">
        <f t="shared" si="10"/>
        <v>1.1455583333333332</v>
      </c>
      <c r="J79" s="73">
        <f t="shared" si="11"/>
        <v>147286071.42857143</v>
      </c>
      <c r="K79" s="76">
        <f t="shared" si="12"/>
        <v>4165666.6666666665</v>
      </c>
      <c r="L79" s="77">
        <f>SUMIF('[1]SALES BY PROMOTOR'!$D:$D,$F79,'[1]SALES BY PROMOTOR'!$G:$G)</f>
        <v>16</v>
      </c>
      <c r="M79" s="77">
        <f>SUMIF('[1]SALES BY PROMOTOR'!$D:$D,$F79,'[1]SALES BY PROMOTOR'!$I:$I)</f>
        <v>33</v>
      </c>
      <c r="N79" s="75">
        <f t="shared" si="13"/>
        <v>0.48484848484848486</v>
      </c>
      <c r="O79" s="78">
        <f>IFERROR(VLOOKUP($F79,'[1]Sales By Promotor Last Month'!D:G,4,0),0)</f>
        <v>13</v>
      </c>
      <c r="P79" s="78">
        <f t="shared" si="14"/>
        <v>16</v>
      </c>
      <c r="Q79" s="79">
        <f t="shared" si="15"/>
        <v>3</v>
      </c>
      <c r="R79" s="80">
        <f t="shared" si="16"/>
        <v>0.23076923076923078</v>
      </c>
      <c r="S79" s="78">
        <f>IFERROR(VLOOKUP($F79,'[1]Sales By Promotor Last Month'!D:I,6,0),0)</f>
        <v>37</v>
      </c>
      <c r="T79" s="78">
        <f t="shared" si="17"/>
        <v>33</v>
      </c>
      <c r="U79" s="79">
        <f t="shared" si="18"/>
        <v>-4</v>
      </c>
      <c r="V79" s="80">
        <f t="shared" si="19"/>
        <v>-0.10810810810810811</v>
      </c>
      <c r="W79"/>
      <c r="X79"/>
      <c r="Y79"/>
    </row>
    <row r="80" spans="1:25" ht="17" outlineLevel="1" x14ac:dyDescent="0.2">
      <c r="A80" s="11" t="s">
        <v>57</v>
      </c>
      <c r="B80" s="71">
        <v>6190705</v>
      </c>
      <c r="C80" s="10" t="s">
        <v>58</v>
      </c>
      <c r="D80" s="306">
        <v>2</v>
      </c>
      <c r="E80" s="12" t="s">
        <v>228</v>
      </c>
      <c r="F80" s="10" t="s">
        <v>229</v>
      </c>
      <c r="G80" s="73">
        <f>IFERROR(VLOOKUP($B80,'[1]KPI Promotor'!$G:$K,5,0),0)</f>
        <v>120000000</v>
      </c>
      <c r="H80" s="74">
        <f>SUMIF('[1]SALES BY PROMOTOR'!$D:$D,$F80,'[1]SALES BY PROMOTOR'!$J:$J)</f>
        <v>93280000</v>
      </c>
      <c r="I80" s="75">
        <f t="shared" si="10"/>
        <v>0.77733333333333332</v>
      </c>
      <c r="J80" s="73">
        <f t="shared" si="11"/>
        <v>99942857.142857134</v>
      </c>
      <c r="K80" s="76">
        <f t="shared" si="12"/>
        <v>4664000</v>
      </c>
      <c r="L80" s="77">
        <f>SUMIF('[1]SALES BY PROMOTOR'!$D:$D,$F80,'[1]SALES BY PROMOTOR'!$G:$G)</f>
        <v>12</v>
      </c>
      <c r="M80" s="77">
        <f>SUMIF('[1]SALES BY PROMOTOR'!$D:$D,$F80,'[1]SALES BY PROMOTOR'!$I:$I)</f>
        <v>20</v>
      </c>
      <c r="N80" s="75">
        <f t="shared" si="13"/>
        <v>0.6</v>
      </c>
      <c r="O80" s="78">
        <f>IFERROR(VLOOKUP($F80,'[1]Sales By Promotor Last Month'!D:G,4,0),0)</f>
        <v>5</v>
      </c>
      <c r="P80" s="78">
        <f t="shared" si="14"/>
        <v>12</v>
      </c>
      <c r="Q80" s="79">
        <f t="shared" si="15"/>
        <v>7</v>
      </c>
      <c r="R80" s="80">
        <f t="shared" si="16"/>
        <v>1.4</v>
      </c>
      <c r="S80" s="78">
        <f>IFERROR(VLOOKUP($F80,'[1]Sales By Promotor Last Month'!D:I,6,0),0)</f>
        <v>12</v>
      </c>
      <c r="T80" s="78">
        <f t="shared" si="17"/>
        <v>20</v>
      </c>
      <c r="U80" s="79">
        <f t="shared" si="18"/>
        <v>8</v>
      </c>
      <c r="V80" s="80">
        <f t="shared" si="19"/>
        <v>0.66666666666666663</v>
      </c>
      <c r="W80"/>
      <c r="X80"/>
      <c r="Y80"/>
    </row>
    <row r="81" spans="1:25" ht="17" outlineLevel="1" x14ac:dyDescent="0.2">
      <c r="A81" s="11" t="s">
        <v>57</v>
      </c>
      <c r="B81" s="71">
        <v>6190705</v>
      </c>
      <c r="C81" s="10" t="s">
        <v>58</v>
      </c>
      <c r="D81" s="306"/>
      <c r="E81" s="12" t="s">
        <v>228</v>
      </c>
      <c r="F81" s="10" t="s">
        <v>230</v>
      </c>
      <c r="G81" s="73">
        <f>IFERROR(VLOOKUP($B81,'[1]KPI Promotor'!$G:$K,5,0),0)</f>
        <v>120000000</v>
      </c>
      <c r="H81" s="74">
        <f>SUMIF('[1]SALES BY PROMOTOR'!$D:$D,$F81,'[1]SALES BY PROMOTOR'!$J:$J)</f>
        <v>48286000</v>
      </c>
      <c r="I81" s="75">
        <f t="shared" si="10"/>
        <v>0.40238333333333332</v>
      </c>
      <c r="J81" s="73">
        <f t="shared" si="11"/>
        <v>51735000</v>
      </c>
      <c r="K81" s="76">
        <f t="shared" si="12"/>
        <v>3449000</v>
      </c>
      <c r="L81" s="77">
        <f>SUMIF('[1]SALES BY PROMOTOR'!$D:$D,$F81,'[1]SALES BY PROMOTOR'!$G:$G)</f>
        <v>6</v>
      </c>
      <c r="M81" s="77">
        <f>SUMIF('[1]SALES BY PROMOTOR'!$D:$D,$F81,'[1]SALES BY PROMOTOR'!$I:$I)</f>
        <v>14</v>
      </c>
      <c r="N81" s="75">
        <f t="shared" si="13"/>
        <v>0.42857142857142855</v>
      </c>
      <c r="O81" s="78">
        <f>IFERROR(VLOOKUP($F81,'[1]Sales By Promotor Last Month'!D:G,4,0),0)</f>
        <v>5</v>
      </c>
      <c r="P81" s="78">
        <f t="shared" si="14"/>
        <v>6</v>
      </c>
      <c r="Q81" s="79">
        <f t="shared" si="15"/>
        <v>1</v>
      </c>
      <c r="R81" s="80">
        <f t="shared" si="16"/>
        <v>0.2</v>
      </c>
      <c r="S81" s="78">
        <f>IFERROR(VLOOKUP($F81,'[1]Sales By Promotor Last Month'!D:I,6,0),0)</f>
        <v>12</v>
      </c>
      <c r="T81" s="78">
        <f t="shared" si="17"/>
        <v>14</v>
      </c>
      <c r="U81" s="79">
        <f t="shared" si="18"/>
        <v>2</v>
      </c>
      <c r="V81" s="80">
        <f t="shared" si="19"/>
        <v>0.16666666666666666</v>
      </c>
      <c r="W81"/>
      <c r="X81"/>
      <c r="Y81"/>
    </row>
    <row r="82" spans="1:25" ht="17" outlineLevel="1" x14ac:dyDescent="0.2">
      <c r="A82" s="11" t="s">
        <v>57</v>
      </c>
      <c r="B82" s="71">
        <v>6190706</v>
      </c>
      <c r="C82" s="10" t="s">
        <v>58</v>
      </c>
      <c r="D82" s="306">
        <v>4</v>
      </c>
      <c r="E82" s="12" t="s">
        <v>231</v>
      </c>
      <c r="F82" s="10" t="s">
        <v>232</v>
      </c>
      <c r="G82" s="73">
        <f>IFERROR(VLOOKUP($B82,'[1]KPI Promotor'!$G:$K,5,0),0)</f>
        <v>120000000</v>
      </c>
      <c r="H82" s="74">
        <f>SUMIF('[1]SALES BY PROMOTOR'!$D:$D,$F82,'[1]SALES BY PROMOTOR'!$J:$J)</f>
        <v>129972000</v>
      </c>
      <c r="I82" s="75">
        <f t="shared" si="10"/>
        <v>1.0831</v>
      </c>
      <c r="J82" s="73">
        <f t="shared" si="11"/>
        <v>139255714.28571427</v>
      </c>
      <c r="K82" s="76">
        <f t="shared" si="12"/>
        <v>4641857.1428571427</v>
      </c>
      <c r="L82" s="77">
        <f>SUMIF('[1]SALES BY PROMOTOR'!$D:$D,$F82,'[1]SALES BY PROMOTOR'!$G:$G)</f>
        <v>18</v>
      </c>
      <c r="M82" s="77">
        <f>SUMIF('[1]SALES BY PROMOTOR'!$D:$D,$F82,'[1]SALES BY PROMOTOR'!$I:$I)</f>
        <v>28</v>
      </c>
      <c r="N82" s="75">
        <f t="shared" si="13"/>
        <v>0.6428571428571429</v>
      </c>
      <c r="O82" s="78">
        <f>IFERROR(VLOOKUP($F82,'[1]Sales By Promotor Last Month'!D:G,4,0),0)</f>
        <v>11</v>
      </c>
      <c r="P82" s="78">
        <f t="shared" si="14"/>
        <v>18</v>
      </c>
      <c r="Q82" s="79">
        <f t="shared" si="15"/>
        <v>7</v>
      </c>
      <c r="R82" s="80">
        <f t="shared" si="16"/>
        <v>0.63636363636363635</v>
      </c>
      <c r="S82" s="78">
        <f>IFERROR(VLOOKUP($F82,'[1]Sales By Promotor Last Month'!D:I,6,0),0)</f>
        <v>36</v>
      </c>
      <c r="T82" s="78">
        <f t="shared" si="17"/>
        <v>28</v>
      </c>
      <c r="U82" s="79">
        <f t="shared" si="18"/>
        <v>-8</v>
      </c>
      <c r="V82" s="80">
        <f t="shared" si="19"/>
        <v>-0.22222222222222221</v>
      </c>
      <c r="W82"/>
      <c r="X82"/>
      <c r="Y82"/>
    </row>
    <row r="83" spans="1:25" ht="17" outlineLevel="1" x14ac:dyDescent="0.2">
      <c r="A83" s="11" t="s">
        <v>57</v>
      </c>
      <c r="B83" s="71">
        <v>6190706</v>
      </c>
      <c r="C83" s="10" t="s">
        <v>58</v>
      </c>
      <c r="D83" s="306"/>
      <c r="E83" s="12" t="s">
        <v>231</v>
      </c>
      <c r="F83" s="10" t="s">
        <v>233</v>
      </c>
      <c r="G83" s="73">
        <f>IFERROR(VLOOKUP($B83,'[1]KPI Promotor'!$G:$K,5,0),0)</f>
        <v>120000000</v>
      </c>
      <c r="H83" s="74">
        <f>SUMIF('[1]SALES BY PROMOTOR'!$D:$D,$F83,'[1]SALES BY PROMOTOR'!$J:$J)</f>
        <v>140468000</v>
      </c>
      <c r="I83" s="75">
        <f t="shared" si="10"/>
        <v>1.1705666666666668</v>
      </c>
      <c r="J83" s="73">
        <f t="shared" si="11"/>
        <v>150501428.57142857</v>
      </c>
      <c r="K83" s="76">
        <f t="shared" si="12"/>
        <v>4389625</v>
      </c>
      <c r="L83" s="77">
        <f>SUMIF('[1]SALES BY PROMOTOR'!$D:$D,$F83,'[1]SALES BY PROMOTOR'!$G:$G)</f>
        <v>17</v>
      </c>
      <c r="M83" s="77">
        <f>SUMIF('[1]SALES BY PROMOTOR'!$D:$D,$F83,'[1]SALES BY PROMOTOR'!$I:$I)</f>
        <v>32</v>
      </c>
      <c r="N83" s="75">
        <f t="shared" si="13"/>
        <v>0.53125</v>
      </c>
      <c r="O83" s="78">
        <f>IFERROR(VLOOKUP($F83,'[1]Sales By Promotor Last Month'!D:G,4,0),0)</f>
        <v>20</v>
      </c>
      <c r="P83" s="78">
        <f t="shared" si="14"/>
        <v>17</v>
      </c>
      <c r="Q83" s="79">
        <f t="shared" si="15"/>
        <v>-3</v>
      </c>
      <c r="R83" s="80">
        <f t="shared" si="16"/>
        <v>-0.15</v>
      </c>
      <c r="S83" s="78">
        <f>IFERROR(VLOOKUP($F83,'[1]Sales By Promotor Last Month'!D:I,6,0),0)</f>
        <v>35</v>
      </c>
      <c r="T83" s="78">
        <f t="shared" si="17"/>
        <v>32</v>
      </c>
      <c r="U83" s="79">
        <f t="shared" si="18"/>
        <v>-3</v>
      </c>
      <c r="V83" s="80">
        <f t="shared" si="19"/>
        <v>-8.5714285714285715E-2</v>
      </c>
      <c r="W83"/>
      <c r="X83"/>
      <c r="Y83"/>
    </row>
    <row r="84" spans="1:25" ht="17" outlineLevel="1" x14ac:dyDescent="0.2">
      <c r="A84" s="11" t="s">
        <v>57</v>
      </c>
      <c r="B84" s="71">
        <v>6190706</v>
      </c>
      <c r="C84" s="10" t="s">
        <v>58</v>
      </c>
      <c r="D84" s="306"/>
      <c r="E84" s="12" t="s">
        <v>231</v>
      </c>
      <c r="F84" s="10" t="s">
        <v>234</v>
      </c>
      <c r="G84" s="73">
        <f>IFERROR(VLOOKUP($B84,'[1]KPI Promotor'!$G:$K,5,0),0)</f>
        <v>120000000</v>
      </c>
      <c r="H84" s="74">
        <f>SUMIF('[1]SALES BY PROMOTOR'!$D:$D,$F84,'[1]SALES BY PROMOTOR'!$J:$J)</f>
        <v>138064000</v>
      </c>
      <c r="I84" s="75">
        <f t="shared" si="10"/>
        <v>1.1505333333333334</v>
      </c>
      <c r="J84" s="73">
        <f t="shared" si="11"/>
        <v>147925714.28571427</v>
      </c>
      <c r="K84" s="76">
        <f t="shared" si="12"/>
        <v>3835111.111111111</v>
      </c>
      <c r="L84" s="77">
        <f>SUMIF('[1]SALES BY PROMOTOR'!$D:$D,$F84,'[1]SALES BY PROMOTOR'!$G:$G)</f>
        <v>19</v>
      </c>
      <c r="M84" s="77">
        <f>SUMIF('[1]SALES BY PROMOTOR'!$D:$D,$F84,'[1]SALES BY PROMOTOR'!$I:$I)</f>
        <v>36</v>
      </c>
      <c r="N84" s="75">
        <f t="shared" si="13"/>
        <v>0.52777777777777779</v>
      </c>
      <c r="O84" s="78">
        <f>IFERROR(VLOOKUP($F84,'[1]Sales By Promotor Last Month'!D:G,4,0),0)</f>
        <v>12</v>
      </c>
      <c r="P84" s="78">
        <f t="shared" si="14"/>
        <v>19</v>
      </c>
      <c r="Q84" s="79">
        <f t="shared" si="15"/>
        <v>7</v>
      </c>
      <c r="R84" s="80">
        <f t="shared" si="16"/>
        <v>0.58333333333333337</v>
      </c>
      <c r="S84" s="78">
        <f>IFERROR(VLOOKUP($F84,'[1]Sales By Promotor Last Month'!D:I,6,0),0)</f>
        <v>36</v>
      </c>
      <c r="T84" s="78">
        <f t="shared" si="17"/>
        <v>36</v>
      </c>
      <c r="U84" s="79">
        <f t="shared" si="18"/>
        <v>0</v>
      </c>
      <c r="V84" s="80">
        <f t="shared" si="19"/>
        <v>0</v>
      </c>
      <c r="W84"/>
      <c r="X84"/>
      <c r="Y84"/>
    </row>
    <row r="85" spans="1:25" ht="17" outlineLevel="1" x14ac:dyDescent="0.2">
      <c r="A85" s="11" t="s">
        <v>57</v>
      </c>
      <c r="B85" s="71">
        <v>6190706</v>
      </c>
      <c r="C85" s="10" t="s">
        <v>58</v>
      </c>
      <c r="D85" s="306"/>
      <c r="E85" s="12" t="s">
        <v>231</v>
      </c>
      <c r="F85" s="10" t="s">
        <v>235</v>
      </c>
      <c r="G85" s="73">
        <f>IFERROR(VLOOKUP($B85,'[1]KPI Promotor'!$G:$K,5,0),0)</f>
        <v>120000000</v>
      </c>
      <c r="H85" s="74">
        <f>SUMIF('[1]SALES BY PROMOTOR'!$D:$D,$F85,'[1]SALES BY PROMOTOR'!$J:$J)</f>
        <v>130670000</v>
      </c>
      <c r="I85" s="75">
        <f t="shared" si="10"/>
        <v>1.0889166666666668</v>
      </c>
      <c r="J85" s="73">
        <f t="shared" si="11"/>
        <v>140003571.42857143</v>
      </c>
      <c r="K85" s="76">
        <f t="shared" si="12"/>
        <v>4355666.666666667</v>
      </c>
      <c r="L85" s="77">
        <f>SUMIF('[1]SALES BY PROMOTOR'!$D:$D,$F85,'[1]SALES BY PROMOTOR'!$G:$G)</f>
        <v>18</v>
      </c>
      <c r="M85" s="77">
        <f>SUMIF('[1]SALES BY PROMOTOR'!$D:$D,$F85,'[1]SALES BY PROMOTOR'!$I:$I)</f>
        <v>30</v>
      </c>
      <c r="N85" s="75">
        <f t="shared" si="13"/>
        <v>0.6</v>
      </c>
      <c r="O85" s="78">
        <f>IFERROR(VLOOKUP($F85,'[1]Sales By Promotor Last Month'!D:G,4,0),0)</f>
        <v>15</v>
      </c>
      <c r="P85" s="78">
        <f t="shared" si="14"/>
        <v>18</v>
      </c>
      <c r="Q85" s="79">
        <f t="shared" si="15"/>
        <v>3</v>
      </c>
      <c r="R85" s="80">
        <f t="shared" si="16"/>
        <v>0.2</v>
      </c>
      <c r="S85" s="78">
        <f>IFERROR(VLOOKUP($F85,'[1]Sales By Promotor Last Month'!D:I,6,0),0)</f>
        <v>29</v>
      </c>
      <c r="T85" s="78">
        <f t="shared" si="17"/>
        <v>30</v>
      </c>
      <c r="U85" s="79">
        <f t="shared" si="18"/>
        <v>1</v>
      </c>
      <c r="V85" s="80">
        <f t="shared" si="19"/>
        <v>3.4482758620689655E-2</v>
      </c>
      <c r="W85"/>
      <c r="X85"/>
      <c r="Y85"/>
    </row>
    <row r="86" spans="1:25" ht="17" outlineLevel="1" x14ac:dyDescent="0.2">
      <c r="A86" s="11" t="s">
        <v>57</v>
      </c>
      <c r="B86" s="71">
        <v>6190707</v>
      </c>
      <c r="C86" s="10" t="s">
        <v>59</v>
      </c>
      <c r="D86" s="306">
        <v>4</v>
      </c>
      <c r="E86" s="12" t="s">
        <v>236</v>
      </c>
      <c r="F86" s="10" t="s">
        <v>237</v>
      </c>
      <c r="G86" s="73">
        <f>IFERROR(VLOOKUP($B86,'[1]KPI Promotor'!$G:$K,5,0),0)</f>
        <v>120000000</v>
      </c>
      <c r="H86" s="74">
        <f>SUMIF('[1]SALES BY PROMOTOR'!$D:$D,$F86,'[1]SALES BY PROMOTOR'!$J:$J)</f>
        <v>150463000</v>
      </c>
      <c r="I86" s="75">
        <f t="shared" si="10"/>
        <v>1.2538583333333333</v>
      </c>
      <c r="J86" s="73">
        <f t="shared" si="11"/>
        <v>161210357.14285716</v>
      </c>
      <c r="K86" s="76">
        <f t="shared" si="12"/>
        <v>4066567.5675675673</v>
      </c>
      <c r="L86" s="77">
        <f>SUMIF('[1]SALES BY PROMOTOR'!$D:$D,$F86,'[1]SALES BY PROMOTOR'!$G:$G)</f>
        <v>21</v>
      </c>
      <c r="M86" s="77">
        <f>SUMIF('[1]SALES BY PROMOTOR'!$D:$D,$F86,'[1]SALES BY PROMOTOR'!$I:$I)</f>
        <v>37</v>
      </c>
      <c r="N86" s="75">
        <f t="shared" si="13"/>
        <v>0.56756756756756754</v>
      </c>
      <c r="O86" s="78">
        <f>IFERROR(VLOOKUP($F86,'[1]Sales By Promotor Last Month'!D:G,4,0),0)</f>
        <v>14</v>
      </c>
      <c r="P86" s="78">
        <f t="shared" si="14"/>
        <v>21</v>
      </c>
      <c r="Q86" s="79">
        <f t="shared" si="15"/>
        <v>7</v>
      </c>
      <c r="R86" s="80">
        <f t="shared" si="16"/>
        <v>0.5</v>
      </c>
      <c r="S86" s="78">
        <f>IFERROR(VLOOKUP($F86,'[1]Sales By Promotor Last Month'!D:I,6,0),0)</f>
        <v>36</v>
      </c>
      <c r="T86" s="78">
        <f t="shared" si="17"/>
        <v>37</v>
      </c>
      <c r="U86" s="79">
        <f t="shared" si="18"/>
        <v>1</v>
      </c>
      <c r="V86" s="80">
        <f t="shared" si="19"/>
        <v>2.7777777777777776E-2</v>
      </c>
      <c r="W86"/>
      <c r="X86"/>
      <c r="Y86"/>
    </row>
    <row r="87" spans="1:25" ht="17" outlineLevel="1" x14ac:dyDescent="0.2">
      <c r="A87" s="11" t="s">
        <v>57</v>
      </c>
      <c r="B87" s="19">
        <v>6190707</v>
      </c>
      <c r="C87" s="10" t="s">
        <v>59</v>
      </c>
      <c r="D87" s="306"/>
      <c r="E87" s="12" t="s">
        <v>236</v>
      </c>
      <c r="F87" s="10" t="s">
        <v>238</v>
      </c>
      <c r="G87" s="73">
        <f>IFERROR(VLOOKUP($B87,'[1]KPI Promotor'!$G:$K,5,0),0)</f>
        <v>120000000</v>
      </c>
      <c r="H87" s="74">
        <f>SUMIF('[1]SALES BY PROMOTOR'!$D:$D,$F87,'[1]SALES BY PROMOTOR'!$J:$J)</f>
        <v>103274000</v>
      </c>
      <c r="I87" s="75">
        <f t="shared" si="10"/>
        <v>0.8606166666666667</v>
      </c>
      <c r="J87" s="73">
        <f t="shared" si="11"/>
        <v>110650714.28571428</v>
      </c>
      <c r="K87" s="76">
        <f t="shared" si="12"/>
        <v>3972076.923076923</v>
      </c>
      <c r="L87" s="77">
        <f>SUMIF('[1]SALES BY PROMOTOR'!$D:$D,$F87,'[1]SALES BY PROMOTOR'!$G:$G)</f>
        <v>13</v>
      </c>
      <c r="M87" s="77">
        <f>SUMIF('[1]SALES BY PROMOTOR'!$D:$D,$F87,'[1]SALES BY PROMOTOR'!$I:$I)</f>
        <v>26</v>
      </c>
      <c r="N87" s="75">
        <f t="shared" si="13"/>
        <v>0.5</v>
      </c>
      <c r="O87" s="78">
        <f>IFERROR(VLOOKUP($F87,'[1]Sales By Promotor Last Month'!D:G,4,0),0)</f>
        <v>9</v>
      </c>
      <c r="P87" s="78">
        <f t="shared" si="14"/>
        <v>13</v>
      </c>
      <c r="Q87" s="79">
        <f t="shared" si="15"/>
        <v>4</v>
      </c>
      <c r="R87" s="80">
        <f t="shared" si="16"/>
        <v>0.44444444444444442</v>
      </c>
      <c r="S87" s="78">
        <f>IFERROR(VLOOKUP($F87,'[1]Sales By Promotor Last Month'!D:I,6,0),0)</f>
        <v>21</v>
      </c>
      <c r="T87" s="78">
        <f t="shared" si="17"/>
        <v>26</v>
      </c>
      <c r="U87" s="79">
        <f t="shared" si="18"/>
        <v>5</v>
      </c>
      <c r="V87" s="80">
        <f t="shared" si="19"/>
        <v>0.23809523809523808</v>
      </c>
      <c r="W87"/>
      <c r="X87"/>
      <c r="Y87"/>
    </row>
    <row r="88" spans="1:25" ht="17" outlineLevel="1" x14ac:dyDescent="0.2">
      <c r="A88" s="11" t="s">
        <v>57</v>
      </c>
      <c r="B88" s="19">
        <v>6190707</v>
      </c>
      <c r="C88" s="10" t="s">
        <v>59</v>
      </c>
      <c r="D88" s="306"/>
      <c r="E88" s="12" t="s">
        <v>236</v>
      </c>
      <c r="F88" s="10" t="s">
        <v>239</v>
      </c>
      <c r="G88" s="73">
        <f>IFERROR(VLOOKUP($B88,'[1]KPI Promotor'!$G:$K,5,0),0)</f>
        <v>120000000</v>
      </c>
      <c r="H88" s="74">
        <f>SUMIF('[1]SALES BY PROMOTOR'!$D:$D,$F88,'[1]SALES BY PROMOTOR'!$J:$J)</f>
        <v>121063000</v>
      </c>
      <c r="I88" s="75">
        <f t="shared" si="10"/>
        <v>1.0088583333333334</v>
      </c>
      <c r="J88" s="73">
        <f t="shared" si="11"/>
        <v>129710357.14285715</v>
      </c>
      <c r="K88" s="76">
        <f t="shared" si="12"/>
        <v>3271972.9729729728</v>
      </c>
      <c r="L88" s="77">
        <f>SUMIF('[1]SALES BY PROMOTOR'!$D:$D,$F88,'[1]SALES BY PROMOTOR'!$G:$G)</f>
        <v>12</v>
      </c>
      <c r="M88" s="77">
        <f>SUMIF('[1]SALES BY PROMOTOR'!$D:$D,$F88,'[1]SALES BY PROMOTOR'!$I:$I)</f>
        <v>37</v>
      </c>
      <c r="N88" s="75">
        <f t="shared" si="13"/>
        <v>0.32432432432432434</v>
      </c>
      <c r="O88" s="78">
        <f>IFERROR(VLOOKUP($F88,'[1]Sales By Promotor Last Month'!D:G,4,0),0)</f>
        <v>9</v>
      </c>
      <c r="P88" s="78">
        <f t="shared" si="14"/>
        <v>12</v>
      </c>
      <c r="Q88" s="79">
        <f t="shared" si="15"/>
        <v>3</v>
      </c>
      <c r="R88" s="80">
        <f t="shared" si="16"/>
        <v>0.33333333333333331</v>
      </c>
      <c r="S88" s="78">
        <f>IFERROR(VLOOKUP($F88,'[1]Sales By Promotor Last Month'!D:I,6,0),0)</f>
        <v>36</v>
      </c>
      <c r="T88" s="78">
        <f t="shared" si="17"/>
        <v>37</v>
      </c>
      <c r="U88" s="79">
        <f t="shared" si="18"/>
        <v>1</v>
      </c>
      <c r="V88" s="80">
        <f t="shared" si="19"/>
        <v>2.7777777777777776E-2</v>
      </c>
      <c r="W88"/>
      <c r="X88"/>
      <c r="Y88"/>
    </row>
    <row r="89" spans="1:25" ht="17" outlineLevel="1" x14ac:dyDescent="0.2">
      <c r="A89" s="11" t="s">
        <v>57</v>
      </c>
      <c r="B89" s="19">
        <v>6190707</v>
      </c>
      <c r="C89" s="10" t="s">
        <v>59</v>
      </c>
      <c r="D89" s="306"/>
      <c r="E89" s="12" t="s">
        <v>236</v>
      </c>
      <c r="F89" s="10" t="s">
        <v>240</v>
      </c>
      <c r="G89" s="73">
        <f>IFERROR(VLOOKUP($B89,'[1]KPI Promotor'!$G:$K,5,0),0)</f>
        <v>120000000</v>
      </c>
      <c r="H89" s="74">
        <f>SUMIF('[1]SALES BY PROMOTOR'!$D:$D,$F89,'[1]SALES BY PROMOTOR'!$J:$J)</f>
        <v>121364000</v>
      </c>
      <c r="I89" s="75">
        <f t="shared" si="10"/>
        <v>1.0113666666666667</v>
      </c>
      <c r="J89" s="73">
        <f t="shared" si="11"/>
        <v>130032857.14285715</v>
      </c>
      <c r="K89" s="76">
        <f t="shared" si="12"/>
        <v>3371222.222222222</v>
      </c>
      <c r="L89" s="77">
        <f>SUMIF('[1]SALES BY PROMOTOR'!$D:$D,$F89,'[1]SALES BY PROMOTOR'!$G:$G)</f>
        <v>16</v>
      </c>
      <c r="M89" s="77">
        <f>SUMIF('[1]SALES BY PROMOTOR'!$D:$D,$F89,'[1]SALES BY PROMOTOR'!$I:$I)</f>
        <v>36</v>
      </c>
      <c r="N89" s="75">
        <f t="shared" si="13"/>
        <v>0.44444444444444442</v>
      </c>
      <c r="O89" s="78">
        <f>IFERROR(VLOOKUP($F89,'[1]Sales By Promotor Last Month'!D:G,4,0),0)</f>
        <v>7</v>
      </c>
      <c r="P89" s="78">
        <f t="shared" si="14"/>
        <v>16</v>
      </c>
      <c r="Q89" s="79">
        <f t="shared" si="15"/>
        <v>9</v>
      </c>
      <c r="R89" s="80">
        <f t="shared" si="16"/>
        <v>1.2857142857142858</v>
      </c>
      <c r="S89" s="78">
        <f>IFERROR(VLOOKUP($F89,'[1]Sales By Promotor Last Month'!D:I,6,0),0)</f>
        <v>17</v>
      </c>
      <c r="T89" s="78">
        <f t="shared" si="17"/>
        <v>36</v>
      </c>
      <c r="U89" s="79">
        <f t="shared" si="18"/>
        <v>19</v>
      </c>
      <c r="V89" s="80">
        <f t="shared" si="19"/>
        <v>1.1176470588235294</v>
      </c>
      <c r="W89"/>
      <c r="X89"/>
      <c r="Y89"/>
    </row>
    <row r="90" spans="1:25" ht="17" outlineLevel="1" x14ac:dyDescent="0.2">
      <c r="A90" s="11" t="s">
        <v>57</v>
      </c>
      <c r="B90" s="19">
        <v>6190708</v>
      </c>
      <c r="C90" s="10" t="s">
        <v>59</v>
      </c>
      <c r="D90" s="81">
        <v>1</v>
      </c>
      <c r="E90" s="12" t="s">
        <v>241</v>
      </c>
      <c r="F90" s="10" t="s">
        <v>242</v>
      </c>
      <c r="G90" s="73">
        <f>IFERROR(VLOOKUP($B90,'[1]KPI Promotor'!$G:$K,5,0),0)</f>
        <v>0</v>
      </c>
      <c r="H90" s="74">
        <f>SUMIF('[1]SALES BY PROMOTOR'!$D:$D,$F90,'[1]SALES BY PROMOTOR'!$J:$J)</f>
        <v>29491000</v>
      </c>
      <c r="I90" s="75">
        <f t="shared" si="10"/>
        <v>0</v>
      </c>
      <c r="J90" s="73">
        <f t="shared" si="11"/>
        <v>31597500</v>
      </c>
      <c r="K90" s="76">
        <f t="shared" si="12"/>
        <v>3276777.777777778</v>
      </c>
      <c r="L90" s="77">
        <f>SUMIF('[1]SALES BY PROMOTOR'!$D:$D,$F90,'[1]SALES BY PROMOTOR'!$G:$G)</f>
        <v>1</v>
      </c>
      <c r="M90" s="77">
        <f>SUMIF('[1]SALES BY PROMOTOR'!$D:$D,$F90,'[1]SALES BY PROMOTOR'!$I:$I)</f>
        <v>9</v>
      </c>
      <c r="N90" s="75">
        <f t="shared" si="13"/>
        <v>0.1111111111111111</v>
      </c>
      <c r="O90" s="78">
        <f>IFERROR(VLOOKUP($F90,'[1]Sales By Promotor Last Month'!D:G,4,0),0)</f>
        <v>3</v>
      </c>
      <c r="P90" s="78">
        <f t="shared" si="14"/>
        <v>1</v>
      </c>
      <c r="Q90" s="79">
        <f t="shared" si="15"/>
        <v>-2</v>
      </c>
      <c r="R90" s="80">
        <f t="shared" si="16"/>
        <v>-0.66666666666666663</v>
      </c>
      <c r="S90" s="78">
        <f>IFERROR(VLOOKUP($F90,'[1]Sales By Promotor Last Month'!D:I,6,0),0)</f>
        <v>15</v>
      </c>
      <c r="T90" s="78">
        <f t="shared" si="17"/>
        <v>9</v>
      </c>
      <c r="U90" s="79">
        <f t="shared" si="18"/>
        <v>-6</v>
      </c>
      <c r="V90" s="80">
        <f t="shared" si="19"/>
        <v>-0.4</v>
      </c>
      <c r="W90"/>
      <c r="X90"/>
      <c r="Y90"/>
    </row>
    <row r="91" spans="1:25" ht="17" outlineLevel="1" x14ac:dyDescent="0.2">
      <c r="A91" s="11" t="s">
        <v>243</v>
      </c>
      <c r="B91" s="71">
        <v>6170706</v>
      </c>
      <c r="C91" s="10" t="s">
        <v>54</v>
      </c>
      <c r="D91" s="305">
        <v>3</v>
      </c>
      <c r="E91" s="12" t="s">
        <v>244</v>
      </c>
      <c r="F91" s="10" t="s">
        <v>245</v>
      </c>
      <c r="G91" s="73">
        <f>IFERROR(VLOOKUP($B91,'[1]KPI Promotor'!$G:$K,5,0),0)</f>
        <v>120000000</v>
      </c>
      <c r="H91" s="74">
        <f>SUMIF('[1]SALES BY PROMOTOR'!$D:$D,$F91,'[1]SALES BY PROMOTOR'!$J:$J)</f>
        <v>136257000</v>
      </c>
      <c r="I91" s="75">
        <f t="shared" si="10"/>
        <v>1.135475</v>
      </c>
      <c r="J91" s="73">
        <f t="shared" si="11"/>
        <v>145989642.85714284</v>
      </c>
      <c r="K91" s="76">
        <f t="shared" si="12"/>
        <v>3168767.4418604653</v>
      </c>
      <c r="L91" s="77">
        <f>SUMIF('[1]SALES BY PROMOTOR'!$D:$D,$F91,'[1]SALES BY PROMOTOR'!$G:$G)</f>
        <v>14</v>
      </c>
      <c r="M91" s="77">
        <f>SUMIF('[1]SALES BY PROMOTOR'!$D:$D,$F91,'[1]SALES BY PROMOTOR'!$I:$I)</f>
        <v>43</v>
      </c>
      <c r="N91" s="75">
        <f t="shared" si="13"/>
        <v>0.32558139534883723</v>
      </c>
      <c r="O91" s="78">
        <f>IFERROR(VLOOKUP($F91,'[1]Sales By Promotor Last Month'!D:G,4,0),0)</f>
        <v>7</v>
      </c>
      <c r="P91" s="78">
        <f t="shared" si="14"/>
        <v>14</v>
      </c>
      <c r="Q91" s="79">
        <f t="shared" si="15"/>
        <v>7</v>
      </c>
      <c r="R91" s="80">
        <f t="shared" si="16"/>
        <v>1</v>
      </c>
      <c r="S91" s="78">
        <f>IFERROR(VLOOKUP($F91,'[1]Sales By Promotor Last Month'!D:I,6,0),0)</f>
        <v>37</v>
      </c>
      <c r="T91" s="78">
        <f t="shared" si="17"/>
        <v>43</v>
      </c>
      <c r="U91" s="79">
        <f t="shared" si="18"/>
        <v>6</v>
      </c>
      <c r="V91" s="80">
        <f t="shared" si="19"/>
        <v>0.16216216216216217</v>
      </c>
      <c r="W91"/>
      <c r="X91"/>
      <c r="Y91"/>
    </row>
    <row r="92" spans="1:25" ht="17" outlineLevel="1" x14ac:dyDescent="0.2">
      <c r="A92" s="11" t="s">
        <v>243</v>
      </c>
      <c r="B92" s="71">
        <v>6170706</v>
      </c>
      <c r="C92" s="10" t="s">
        <v>54</v>
      </c>
      <c r="D92" s="306"/>
      <c r="E92" s="12" t="s">
        <v>244</v>
      </c>
      <c r="F92" s="10" t="s">
        <v>246</v>
      </c>
      <c r="G92" s="73">
        <f>IFERROR(VLOOKUP($B92,'[1]KPI Promotor'!$G:$K,5,0),0)</f>
        <v>120000000</v>
      </c>
      <c r="H92" s="74">
        <f>SUMIF('[1]SALES BY PROMOTOR'!$D:$D,$F92,'[1]SALES BY PROMOTOR'!$J:$J)</f>
        <v>0</v>
      </c>
      <c r="I92" s="75">
        <f t="shared" si="10"/>
        <v>0</v>
      </c>
      <c r="J92" s="73">
        <f t="shared" si="11"/>
        <v>0</v>
      </c>
      <c r="K92" s="76">
        <f t="shared" si="12"/>
        <v>0</v>
      </c>
      <c r="L92" s="77">
        <f>SUMIF('[1]SALES BY PROMOTOR'!$D:$D,$F92,'[1]SALES BY PROMOTOR'!$G:$G)</f>
        <v>0</v>
      </c>
      <c r="M92" s="77">
        <f>SUMIF('[1]SALES BY PROMOTOR'!$D:$D,$F92,'[1]SALES BY PROMOTOR'!$I:$I)</f>
        <v>0</v>
      </c>
      <c r="N92" s="75">
        <f t="shared" si="13"/>
        <v>0</v>
      </c>
      <c r="O92" s="78">
        <f>IFERROR(VLOOKUP($F92,'[1]Sales By Promotor Last Month'!D:G,4,0),0)</f>
        <v>1</v>
      </c>
      <c r="P92" s="78">
        <f t="shared" si="14"/>
        <v>0</v>
      </c>
      <c r="Q92" s="79">
        <f t="shared" si="15"/>
        <v>-1</v>
      </c>
      <c r="R92" s="80">
        <f t="shared" si="16"/>
        <v>-1</v>
      </c>
      <c r="S92" s="78">
        <f>IFERROR(VLOOKUP($F92,'[1]Sales By Promotor Last Month'!D:I,6,0),0)</f>
        <v>13</v>
      </c>
      <c r="T92" s="78">
        <f t="shared" si="17"/>
        <v>0</v>
      </c>
      <c r="U92" s="79">
        <f t="shared" si="18"/>
        <v>-13</v>
      </c>
      <c r="V92" s="80">
        <f t="shared" si="19"/>
        <v>-1</v>
      </c>
      <c r="W92"/>
      <c r="X92"/>
      <c r="Y92"/>
    </row>
    <row r="93" spans="1:25" ht="17" outlineLevel="1" x14ac:dyDescent="0.2">
      <c r="A93" s="11" t="s">
        <v>243</v>
      </c>
      <c r="B93" s="71">
        <v>6170706</v>
      </c>
      <c r="C93" s="10" t="s">
        <v>54</v>
      </c>
      <c r="D93" s="307"/>
      <c r="E93" s="12" t="s">
        <v>244</v>
      </c>
      <c r="F93" s="10" t="s">
        <v>247</v>
      </c>
      <c r="G93" s="73">
        <f>IFERROR(VLOOKUP($B93,'[1]KPI Promotor'!$G:$K,5,0),0)</f>
        <v>120000000</v>
      </c>
      <c r="H93" s="74">
        <f>SUMIF('[1]SALES BY PROMOTOR'!$D:$D,$F93,'[1]SALES BY PROMOTOR'!$J:$J)</f>
        <v>54586000</v>
      </c>
      <c r="I93" s="75">
        <f t="shared" si="10"/>
        <v>0.45488333333333331</v>
      </c>
      <c r="J93" s="73">
        <f t="shared" si="11"/>
        <v>58485000</v>
      </c>
      <c r="K93" s="76">
        <f t="shared" si="12"/>
        <v>3899000</v>
      </c>
      <c r="L93" s="77">
        <f>SUMIF('[1]SALES BY PROMOTOR'!$D:$D,$F93,'[1]SALES BY PROMOTOR'!$G:$G)</f>
        <v>6</v>
      </c>
      <c r="M93" s="77">
        <f>SUMIF('[1]SALES BY PROMOTOR'!$D:$D,$F93,'[1]SALES BY PROMOTOR'!$I:$I)</f>
        <v>14</v>
      </c>
      <c r="N93" s="75">
        <f t="shared" si="13"/>
        <v>0.42857142857142855</v>
      </c>
      <c r="O93" s="78">
        <f>IFERROR(VLOOKUP($F93,'[1]Sales By Promotor Last Month'!D:G,4,0),0)</f>
        <v>6</v>
      </c>
      <c r="P93" s="78">
        <f t="shared" si="14"/>
        <v>6</v>
      </c>
      <c r="Q93" s="79">
        <f t="shared" si="15"/>
        <v>0</v>
      </c>
      <c r="R93" s="80">
        <f t="shared" si="16"/>
        <v>0</v>
      </c>
      <c r="S93" s="78">
        <f>IFERROR(VLOOKUP($F93,'[1]Sales By Promotor Last Month'!D:I,6,0),0)</f>
        <v>35</v>
      </c>
      <c r="T93" s="78">
        <f t="shared" si="17"/>
        <v>14</v>
      </c>
      <c r="U93" s="79">
        <f t="shared" si="18"/>
        <v>-21</v>
      </c>
      <c r="V93" s="80">
        <f t="shared" si="19"/>
        <v>-0.6</v>
      </c>
      <c r="W93"/>
      <c r="X93"/>
      <c r="Y93"/>
    </row>
    <row r="94" spans="1:25" ht="17" outlineLevel="1" x14ac:dyDescent="0.2">
      <c r="A94" s="11" t="s">
        <v>243</v>
      </c>
      <c r="B94" s="71">
        <v>6170707</v>
      </c>
      <c r="C94" s="10" t="s">
        <v>248</v>
      </c>
      <c r="D94" s="305">
        <v>3</v>
      </c>
      <c r="E94" s="12" t="s">
        <v>249</v>
      </c>
      <c r="F94" s="10" t="s">
        <v>250</v>
      </c>
      <c r="G94" s="73">
        <f>IFERROR(VLOOKUP($B94,'[1]KPI Promotor'!$G:$K,5,0),0)</f>
        <v>120000000</v>
      </c>
      <c r="H94" s="74">
        <f>SUMIF('[1]SALES BY PROMOTOR'!$D:$D,$F94,'[1]SALES BY PROMOTOR'!$J:$J)</f>
        <v>108364000</v>
      </c>
      <c r="I94" s="75">
        <f t="shared" si="10"/>
        <v>0.90303333333333335</v>
      </c>
      <c r="J94" s="73">
        <f t="shared" si="11"/>
        <v>116104285.71428572</v>
      </c>
      <c r="K94" s="76">
        <f t="shared" si="12"/>
        <v>3010111.111111111</v>
      </c>
      <c r="L94" s="77">
        <f>SUMIF('[1]SALES BY PROMOTOR'!$D:$D,$F94,'[1]SALES BY PROMOTOR'!$G:$G)</f>
        <v>9</v>
      </c>
      <c r="M94" s="77">
        <f>SUMIF('[1]SALES BY PROMOTOR'!$D:$D,$F94,'[1]SALES BY PROMOTOR'!$I:$I)</f>
        <v>36</v>
      </c>
      <c r="N94" s="75">
        <f t="shared" si="13"/>
        <v>0.25</v>
      </c>
      <c r="O94" s="78">
        <f>IFERROR(VLOOKUP($F94,'[1]Sales By Promotor Last Month'!D:G,4,0),0)</f>
        <v>10</v>
      </c>
      <c r="P94" s="78">
        <f t="shared" si="14"/>
        <v>9</v>
      </c>
      <c r="Q94" s="79">
        <f t="shared" si="15"/>
        <v>-1</v>
      </c>
      <c r="R94" s="80">
        <f t="shared" si="16"/>
        <v>-0.1</v>
      </c>
      <c r="S94" s="78">
        <f>IFERROR(VLOOKUP($F94,'[1]Sales By Promotor Last Month'!D:I,6,0),0)</f>
        <v>35</v>
      </c>
      <c r="T94" s="78">
        <f t="shared" si="17"/>
        <v>36</v>
      </c>
      <c r="U94" s="79">
        <f t="shared" si="18"/>
        <v>1</v>
      </c>
      <c r="V94" s="80">
        <f t="shared" si="19"/>
        <v>2.8571428571428571E-2</v>
      </c>
      <c r="W94"/>
      <c r="X94"/>
      <c r="Y94"/>
    </row>
    <row r="95" spans="1:25" ht="17" outlineLevel="1" x14ac:dyDescent="0.2">
      <c r="A95" s="11" t="s">
        <v>243</v>
      </c>
      <c r="B95" s="71">
        <v>6170707</v>
      </c>
      <c r="C95" s="10" t="s">
        <v>248</v>
      </c>
      <c r="D95" s="306"/>
      <c r="E95" s="12" t="s">
        <v>249</v>
      </c>
      <c r="F95" s="10" t="s">
        <v>251</v>
      </c>
      <c r="G95" s="73">
        <f>IFERROR(VLOOKUP($B95,'[1]KPI Promotor'!$G:$K,5,0),0)</f>
        <v>120000000</v>
      </c>
      <c r="H95" s="74">
        <f>SUMIF('[1]SALES BY PROMOTOR'!$D:$D,$F95,'[1]SALES BY PROMOTOR'!$J:$J)</f>
        <v>108268000</v>
      </c>
      <c r="I95" s="75">
        <f t="shared" si="10"/>
        <v>0.90223333333333333</v>
      </c>
      <c r="J95" s="73">
        <f t="shared" si="11"/>
        <v>116001428.57142858</v>
      </c>
      <c r="K95" s="76">
        <f t="shared" si="12"/>
        <v>3383375</v>
      </c>
      <c r="L95" s="77">
        <f>SUMIF('[1]SALES BY PROMOTOR'!$D:$D,$F95,'[1]SALES BY PROMOTOR'!$G:$G)</f>
        <v>13</v>
      </c>
      <c r="M95" s="77">
        <f>SUMIF('[1]SALES BY PROMOTOR'!$D:$D,$F95,'[1]SALES BY PROMOTOR'!$I:$I)</f>
        <v>32</v>
      </c>
      <c r="N95" s="75">
        <f t="shared" si="13"/>
        <v>0.40625</v>
      </c>
      <c r="O95" s="78">
        <f>IFERROR(VLOOKUP($F95,'[1]Sales By Promotor Last Month'!D:G,4,0),0)</f>
        <v>7</v>
      </c>
      <c r="P95" s="78">
        <f t="shared" si="14"/>
        <v>13</v>
      </c>
      <c r="Q95" s="79">
        <f t="shared" si="15"/>
        <v>6</v>
      </c>
      <c r="R95" s="80">
        <f t="shared" si="16"/>
        <v>0.8571428571428571</v>
      </c>
      <c r="S95" s="78">
        <f>IFERROR(VLOOKUP($F95,'[1]Sales By Promotor Last Month'!D:I,6,0),0)</f>
        <v>35</v>
      </c>
      <c r="T95" s="78">
        <f t="shared" si="17"/>
        <v>32</v>
      </c>
      <c r="U95" s="79">
        <f t="shared" si="18"/>
        <v>-3</v>
      </c>
      <c r="V95" s="80">
        <f t="shared" si="19"/>
        <v>-8.5714285714285715E-2</v>
      </c>
      <c r="W95"/>
      <c r="X95"/>
      <c r="Y95"/>
    </row>
    <row r="96" spans="1:25" ht="17" outlineLevel="1" x14ac:dyDescent="0.2">
      <c r="A96" s="11" t="s">
        <v>243</v>
      </c>
      <c r="B96" s="71">
        <v>6170707</v>
      </c>
      <c r="C96" s="10" t="s">
        <v>248</v>
      </c>
      <c r="D96" s="307"/>
      <c r="E96" s="12" t="s">
        <v>249</v>
      </c>
      <c r="F96" s="10" t="s">
        <v>252</v>
      </c>
      <c r="G96" s="73">
        <f>IFERROR(VLOOKUP($B96,'[1]KPI Promotor'!$G:$K,5,0),0)</f>
        <v>120000000</v>
      </c>
      <c r="H96" s="74">
        <f>SUMIF('[1]SALES BY PROMOTOR'!$D:$D,$F96,'[1]SALES BY PROMOTOR'!$J:$J)</f>
        <v>111972000</v>
      </c>
      <c r="I96" s="75">
        <f t="shared" si="10"/>
        <v>0.93310000000000004</v>
      </c>
      <c r="J96" s="73">
        <f t="shared" si="11"/>
        <v>119970000</v>
      </c>
      <c r="K96" s="76">
        <f t="shared" si="12"/>
        <v>3999000</v>
      </c>
      <c r="L96" s="77">
        <f>SUMIF('[1]SALES BY PROMOTOR'!$D:$D,$F96,'[1]SALES BY PROMOTOR'!$G:$G)</f>
        <v>14</v>
      </c>
      <c r="M96" s="77">
        <f>SUMIF('[1]SALES BY PROMOTOR'!$D:$D,$F96,'[1]SALES BY PROMOTOR'!$I:$I)</f>
        <v>28</v>
      </c>
      <c r="N96" s="75">
        <f t="shared" si="13"/>
        <v>0.5</v>
      </c>
      <c r="O96" s="78">
        <f>IFERROR(VLOOKUP($F96,'[1]Sales By Promotor Last Month'!D:G,4,0),0)</f>
        <v>3</v>
      </c>
      <c r="P96" s="78">
        <f t="shared" si="14"/>
        <v>14</v>
      </c>
      <c r="Q96" s="79">
        <f t="shared" si="15"/>
        <v>11</v>
      </c>
      <c r="R96" s="80">
        <f t="shared" si="16"/>
        <v>3.6666666666666665</v>
      </c>
      <c r="S96" s="78">
        <f>IFERROR(VLOOKUP($F96,'[1]Sales By Promotor Last Month'!D:I,6,0),0)</f>
        <v>11</v>
      </c>
      <c r="T96" s="78">
        <f t="shared" si="17"/>
        <v>28</v>
      </c>
      <c r="U96" s="79">
        <f t="shared" si="18"/>
        <v>17</v>
      </c>
      <c r="V96" s="80">
        <f t="shared" si="19"/>
        <v>1.5454545454545454</v>
      </c>
      <c r="W96"/>
      <c r="X96"/>
      <c r="Y96"/>
    </row>
    <row r="97" spans="1:25" ht="17" outlineLevel="1" x14ac:dyDescent="0.2">
      <c r="A97" s="11" t="s">
        <v>243</v>
      </c>
      <c r="B97" s="20">
        <v>6240701</v>
      </c>
      <c r="C97" s="10" t="s">
        <v>54</v>
      </c>
      <c r="D97" s="305">
        <v>3</v>
      </c>
      <c r="E97" s="21" t="s">
        <v>253</v>
      </c>
      <c r="F97" s="10" t="s">
        <v>254</v>
      </c>
      <c r="G97" s="73">
        <f>IFERROR(VLOOKUP($B97,'[1]KPI Promotor'!$G:$K,5,0),0)</f>
        <v>120000000</v>
      </c>
      <c r="H97" s="74">
        <f>SUMIF('[1]SALES BY PROMOTOR'!$D:$D,$F97,'[1]SALES BY PROMOTOR'!$J:$J)</f>
        <v>57783000</v>
      </c>
      <c r="I97" s="75">
        <f t="shared" si="10"/>
        <v>0.48152499999999998</v>
      </c>
      <c r="J97" s="73">
        <f t="shared" si="11"/>
        <v>61910357.142857142</v>
      </c>
      <c r="K97" s="76">
        <f t="shared" si="12"/>
        <v>3399000</v>
      </c>
      <c r="L97" s="77">
        <f>SUMIF('[1]SALES BY PROMOTOR'!$D:$D,$F97,'[1]SALES BY PROMOTOR'!$G:$G)</f>
        <v>8</v>
      </c>
      <c r="M97" s="77">
        <f>SUMIF('[1]SALES BY PROMOTOR'!$D:$D,$F97,'[1]SALES BY PROMOTOR'!$I:$I)</f>
        <v>17</v>
      </c>
      <c r="N97" s="75">
        <f t="shared" si="13"/>
        <v>0.47058823529411764</v>
      </c>
      <c r="O97" s="78">
        <f>IFERROR(VLOOKUP($F97,'[1]Sales By Promotor Last Month'!D:G,4,0),0)</f>
        <v>14</v>
      </c>
      <c r="P97" s="78">
        <f t="shared" si="14"/>
        <v>8</v>
      </c>
      <c r="Q97" s="79">
        <f t="shared" si="15"/>
        <v>-6</v>
      </c>
      <c r="R97" s="80">
        <f t="shared" si="16"/>
        <v>-0.42857142857142855</v>
      </c>
      <c r="S97" s="78">
        <f>IFERROR(VLOOKUP($F97,'[1]Sales By Promotor Last Month'!D:I,6,0),0)</f>
        <v>35</v>
      </c>
      <c r="T97" s="78">
        <f t="shared" si="17"/>
        <v>17</v>
      </c>
      <c r="U97" s="79">
        <f t="shared" si="18"/>
        <v>-18</v>
      </c>
      <c r="V97" s="80">
        <f t="shared" si="19"/>
        <v>-0.51428571428571423</v>
      </c>
      <c r="W97"/>
      <c r="X97"/>
      <c r="Y97"/>
    </row>
    <row r="98" spans="1:25" ht="17" outlineLevel="1" x14ac:dyDescent="0.2">
      <c r="A98" s="11" t="s">
        <v>243</v>
      </c>
      <c r="B98" s="20">
        <v>6240701</v>
      </c>
      <c r="C98" s="10" t="s">
        <v>54</v>
      </c>
      <c r="D98" s="306"/>
      <c r="E98" s="21" t="s">
        <v>253</v>
      </c>
      <c r="F98" s="10" t="s">
        <v>255</v>
      </c>
      <c r="G98" s="73">
        <f>IFERROR(VLOOKUP($B98,'[1]KPI Promotor'!$G:$K,5,0),0)</f>
        <v>120000000</v>
      </c>
      <c r="H98" s="74">
        <f>SUMIF('[1]SALES BY PROMOTOR'!$D:$D,$F98,'[1]SALES BY PROMOTOR'!$J:$J)</f>
        <v>49386000</v>
      </c>
      <c r="I98" s="75">
        <f t="shared" si="10"/>
        <v>0.41155000000000003</v>
      </c>
      <c r="J98" s="73">
        <f t="shared" si="11"/>
        <v>52913571.428571433</v>
      </c>
      <c r="K98" s="76">
        <f t="shared" si="12"/>
        <v>3527571.4285714286</v>
      </c>
      <c r="L98" s="77">
        <f>SUMIF('[1]SALES BY PROMOTOR'!$D:$D,$F98,'[1]SALES BY PROMOTOR'!$G:$G)</f>
        <v>6</v>
      </c>
      <c r="M98" s="77">
        <f>SUMIF('[1]SALES BY PROMOTOR'!$D:$D,$F98,'[1]SALES BY PROMOTOR'!$I:$I)</f>
        <v>14</v>
      </c>
      <c r="N98" s="75">
        <f t="shared" si="13"/>
        <v>0.42857142857142855</v>
      </c>
      <c r="O98" s="78">
        <f>IFERROR(VLOOKUP($F98,'[1]Sales By Promotor Last Month'!D:G,4,0),0)</f>
        <v>16</v>
      </c>
      <c r="P98" s="78">
        <f t="shared" si="14"/>
        <v>6</v>
      </c>
      <c r="Q98" s="79">
        <f t="shared" si="15"/>
        <v>-10</v>
      </c>
      <c r="R98" s="80">
        <f t="shared" si="16"/>
        <v>-0.625</v>
      </c>
      <c r="S98" s="78">
        <f>IFERROR(VLOOKUP($F98,'[1]Sales By Promotor Last Month'!D:I,6,0),0)</f>
        <v>35</v>
      </c>
      <c r="T98" s="78">
        <f t="shared" si="17"/>
        <v>14</v>
      </c>
      <c r="U98" s="79">
        <f t="shared" si="18"/>
        <v>-21</v>
      </c>
      <c r="V98" s="80">
        <f t="shared" si="19"/>
        <v>-0.6</v>
      </c>
      <c r="W98"/>
      <c r="X98"/>
      <c r="Y98"/>
    </row>
    <row r="99" spans="1:25" ht="17" outlineLevel="1" x14ac:dyDescent="0.2">
      <c r="A99" s="11" t="s">
        <v>243</v>
      </c>
      <c r="B99" s="20">
        <v>6240701</v>
      </c>
      <c r="C99" s="10" t="s">
        <v>54</v>
      </c>
      <c r="D99" s="307"/>
      <c r="E99" s="21" t="s">
        <v>253</v>
      </c>
      <c r="F99" s="10" t="s">
        <v>256</v>
      </c>
      <c r="G99" s="73">
        <f>IFERROR(VLOOKUP($B99,'[1]KPI Promotor'!$G:$K,5,0),0)</f>
        <v>120000000</v>
      </c>
      <c r="H99" s="74">
        <f>SUMIF('[1]SALES BY PROMOTOR'!$D:$D,$F99,'[1]SALES BY PROMOTOR'!$J:$J)</f>
        <v>129868000</v>
      </c>
      <c r="I99" s="75">
        <f t="shared" si="10"/>
        <v>1.0822333333333334</v>
      </c>
      <c r="J99" s="73">
        <f t="shared" si="11"/>
        <v>139144285.71428573</v>
      </c>
      <c r="K99" s="76">
        <f t="shared" si="12"/>
        <v>4058375</v>
      </c>
      <c r="L99" s="77">
        <f>SUMIF('[1]SALES BY PROMOTOR'!$D:$D,$F99,'[1]SALES BY PROMOTOR'!$G:$G)</f>
        <v>14</v>
      </c>
      <c r="M99" s="77">
        <f>SUMIF('[1]SALES BY PROMOTOR'!$D:$D,$F99,'[1]SALES BY PROMOTOR'!$I:$I)</f>
        <v>32</v>
      </c>
      <c r="N99" s="75">
        <f t="shared" si="13"/>
        <v>0.4375</v>
      </c>
      <c r="O99" s="78">
        <f>IFERROR(VLOOKUP($F99,'[1]Sales By Promotor Last Month'!D:G,4,0),0)</f>
        <v>10</v>
      </c>
      <c r="P99" s="78">
        <f t="shared" si="14"/>
        <v>14</v>
      </c>
      <c r="Q99" s="79">
        <f t="shared" si="15"/>
        <v>4</v>
      </c>
      <c r="R99" s="80">
        <f t="shared" si="16"/>
        <v>0.4</v>
      </c>
      <c r="S99" s="78">
        <f>IFERROR(VLOOKUP($F99,'[1]Sales By Promotor Last Month'!D:I,6,0),0)</f>
        <v>35</v>
      </c>
      <c r="T99" s="78">
        <f t="shared" si="17"/>
        <v>32</v>
      </c>
      <c r="U99" s="79">
        <f t="shared" si="18"/>
        <v>-3</v>
      </c>
      <c r="V99" s="80">
        <f t="shared" si="19"/>
        <v>-8.5714285714285715E-2</v>
      </c>
      <c r="W99"/>
      <c r="X99"/>
      <c r="Y99"/>
    </row>
    <row r="100" spans="1:25" ht="17" outlineLevel="1" x14ac:dyDescent="0.2">
      <c r="A100" s="11" t="s">
        <v>243</v>
      </c>
      <c r="B100" s="71">
        <v>6240702</v>
      </c>
      <c r="C100" s="10" t="s">
        <v>248</v>
      </c>
      <c r="D100" s="305">
        <v>3</v>
      </c>
      <c r="E100" s="12" t="s">
        <v>257</v>
      </c>
      <c r="F100" s="10" t="s">
        <v>258</v>
      </c>
      <c r="G100" s="73">
        <f>IFERROR(VLOOKUP($B100,'[1]KPI Promotor'!$G:$K,5,0),0)</f>
        <v>120000000</v>
      </c>
      <c r="H100" s="74">
        <f>SUMIF('[1]SALES BY PROMOTOR'!$D:$D,$F100,'[1]SALES BY PROMOTOR'!$J:$J)</f>
        <v>117373000</v>
      </c>
      <c r="I100" s="75">
        <f t="shared" si="10"/>
        <v>0.97810833333333336</v>
      </c>
      <c r="J100" s="73">
        <f t="shared" si="11"/>
        <v>125756785.71428572</v>
      </c>
      <c r="K100" s="76">
        <f t="shared" si="12"/>
        <v>4347148.1481481483</v>
      </c>
      <c r="L100" s="77">
        <f>SUMIF('[1]SALES BY PROMOTOR'!$D:$D,$F100,'[1]SALES BY PROMOTOR'!$G:$G)</f>
        <v>13</v>
      </c>
      <c r="M100" s="77">
        <f>SUMIF('[1]SALES BY PROMOTOR'!$D:$D,$F100,'[1]SALES BY PROMOTOR'!$I:$I)</f>
        <v>27</v>
      </c>
      <c r="N100" s="75">
        <f t="shared" si="13"/>
        <v>0.48148148148148145</v>
      </c>
      <c r="O100" s="78">
        <f>IFERROR(VLOOKUP($F100,'[1]Sales By Promotor Last Month'!D:G,4,0),0)</f>
        <v>13</v>
      </c>
      <c r="P100" s="78">
        <f t="shared" si="14"/>
        <v>13</v>
      </c>
      <c r="Q100" s="79">
        <f t="shared" si="15"/>
        <v>0</v>
      </c>
      <c r="R100" s="80">
        <f t="shared" si="16"/>
        <v>0</v>
      </c>
      <c r="S100" s="78">
        <f>IFERROR(VLOOKUP($F100,'[1]Sales By Promotor Last Month'!D:I,6,0),0)</f>
        <v>35</v>
      </c>
      <c r="T100" s="78">
        <f t="shared" si="17"/>
        <v>27</v>
      </c>
      <c r="U100" s="79">
        <f t="shared" si="18"/>
        <v>-8</v>
      </c>
      <c r="V100" s="80">
        <f t="shared" si="19"/>
        <v>-0.22857142857142856</v>
      </c>
      <c r="W100"/>
      <c r="X100"/>
      <c r="Y100"/>
    </row>
    <row r="101" spans="1:25" ht="17" outlineLevel="1" x14ac:dyDescent="0.2">
      <c r="A101" s="11" t="s">
        <v>243</v>
      </c>
      <c r="B101" s="71">
        <v>6240702</v>
      </c>
      <c r="C101" s="10" t="s">
        <v>248</v>
      </c>
      <c r="D101" s="306"/>
      <c r="E101" s="12" t="s">
        <v>257</v>
      </c>
      <c r="F101" s="10" t="s">
        <v>259</v>
      </c>
      <c r="G101" s="73">
        <f>IFERROR(VLOOKUP($B101,'[1]KPI Promotor'!$G:$K,5,0),0)</f>
        <v>120000000</v>
      </c>
      <c r="H101" s="74">
        <f>SUMIF('[1]SALES BY PROMOTOR'!$D:$D,$F101,'[1]SALES BY PROMOTOR'!$J:$J)</f>
        <v>142474000</v>
      </c>
      <c r="I101" s="75">
        <f t="shared" si="10"/>
        <v>1.1872833333333332</v>
      </c>
      <c r="J101" s="73">
        <f t="shared" si="11"/>
        <v>152650714.28571427</v>
      </c>
      <c r="K101" s="76">
        <f t="shared" si="12"/>
        <v>5479769.230769231</v>
      </c>
      <c r="L101" s="77">
        <f>SUMIF('[1]SALES BY PROMOTOR'!$D:$D,$F101,'[1]SALES BY PROMOTOR'!$G:$G)</f>
        <v>13</v>
      </c>
      <c r="M101" s="77">
        <f>SUMIF('[1]SALES BY PROMOTOR'!$D:$D,$F101,'[1]SALES BY PROMOTOR'!$I:$I)</f>
        <v>26</v>
      </c>
      <c r="N101" s="75">
        <f t="shared" si="13"/>
        <v>0.5</v>
      </c>
      <c r="O101" s="78">
        <f>IFERROR(VLOOKUP($F101,'[1]Sales By Promotor Last Month'!D:G,4,0),0)</f>
        <v>14</v>
      </c>
      <c r="P101" s="78">
        <f t="shared" si="14"/>
        <v>13</v>
      </c>
      <c r="Q101" s="79">
        <f t="shared" si="15"/>
        <v>-1</v>
      </c>
      <c r="R101" s="80">
        <f t="shared" si="16"/>
        <v>-7.1428571428571425E-2</v>
      </c>
      <c r="S101" s="78">
        <f>IFERROR(VLOOKUP($F101,'[1]Sales By Promotor Last Month'!D:I,6,0),0)</f>
        <v>35</v>
      </c>
      <c r="T101" s="78">
        <f t="shared" si="17"/>
        <v>26</v>
      </c>
      <c r="U101" s="79">
        <f t="shared" si="18"/>
        <v>-9</v>
      </c>
      <c r="V101" s="80">
        <f t="shared" si="19"/>
        <v>-0.25714285714285712</v>
      </c>
      <c r="W101"/>
      <c r="X101"/>
      <c r="Y101"/>
    </row>
    <row r="102" spans="1:25" ht="17" outlineLevel="1" x14ac:dyDescent="0.2">
      <c r="A102" s="11" t="s">
        <v>243</v>
      </c>
      <c r="B102" s="71">
        <v>6240702</v>
      </c>
      <c r="C102" s="10" t="s">
        <v>248</v>
      </c>
      <c r="D102" s="306"/>
      <c r="E102" s="12" t="s">
        <v>257</v>
      </c>
      <c r="F102" s="10" t="s">
        <v>260</v>
      </c>
      <c r="G102" s="73">
        <f>IFERROR(VLOOKUP($B102,'[1]KPI Promotor'!$G:$K,5,0),0)</f>
        <v>120000000</v>
      </c>
      <c r="H102" s="74">
        <f>SUMIF('[1]SALES BY PROMOTOR'!$D:$D,$F102,'[1]SALES BY PROMOTOR'!$J:$J)</f>
        <v>106171000</v>
      </c>
      <c r="I102" s="75">
        <f t="shared" si="10"/>
        <v>0.88475833333333331</v>
      </c>
      <c r="J102" s="73">
        <f t="shared" si="11"/>
        <v>113754642.85714287</v>
      </c>
      <c r="K102" s="76">
        <f t="shared" si="12"/>
        <v>3661068.9655172415</v>
      </c>
      <c r="L102" s="77">
        <f>SUMIF('[1]SALES BY PROMOTOR'!$D:$D,$F102,'[1]SALES BY PROMOTOR'!$G:$G)</f>
        <v>10</v>
      </c>
      <c r="M102" s="77">
        <f>SUMIF('[1]SALES BY PROMOTOR'!$D:$D,$F102,'[1]SALES BY PROMOTOR'!$I:$I)</f>
        <v>29</v>
      </c>
      <c r="N102" s="75">
        <f t="shared" si="13"/>
        <v>0.34482758620689657</v>
      </c>
      <c r="O102" s="78">
        <f>IFERROR(VLOOKUP($F102,'[1]Sales By Promotor Last Month'!D:G,4,0),0)</f>
        <v>15</v>
      </c>
      <c r="P102" s="78">
        <f t="shared" si="14"/>
        <v>10</v>
      </c>
      <c r="Q102" s="79">
        <f t="shared" si="15"/>
        <v>-5</v>
      </c>
      <c r="R102" s="80">
        <f t="shared" si="16"/>
        <v>-0.33333333333333331</v>
      </c>
      <c r="S102" s="78">
        <f>IFERROR(VLOOKUP($F102,'[1]Sales By Promotor Last Month'!D:I,6,0),0)</f>
        <v>35</v>
      </c>
      <c r="T102" s="78">
        <f t="shared" si="17"/>
        <v>29</v>
      </c>
      <c r="U102" s="79">
        <f t="shared" si="18"/>
        <v>-6</v>
      </c>
      <c r="V102" s="80">
        <f t="shared" si="19"/>
        <v>-0.17142857142857143</v>
      </c>
      <c r="W102"/>
      <c r="X102"/>
      <c r="Y102"/>
    </row>
    <row r="103" spans="1:25" ht="17" outlineLevel="1" x14ac:dyDescent="0.2">
      <c r="A103" s="11" t="s">
        <v>243</v>
      </c>
      <c r="B103" s="71">
        <v>6240703</v>
      </c>
      <c r="C103" s="10" t="s">
        <v>54</v>
      </c>
      <c r="D103" s="306">
        <v>3</v>
      </c>
      <c r="E103" s="12" t="s">
        <v>261</v>
      </c>
      <c r="F103" s="10" t="s">
        <v>262</v>
      </c>
      <c r="G103" s="73">
        <f>IFERROR(VLOOKUP($B103,'[1]KPI Promotor'!$G:$K,5,0),0)</f>
        <v>120000000</v>
      </c>
      <c r="H103" s="74">
        <f>SUMIF('[1]SALES BY PROMOTOR'!$D:$D,$F103,'[1]SALES BY PROMOTOR'!$J:$J)</f>
        <v>62280000</v>
      </c>
      <c r="I103" s="75">
        <f t="shared" si="10"/>
        <v>0.51900000000000002</v>
      </c>
      <c r="J103" s="73">
        <f t="shared" si="11"/>
        <v>66728571.428571425</v>
      </c>
      <c r="K103" s="76">
        <f t="shared" si="12"/>
        <v>3114000</v>
      </c>
      <c r="L103" s="77">
        <f>SUMIF('[1]SALES BY PROMOTOR'!$D:$D,$F103,'[1]SALES BY PROMOTOR'!$G:$G)</f>
        <v>6</v>
      </c>
      <c r="M103" s="77">
        <f>SUMIF('[1]SALES BY PROMOTOR'!$D:$D,$F103,'[1]SALES BY PROMOTOR'!$I:$I)</f>
        <v>20</v>
      </c>
      <c r="N103" s="75">
        <f t="shared" si="13"/>
        <v>0.3</v>
      </c>
      <c r="O103" s="78">
        <f>IFERROR(VLOOKUP($F103,'[1]Sales By Promotor Last Month'!D:G,4,0),0)</f>
        <v>18</v>
      </c>
      <c r="P103" s="78">
        <f t="shared" si="14"/>
        <v>6</v>
      </c>
      <c r="Q103" s="79">
        <f t="shared" si="15"/>
        <v>-12</v>
      </c>
      <c r="R103" s="80">
        <f t="shared" si="16"/>
        <v>-0.66666666666666663</v>
      </c>
      <c r="S103" s="78">
        <f>IFERROR(VLOOKUP($F103,'[1]Sales By Promotor Last Month'!D:I,6,0),0)</f>
        <v>35</v>
      </c>
      <c r="T103" s="78">
        <f t="shared" si="17"/>
        <v>20</v>
      </c>
      <c r="U103" s="79">
        <f t="shared" si="18"/>
        <v>-15</v>
      </c>
      <c r="V103" s="80">
        <f t="shared" si="19"/>
        <v>-0.42857142857142855</v>
      </c>
      <c r="W103"/>
      <c r="X103"/>
      <c r="Y103"/>
    </row>
    <row r="104" spans="1:25" ht="17" outlineLevel="1" x14ac:dyDescent="0.2">
      <c r="A104" s="11" t="s">
        <v>243</v>
      </c>
      <c r="B104" s="71">
        <v>6240703</v>
      </c>
      <c r="C104" s="10" t="s">
        <v>54</v>
      </c>
      <c r="D104" s="306"/>
      <c r="E104" s="12" t="s">
        <v>261</v>
      </c>
      <c r="F104" s="10" t="s">
        <v>263</v>
      </c>
      <c r="G104" s="73">
        <f>IFERROR(VLOOKUP($B104,'[1]KPI Promotor'!$G:$K,5,0),0)</f>
        <v>120000000</v>
      </c>
      <c r="H104" s="74">
        <f>SUMIF('[1]SALES BY PROMOTOR'!$D:$D,$F104,'[1]SALES BY PROMOTOR'!$J:$J)</f>
        <v>88080000</v>
      </c>
      <c r="I104" s="75">
        <f t="shared" si="10"/>
        <v>0.73399999999999999</v>
      </c>
      <c r="J104" s="73">
        <f t="shared" si="11"/>
        <v>94371428.571428582</v>
      </c>
      <c r="K104" s="76">
        <f t="shared" si="12"/>
        <v>4404000</v>
      </c>
      <c r="L104" s="77">
        <f>SUMIF('[1]SALES BY PROMOTOR'!$D:$D,$F104,'[1]SALES BY PROMOTOR'!$G:$G)</f>
        <v>11</v>
      </c>
      <c r="M104" s="77">
        <f>SUMIF('[1]SALES BY PROMOTOR'!$D:$D,$F104,'[1]SALES BY PROMOTOR'!$I:$I)</f>
        <v>20</v>
      </c>
      <c r="N104" s="75">
        <f t="shared" si="13"/>
        <v>0.55000000000000004</v>
      </c>
      <c r="O104" s="78">
        <f>IFERROR(VLOOKUP($F104,'[1]Sales By Promotor Last Month'!D:G,4,0),0)</f>
        <v>10</v>
      </c>
      <c r="P104" s="78">
        <f t="shared" si="14"/>
        <v>11</v>
      </c>
      <c r="Q104" s="79">
        <f t="shared" si="15"/>
        <v>1</v>
      </c>
      <c r="R104" s="80">
        <f t="shared" si="16"/>
        <v>0.1</v>
      </c>
      <c r="S104" s="78">
        <f>IFERROR(VLOOKUP($F104,'[1]Sales By Promotor Last Month'!D:I,6,0),0)</f>
        <v>35</v>
      </c>
      <c r="T104" s="78">
        <f t="shared" si="17"/>
        <v>20</v>
      </c>
      <c r="U104" s="79">
        <f t="shared" si="18"/>
        <v>-15</v>
      </c>
      <c r="V104" s="80">
        <f t="shared" si="19"/>
        <v>-0.42857142857142855</v>
      </c>
      <c r="W104"/>
      <c r="X104"/>
      <c r="Y104"/>
    </row>
    <row r="105" spans="1:25" ht="17" outlineLevel="1" x14ac:dyDescent="0.2">
      <c r="A105" s="11" t="s">
        <v>243</v>
      </c>
      <c r="B105" s="71">
        <v>6240703</v>
      </c>
      <c r="C105" s="10" t="s">
        <v>54</v>
      </c>
      <c r="D105" s="307"/>
      <c r="E105" s="12" t="s">
        <v>261</v>
      </c>
      <c r="F105" s="10" t="s">
        <v>264</v>
      </c>
      <c r="G105" s="73">
        <f>IFERROR(VLOOKUP($B105,'[1]KPI Promotor'!$G:$K,5,0),0)</f>
        <v>120000000</v>
      </c>
      <c r="H105" s="74">
        <f>SUMIF('[1]SALES BY PROMOTOR'!$D:$D,$F105,'[1]SALES BY PROMOTOR'!$J:$J)</f>
        <v>83673000</v>
      </c>
      <c r="I105" s="75">
        <f t="shared" si="10"/>
        <v>0.69727499999999998</v>
      </c>
      <c r="J105" s="73">
        <f t="shared" si="11"/>
        <v>89649642.857142866</v>
      </c>
      <c r="K105" s="76">
        <f t="shared" si="12"/>
        <v>3099000</v>
      </c>
      <c r="L105" s="77">
        <f>SUMIF('[1]SALES BY PROMOTOR'!$D:$D,$F105,'[1]SALES BY PROMOTOR'!$G:$G)</f>
        <v>8</v>
      </c>
      <c r="M105" s="77">
        <f>SUMIF('[1]SALES BY PROMOTOR'!$D:$D,$F105,'[1]SALES BY PROMOTOR'!$I:$I)</f>
        <v>27</v>
      </c>
      <c r="N105" s="75">
        <f t="shared" si="13"/>
        <v>0.29629629629629628</v>
      </c>
      <c r="O105" s="78">
        <f>IFERROR(VLOOKUP($F105,'[1]Sales By Promotor Last Month'!D:G,4,0),0)</f>
        <v>9</v>
      </c>
      <c r="P105" s="78">
        <f t="shared" si="14"/>
        <v>8</v>
      </c>
      <c r="Q105" s="79">
        <f t="shared" si="15"/>
        <v>-1</v>
      </c>
      <c r="R105" s="80">
        <f t="shared" si="16"/>
        <v>-0.1111111111111111</v>
      </c>
      <c r="S105" s="78">
        <f>IFERROR(VLOOKUP($F105,'[1]Sales By Promotor Last Month'!D:I,6,0),0)</f>
        <v>15</v>
      </c>
      <c r="T105" s="78">
        <f t="shared" si="17"/>
        <v>27</v>
      </c>
      <c r="U105" s="79">
        <f t="shared" si="18"/>
        <v>12</v>
      </c>
      <c r="V105" s="80">
        <f t="shared" si="19"/>
        <v>0.8</v>
      </c>
      <c r="W105"/>
      <c r="X105"/>
      <c r="Y105"/>
    </row>
    <row r="106" spans="1:25" ht="17" outlineLevel="1" x14ac:dyDescent="0.2">
      <c r="A106" s="11" t="s">
        <v>243</v>
      </c>
      <c r="B106" s="20">
        <v>6240704</v>
      </c>
      <c r="C106" s="10" t="s">
        <v>248</v>
      </c>
      <c r="D106" s="305">
        <v>2</v>
      </c>
      <c r="E106" s="21" t="s">
        <v>265</v>
      </c>
      <c r="F106" s="10" t="s">
        <v>266</v>
      </c>
      <c r="G106" s="73">
        <f>IFERROR(VLOOKUP($B106,'[1]KPI Promotor'!$G:$K,5,0),0)</f>
        <v>90000000</v>
      </c>
      <c r="H106" s="74">
        <f>SUMIF('[1]SALES BY PROMOTOR'!$D:$D,$F106,'[1]SALES BY PROMOTOR'!$J:$J)</f>
        <v>30194000</v>
      </c>
      <c r="I106" s="75">
        <f t="shared" si="10"/>
        <v>0.33548888888888889</v>
      </c>
      <c r="J106" s="73">
        <f t="shared" si="11"/>
        <v>32350714.285714287</v>
      </c>
      <c r="K106" s="76">
        <f t="shared" si="12"/>
        <v>5032333.333333333</v>
      </c>
      <c r="L106" s="77">
        <f>SUMIF('[1]SALES BY PROMOTOR'!$D:$D,$F106,'[1]SALES BY PROMOTOR'!$G:$G)</f>
        <v>5</v>
      </c>
      <c r="M106" s="77">
        <f>SUMIF('[1]SALES BY PROMOTOR'!$D:$D,$F106,'[1]SALES BY PROMOTOR'!$I:$I)</f>
        <v>6</v>
      </c>
      <c r="N106" s="75">
        <f t="shared" si="13"/>
        <v>0.83333333333333337</v>
      </c>
      <c r="O106" s="78">
        <f>IFERROR(VLOOKUP($F106,'[1]Sales By Promotor Last Month'!D:G,4,0),0)</f>
        <v>1</v>
      </c>
      <c r="P106" s="78">
        <f t="shared" si="14"/>
        <v>5</v>
      </c>
      <c r="Q106" s="79">
        <f t="shared" si="15"/>
        <v>4</v>
      </c>
      <c r="R106" s="80">
        <f t="shared" si="16"/>
        <v>4</v>
      </c>
      <c r="S106" s="78">
        <f>IFERROR(VLOOKUP($F106,'[1]Sales By Promotor Last Month'!D:I,6,0),0)</f>
        <v>7</v>
      </c>
      <c r="T106" s="78">
        <f t="shared" si="17"/>
        <v>6</v>
      </c>
      <c r="U106" s="79">
        <f t="shared" si="18"/>
        <v>-1</v>
      </c>
      <c r="V106" s="80">
        <f t="shared" si="19"/>
        <v>-0.14285714285714285</v>
      </c>
      <c r="W106"/>
      <c r="X106"/>
      <c r="Y106"/>
    </row>
    <row r="107" spans="1:25" ht="17" outlineLevel="1" x14ac:dyDescent="0.2">
      <c r="A107" s="11" t="s">
        <v>243</v>
      </c>
      <c r="B107" s="20">
        <v>6240704</v>
      </c>
      <c r="C107" s="10" t="s">
        <v>248</v>
      </c>
      <c r="D107" s="307"/>
      <c r="E107" s="21" t="s">
        <v>265</v>
      </c>
      <c r="F107" s="10" t="s">
        <v>267</v>
      </c>
      <c r="G107" s="73">
        <f>IFERROR(VLOOKUP($B107,'[1]KPI Promotor'!$G:$K,5,0),0)</f>
        <v>90000000</v>
      </c>
      <c r="H107" s="74">
        <f>SUMIF('[1]SALES BY PROMOTOR'!$D:$D,$F107,'[1]SALES BY PROMOTOR'!$J:$J)</f>
        <v>61986000</v>
      </c>
      <c r="I107" s="75">
        <f t="shared" si="10"/>
        <v>0.68873333333333331</v>
      </c>
      <c r="J107" s="73">
        <f t="shared" si="11"/>
        <v>66413571.428571425</v>
      </c>
      <c r="K107" s="76">
        <f t="shared" si="12"/>
        <v>4427571.4285714282</v>
      </c>
      <c r="L107" s="77">
        <f>SUMIF('[1]SALES BY PROMOTOR'!$D:$D,$F107,'[1]SALES BY PROMOTOR'!$G:$G)</f>
        <v>9</v>
      </c>
      <c r="M107" s="77">
        <f>SUMIF('[1]SALES BY PROMOTOR'!$D:$D,$F107,'[1]SALES BY PROMOTOR'!$I:$I)</f>
        <v>14</v>
      </c>
      <c r="N107" s="75">
        <f t="shared" si="13"/>
        <v>0.6428571428571429</v>
      </c>
      <c r="O107" s="78">
        <f>IFERROR(VLOOKUP($F107,'[1]Sales By Promotor Last Month'!D:G,4,0),0)</f>
        <v>3</v>
      </c>
      <c r="P107" s="78">
        <f t="shared" si="14"/>
        <v>9</v>
      </c>
      <c r="Q107" s="79">
        <f t="shared" si="15"/>
        <v>6</v>
      </c>
      <c r="R107" s="80">
        <f t="shared" si="16"/>
        <v>2</v>
      </c>
      <c r="S107" s="78">
        <f>IFERROR(VLOOKUP($F107,'[1]Sales By Promotor Last Month'!D:I,6,0),0)</f>
        <v>13</v>
      </c>
      <c r="T107" s="78">
        <f t="shared" si="17"/>
        <v>14</v>
      </c>
      <c r="U107" s="79">
        <f t="shared" si="18"/>
        <v>1</v>
      </c>
      <c r="V107" s="80">
        <f t="shared" si="19"/>
        <v>7.6923076923076927E-2</v>
      </c>
      <c r="W107"/>
      <c r="X107"/>
      <c r="Y107"/>
    </row>
    <row r="108" spans="1:25" ht="17" outlineLevel="1" x14ac:dyDescent="0.2">
      <c r="A108" s="11" t="s">
        <v>243</v>
      </c>
      <c r="B108" s="72">
        <v>6240705</v>
      </c>
      <c r="C108" s="86" t="s">
        <v>268</v>
      </c>
      <c r="D108" s="326">
        <v>2</v>
      </c>
      <c r="E108" s="87" t="s">
        <v>269</v>
      </c>
      <c r="F108" s="10" t="s">
        <v>270</v>
      </c>
      <c r="G108" s="73">
        <f>IFERROR(VLOOKUP($B108,'[1]KPI Promotor'!$G:$K,5,0),0)</f>
        <v>120000000</v>
      </c>
      <c r="H108" s="74">
        <f>SUMIF('[1]SALES BY PROMOTOR'!$D:$D,$F108,'[1]SALES BY PROMOTOR'!$J:$J)</f>
        <v>72085000</v>
      </c>
      <c r="I108" s="75">
        <f t="shared" si="10"/>
        <v>0.60070833333333329</v>
      </c>
      <c r="J108" s="73">
        <f t="shared" si="11"/>
        <v>77233928.571428582</v>
      </c>
      <c r="K108" s="76">
        <f t="shared" si="12"/>
        <v>4805666.666666667</v>
      </c>
      <c r="L108" s="77">
        <f>SUMIF('[1]SALES BY PROMOTOR'!$D:$D,$F108,'[1]SALES BY PROMOTOR'!$G:$G)</f>
        <v>12</v>
      </c>
      <c r="M108" s="77">
        <f>SUMIF('[1]SALES BY PROMOTOR'!$D:$D,$F108,'[1]SALES BY PROMOTOR'!$I:$I)</f>
        <v>15</v>
      </c>
      <c r="N108" s="75">
        <f t="shared" si="13"/>
        <v>0.8</v>
      </c>
      <c r="O108" s="78">
        <f>IFERROR(VLOOKUP($F108,'[1]Sales By Promotor Last Month'!D:G,4,0),0)</f>
        <v>14</v>
      </c>
      <c r="P108" s="78">
        <f t="shared" si="14"/>
        <v>12</v>
      </c>
      <c r="Q108" s="79">
        <f t="shared" si="15"/>
        <v>-2</v>
      </c>
      <c r="R108" s="80">
        <f t="shared" si="16"/>
        <v>-0.14285714285714285</v>
      </c>
      <c r="S108" s="78">
        <f>IFERROR(VLOOKUP($F108,'[1]Sales By Promotor Last Month'!D:I,6,0),0)</f>
        <v>25</v>
      </c>
      <c r="T108" s="78">
        <f t="shared" si="17"/>
        <v>15</v>
      </c>
      <c r="U108" s="79">
        <f t="shared" si="18"/>
        <v>-10</v>
      </c>
      <c r="V108" s="80">
        <f t="shared" si="19"/>
        <v>-0.4</v>
      </c>
      <c r="W108"/>
      <c r="X108"/>
      <c r="Y108"/>
    </row>
    <row r="109" spans="1:25" ht="17" outlineLevel="1" x14ac:dyDescent="0.2">
      <c r="A109" s="11" t="s">
        <v>243</v>
      </c>
      <c r="B109" s="72">
        <v>6240705</v>
      </c>
      <c r="C109" s="86" t="s">
        <v>268</v>
      </c>
      <c r="D109" s="327"/>
      <c r="E109" s="87" t="s">
        <v>269</v>
      </c>
      <c r="F109" s="10" t="s">
        <v>335</v>
      </c>
      <c r="G109" s="73">
        <f>IFERROR(VLOOKUP($B109,'[1]KPI Promotor'!$G:$K,5,0),0)</f>
        <v>120000000</v>
      </c>
      <c r="H109" s="74">
        <f>SUMIF('[1]SALES BY PROMOTOR'!$D:$D,$F109,'[1]SALES BY PROMOTOR'!$J:$J)</f>
        <v>35391000</v>
      </c>
      <c r="I109" s="75">
        <f t="shared" si="10"/>
        <v>0.29492499999999999</v>
      </c>
      <c r="J109" s="73">
        <f t="shared" si="11"/>
        <v>37918928.571428567</v>
      </c>
      <c r="K109" s="76">
        <f t="shared" si="12"/>
        <v>3932333.3333333335</v>
      </c>
      <c r="L109" s="77">
        <f>SUMIF('[1]SALES BY PROMOTOR'!$D:$D,$F109,'[1]SALES BY PROMOTOR'!$G:$G)</f>
        <v>5</v>
      </c>
      <c r="M109" s="77">
        <f>SUMIF('[1]SALES BY PROMOTOR'!$D:$D,$F109,'[1]SALES BY PROMOTOR'!$I:$I)</f>
        <v>9</v>
      </c>
      <c r="N109" s="75">
        <f t="shared" si="13"/>
        <v>0.55555555555555558</v>
      </c>
      <c r="O109" s="78">
        <f>IFERROR(VLOOKUP($F109,'[1]Sales By Promotor Last Month'!D:G,4,0),0)</f>
        <v>9</v>
      </c>
      <c r="P109" s="78">
        <f t="shared" si="14"/>
        <v>5</v>
      </c>
      <c r="Q109" s="79">
        <f t="shared" si="15"/>
        <v>-4</v>
      </c>
      <c r="R109" s="80">
        <f t="shared" si="16"/>
        <v>-0.44444444444444442</v>
      </c>
      <c r="S109" s="78">
        <f>IFERROR(VLOOKUP($F109,'[1]Sales By Promotor Last Month'!D:I,6,0),0)</f>
        <v>13</v>
      </c>
      <c r="T109" s="78">
        <f t="shared" si="17"/>
        <v>9</v>
      </c>
      <c r="U109" s="79">
        <f t="shared" si="18"/>
        <v>-4</v>
      </c>
      <c r="V109" s="80">
        <f t="shared" si="19"/>
        <v>-0.30769230769230771</v>
      </c>
      <c r="W109"/>
      <c r="X109"/>
      <c r="Y109"/>
    </row>
    <row r="110" spans="1:25" ht="17" outlineLevel="1" x14ac:dyDescent="0.2">
      <c r="A110" s="11" t="s">
        <v>243</v>
      </c>
      <c r="B110" s="71">
        <v>6240706</v>
      </c>
      <c r="C110" s="83" t="s">
        <v>56</v>
      </c>
      <c r="D110" s="328">
        <v>2</v>
      </c>
      <c r="E110" s="22" t="s">
        <v>271</v>
      </c>
      <c r="F110" s="10" t="s">
        <v>272</v>
      </c>
      <c r="G110" s="73">
        <f>IFERROR(VLOOKUP($B110,'[1]KPI Promotor'!$G:$K,5,0),0)</f>
        <v>90000000</v>
      </c>
      <c r="H110" s="74">
        <f>SUMIF('[1]SALES BY PROMOTOR'!$D:$D,$F110,'[1]SALES BY PROMOTOR'!$J:$J)</f>
        <v>97181000</v>
      </c>
      <c r="I110" s="75">
        <f t="shared" si="10"/>
        <v>1.0797888888888889</v>
      </c>
      <c r="J110" s="73">
        <f t="shared" si="11"/>
        <v>104122500</v>
      </c>
      <c r="K110" s="76">
        <f t="shared" si="12"/>
        <v>5114789.4736842103</v>
      </c>
      <c r="L110" s="77">
        <f>SUMIF('[1]SALES BY PROMOTOR'!$D:$D,$F110,'[1]SALES BY PROMOTOR'!$G:$G)</f>
        <v>14</v>
      </c>
      <c r="M110" s="77">
        <f>SUMIF('[1]SALES BY PROMOTOR'!$D:$D,$F110,'[1]SALES BY PROMOTOR'!$I:$I)</f>
        <v>19</v>
      </c>
      <c r="N110" s="75">
        <f t="shared" si="13"/>
        <v>0.73684210526315785</v>
      </c>
      <c r="O110" s="78">
        <f>IFERROR(VLOOKUP($F110,'[1]Sales By Promotor Last Month'!D:G,4,0),0)</f>
        <v>9</v>
      </c>
      <c r="P110" s="78">
        <f t="shared" si="14"/>
        <v>14</v>
      </c>
      <c r="Q110" s="79">
        <f t="shared" si="15"/>
        <v>5</v>
      </c>
      <c r="R110" s="80">
        <f t="shared" si="16"/>
        <v>0.55555555555555558</v>
      </c>
      <c r="S110" s="78">
        <f>IFERROR(VLOOKUP($F110,'[1]Sales By Promotor Last Month'!D:I,6,0),0)</f>
        <v>18</v>
      </c>
      <c r="T110" s="78">
        <f t="shared" si="17"/>
        <v>19</v>
      </c>
      <c r="U110" s="79">
        <f t="shared" si="18"/>
        <v>1</v>
      </c>
      <c r="V110" s="80">
        <f t="shared" si="19"/>
        <v>5.5555555555555552E-2</v>
      </c>
      <c r="W110"/>
      <c r="X110"/>
      <c r="Y110"/>
    </row>
    <row r="111" spans="1:25" ht="17" outlineLevel="1" x14ac:dyDescent="0.2">
      <c r="A111" s="11" t="s">
        <v>243</v>
      </c>
      <c r="B111" s="71">
        <v>6240706</v>
      </c>
      <c r="C111" s="83" t="s">
        <v>56</v>
      </c>
      <c r="D111" s="329"/>
      <c r="E111" s="15" t="s">
        <v>271</v>
      </c>
      <c r="F111" s="10" t="s">
        <v>273</v>
      </c>
      <c r="G111" s="73">
        <f>IFERROR(VLOOKUP($B111,'[1]KPI Promotor'!$G:$K,5,0),0)</f>
        <v>90000000</v>
      </c>
      <c r="H111" s="74">
        <f>SUMIF('[1]SALES BY PROMOTOR'!$D:$D,$F111,'[1]SALES BY PROMOTOR'!$J:$J)</f>
        <v>44392000</v>
      </c>
      <c r="I111" s="75">
        <f t="shared" si="10"/>
        <v>0.49324444444444443</v>
      </c>
      <c r="J111" s="73">
        <f t="shared" si="11"/>
        <v>47562857.142857142</v>
      </c>
      <c r="K111" s="76">
        <f t="shared" si="12"/>
        <v>5549000</v>
      </c>
      <c r="L111" s="77">
        <f>SUMIF('[1]SALES BY PROMOTOR'!$D:$D,$F111,'[1]SALES BY PROMOTOR'!$G:$G)</f>
        <v>6</v>
      </c>
      <c r="M111" s="77">
        <f>SUMIF('[1]SALES BY PROMOTOR'!$D:$D,$F111,'[1]SALES BY PROMOTOR'!$I:$I)</f>
        <v>8</v>
      </c>
      <c r="N111" s="75">
        <f t="shared" si="13"/>
        <v>0.75</v>
      </c>
      <c r="O111" s="78">
        <f>IFERROR(VLOOKUP($F111,'[1]Sales By Promotor Last Month'!D:G,4,0),0)</f>
        <v>1</v>
      </c>
      <c r="P111" s="78">
        <f t="shared" si="14"/>
        <v>6</v>
      </c>
      <c r="Q111" s="79">
        <f t="shared" si="15"/>
        <v>5</v>
      </c>
      <c r="R111" s="80">
        <f t="shared" si="16"/>
        <v>5</v>
      </c>
      <c r="S111" s="78">
        <f>IFERROR(VLOOKUP($F111,'[1]Sales By Promotor Last Month'!D:I,6,0),0)</f>
        <v>4</v>
      </c>
      <c r="T111" s="78">
        <f t="shared" si="17"/>
        <v>8</v>
      </c>
      <c r="U111" s="79">
        <f t="shared" si="18"/>
        <v>4</v>
      </c>
      <c r="V111" s="80">
        <f t="shared" si="19"/>
        <v>1</v>
      </c>
      <c r="W111"/>
      <c r="X111"/>
      <c r="Y111"/>
    </row>
    <row r="112" spans="1:25" ht="17" outlineLevel="1" x14ac:dyDescent="0.2">
      <c r="A112" s="11" t="s">
        <v>243</v>
      </c>
      <c r="B112" s="71">
        <v>6240707</v>
      </c>
      <c r="C112" s="83" t="s">
        <v>56</v>
      </c>
      <c r="D112" s="310">
        <v>2</v>
      </c>
      <c r="E112" s="15" t="s">
        <v>274</v>
      </c>
      <c r="F112" s="10" t="s">
        <v>275</v>
      </c>
      <c r="G112" s="73">
        <f>IFERROR(VLOOKUP($B112,'[1]KPI Promotor'!$G:$K,5,0),0)</f>
        <v>90000000</v>
      </c>
      <c r="H112" s="74">
        <f>SUMIF('[1]SALES BY PROMOTOR'!$D:$D,$F112,'[1]SALES BY PROMOTOR'!$J:$J)</f>
        <v>16695000</v>
      </c>
      <c r="I112" s="75">
        <f t="shared" si="10"/>
        <v>0.1855</v>
      </c>
      <c r="J112" s="73">
        <f t="shared" si="11"/>
        <v>17887500</v>
      </c>
      <c r="K112" s="76">
        <f t="shared" si="12"/>
        <v>3339000</v>
      </c>
      <c r="L112" s="77">
        <f>SUMIF('[1]SALES BY PROMOTOR'!$D:$D,$F112,'[1]SALES BY PROMOTOR'!$G:$G)</f>
        <v>1</v>
      </c>
      <c r="M112" s="77">
        <f>SUMIF('[1]SALES BY PROMOTOR'!$D:$D,$F112,'[1]SALES BY PROMOTOR'!$I:$I)</f>
        <v>5</v>
      </c>
      <c r="N112" s="75">
        <f t="shared" si="13"/>
        <v>0.2</v>
      </c>
      <c r="O112" s="78">
        <f>IFERROR(VLOOKUP($F112,'[1]Sales By Promotor Last Month'!D:G,4,0),0)</f>
        <v>7</v>
      </c>
      <c r="P112" s="78">
        <f t="shared" si="14"/>
        <v>1</v>
      </c>
      <c r="Q112" s="79">
        <f t="shared" si="15"/>
        <v>-6</v>
      </c>
      <c r="R112" s="80">
        <f t="shared" si="16"/>
        <v>-0.8571428571428571</v>
      </c>
      <c r="S112" s="78">
        <f>IFERROR(VLOOKUP($F112,'[1]Sales By Promotor Last Month'!D:I,6,0),0)</f>
        <v>7</v>
      </c>
      <c r="T112" s="78">
        <f t="shared" si="17"/>
        <v>5</v>
      </c>
      <c r="U112" s="79">
        <f t="shared" si="18"/>
        <v>-2</v>
      </c>
      <c r="V112" s="80">
        <f t="shared" si="19"/>
        <v>-0.2857142857142857</v>
      </c>
      <c r="W112"/>
      <c r="X112"/>
      <c r="Y112"/>
    </row>
    <row r="113" spans="1:25" ht="17" outlineLevel="1" x14ac:dyDescent="0.2">
      <c r="A113" s="11" t="s">
        <v>243</v>
      </c>
      <c r="B113" s="71">
        <v>6240707</v>
      </c>
      <c r="C113" s="83" t="s">
        <v>56</v>
      </c>
      <c r="D113" s="311"/>
      <c r="E113" s="15" t="s">
        <v>274</v>
      </c>
      <c r="F113" s="10" t="s">
        <v>276</v>
      </c>
      <c r="G113" s="73">
        <f>IFERROR(VLOOKUP($B113,'[1]KPI Promotor'!$G:$K,5,0),0)</f>
        <v>90000000</v>
      </c>
      <c r="H113" s="74">
        <f>SUMIF('[1]SALES BY PROMOTOR'!$D:$D,$F113,'[1]SALES BY PROMOTOR'!$J:$J)</f>
        <v>22394000</v>
      </c>
      <c r="I113" s="75">
        <f t="shared" si="10"/>
        <v>0.24882222222222222</v>
      </c>
      <c r="J113" s="73">
        <f t="shared" si="11"/>
        <v>23993571.428571429</v>
      </c>
      <c r="K113" s="76">
        <f t="shared" si="12"/>
        <v>3732333.3333333335</v>
      </c>
      <c r="L113" s="77">
        <f>SUMIF('[1]SALES BY PROMOTOR'!$D:$D,$F113,'[1]SALES BY PROMOTOR'!$G:$G)</f>
        <v>3</v>
      </c>
      <c r="M113" s="77">
        <f>SUMIF('[1]SALES BY PROMOTOR'!$D:$D,$F113,'[1]SALES BY PROMOTOR'!$I:$I)</f>
        <v>6</v>
      </c>
      <c r="N113" s="75">
        <f t="shared" si="13"/>
        <v>0.5</v>
      </c>
      <c r="O113" s="78">
        <f>IFERROR(VLOOKUP($F113,'[1]Sales By Promotor Last Month'!D:G,4,0),0)</f>
        <v>10</v>
      </c>
      <c r="P113" s="78">
        <f t="shared" si="14"/>
        <v>3</v>
      </c>
      <c r="Q113" s="79">
        <f t="shared" si="15"/>
        <v>-7</v>
      </c>
      <c r="R113" s="80">
        <f t="shared" si="16"/>
        <v>-0.7</v>
      </c>
      <c r="S113" s="78">
        <f>IFERROR(VLOOKUP($F113,'[1]Sales By Promotor Last Month'!D:I,6,0),0)</f>
        <v>25</v>
      </c>
      <c r="T113" s="78">
        <f t="shared" si="17"/>
        <v>6</v>
      </c>
      <c r="U113" s="79">
        <f t="shared" si="18"/>
        <v>-19</v>
      </c>
      <c r="V113" s="80">
        <f t="shared" si="19"/>
        <v>-0.76</v>
      </c>
      <c r="W113"/>
      <c r="X113"/>
      <c r="Y113"/>
    </row>
    <row r="114" spans="1:25" ht="17" outlineLevel="1" x14ac:dyDescent="0.2">
      <c r="A114" s="11" t="s">
        <v>243</v>
      </c>
      <c r="B114" s="71">
        <v>6240708</v>
      </c>
      <c r="C114" s="10" t="s">
        <v>248</v>
      </c>
      <c r="D114" s="320">
        <v>2</v>
      </c>
      <c r="E114" s="23" t="s">
        <v>277</v>
      </c>
      <c r="F114" s="10" t="s">
        <v>278</v>
      </c>
      <c r="G114" s="73">
        <f>IFERROR(VLOOKUP($B114,'[1]KPI Promotor'!$G:$K,5,0),0)</f>
        <v>90000000</v>
      </c>
      <c r="H114" s="74">
        <f>SUMIF('[1]SALES BY PROMOTOR'!$D:$D,$F114,'[1]SALES BY PROMOTOR'!$J:$J)</f>
        <v>47891000</v>
      </c>
      <c r="I114" s="75">
        <f t="shared" si="10"/>
        <v>0.53212222222222227</v>
      </c>
      <c r="J114" s="73">
        <f t="shared" si="11"/>
        <v>51311785.714285709</v>
      </c>
      <c r="K114" s="76">
        <f t="shared" si="12"/>
        <v>5321222.222222222</v>
      </c>
      <c r="L114" s="77">
        <f>SUMIF('[1]SALES BY PROMOTOR'!$D:$D,$F114,'[1]SALES BY PROMOTOR'!$G:$G)</f>
        <v>6</v>
      </c>
      <c r="M114" s="77">
        <f>SUMIF('[1]SALES BY PROMOTOR'!$D:$D,$F114,'[1]SALES BY PROMOTOR'!$I:$I)</f>
        <v>9</v>
      </c>
      <c r="N114" s="75">
        <f t="shared" si="13"/>
        <v>0.66666666666666663</v>
      </c>
      <c r="O114" s="78">
        <f>IFERROR(VLOOKUP($F114,'[1]Sales By Promotor Last Month'!D:G,4,0),0)</f>
        <v>6</v>
      </c>
      <c r="P114" s="78">
        <f t="shared" si="14"/>
        <v>6</v>
      </c>
      <c r="Q114" s="79">
        <f t="shared" si="15"/>
        <v>0</v>
      </c>
      <c r="R114" s="80">
        <f t="shared" si="16"/>
        <v>0</v>
      </c>
      <c r="S114" s="78">
        <f>IFERROR(VLOOKUP($F114,'[1]Sales By Promotor Last Month'!D:I,6,0),0)</f>
        <v>13</v>
      </c>
      <c r="T114" s="78">
        <f t="shared" si="17"/>
        <v>9</v>
      </c>
      <c r="U114" s="79">
        <f t="shared" si="18"/>
        <v>-4</v>
      </c>
      <c r="V114" s="80">
        <f t="shared" si="19"/>
        <v>-0.30769230769230771</v>
      </c>
      <c r="W114"/>
      <c r="X114"/>
      <c r="Y114"/>
    </row>
    <row r="115" spans="1:25" ht="17" outlineLevel="1" x14ac:dyDescent="0.2">
      <c r="A115" s="11" t="s">
        <v>243</v>
      </c>
      <c r="B115" s="71">
        <v>6240708</v>
      </c>
      <c r="C115" s="10" t="s">
        <v>248</v>
      </c>
      <c r="D115" s="321"/>
      <c r="E115" s="23" t="s">
        <v>277</v>
      </c>
      <c r="F115" s="10" t="s">
        <v>336</v>
      </c>
      <c r="G115" s="73">
        <f>IFERROR(VLOOKUP($B115,'[1]KPI Promotor'!$G:$K,5,0),0)</f>
        <v>90000000</v>
      </c>
      <c r="H115" s="74">
        <f>SUMIF('[1]SALES BY PROMOTOR'!$D:$D,$F115,'[1]SALES BY PROMOTOR'!$J:$J)</f>
        <v>20292000</v>
      </c>
      <c r="I115" s="75">
        <f t="shared" si="10"/>
        <v>0.22546666666666668</v>
      </c>
      <c r="J115" s="73">
        <f t="shared" si="11"/>
        <v>21741428.571428571</v>
      </c>
      <c r="K115" s="76">
        <f t="shared" si="12"/>
        <v>2536500</v>
      </c>
      <c r="L115" s="77">
        <f>SUMIF('[1]SALES BY PROMOTOR'!$D:$D,$F115,'[1]SALES BY PROMOTOR'!$G:$G)</f>
        <v>1</v>
      </c>
      <c r="M115" s="77">
        <f>SUMIF('[1]SALES BY PROMOTOR'!$D:$D,$F115,'[1]SALES BY PROMOTOR'!$I:$I)</f>
        <v>8</v>
      </c>
      <c r="N115" s="75">
        <f t="shared" si="13"/>
        <v>0.125</v>
      </c>
      <c r="O115" s="78">
        <f>IFERROR(VLOOKUP($F115,'[1]Sales By Promotor Last Month'!D:G,4,0),0)</f>
        <v>4</v>
      </c>
      <c r="P115" s="78">
        <f t="shared" si="14"/>
        <v>1</v>
      </c>
      <c r="Q115" s="79">
        <f t="shared" si="15"/>
        <v>-3</v>
      </c>
      <c r="R115" s="80">
        <f t="shared" si="16"/>
        <v>-0.75</v>
      </c>
      <c r="S115" s="78">
        <f>IFERROR(VLOOKUP($F115,'[1]Sales By Promotor Last Month'!D:I,6,0),0)</f>
        <v>7</v>
      </c>
      <c r="T115" s="78">
        <f t="shared" si="17"/>
        <v>8</v>
      </c>
      <c r="U115" s="79">
        <f t="shared" si="18"/>
        <v>1</v>
      </c>
      <c r="V115" s="80">
        <f t="shared" si="19"/>
        <v>0.14285714285714285</v>
      </c>
      <c r="W115"/>
      <c r="X115"/>
      <c r="Y115"/>
    </row>
    <row r="116" spans="1:25" ht="17" outlineLevel="1" x14ac:dyDescent="0.2">
      <c r="A116" s="11" t="s">
        <v>243</v>
      </c>
      <c r="B116" s="71">
        <v>6240708</v>
      </c>
      <c r="C116" s="10" t="s">
        <v>248</v>
      </c>
      <c r="D116" s="322"/>
      <c r="E116" s="23" t="s">
        <v>277</v>
      </c>
      <c r="F116" s="10" t="s">
        <v>279</v>
      </c>
      <c r="G116" s="73">
        <f>IFERROR(VLOOKUP($B116,'[1]KPI Promotor'!$G:$K,5,0),0)</f>
        <v>90000000</v>
      </c>
      <c r="H116" s="74">
        <f>SUMIF('[1]SALES BY PROMOTOR'!$D:$D,$F116,'[1]SALES BY PROMOTOR'!$J:$J)</f>
        <v>21694000</v>
      </c>
      <c r="I116" s="75">
        <f t="shared" si="10"/>
        <v>0.24104444444444445</v>
      </c>
      <c r="J116" s="73">
        <f t="shared" si="11"/>
        <v>23243571.428571429</v>
      </c>
      <c r="K116" s="76">
        <f t="shared" si="12"/>
        <v>3615666.6666666665</v>
      </c>
      <c r="L116" s="77">
        <f>SUMIF('[1]SALES BY PROMOTOR'!$D:$D,$F116,'[1]SALES BY PROMOTOR'!$G:$G)</f>
        <v>3</v>
      </c>
      <c r="M116" s="77">
        <f>SUMIF('[1]SALES BY PROMOTOR'!$D:$D,$F116,'[1]SALES BY PROMOTOR'!$I:$I)</f>
        <v>6</v>
      </c>
      <c r="N116" s="75">
        <f t="shared" si="13"/>
        <v>0.5</v>
      </c>
      <c r="O116" s="78">
        <f>IFERROR(VLOOKUP($F116,'[1]Sales By Promotor Last Month'!D:G,4,0),0)</f>
        <v>7</v>
      </c>
      <c r="P116" s="78">
        <f t="shared" si="14"/>
        <v>3</v>
      </c>
      <c r="Q116" s="79">
        <f t="shared" si="15"/>
        <v>-4</v>
      </c>
      <c r="R116" s="80">
        <f t="shared" si="16"/>
        <v>-0.5714285714285714</v>
      </c>
      <c r="S116" s="78">
        <f>IFERROR(VLOOKUP($F116,'[1]Sales By Promotor Last Month'!D:I,6,0),0)</f>
        <v>10</v>
      </c>
      <c r="T116" s="78">
        <f t="shared" si="17"/>
        <v>6</v>
      </c>
      <c r="U116" s="79">
        <f t="shared" si="18"/>
        <v>-4</v>
      </c>
      <c r="V116" s="80">
        <f t="shared" si="19"/>
        <v>-0.4</v>
      </c>
      <c r="W116"/>
      <c r="X116"/>
      <c r="Y116"/>
    </row>
    <row r="117" spans="1:25" ht="17" outlineLevel="1" x14ac:dyDescent="0.2">
      <c r="A117" s="11" t="s">
        <v>243</v>
      </c>
      <c r="B117" s="71">
        <v>6240709</v>
      </c>
      <c r="C117" s="10" t="s">
        <v>248</v>
      </c>
      <c r="D117" s="82">
        <v>1</v>
      </c>
      <c r="E117" s="23" t="s">
        <v>280</v>
      </c>
      <c r="F117" s="17" t="s">
        <v>281</v>
      </c>
      <c r="G117" s="73">
        <f>IFERROR(VLOOKUP($B117,'[1]KPI Promotor'!$G:$K,5,0),0)</f>
        <v>90000000</v>
      </c>
      <c r="H117" s="74">
        <f>SUMIF('[1]SALES BY PROMOTOR'!$D:$D,$F117,'[1]SALES BY PROMOTOR'!$J:$J)</f>
        <v>55290000</v>
      </c>
      <c r="I117" s="75">
        <f t="shared" si="10"/>
        <v>0.61433333333333329</v>
      </c>
      <c r="J117" s="73">
        <f t="shared" si="11"/>
        <v>59239285.714285709</v>
      </c>
      <c r="K117" s="76">
        <f t="shared" si="12"/>
        <v>5529000</v>
      </c>
      <c r="L117" s="77">
        <f>SUMIF('[1]SALES BY PROMOTOR'!$D:$D,$F117,'[1]SALES BY PROMOTOR'!$G:$G)</f>
        <v>7</v>
      </c>
      <c r="M117" s="77">
        <f>SUMIF('[1]SALES BY PROMOTOR'!$D:$D,$F117,'[1]SALES BY PROMOTOR'!$I:$I)</f>
        <v>10</v>
      </c>
      <c r="N117" s="75">
        <f t="shared" si="13"/>
        <v>0.7</v>
      </c>
      <c r="O117" s="78">
        <f>IFERROR(VLOOKUP($F117,'[1]Sales By Promotor Last Month'!D:G,4,0),0)</f>
        <v>12</v>
      </c>
      <c r="P117" s="78">
        <f t="shared" si="14"/>
        <v>7</v>
      </c>
      <c r="Q117" s="79">
        <f t="shared" si="15"/>
        <v>-5</v>
      </c>
      <c r="R117" s="80">
        <f t="shared" si="16"/>
        <v>-0.41666666666666669</v>
      </c>
      <c r="S117" s="78">
        <f>IFERROR(VLOOKUP($F117,'[1]Sales By Promotor Last Month'!D:I,6,0),0)</f>
        <v>16</v>
      </c>
      <c r="T117" s="78">
        <f t="shared" si="17"/>
        <v>10</v>
      </c>
      <c r="U117" s="79">
        <f t="shared" si="18"/>
        <v>-6</v>
      </c>
      <c r="V117" s="80">
        <f t="shared" si="19"/>
        <v>-0.375</v>
      </c>
      <c r="W117"/>
      <c r="X117"/>
      <c r="Y117"/>
    </row>
    <row r="118" spans="1:25" ht="17" outlineLevel="1" x14ac:dyDescent="0.2">
      <c r="A118" s="11" t="s">
        <v>282</v>
      </c>
      <c r="B118" s="71">
        <v>6150702</v>
      </c>
      <c r="C118" s="10" t="s">
        <v>61</v>
      </c>
      <c r="D118" s="320">
        <v>2</v>
      </c>
      <c r="E118" s="23" t="s">
        <v>283</v>
      </c>
      <c r="F118" s="17" t="s">
        <v>284</v>
      </c>
      <c r="G118" s="73">
        <f>IFERROR(VLOOKUP($B118,'[1]KPI Promotor'!$G:$K,5,0),0)</f>
        <v>0</v>
      </c>
      <c r="H118" s="74">
        <f>SUMIF('[1]SALES BY PROMOTOR'!$D:$D,$F118,'[1]SALES BY PROMOTOR'!$J:$J)</f>
        <v>35995000</v>
      </c>
      <c r="I118" s="75">
        <f t="shared" si="10"/>
        <v>0</v>
      </c>
      <c r="J118" s="73">
        <f t="shared" si="11"/>
        <v>38566071.428571433</v>
      </c>
      <c r="K118" s="76">
        <f t="shared" si="12"/>
        <v>7199000</v>
      </c>
      <c r="L118" s="77">
        <f>SUMIF('[1]SALES BY PROMOTOR'!$D:$D,$F118,'[1]SALES BY PROMOTOR'!$G:$G)</f>
        <v>4</v>
      </c>
      <c r="M118" s="77">
        <f>SUMIF('[1]SALES BY PROMOTOR'!$D:$D,$F118,'[1]SALES BY PROMOTOR'!$I:$I)</f>
        <v>5</v>
      </c>
      <c r="N118" s="75">
        <f t="shared" si="13"/>
        <v>0.8</v>
      </c>
      <c r="O118" s="78">
        <f>IFERROR(VLOOKUP($F118,'[1]Sales By Promotor Last Month'!D:G,4,0),0)</f>
        <v>4</v>
      </c>
      <c r="P118" s="78">
        <f t="shared" si="14"/>
        <v>4</v>
      </c>
      <c r="Q118" s="79">
        <f t="shared" si="15"/>
        <v>0</v>
      </c>
      <c r="R118" s="80">
        <f t="shared" si="16"/>
        <v>0</v>
      </c>
      <c r="S118" s="78">
        <f>IFERROR(VLOOKUP($F118,'[1]Sales By Promotor Last Month'!D:I,6,0),0)</f>
        <v>5</v>
      </c>
      <c r="T118" s="78">
        <f t="shared" si="17"/>
        <v>5</v>
      </c>
      <c r="U118" s="79">
        <f t="shared" si="18"/>
        <v>0</v>
      </c>
      <c r="V118" s="80">
        <f t="shared" si="19"/>
        <v>0</v>
      </c>
      <c r="W118"/>
      <c r="X118"/>
      <c r="Y118"/>
    </row>
    <row r="119" spans="1:25" ht="17" x14ac:dyDescent="0.2">
      <c r="A119" s="11" t="s">
        <v>282</v>
      </c>
      <c r="B119" s="71">
        <v>6150702</v>
      </c>
      <c r="C119" s="10" t="s">
        <v>61</v>
      </c>
      <c r="D119" s="322"/>
      <c r="E119" s="23" t="s">
        <v>283</v>
      </c>
      <c r="F119" s="17" t="s">
        <v>285</v>
      </c>
      <c r="G119" s="73">
        <f>IFERROR(VLOOKUP($B119,'[1]KPI Promotor'!$G:$K,5,0),0)</f>
        <v>0</v>
      </c>
      <c r="H119" s="74">
        <f>SUMIF('[1]SALES BY PROMOTOR'!$D:$D,$F119,'[1]SALES BY PROMOTOR'!$J:$J)</f>
        <v>28894000</v>
      </c>
      <c r="I119" s="75">
        <f t="shared" si="10"/>
        <v>0</v>
      </c>
      <c r="J119" s="73">
        <f t="shared" si="11"/>
        <v>30957857.142857146</v>
      </c>
      <c r="K119" s="76">
        <f t="shared" si="12"/>
        <v>4815666.666666667</v>
      </c>
      <c r="L119" s="77">
        <f>SUMIF('[1]SALES BY PROMOTOR'!$D:$D,$F119,'[1]SALES BY PROMOTOR'!$G:$G)</f>
        <v>6</v>
      </c>
      <c r="M119" s="77">
        <f>SUMIF('[1]SALES BY PROMOTOR'!$D:$D,$F119,'[1]SALES BY PROMOTOR'!$I:$I)</f>
        <v>6</v>
      </c>
      <c r="N119" s="75">
        <f t="shared" si="13"/>
        <v>1</v>
      </c>
      <c r="O119" s="78">
        <f>IFERROR(VLOOKUP($F119,'[1]Sales By Promotor Last Month'!D:G,4,0),0)</f>
        <v>5</v>
      </c>
      <c r="P119" s="78">
        <f t="shared" si="14"/>
        <v>6</v>
      </c>
      <c r="Q119" s="79">
        <f t="shared" si="15"/>
        <v>1</v>
      </c>
      <c r="R119" s="80">
        <f t="shared" si="16"/>
        <v>0.2</v>
      </c>
      <c r="S119" s="78">
        <f>IFERROR(VLOOKUP($F119,'[1]Sales By Promotor Last Month'!D:I,6,0),0)</f>
        <v>5</v>
      </c>
      <c r="T119" s="78">
        <f t="shared" si="17"/>
        <v>6</v>
      </c>
      <c r="U119" s="79">
        <f t="shared" si="18"/>
        <v>1</v>
      </c>
      <c r="V119" s="80">
        <f t="shared" si="19"/>
        <v>0.2</v>
      </c>
      <c r="W119"/>
      <c r="X119"/>
      <c r="Y119"/>
    </row>
    <row r="120" spans="1:25" ht="17" x14ac:dyDescent="0.2">
      <c r="A120" s="86" t="s">
        <v>286</v>
      </c>
      <c r="B120" s="71">
        <v>6170703</v>
      </c>
      <c r="C120" s="88" t="s">
        <v>55</v>
      </c>
      <c r="D120" s="305">
        <v>2</v>
      </c>
      <c r="E120" s="86" t="s">
        <v>287</v>
      </c>
      <c r="F120" s="10" t="s">
        <v>288</v>
      </c>
      <c r="G120" s="73">
        <f>IFERROR(VLOOKUP($B120,'[1]KPI Promotor'!$G:$K,5,0),0)</f>
        <v>90000000</v>
      </c>
      <c r="H120" s="74">
        <f>SUMIF('[1]SALES BY PROMOTOR'!$D:$D,$F120,'[1]SALES BY PROMOTOR'!$J:$J)</f>
        <v>38995000</v>
      </c>
      <c r="I120" s="75">
        <f t="shared" si="10"/>
        <v>0.43327777777777776</v>
      </c>
      <c r="J120" s="73">
        <f t="shared" si="11"/>
        <v>41780357.142857142</v>
      </c>
      <c r="K120" s="76">
        <f t="shared" si="12"/>
        <v>7799000</v>
      </c>
      <c r="L120" s="77">
        <f>SUMIF('[1]SALES BY PROMOTOR'!$D:$D,$F120,'[1]SALES BY PROMOTOR'!$G:$G)</f>
        <v>2</v>
      </c>
      <c r="M120" s="77">
        <f>SUMIF('[1]SALES BY PROMOTOR'!$D:$D,$F120,'[1]SALES BY PROMOTOR'!$I:$I)</f>
        <v>5</v>
      </c>
      <c r="N120" s="75">
        <f t="shared" si="13"/>
        <v>0.4</v>
      </c>
      <c r="O120" s="78">
        <f>IFERROR(VLOOKUP($F120,'[1]Sales By Promotor Last Month'!D:G,4,0),0)</f>
        <v>5</v>
      </c>
      <c r="P120" s="78">
        <f t="shared" si="14"/>
        <v>2</v>
      </c>
      <c r="Q120" s="79">
        <f t="shared" si="15"/>
        <v>-3</v>
      </c>
      <c r="R120" s="80">
        <f t="shared" si="16"/>
        <v>-0.6</v>
      </c>
      <c r="S120" s="78">
        <f>IFERROR(VLOOKUP($F120,'[1]Sales By Promotor Last Month'!D:I,6,0),0)</f>
        <v>9</v>
      </c>
      <c r="T120" s="78">
        <f t="shared" si="17"/>
        <v>5</v>
      </c>
      <c r="U120" s="79">
        <f t="shared" si="18"/>
        <v>-4</v>
      </c>
      <c r="V120" s="80">
        <f t="shared" si="19"/>
        <v>-0.44444444444444442</v>
      </c>
      <c r="W120"/>
      <c r="X120"/>
      <c r="Y120"/>
    </row>
    <row r="121" spans="1:25" ht="18" outlineLevel="1" thickBot="1" x14ac:dyDescent="0.25">
      <c r="A121" s="89" t="s">
        <v>286</v>
      </c>
      <c r="B121" s="72">
        <v>6170703</v>
      </c>
      <c r="C121" s="90" t="s">
        <v>55</v>
      </c>
      <c r="D121" s="323"/>
      <c r="E121" s="89" t="s">
        <v>287</v>
      </c>
      <c r="F121" s="24" t="s">
        <v>289</v>
      </c>
      <c r="G121" s="73">
        <f>IFERROR(VLOOKUP($B121,'[1]KPI Promotor'!$G:$K,5,0),0)</f>
        <v>90000000</v>
      </c>
      <c r="H121" s="74">
        <f>SUMIF('[1]SALES BY PROMOTOR'!$D:$D,$F121,'[1]SALES BY PROMOTOR'!$J:$J)</f>
        <v>5998000</v>
      </c>
      <c r="I121" s="75">
        <f t="shared" si="10"/>
        <v>6.6644444444444451E-2</v>
      </c>
      <c r="J121" s="73">
        <f t="shared" si="11"/>
        <v>6426428.5714285709</v>
      </c>
      <c r="K121" s="76">
        <f t="shared" si="12"/>
        <v>2999000</v>
      </c>
      <c r="L121" s="77">
        <f>SUMIF('[1]SALES BY PROMOTOR'!$D:$D,$F121,'[1]SALES BY PROMOTOR'!$G:$G)</f>
        <v>1</v>
      </c>
      <c r="M121" s="77">
        <f>SUMIF('[1]SALES BY PROMOTOR'!$D:$D,$F121,'[1]SALES BY PROMOTOR'!$I:$I)</f>
        <v>2</v>
      </c>
      <c r="N121" s="75">
        <f t="shared" si="13"/>
        <v>0.5</v>
      </c>
      <c r="O121" s="78">
        <f>IFERROR(VLOOKUP($F121,'[1]Sales By Promotor Last Month'!D:G,4,0),0)</f>
        <v>4</v>
      </c>
      <c r="P121" s="78">
        <f t="shared" si="14"/>
        <v>1</v>
      </c>
      <c r="Q121" s="79">
        <f t="shared" si="15"/>
        <v>-3</v>
      </c>
      <c r="R121" s="80">
        <f t="shared" si="16"/>
        <v>-0.75</v>
      </c>
      <c r="S121" s="78">
        <f>IFERROR(VLOOKUP($F121,'[1]Sales By Promotor Last Month'!D:I,6,0),0)</f>
        <v>8</v>
      </c>
      <c r="T121" s="78">
        <f t="shared" si="17"/>
        <v>2</v>
      </c>
      <c r="U121" s="79">
        <f t="shared" si="18"/>
        <v>-6</v>
      </c>
      <c r="V121" s="80">
        <f t="shared" si="19"/>
        <v>-0.75</v>
      </c>
      <c r="W121"/>
      <c r="X121"/>
      <c r="Y121"/>
    </row>
    <row r="122" spans="1:25" ht="17" outlineLevel="1" thickBot="1" x14ac:dyDescent="0.25">
      <c r="A122" s="91"/>
      <c r="B122" s="92"/>
      <c r="C122" s="93" t="s">
        <v>67</v>
      </c>
      <c r="D122" s="92">
        <v>120</v>
      </c>
      <c r="E122" s="91"/>
      <c r="F122" s="25"/>
      <c r="G122" s="73">
        <f>SUM(G5:G121)</f>
        <v>14630000000</v>
      </c>
      <c r="H122" s="73">
        <f>SUM(H5:H121)</f>
        <v>11232756000</v>
      </c>
      <c r="I122" s="75">
        <f>IFERROR(H122/G122,0)</f>
        <v>0.7677892002734108</v>
      </c>
      <c r="J122" s="73">
        <f>SUM(J5:J121)</f>
        <v>12035095714.285711</v>
      </c>
      <c r="K122" s="76">
        <f>IFERROR(H122/M122,0)</f>
        <v>4093569.9708454809</v>
      </c>
      <c r="L122" s="78">
        <f>SUM(L5:L121)</f>
        <v>1306</v>
      </c>
      <c r="M122" s="78">
        <f>SUM(M5:M121)</f>
        <v>2744</v>
      </c>
      <c r="N122" s="75">
        <f>IFERROR(L122/M122,0)</f>
        <v>0.47594752186588923</v>
      </c>
      <c r="O122" s="78">
        <f>SUM(O5:O121)</f>
        <v>1228</v>
      </c>
      <c r="P122" s="78">
        <f>SUM(P5:P121)</f>
        <v>1306</v>
      </c>
      <c r="Q122" s="79">
        <f>P122-O122</f>
        <v>78</v>
      </c>
      <c r="R122" s="80">
        <f>IFERROR(Q122/O122,0)</f>
        <v>6.3517915309446255E-2</v>
      </c>
      <c r="S122" s="78">
        <f>SUM(S5:S121)</f>
        <v>3230</v>
      </c>
      <c r="T122" s="78">
        <f>SUM(T5:T121)</f>
        <v>2744</v>
      </c>
      <c r="U122" s="79">
        <f>T122-S122</f>
        <v>-486</v>
      </c>
      <c r="V122" s="80">
        <f>IFERROR(U122/S122,0)</f>
        <v>-0.15046439628482972</v>
      </c>
      <c r="W122"/>
      <c r="X122"/>
      <c r="Y122"/>
    </row>
    <row r="123" spans="1:25" ht="16" x14ac:dyDescent="0.2">
      <c r="A123" s="91"/>
      <c r="B123" s="92"/>
      <c r="C123" s="93" t="s">
        <v>67</v>
      </c>
      <c r="D123" s="92">
        <v>120</v>
      </c>
      <c r="E123" s="91"/>
      <c r="F123" s="25"/>
      <c r="G123" s="73">
        <f>SUM(G5:G122)</f>
        <v>29260000000</v>
      </c>
      <c r="H123" s="73">
        <f>SUM(H5:H122)</f>
        <v>22465512000</v>
      </c>
      <c r="I123" s="75">
        <f>IFERROR(H123/G123,0)</f>
        <v>0.7677892002734108</v>
      </c>
      <c r="J123" s="73">
        <f>SUM(J5:J122)</f>
        <v>24070191428.571423</v>
      </c>
      <c r="K123" s="76">
        <f>IFERROR(H123/M123,0)</f>
        <v>4093569.9708454809</v>
      </c>
      <c r="L123" s="78">
        <f>SUM(L5:L122)</f>
        <v>2612</v>
      </c>
      <c r="M123" s="78">
        <f>SUM(M5:M122)</f>
        <v>5488</v>
      </c>
      <c r="N123" s="75">
        <f>IFERROR(L123/M123,0)</f>
        <v>0.47594752186588923</v>
      </c>
      <c r="O123" s="78">
        <f>SUM(O5:O122)</f>
        <v>2456</v>
      </c>
      <c r="P123" s="78">
        <f>SUM(P5:P122)</f>
        <v>2612</v>
      </c>
      <c r="Q123" s="79">
        <f>P123-O123</f>
        <v>156</v>
      </c>
      <c r="R123" s="80">
        <f>IFERROR(Q123/O123,0)</f>
        <v>6.3517915309446255E-2</v>
      </c>
      <c r="S123" s="78">
        <f>SUM(S5:S122)</f>
        <v>6460</v>
      </c>
      <c r="T123" s="78">
        <f>SUM(T5:T122)</f>
        <v>5488</v>
      </c>
      <c r="U123" s="79">
        <f>T123-S123</f>
        <v>-972</v>
      </c>
      <c r="V123" s="80">
        <f>IFERROR(U123/S123,0)</f>
        <v>-0.15046439628482972</v>
      </c>
      <c r="W123"/>
      <c r="X123"/>
      <c r="Y123"/>
    </row>
    <row r="124" spans="1:25" ht="16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</row>
  </sheetData>
  <mergeCells count="63">
    <mergeCell ref="D110:D111"/>
    <mergeCell ref="D112:D113"/>
    <mergeCell ref="D114:D116"/>
    <mergeCell ref="D118:D119"/>
    <mergeCell ref="D120:D121"/>
    <mergeCell ref="D97:D99"/>
    <mergeCell ref="D100:D102"/>
    <mergeCell ref="D103:D105"/>
    <mergeCell ref="D106:D107"/>
    <mergeCell ref="D108:D109"/>
    <mergeCell ref="D80:D81"/>
    <mergeCell ref="D82:D85"/>
    <mergeCell ref="D86:D89"/>
    <mergeCell ref="D91:D93"/>
    <mergeCell ref="D94:D96"/>
    <mergeCell ref="D63:D67"/>
    <mergeCell ref="D68:D70"/>
    <mergeCell ref="D71:D73"/>
    <mergeCell ref="D75:D76"/>
    <mergeCell ref="D77:D79"/>
    <mergeCell ref="A1:C2"/>
    <mergeCell ref="G1:K2"/>
    <mergeCell ref="L1:L2"/>
    <mergeCell ref="M1:M2"/>
    <mergeCell ref="N1:N2"/>
    <mergeCell ref="O1:R2"/>
    <mergeCell ref="S1:V2"/>
    <mergeCell ref="O3:P3"/>
    <mergeCell ref="Q3:R3"/>
    <mergeCell ref="S3:T3"/>
    <mergeCell ref="U3:V3"/>
    <mergeCell ref="E3:E4"/>
    <mergeCell ref="F3:F4"/>
    <mergeCell ref="D44:D45"/>
    <mergeCell ref="D30:D32"/>
    <mergeCell ref="D33:D35"/>
    <mergeCell ref="D36:D37"/>
    <mergeCell ref="D38:D40"/>
    <mergeCell ref="D41:D43"/>
    <mergeCell ref="D46:D48"/>
    <mergeCell ref="D50:D51"/>
    <mergeCell ref="D52:D53"/>
    <mergeCell ref="D54:D55"/>
    <mergeCell ref="D56:D57"/>
    <mergeCell ref="D58:D59"/>
    <mergeCell ref="D61:D62"/>
    <mergeCell ref="D5:D10"/>
    <mergeCell ref="D11:D16"/>
    <mergeCell ref="D17:D19"/>
    <mergeCell ref="D20:D22"/>
    <mergeCell ref="D23:D29"/>
    <mergeCell ref="A3:A4"/>
    <mergeCell ref="B3:B4"/>
    <mergeCell ref="C3:C4"/>
    <mergeCell ref="D3:D4"/>
    <mergeCell ref="G3:G4"/>
    <mergeCell ref="M3:M4"/>
    <mergeCell ref="N3:N4"/>
    <mergeCell ref="H3:H4"/>
    <mergeCell ref="I3:I4"/>
    <mergeCell ref="J3:J4"/>
    <mergeCell ref="K3:K4"/>
    <mergeCell ref="L3:L4"/>
  </mergeCells>
  <conditionalFormatting sqref="I123">
    <cfRule type="expression" dxfId="56" priority="5">
      <formula>I123&gt;=$F$2</formula>
    </cfRule>
    <cfRule type="expression" dxfId="55" priority="6">
      <formula>I123&lt;$F$2</formula>
    </cfRule>
  </conditionalFormatting>
  <conditionalFormatting sqref="A5:F5 A6:C10 E6:F10 A11:F11 A12:C16 E12:F16 A17:F17 A18:C19 E18:F19 A20:F20 A21:C22 E21:F22 A23:F23 A24:C29 E24:F29 A30:F30 A31:C32 E31:F32 A33:F33 A34:C35 E34:F35 A36:F36 A37:C37 E37:F37 A38:F38 A39:C40 E39:F40 A41:F41 A42:C43 E42:F43 A44:F44 A45:C45 E45:F45 A46:F46 A47:C48 E47:F48 A49:F50 A51:C51 E51:F51 A52:F52 A53:C55 E53:F55 A56:F56 A57:C57 E57:F57 A58:F58 A59:C59 E59:F59 A60:F61 A62:C62 E62:F62 A63:F63 A64:C67 E64:F67 A68:F68 A69:C73 E69:F73 A74:F75 A76:C76 E76:F76 A77:F77 A78:C79 E78:F79 A80:F80 A81:C81 E81:F81 A82:F82 A83:C85 E83:F85 A86:F86 A87:C89 E87:F89 A90:F91 A92:C93 E92:F93 A94:F94 A95:C96 E95:F96 A97:F97 A98:C99 E98:F99 A100:F100 A101:C102 E101:F102 A103:F103 A104:C105 E104:F105 A106:F106 A107:C107 E107:F107 A108:F108 A109:C109 E109:F109 A110:F110 A111:C111 E111:F111 A112:F112 E113:F113 A113:C117 D114:F114 E115:F116 D117:F117 A118:F118 A119:C119 E119:F119 A120:F120 A121:C121 E121:F121">
    <cfRule type="expression" dxfId="54" priority="1">
      <formula>MOD(ROW(),2)=0</formula>
    </cfRule>
  </conditionalFormatting>
  <conditionalFormatting sqref="I5:I122">
    <cfRule type="expression" dxfId="53" priority="2">
      <formula>I5&gt;=$F$2</formula>
    </cfRule>
    <cfRule type="expression" dxfId="52" priority="3">
      <formula>I5&lt;$F$2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Q50"/>
  <sheetViews>
    <sheetView tabSelected="1" zoomScale="84" zoomScaleNormal="84" workbookViewId="0">
      <selection sqref="A1:FQ50"/>
    </sheetView>
  </sheetViews>
  <sheetFormatPr baseColWidth="10" defaultColWidth="11" defaultRowHeight="16" x14ac:dyDescent="0.2"/>
  <sheetData>
    <row r="1" spans="1:173" x14ac:dyDescent="0.2">
      <c r="A1" s="216"/>
      <c r="B1" s="217"/>
      <c r="C1" s="217"/>
      <c r="D1" s="217" t="s">
        <v>290</v>
      </c>
      <c r="E1" s="217" t="s">
        <v>291</v>
      </c>
      <c r="F1" s="217" t="s">
        <v>292</v>
      </c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  <c r="CL1" s="217"/>
      <c r="CM1" s="217"/>
      <c r="CN1" s="217"/>
      <c r="CO1" s="217"/>
      <c r="CP1" s="217"/>
      <c r="CQ1" s="217"/>
      <c r="CR1" s="217"/>
      <c r="CS1" s="217"/>
      <c r="CT1" s="217"/>
      <c r="CU1" s="217"/>
      <c r="CV1" s="217"/>
      <c r="CW1" s="217"/>
      <c r="CX1" s="217"/>
      <c r="CY1" s="217"/>
      <c r="CZ1" s="217"/>
      <c r="DA1" s="217"/>
      <c r="DB1" s="217"/>
      <c r="DC1" s="217"/>
      <c r="DD1" s="217"/>
      <c r="DE1" s="217"/>
      <c r="DF1" s="217"/>
      <c r="DG1" s="217"/>
      <c r="DH1" s="217"/>
      <c r="DI1" s="217"/>
      <c r="DJ1" s="217"/>
      <c r="DK1" s="217"/>
      <c r="DL1" s="217"/>
      <c r="DM1" s="217"/>
      <c r="DN1" s="217"/>
      <c r="DO1" s="217"/>
      <c r="DP1" s="217"/>
      <c r="DQ1" s="217"/>
      <c r="DR1" s="217"/>
      <c r="DS1" s="217"/>
      <c r="DT1" s="217"/>
      <c r="DU1" s="217"/>
      <c r="DV1" s="217"/>
      <c r="DW1" s="217"/>
      <c r="DX1" s="217"/>
      <c r="DY1" s="217"/>
      <c r="DZ1" s="217"/>
      <c r="EA1" s="217"/>
      <c r="EB1" s="217"/>
      <c r="EC1" s="217"/>
      <c r="ED1" s="217"/>
      <c r="EE1" s="217"/>
      <c r="EF1" s="217"/>
      <c r="EG1" s="217"/>
      <c r="EH1" s="217"/>
      <c r="EI1" s="217"/>
      <c r="EJ1" s="217"/>
      <c r="EK1" s="217"/>
      <c r="EL1" s="217"/>
      <c r="EM1" s="217"/>
      <c r="EN1" s="217"/>
      <c r="EO1" s="217"/>
      <c r="EP1" s="217"/>
      <c r="EQ1" s="217"/>
      <c r="ER1" s="217"/>
      <c r="ES1" s="217"/>
      <c r="ET1" s="217"/>
      <c r="EU1" s="217"/>
      <c r="EV1" s="217"/>
      <c r="EW1" s="217"/>
      <c r="EX1" s="217"/>
      <c r="EY1" s="217"/>
      <c r="EZ1" s="217"/>
      <c r="FA1" s="217"/>
      <c r="FB1" s="217"/>
      <c r="FC1" s="217"/>
      <c r="FD1" s="217"/>
      <c r="FE1" s="217"/>
      <c r="FF1" s="217"/>
      <c r="FG1" s="217"/>
      <c r="FH1" s="217"/>
      <c r="FI1" s="217"/>
      <c r="FJ1" s="217"/>
      <c r="FK1" s="217"/>
      <c r="FL1" s="217"/>
      <c r="FM1" s="217"/>
      <c r="FN1" s="217"/>
      <c r="FO1" s="217"/>
      <c r="FP1" s="217"/>
      <c r="FQ1" s="218"/>
    </row>
    <row r="2" spans="1:173" x14ac:dyDescent="0.2">
      <c r="A2" s="219"/>
      <c r="B2" s="220"/>
      <c r="C2" s="220"/>
      <c r="D2" s="221">
        <v>46266</v>
      </c>
      <c r="E2" s="220"/>
      <c r="F2" s="220"/>
      <c r="G2" s="220"/>
      <c r="H2" s="222" t="s">
        <v>293</v>
      </c>
      <c r="I2" s="222" t="s">
        <v>294</v>
      </c>
      <c r="J2" s="221">
        <v>46267</v>
      </c>
      <c r="K2" s="220"/>
      <c r="L2" s="220"/>
      <c r="M2" s="220"/>
      <c r="N2" s="222" t="s">
        <v>295</v>
      </c>
      <c r="O2" s="222" t="s">
        <v>296</v>
      </c>
      <c r="P2" s="221">
        <v>46268</v>
      </c>
      <c r="Q2" s="220"/>
      <c r="R2" s="220"/>
      <c r="S2" s="220"/>
      <c r="T2" s="222" t="s">
        <v>338</v>
      </c>
      <c r="U2" s="222" t="s">
        <v>339</v>
      </c>
      <c r="V2" s="221">
        <v>46269</v>
      </c>
      <c r="W2" s="220"/>
      <c r="X2" s="220"/>
      <c r="Y2" s="220"/>
      <c r="Z2" s="222" t="s">
        <v>341</v>
      </c>
      <c r="AA2" s="222" t="s">
        <v>342</v>
      </c>
      <c r="AB2" s="221">
        <v>46271</v>
      </c>
      <c r="AC2" s="220"/>
      <c r="AD2" s="220"/>
      <c r="AE2" s="220"/>
      <c r="AF2" s="222" t="s">
        <v>344</v>
      </c>
      <c r="AG2" s="222" t="s">
        <v>345</v>
      </c>
      <c r="AH2" s="221">
        <v>46270</v>
      </c>
      <c r="AI2" s="220"/>
      <c r="AJ2" s="220"/>
      <c r="AK2" s="220"/>
      <c r="AL2" s="222" t="s">
        <v>346</v>
      </c>
      <c r="AM2" s="222" t="s">
        <v>347</v>
      </c>
      <c r="AN2" s="221">
        <v>46272</v>
      </c>
      <c r="AO2" s="220"/>
      <c r="AP2" s="220"/>
      <c r="AQ2" s="220"/>
      <c r="AR2" s="222" t="s">
        <v>348</v>
      </c>
      <c r="AS2" s="222" t="s">
        <v>349</v>
      </c>
      <c r="AT2" s="221">
        <v>46273</v>
      </c>
      <c r="AU2" s="220"/>
      <c r="AV2" s="220"/>
      <c r="AW2" s="220"/>
      <c r="AX2" s="222" t="s">
        <v>350</v>
      </c>
      <c r="AY2" s="222" t="s">
        <v>351</v>
      </c>
      <c r="AZ2" s="221">
        <v>46274</v>
      </c>
      <c r="BA2" s="220"/>
      <c r="BB2" s="220"/>
      <c r="BC2" s="220"/>
      <c r="BD2" s="222" t="s">
        <v>352</v>
      </c>
      <c r="BE2" s="222" t="s">
        <v>353</v>
      </c>
      <c r="BF2" s="221">
        <v>46275</v>
      </c>
      <c r="BG2" s="220"/>
      <c r="BH2" s="220"/>
      <c r="BI2" s="220"/>
      <c r="BJ2" s="222" t="s">
        <v>354</v>
      </c>
      <c r="BK2" s="222" t="s">
        <v>355</v>
      </c>
      <c r="BL2" s="221">
        <v>46276</v>
      </c>
      <c r="BM2" s="220"/>
      <c r="BN2" s="220"/>
      <c r="BO2" s="220"/>
      <c r="BP2" s="222" t="s">
        <v>356</v>
      </c>
      <c r="BQ2" s="222" t="s">
        <v>357</v>
      </c>
      <c r="BR2" s="221">
        <v>46278</v>
      </c>
      <c r="BS2" s="220"/>
      <c r="BT2" s="220"/>
      <c r="BU2" s="220"/>
      <c r="BV2" s="222" t="s">
        <v>358</v>
      </c>
      <c r="BW2" s="222" t="s">
        <v>359</v>
      </c>
      <c r="BX2" s="221">
        <v>46277</v>
      </c>
      <c r="BY2" s="220"/>
      <c r="BZ2" s="220"/>
      <c r="CA2" s="220"/>
      <c r="CB2" s="222" t="s">
        <v>360</v>
      </c>
      <c r="CC2" s="222" t="s">
        <v>361</v>
      </c>
      <c r="CD2" s="221">
        <v>46282</v>
      </c>
      <c r="CE2" s="220"/>
      <c r="CF2" s="220"/>
      <c r="CG2" s="220"/>
      <c r="CH2" s="222" t="s">
        <v>366</v>
      </c>
      <c r="CI2" s="222" t="s">
        <v>367</v>
      </c>
      <c r="CJ2" s="221">
        <v>46281</v>
      </c>
      <c r="CK2" s="220"/>
      <c r="CL2" s="220"/>
      <c r="CM2" s="220"/>
      <c r="CN2" s="222" t="s">
        <v>368</v>
      </c>
      <c r="CO2" s="222" t="s">
        <v>369</v>
      </c>
      <c r="CP2" s="221">
        <v>46280</v>
      </c>
      <c r="CQ2" s="220"/>
      <c r="CR2" s="220"/>
      <c r="CS2" s="220"/>
      <c r="CT2" s="222" t="s">
        <v>370</v>
      </c>
      <c r="CU2" s="222" t="s">
        <v>371</v>
      </c>
      <c r="CV2" s="221">
        <v>46279</v>
      </c>
      <c r="CW2" s="220"/>
      <c r="CX2" s="220"/>
      <c r="CY2" s="220"/>
      <c r="CZ2" s="222" t="s">
        <v>372</v>
      </c>
      <c r="DA2" s="222" t="s">
        <v>373</v>
      </c>
      <c r="DB2" s="221">
        <v>46284</v>
      </c>
      <c r="DC2" s="220"/>
      <c r="DD2" s="220"/>
      <c r="DE2" s="220"/>
      <c r="DF2" s="222" t="s">
        <v>375</v>
      </c>
      <c r="DG2" s="222" t="s">
        <v>376</v>
      </c>
      <c r="DH2" s="221">
        <v>46283</v>
      </c>
      <c r="DI2" s="220"/>
      <c r="DJ2" s="220"/>
      <c r="DK2" s="220"/>
      <c r="DL2" s="222" t="s">
        <v>377</v>
      </c>
      <c r="DM2" s="222" t="s">
        <v>378</v>
      </c>
      <c r="DN2" s="221">
        <v>46285</v>
      </c>
      <c r="DO2" s="220"/>
      <c r="DP2" s="220"/>
      <c r="DQ2" s="220"/>
      <c r="DR2" s="222" t="s">
        <v>379</v>
      </c>
      <c r="DS2" s="222" t="s">
        <v>380</v>
      </c>
      <c r="DT2" s="221">
        <v>46286</v>
      </c>
      <c r="DU2" s="220"/>
      <c r="DV2" s="220"/>
      <c r="DW2" s="220"/>
      <c r="DX2" s="222" t="s">
        <v>381</v>
      </c>
      <c r="DY2" s="222" t="s">
        <v>382</v>
      </c>
      <c r="DZ2" s="221">
        <v>46287</v>
      </c>
      <c r="EA2" s="220"/>
      <c r="EB2" s="220"/>
      <c r="EC2" s="220"/>
      <c r="ED2" s="222" t="s">
        <v>383</v>
      </c>
      <c r="EE2" s="222" t="s">
        <v>384</v>
      </c>
      <c r="EF2" s="221">
        <v>46288</v>
      </c>
      <c r="EG2" s="220"/>
      <c r="EH2" s="220"/>
      <c r="EI2" s="220"/>
      <c r="EJ2" s="222" t="s">
        <v>385</v>
      </c>
      <c r="EK2" s="222" t="s">
        <v>386</v>
      </c>
      <c r="EL2" s="221">
        <v>46289</v>
      </c>
      <c r="EM2" s="220"/>
      <c r="EN2" s="220"/>
      <c r="EO2" s="220"/>
      <c r="EP2" s="222" t="s">
        <v>387</v>
      </c>
      <c r="EQ2" s="222" t="s">
        <v>388</v>
      </c>
      <c r="ER2" s="221">
        <v>46290</v>
      </c>
      <c r="ES2" s="220"/>
      <c r="ET2" s="220"/>
      <c r="EU2" s="220"/>
      <c r="EV2" s="222" t="s">
        <v>389</v>
      </c>
      <c r="EW2" s="222" t="s">
        <v>390</v>
      </c>
      <c r="EX2" s="221">
        <v>46292</v>
      </c>
      <c r="EY2" s="220"/>
      <c r="EZ2" s="220"/>
      <c r="FA2" s="220"/>
      <c r="FB2" s="222" t="s">
        <v>391</v>
      </c>
      <c r="FC2" s="222" t="s">
        <v>392</v>
      </c>
      <c r="FD2" s="221">
        <v>46291</v>
      </c>
      <c r="FE2" s="220"/>
      <c r="FF2" s="220"/>
      <c r="FG2" s="220"/>
      <c r="FH2" s="222" t="s">
        <v>393</v>
      </c>
      <c r="FI2" s="222" t="s">
        <v>394</v>
      </c>
      <c r="FJ2" s="221">
        <v>46293</v>
      </c>
      <c r="FK2" s="220"/>
      <c r="FL2" s="220"/>
      <c r="FM2" s="220"/>
      <c r="FN2" s="222" t="s">
        <v>395</v>
      </c>
      <c r="FO2" s="222" t="s">
        <v>396</v>
      </c>
      <c r="FP2" s="223" t="s">
        <v>297</v>
      </c>
      <c r="FQ2" s="224" t="s">
        <v>298</v>
      </c>
    </row>
    <row r="3" spans="1:173" x14ac:dyDescent="0.2">
      <c r="A3" s="219"/>
      <c r="B3" s="220"/>
      <c r="C3" s="220"/>
      <c r="D3" s="223" t="s">
        <v>72</v>
      </c>
      <c r="E3" s="223"/>
      <c r="F3" s="223" t="s">
        <v>73</v>
      </c>
      <c r="G3" s="223"/>
      <c r="H3" s="222"/>
      <c r="I3" s="222"/>
      <c r="J3" s="223" t="s">
        <v>72</v>
      </c>
      <c r="K3" s="223"/>
      <c r="L3" s="223" t="s">
        <v>73</v>
      </c>
      <c r="M3" s="223"/>
      <c r="N3" s="222"/>
      <c r="O3" s="222"/>
      <c r="P3" s="223" t="s">
        <v>72</v>
      </c>
      <c r="Q3" s="223"/>
      <c r="R3" s="223" t="s">
        <v>73</v>
      </c>
      <c r="S3" s="223"/>
      <c r="T3" s="222"/>
      <c r="U3" s="222"/>
      <c r="V3" s="223" t="s">
        <v>72</v>
      </c>
      <c r="W3" s="223"/>
      <c r="X3" s="223" t="s">
        <v>73</v>
      </c>
      <c r="Y3" s="223"/>
      <c r="Z3" s="222"/>
      <c r="AA3" s="222"/>
      <c r="AB3" s="223" t="s">
        <v>72</v>
      </c>
      <c r="AC3" s="223"/>
      <c r="AD3" s="223" t="s">
        <v>73</v>
      </c>
      <c r="AE3" s="223"/>
      <c r="AF3" s="222"/>
      <c r="AG3" s="222"/>
      <c r="AH3" s="223" t="s">
        <v>72</v>
      </c>
      <c r="AI3" s="223"/>
      <c r="AJ3" s="223" t="s">
        <v>73</v>
      </c>
      <c r="AK3" s="223"/>
      <c r="AL3" s="222"/>
      <c r="AM3" s="222"/>
      <c r="AN3" s="223" t="s">
        <v>72</v>
      </c>
      <c r="AO3" s="223"/>
      <c r="AP3" s="223" t="s">
        <v>73</v>
      </c>
      <c r="AQ3" s="223"/>
      <c r="AR3" s="222"/>
      <c r="AS3" s="222"/>
      <c r="AT3" s="223" t="s">
        <v>72</v>
      </c>
      <c r="AU3" s="223"/>
      <c r="AV3" s="223" t="s">
        <v>73</v>
      </c>
      <c r="AW3" s="223"/>
      <c r="AX3" s="222"/>
      <c r="AY3" s="222"/>
      <c r="AZ3" s="223" t="s">
        <v>72</v>
      </c>
      <c r="BA3" s="223"/>
      <c r="BB3" s="223" t="s">
        <v>73</v>
      </c>
      <c r="BC3" s="223"/>
      <c r="BD3" s="222"/>
      <c r="BE3" s="222"/>
      <c r="BF3" s="223" t="s">
        <v>72</v>
      </c>
      <c r="BG3" s="223"/>
      <c r="BH3" s="223" t="s">
        <v>73</v>
      </c>
      <c r="BI3" s="223"/>
      <c r="BJ3" s="222"/>
      <c r="BK3" s="222"/>
      <c r="BL3" s="223" t="s">
        <v>72</v>
      </c>
      <c r="BM3" s="223"/>
      <c r="BN3" s="223" t="s">
        <v>73</v>
      </c>
      <c r="BO3" s="223"/>
      <c r="BP3" s="222"/>
      <c r="BQ3" s="222"/>
      <c r="BR3" s="223" t="s">
        <v>72</v>
      </c>
      <c r="BS3" s="223"/>
      <c r="BT3" s="223" t="s">
        <v>73</v>
      </c>
      <c r="BU3" s="223"/>
      <c r="BV3" s="222"/>
      <c r="BW3" s="222"/>
      <c r="BX3" s="223" t="s">
        <v>72</v>
      </c>
      <c r="BY3" s="223"/>
      <c r="BZ3" s="223" t="s">
        <v>73</v>
      </c>
      <c r="CA3" s="223"/>
      <c r="CB3" s="222"/>
      <c r="CC3" s="222"/>
      <c r="CD3" s="223" t="s">
        <v>72</v>
      </c>
      <c r="CE3" s="223"/>
      <c r="CF3" s="223" t="s">
        <v>73</v>
      </c>
      <c r="CG3" s="223"/>
      <c r="CH3" s="222"/>
      <c r="CI3" s="222"/>
      <c r="CJ3" s="223" t="s">
        <v>72</v>
      </c>
      <c r="CK3" s="223"/>
      <c r="CL3" s="223" t="s">
        <v>73</v>
      </c>
      <c r="CM3" s="223"/>
      <c r="CN3" s="222"/>
      <c r="CO3" s="222"/>
      <c r="CP3" s="223" t="s">
        <v>72</v>
      </c>
      <c r="CQ3" s="223"/>
      <c r="CR3" s="223" t="s">
        <v>73</v>
      </c>
      <c r="CS3" s="223"/>
      <c r="CT3" s="222"/>
      <c r="CU3" s="222"/>
      <c r="CV3" s="223" t="s">
        <v>72</v>
      </c>
      <c r="CW3" s="223"/>
      <c r="CX3" s="223" t="s">
        <v>73</v>
      </c>
      <c r="CY3" s="223"/>
      <c r="CZ3" s="222"/>
      <c r="DA3" s="222"/>
      <c r="DB3" s="223" t="s">
        <v>72</v>
      </c>
      <c r="DC3" s="223"/>
      <c r="DD3" s="223" t="s">
        <v>73</v>
      </c>
      <c r="DE3" s="223"/>
      <c r="DF3" s="222"/>
      <c r="DG3" s="222"/>
      <c r="DH3" s="223" t="s">
        <v>72</v>
      </c>
      <c r="DI3" s="223"/>
      <c r="DJ3" s="223" t="s">
        <v>73</v>
      </c>
      <c r="DK3" s="223"/>
      <c r="DL3" s="222"/>
      <c r="DM3" s="222"/>
      <c r="DN3" s="223" t="s">
        <v>72</v>
      </c>
      <c r="DO3" s="223"/>
      <c r="DP3" s="223" t="s">
        <v>73</v>
      </c>
      <c r="DQ3" s="223"/>
      <c r="DR3" s="222"/>
      <c r="DS3" s="222"/>
      <c r="DT3" s="223" t="s">
        <v>72</v>
      </c>
      <c r="DU3" s="223"/>
      <c r="DV3" s="223" t="s">
        <v>73</v>
      </c>
      <c r="DW3" s="223"/>
      <c r="DX3" s="222"/>
      <c r="DY3" s="222"/>
      <c r="DZ3" s="223" t="s">
        <v>72</v>
      </c>
      <c r="EA3" s="223"/>
      <c r="EB3" s="223" t="s">
        <v>73</v>
      </c>
      <c r="EC3" s="223"/>
      <c r="ED3" s="222"/>
      <c r="EE3" s="222"/>
      <c r="EF3" s="223" t="s">
        <v>72</v>
      </c>
      <c r="EG3" s="223"/>
      <c r="EH3" s="223" t="s">
        <v>73</v>
      </c>
      <c r="EI3" s="223"/>
      <c r="EJ3" s="222"/>
      <c r="EK3" s="222"/>
      <c r="EL3" s="223" t="s">
        <v>72</v>
      </c>
      <c r="EM3" s="223"/>
      <c r="EN3" s="223" t="s">
        <v>73</v>
      </c>
      <c r="EO3" s="223"/>
      <c r="EP3" s="222"/>
      <c r="EQ3" s="222"/>
      <c r="ER3" s="223" t="s">
        <v>72</v>
      </c>
      <c r="ES3" s="223"/>
      <c r="ET3" s="223" t="s">
        <v>73</v>
      </c>
      <c r="EU3" s="223"/>
      <c r="EV3" s="222"/>
      <c r="EW3" s="222"/>
      <c r="EX3" s="223" t="s">
        <v>72</v>
      </c>
      <c r="EY3" s="223"/>
      <c r="EZ3" s="223" t="s">
        <v>73</v>
      </c>
      <c r="FA3" s="223"/>
      <c r="FB3" s="222"/>
      <c r="FC3" s="222"/>
      <c r="FD3" s="223" t="s">
        <v>72</v>
      </c>
      <c r="FE3" s="223"/>
      <c r="FF3" s="223" t="s">
        <v>73</v>
      </c>
      <c r="FG3" s="223"/>
      <c r="FH3" s="222"/>
      <c r="FI3" s="222"/>
      <c r="FJ3" s="223" t="s">
        <v>72</v>
      </c>
      <c r="FK3" s="223"/>
      <c r="FL3" s="223" t="s">
        <v>73</v>
      </c>
      <c r="FM3" s="223"/>
      <c r="FN3" s="222"/>
      <c r="FO3" s="222"/>
      <c r="FP3" s="223"/>
      <c r="FQ3" s="224"/>
    </row>
    <row r="4" spans="1:173" x14ac:dyDescent="0.2">
      <c r="A4" s="225" t="s">
        <v>17</v>
      </c>
      <c r="B4" s="226" t="s">
        <v>18</v>
      </c>
      <c r="C4" s="226" t="s">
        <v>299</v>
      </c>
      <c r="D4" s="227" t="s">
        <v>300</v>
      </c>
      <c r="E4" s="227" t="s">
        <v>301</v>
      </c>
      <c r="F4" s="227" t="s">
        <v>300</v>
      </c>
      <c r="G4" s="227" t="s">
        <v>301</v>
      </c>
      <c r="H4" s="228"/>
      <c r="I4" s="228"/>
      <c r="J4" s="227" t="s">
        <v>300</v>
      </c>
      <c r="K4" s="227" t="s">
        <v>301</v>
      </c>
      <c r="L4" s="227" t="s">
        <v>300</v>
      </c>
      <c r="M4" s="227" t="s">
        <v>301</v>
      </c>
      <c r="N4" s="228"/>
      <c r="O4" s="228"/>
      <c r="P4" s="227" t="s">
        <v>300</v>
      </c>
      <c r="Q4" s="227" t="s">
        <v>301</v>
      </c>
      <c r="R4" s="227" t="s">
        <v>300</v>
      </c>
      <c r="S4" s="227" t="s">
        <v>301</v>
      </c>
      <c r="T4" s="228"/>
      <c r="U4" s="228"/>
      <c r="V4" s="227" t="s">
        <v>300</v>
      </c>
      <c r="W4" s="227" t="s">
        <v>301</v>
      </c>
      <c r="X4" s="227" t="s">
        <v>300</v>
      </c>
      <c r="Y4" s="227" t="s">
        <v>301</v>
      </c>
      <c r="Z4" s="228"/>
      <c r="AA4" s="228"/>
      <c r="AB4" s="227" t="s">
        <v>300</v>
      </c>
      <c r="AC4" s="227" t="s">
        <v>301</v>
      </c>
      <c r="AD4" s="227" t="s">
        <v>300</v>
      </c>
      <c r="AE4" s="227" t="s">
        <v>301</v>
      </c>
      <c r="AF4" s="228"/>
      <c r="AG4" s="228"/>
      <c r="AH4" s="227" t="s">
        <v>300</v>
      </c>
      <c r="AI4" s="227" t="s">
        <v>301</v>
      </c>
      <c r="AJ4" s="227" t="s">
        <v>300</v>
      </c>
      <c r="AK4" s="227" t="s">
        <v>301</v>
      </c>
      <c r="AL4" s="228"/>
      <c r="AM4" s="228"/>
      <c r="AN4" s="227" t="s">
        <v>300</v>
      </c>
      <c r="AO4" s="227" t="s">
        <v>301</v>
      </c>
      <c r="AP4" s="227" t="s">
        <v>300</v>
      </c>
      <c r="AQ4" s="227" t="s">
        <v>301</v>
      </c>
      <c r="AR4" s="228"/>
      <c r="AS4" s="228"/>
      <c r="AT4" s="227" t="s">
        <v>300</v>
      </c>
      <c r="AU4" s="227" t="s">
        <v>301</v>
      </c>
      <c r="AV4" s="227" t="s">
        <v>300</v>
      </c>
      <c r="AW4" s="227" t="s">
        <v>301</v>
      </c>
      <c r="AX4" s="228"/>
      <c r="AY4" s="228"/>
      <c r="AZ4" s="227" t="s">
        <v>300</v>
      </c>
      <c r="BA4" s="227" t="s">
        <v>301</v>
      </c>
      <c r="BB4" s="227" t="s">
        <v>300</v>
      </c>
      <c r="BC4" s="227" t="s">
        <v>301</v>
      </c>
      <c r="BD4" s="228"/>
      <c r="BE4" s="228"/>
      <c r="BF4" s="227" t="s">
        <v>300</v>
      </c>
      <c r="BG4" s="227" t="s">
        <v>301</v>
      </c>
      <c r="BH4" s="227" t="s">
        <v>300</v>
      </c>
      <c r="BI4" s="227" t="s">
        <v>301</v>
      </c>
      <c r="BJ4" s="228"/>
      <c r="BK4" s="228"/>
      <c r="BL4" s="227" t="s">
        <v>300</v>
      </c>
      <c r="BM4" s="227" t="s">
        <v>301</v>
      </c>
      <c r="BN4" s="227" t="s">
        <v>300</v>
      </c>
      <c r="BO4" s="227" t="s">
        <v>301</v>
      </c>
      <c r="BP4" s="228"/>
      <c r="BQ4" s="228"/>
      <c r="BR4" s="227" t="s">
        <v>300</v>
      </c>
      <c r="BS4" s="227" t="s">
        <v>301</v>
      </c>
      <c r="BT4" s="227" t="s">
        <v>300</v>
      </c>
      <c r="BU4" s="227" t="s">
        <v>301</v>
      </c>
      <c r="BV4" s="228"/>
      <c r="BW4" s="228"/>
      <c r="BX4" s="227" t="s">
        <v>300</v>
      </c>
      <c r="BY4" s="227" t="s">
        <v>301</v>
      </c>
      <c r="BZ4" s="227" t="s">
        <v>300</v>
      </c>
      <c r="CA4" s="227" t="s">
        <v>301</v>
      </c>
      <c r="CB4" s="228"/>
      <c r="CC4" s="228"/>
      <c r="CD4" s="227" t="s">
        <v>300</v>
      </c>
      <c r="CE4" s="227" t="s">
        <v>301</v>
      </c>
      <c r="CF4" s="227" t="s">
        <v>300</v>
      </c>
      <c r="CG4" s="227" t="s">
        <v>301</v>
      </c>
      <c r="CH4" s="228"/>
      <c r="CI4" s="228"/>
      <c r="CJ4" s="227" t="s">
        <v>300</v>
      </c>
      <c r="CK4" s="227" t="s">
        <v>301</v>
      </c>
      <c r="CL4" s="227" t="s">
        <v>300</v>
      </c>
      <c r="CM4" s="227" t="s">
        <v>301</v>
      </c>
      <c r="CN4" s="228"/>
      <c r="CO4" s="228"/>
      <c r="CP4" s="227" t="s">
        <v>300</v>
      </c>
      <c r="CQ4" s="227" t="s">
        <v>301</v>
      </c>
      <c r="CR4" s="227" t="s">
        <v>300</v>
      </c>
      <c r="CS4" s="227" t="s">
        <v>301</v>
      </c>
      <c r="CT4" s="228"/>
      <c r="CU4" s="228"/>
      <c r="CV4" s="227" t="s">
        <v>300</v>
      </c>
      <c r="CW4" s="227" t="s">
        <v>301</v>
      </c>
      <c r="CX4" s="227" t="s">
        <v>300</v>
      </c>
      <c r="CY4" s="227" t="s">
        <v>301</v>
      </c>
      <c r="CZ4" s="228"/>
      <c r="DA4" s="228"/>
      <c r="DB4" s="227" t="s">
        <v>300</v>
      </c>
      <c r="DC4" s="227" t="s">
        <v>301</v>
      </c>
      <c r="DD4" s="227" t="s">
        <v>300</v>
      </c>
      <c r="DE4" s="227" t="s">
        <v>301</v>
      </c>
      <c r="DF4" s="228"/>
      <c r="DG4" s="228"/>
      <c r="DH4" s="227" t="s">
        <v>300</v>
      </c>
      <c r="DI4" s="227" t="s">
        <v>301</v>
      </c>
      <c r="DJ4" s="227" t="s">
        <v>300</v>
      </c>
      <c r="DK4" s="227" t="s">
        <v>301</v>
      </c>
      <c r="DL4" s="228"/>
      <c r="DM4" s="228"/>
      <c r="DN4" s="227" t="s">
        <v>300</v>
      </c>
      <c r="DO4" s="227" t="s">
        <v>301</v>
      </c>
      <c r="DP4" s="227" t="s">
        <v>300</v>
      </c>
      <c r="DQ4" s="227" t="s">
        <v>301</v>
      </c>
      <c r="DR4" s="228"/>
      <c r="DS4" s="228"/>
      <c r="DT4" s="227" t="s">
        <v>300</v>
      </c>
      <c r="DU4" s="227" t="s">
        <v>301</v>
      </c>
      <c r="DV4" s="227" t="s">
        <v>300</v>
      </c>
      <c r="DW4" s="227" t="s">
        <v>301</v>
      </c>
      <c r="DX4" s="228"/>
      <c r="DY4" s="228"/>
      <c r="DZ4" s="227" t="s">
        <v>300</v>
      </c>
      <c r="EA4" s="227" t="s">
        <v>301</v>
      </c>
      <c r="EB4" s="227" t="s">
        <v>300</v>
      </c>
      <c r="EC4" s="227" t="s">
        <v>301</v>
      </c>
      <c r="ED4" s="228"/>
      <c r="EE4" s="228"/>
      <c r="EF4" s="227" t="s">
        <v>300</v>
      </c>
      <c r="EG4" s="227" t="s">
        <v>301</v>
      </c>
      <c r="EH4" s="227" t="s">
        <v>300</v>
      </c>
      <c r="EI4" s="227" t="s">
        <v>301</v>
      </c>
      <c r="EJ4" s="228"/>
      <c r="EK4" s="228"/>
      <c r="EL4" s="227" t="s">
        <v>300</v>
      </c>
      <c r="EM4" s="227" t="s">
        <v>301</v>
      </c>
      <c r="EN4" s="227" t="s">
        <v>300</v>
      </c>
      <c r="EO4" s="227" t="s">
        <v>301</v>
      </c>
      <c r="EP4" s="228"/>
      <c r="EQ4" s="228"/>
      <c r="ER4" s="227" t="s">
        <v>300</v>
      </c>
      <c r="ES4" s="227" t="s">
        <v>301</v>
      </c>
      <c r="ET4" s="227" t="s">
        <v>300</v>
      </c>
      <c r="EU4" s="227" t="s">
        <v>301</v>
      </c>
      <c r="EV4" s="228"/>
      <c r="EW4" s="228"/>
      <c r="EX4" s="227" t="s">
        <v>300</v>
      </c>
      <c r="EY4" s="227" t="s">
        <v>301</v>
      </c>
      <c r="EZ4" s="227" t="s">
        <v>300</v>
      </c>
      <c r="FA4" s="227" t="s">
        <v>301</v>
      </c>
      <c r="FB4" s="228"/>
      <c r="FC4" s="228"/>
      <c r="FD4" s="227" t="s">
        <v>300</v>
      </c>
      <c r="FE4" s="227" t="s">
        <v>301</v>
      </c>
      <c r="FF4" s="227" t="s">
        <v>300</v>
      </c>
      <c r="FG4" s="227" t="s">
        <v>301</v>
      </c>
      <c r="FH4" s="228"/>
      <c r="FI4" s="228"/>
      <c r="FJ4" s="227" t="s">
        <v>300</v>
      </c>
      <c r="FK4" s="227" t="s">
        <v>301</v>
      </c>
      <c r="FL4" s="227" t="s">
        <v>300</v>
      </c>
      <c r="FM4" s="227" t="s">
        <v>301</v>
      </c>
      <c r="FN4" s="228"/>
      <c r="FO4" s="228"/>
      <c r="FP4" s="226"/>
      <c r="FQ4" s="229"/>
    </row>
    <row r="5" spans="1:173" x14ac:dyDescent="0.2">
      <c r="A5" s="1" t="s">
        <v>52</v>
      </c>
      <c r="B5" s="2">
        <v>6170707</v>
      </c>
      <c r="C5" s="3" t="s">
        <v>302</v>
      </c>
      <c r="D5" s="4">
        <v>2</v>
      </c>
      <c r="E5" s="5">
        <v>4898000</v>
      </c>
      <c r="F5" s="4"/>
      <c r="G5" s="5"/>
      <c r="H5" s="230">
        <v>2</v>
      </c>
      <c r="I5" s="231">
        <v>4898000</v>
      </c>
      <c r="J5" s="4">
        <v>1</v>
      </c>
      <c r="K5" s="5">
        <v>2799000</v>
      </c>
      <c r="L5" s="4">
        <v>1</v>
      </c>
      <c r="M5" s="5">
        <v>9999000</v>
      </c>
      <c r="N5" s="230">
        <v>2</v>
      </c>
      <c r="O5" s="231">
        <v>12798000</v>
      </c>
      <c r="P5" s="4">
        <v>2</v>
      </c>
      <c r="Q5" s="5">
        <v>4398000</v>
      </c>
      <c r="R5" s="4">
        <v>2</v>
      </c>
      <c r="S5" s="5">
        <v>11798000</v>
      </c>
      <c r="T5" s="230">
        <v>4</v>
      </c>
      <c r="U5" s="231">
        <v>16196000</v>
      </c>
      <c r="V5" s="4">
        <v>4</v>
      </c>
      <c r="W5" s="5">
        <v>10296000</v>
      </c>
      <c r="X5" s="4"/>
      <c r="Y5" s="5"/>
      <c r="Z5" s="230">
        <v>4</v>
      </c>
      <c r="AA5" s="231">
        <v>10296000</v>
      </c>
      <c r="AB5" s="4">
        <v>5</v>
      </c>
      <c r="AC5" s="5">
        <v>11695000</v>
      </c>
      <c r="AD5" s="4">
        <v>1</v>
      </c>
      <c r="AE5" s="5">
        <v>5899000</v>
      </c>
      <c r="AF5" s="230">
        <v>6</v>
      </c>
      <c r="AG5" s="231">
        <v>17594000</v>
      </c>
      <c r="AH5" s="4">
        <v>2</v>
      </c>
      <c r="AI5" s="5">
        <v>4698000</v>
      </c>
      <c r="AJ5" s="4">
        <v>1</v>
      </c>
      <c r="AK5" s="5">
        <v>3899000</v>
      </c>
      <c r="AL5" s="230">
        <v>3</v>
      </c>
      <c r="AM5" s="231">
        <v>8597000</v>
      </c>
      <c r="AN5" s="4">
        <v>2</v>
      </c>
      <c r="AO5" s="5">
        <v>5198000</v>
      </c>
      <c r="AP5" s="4"/>
      <c r="AQ5" s="5"/>
      <c r="AR5" s="230">
        <v>2</v>
      </c>
      <c r="AS5" s="231">
        <v>5198000</v>
      </c>
      <c r="AT5" s="4">
        <v>1</v>
      </c>
      <c r="AU5" s="5">
        <v>2299000</v>
      </c>
      <c r="AV5" s="4">
        <v>1</v>
      </c>
      <c r="AW5" s="5">
        <v>5899000</v>
      </c>
      <c r="AX5" s="230">
        <v>2</v>
      </c>
      <c r="AY5" s="231">
        <v>8198000</v>
      </c>
      <c r="AZ5" s="4">
        <v>1</v>
      </c>
      <c r="BA5" s="5">
        <v>2599000</v>
      </c>
      <c r="BB5" s="4"/>
      <c r="BC5" s="5"/>
      <c r="BD5" s="230">
        <v>1</v>
      </c>
      <c r="BE5" s="231">
        <v>2599000</v>
      </c>
      <c r="BF5" s="4"/>
      <c r="BG5" s="5"/>
      <c r="BH5" s="4"/>
      <c r="BI5" s="5"/>
      <c r="BJ5" s="230"/>
      <c r="BK5" s="231"/>
      <c r="BL5" s="4"/>
      <c r="BM5" s="5"/>
      <c r="BN5" s="4">
        <v>3</v>
      </c>
      <c r="BO5" s="5">
        <v>15697000</v>
      </c>
      <c r="BP5" s="230">
        <v>3</v>
      </c>
      <c r="BQ5" s="231">
        <v>15697000</v>
      </c>
      <c r="BR5" s="4">
        <v>7</v>
      </c>
      <c r="BS5" s="5">
        <v>17193000</v>
      </c>
      <c r="BT5" s="4">
        <v>3</v>
      </c>
      <c r="BU5" s="5">
        <v>16497000</v>
      </c>
      <c r="BV5" s="230">
        <v>10</v>
      </c>
      <c r="BW5" s="231">
        <v>33690000</v>
      </c>
      <c r="BX5" s="4">
        <v>2</v>
      </c>
      <c r="BY5" s="5">
        <v>4898000</v>
      </c>
      <c r="BZ5" s="4">
        <v>2</v>
      </c>
      <c r="CA5" s="5">
        <v>11798000</v>
      </c>
      <c r="CB5" s="230">
        <v>4</v>
      </c>
      <c r="CC5" s="231">
        <v>16696000</v>
      </c>
      <c r="CD5" s="4">
        <v>3</v>
      </c>
      <c r="CE5" s="5">
        <v>7197000</v>
      </c>
      <c r="CF5" s="4"/>
      <c r="CG5" s="5"/>
      <c r="CH5" s="230">
        <v>3</v>
      </c>
      <c r="CI5" s="231">
        <v>7197000</v>
      </c>
      <c r="CJ5" s="4"/>
      <c r="CK5" s="5"/>
      <c r="CL5" s="4">
        <v>1</v>
      </c>
      <c r="CM5" s="5">
        <v>3299000</v>
      </c>
      <c r="CN5" s="230">
        <v>1</v>
      </c>
      <c r="CO5" s="231">
        <v>3299000</v>
      </c>
      <c r="CP5" s="4">
        <v>1</v>
      </c>
      <c r="CQ5" s="5">
        <v>2299000</v>
      </c>
      <c r="CR5" s="4">
        <v>1</v>
      </c>
      <c r="CS5" s="5">
        <v>5899000</v>
      </c>
      <c r="CT5" s="230">
        <v>2</v>
      </c>
      <c r="CU5" s="231">
        <v>8198000</v>
      </c>
      <c r="CV5" s="4">
        <v>4</v>
      </c>
      <c r="CW5" s="5">
        <v>9796000</v>
      </c>
      <c r="CX5" s="4">
        <v>1</v>
      </c>
      <c r="CY5" s="5">
        <v>8999000</v>
      </c>
      <c r="CZ5" s="230">
        <v>5</v>
      </c>
      <c r="DA5" s="231">
        <v>18795000</v>
      </c>
      <c r="DB5" s="4">
        <v>6</v>
      </c>
      <c r="DC5" s="5">
        <v>14594000</v>
      </c>
      <c r="DD5" s="4">
        <v>2</v>
      </c>
      <c r="DE5" s="5">
        <v>11798000</v>
      </c>
      <c r="DF5" s="230">
        <v>8</v>
      </c>
      <c r="DG5" s="231">
        <v>26392000</v>
      </c>
      <c r="DH5" s="4">
        <v>4</v>
      </c>
      <c r="DI5" s="5">
        <v>9796000</v>
      </c>
      <c r="DJ5" s="4"/>
      <c r="DK5" s="5"/>
      <c r="DL5" s="230">
        <v>4</v>
      </c>
      <c r="DM5" s="231">
        <v>9796000</v>
      </c>
      <c r="DN5" s="4"/>
      <c r="DO5" s="5"/>
      <c r="DP5" s="4">
        <v>3</v>
      </c>
      <c r="DQ5" s="5">
        <v>12097000</v>
      </c>
      <c r="DR5" s="230">
        <v>3</v>
      </c>
      <c r="DS5" s="231">
        <v>12097000</v>
      </c>
      <c r="DT5" s="4"/>
      <c r="DU5" s="5"/>
      <c r="DV5" s="4">
        <v>1</v>
      </c>
      <c r="DW5" s="5">
        <v>3899000</v>
      </c>
      <c r="DX5" s="230">
        <v>1</v>
      </c>
      <c r="DY5" s="231">
        <v>3899000</v>
      </c>
      <c r="DZ5" s="4">
        <v>4</v>
      </c>
      <c r="EA5" s="5">
        <v>9696000</v>
      </c>
      <c r="EB5" s="4">
        <v>2</v>
      </c>
      <c r="EC5" s="5">
        <v>7198000</v>
      </c>
      <c r="ED5" s="230">
        <v>6</v>
      </c>
      <c r="EE5" s="231">
        <v>16894000</v>
      </c>
      <c r="EF5" s="4"/>
      <c r="EG5" s="5"/>
      <c r="EH5" s="4">
        <v>1</v>
      </c>
      <c r="EI5" s="5">
        <v>3899000</v>
      </c>
      <c r="EJ5" s="230">
        <v>1</v>
      </c>
      <c r="EK5" s="231">
        <v>3899000</v>
      </c>
      <c r="EL5" s="4">
        <v>2</v>
      </c>
      <c r="EM5" s="5">
        <v>4598000</v>
      </c>
      <c r="EN5" s="4"/>
      <c r="EO5" s="5"/>
      <c r="EP5" s="230">
        <v>2</v>
      </c>
      <c r="EQ5" s="231">
        <v>4598000</v>
      </c>
      <c r="ER5" s="4">
        <v>1</v>
      </c>
      <c r="ES5" s="5">
        <v>2299000</v>
      </c>
      <c r="ET5" s="4">
        <v>3</v>
      </c>
      <c r="EU5" s="5">
        <v>15197000</v>
      </c>
      <c r="EV5" s="230">
        <v>4</v>
      </c>
      <c r="EW5" s="231">
        <v>17496000</v>
      </c>
      <c r="EX5" s="4">
        <v>1</v>
      </c>
      <c r="EY5" s="5">
        <v>2599000</v>
      </c>
      <c r="EZ5" s="4">
        <v>5</v>
      </c>
      <c r="FA5" s="5">
        <v>20495000</v>
      </c>
      <c r="FB5" s="230">
        <v>6</v>
      </c>
      <c r="FC5" s="231">
        <v>23094000</v>
      </c>
      <c r="FD5" s="4">
        <v>3</v>
      </c>
      <c r="FE5" s="5">
        <v>7497000</v>
      </c>
      <c r="FF5" s="4">
        <v>2</v>
      </c>
      <c r="FG5" s="5">
        <v>8098000</v>
      </c>
      <c r="FH5" s="230">
        <v>5</v>
      </c>
      <c r="FI5" s="231">
        <v>15595000</v>
      </c>
      <c r="FJ5" s="4">
        <v>2</v>
      </c>
      <c r="FK5" s="5">
        <v>4898000</v>
      </c>
      <c r="FL5" s="4"/>
      <c r="FM5" s="5"/>
      <c r="FN5" s="230">
        <v>2</v>
      </c>
      <c r="FO5" s="231">
        <v>4898000</v>
      </c>
      <c r="FP5" s="4">
        <v>96</v>
      </c>
      <c r="FQ5" s="6">
        <v>328604000</v>
      </c>
    </row>
    <row r="6" spans="1:173" x14ac:dyDescent="0.2">
      <c r="A6" s="1"/>
      <c r="B6" s="2">
        <v>6240702</v>
      </c>
      <c r="C6" s="3" t="s">
        <v>303</v>
      </c>
      <c r="D6" s="4"/>
      <c r="E6" s="5"/>
      <c r="F6" s="4">
        <v>1</v>
      </c>
      <c r="G6" s="5">
        <v>7999000</v>
      </c>
      <c r="H6" s="230">
        <v>1</v>
      </c>
      <c r="I6" s="231">
        <v>7999000</v>
      </c>
      <c r="J6" s="4">
        <v>1</v>
      </c>
      <c r="K6" s="5">
        <v>2299000</v>
      </c>
      <c r="L6" s="4">
        <v>2</v>
      </c>
      <c r="M6" s="5">
        <v>15498000</v>
      </c>
      <c r="N6" s="230">
        <v>3</v>
      </c>
      <c r="O6" s="231">
        <v>17797000</v>
      </c>
      <c r="P6" s="4">
        <v>2</v>
      </c>
      <c r="Q6" s="5">
        <v>5598000</v>
      </c>
      <c r="R6" s="4">
        <v>1</v>
      </c>
      <c r="S6" s="5">
        <v>5899000</v>
      </c>
      <c r="T6" s="230">
        <v>3</v>
      </c>
      <c r="U6" s="231">
        <v>11497000</v>
      </c>
      <c r="V6" s="4">
        <v>3</v>
      </c>
      <c r="W6" s="5">
        <v>7597000</v>
      </c>
      <c r="X6" s="4"/>
      <c r="Y6" s="5"/>
      <c r="Z6" s="230">
        <v>3</v>
      </c>
      <c r="AA6" s="231">
        <v>7597000</v>
      </c>
      <c r="AB6" s="4">
        <v>5</v>
      </c>
      <c r="AC6" s="5">
        <v>12895000</v>
      </c>
      <c r="AD6" s="4">
        <v>5</v>
      </c>
      <c r="AE6" s="5">
        <v>30395000</v>
      </c>
      <c r="AF6" s="230">
        <v>10</v>
      </c>
      <c r="AG6" s="231">
        <v>43290000</v>
      </c>
      <c r="AH6" s="4">
        <v>1</v>
      </c>
      <c r="AI6" s="5">
        <v>2299000</v>
      </c>
      <c r="AJ6" s="4">
        <v>2</v>
      </c>
      <c r="AK6" s="5">
        <v>13898000</v>
      </c>
      <c r="AL6" s="230">
        <v>3</v>
      </c>
      <c r="AM6" s="231">
        <v>16197000</v>
      </c>
      <c r="AN6" s="4">
        <v>1</v>
      </c>
      <c r="AO6" s="5">
        <v>2399000</v>
      </c>
      <c r="AP6" s="4"/>
      <c r="AQ6" s="5"/>
      <c r="AR6" s="230">
        <v>1</v>
      </c>
      <c r="AS6" s="231">
        <v>2399000</v>
      </c>
      <c r="AT6" s="4">
        <v>1</v>
      </c>
      <c r="AU6" s="5">
        <v>2799000</v>
      </c>
      <c r="AV6" s="4"/>
      <c r="AW6" s="5"/>
      <c r="AX6" s="230">
        <v>1</v>
      </c>
      <c r="AY6" s="231">
        <v>2799000</v>
      </c>
      <c r="AZ6" s="4"/>
      <c r="BA6" s="5"/>
      <c r="BB6" s="4"/>
      <c r="BC6" s="5"/>
      <c r="BD6" s="230"/>
      <c r="BE6" s="231"/>
      <c r="BF6" s="4">
        <v>2</v>
      </c>
      <c r="BG6" s="5">
        <v>4898000</v>
      </c>
      <c r="BH6" s="4">
        <v>1</v>
      </c>
      <c r="BI6" s="5">
        <v>11999000</v>
      </c>
      <c r="BJ6" s="230">
        <v>3</v>
      </c>
      <c r="BK6" s="231">
        <v>16897000</v>
      </c>
      <c r="BL6" s="4">
        <v>2</v>
      </c>
      <c r="BM6" s="5">
        <v>5198000</v>
      </c>
      <c r="BN6" s="4">
        <v>1</v>
      </c>
      <c r="BO6" s="5">
        <v>3599000</v>
      </c>
      <c r="BP6" s="230">
        <v>3</v>
      </c>
      <c r="BQ6" s="231">
        <v>8797000</v>
      </c>
      <c r="BR6" s="4">
        <v>5</v>
      </c>
      <c r="BS6" s="5">
        <v>12695000</v>
      </c>
      <c r="BT6" s="4"/>
      <c r="BU6" s="5"/>
      <c r="BV6" s="230">
        <v>5</v>
      </c>
      <c r="BW6" s="231">
        <v>12695000</v>
      </c>
      <c r="BX6" s="4">
        <v>4</v>
      </c>
      <c r="BY6" s="5">
        <v>10296000</v>
      </c>
      <c r="BZ6" s="4"/>
      <c r="CA6" s="5"/>
      <c r="CB6" s="230">
        <v>4</v>
      </c>
      <c r="CC6" s="231">
        <v>10296000</v>
      </c>
      <c r="CD6" s="4">
        <v>2</v>
      </c>
      <c r="CE6" s="5">
        <v>4898000</v>
      </c>
      <c r="CF6" s="4"/>
      <c r="CG6" s="5"/>
      <c r="CH6" s="230">
        <v>2</v>
      </c>
      <c r="CI6" s="231">
        <v>4898000</v>
      </c>
      <c r="CJ6" s="4">
        <v>3</v>
      </c>
      <c r="CK6" s="5">
        <v>7497000</v>
      </c>
      <c r="CL6" s="4"/>
      <c r="CM6" s="5"/>
      <c r="CN6" s="230">
        <v>3</v>
      </c>
      <c r="CO6" s="231">
        <v>7497000</v>
      </c>
      <c r="CP6" s="4">
        <v>3</v>
      </c>
      <c r="CQ6" s="5">
        <v>6897000</v>
      </c>
      <c r="CR6" s="4">
        <v>1</v>
      </c>
      <c r="CS6" s="5">
        <v>6899000</v>
      </c>
      <c r="CT6" s="230">
        <v>4</v>
      </c>
      <c r="CU6" s="231">
        <v>13796000</v>
      </c>
      <c r="CV6" s="4">
        <v>3</v>
      </c>
      <c r="CW6" s="5">
        <v>7197000</v>
      </c>
      <c r="CX6" s="4">
        <v>5</v>
      </c>
      <c r="CY6" s="5">
        <v>63895000</v>
      </c>
      <c r="CZ6" s="230">
        <v>8</v>
      </c>
      <c r="DA6" s="231">
        <v>71092000</v>
      </c>
      <c r="DB6" s="4">
        <v>2</v>
      </c>
      <c r="DC6" s="5">
        <v>5098000</v>
      </c>
      <c r="DD6" s="4">
        <v>1</v>
      </c>
      <c r="DE6" s="5">
        <v>6899000</v>
      </c>
      <c r="DF6" s="230">
        <v>3</v>
      </c>
      <c r="DG6" s="231">
        <v>11997000</v>
      </c>
      <c r="DH6" s="4">
        <v>2</v>
      </c>
      <c r="DI6" s="5">
        <v>5098000</v>
      </c>
      <c r="DJ6" s="4">
        <v>3</v>
      </c>
      <c r="DK6" s="5">
        <v>16597000</v>
      </c>
      <c r="DL6" s="230">
        <v>5</v>
      </c>
      <c r="DM6" s="231">
        <v>21695000</v>
      </c>
      <c r="DN6" s="4">
        <v>2</v>
      </c>
      <c r="DO6" s="5">
        <v>5198000</v>
      </c>
      <c r="DP6" s="4">
        <v>2</v>
      </c>
      <c r="DQ6" s="5">
        <v>10198000</v>
      </c>
      <c r="DR6" s="230">
        <v>4</v>
      </c>
      <c r="DS6" s="231">
        <v>15396000</v>
      </c>
      <c r="DT6" s="4"/>
      <c r="DU6" s="5"/>
      <c r="DV6" s="4"/>
      <c r="DW6" s="5"/>
      <c r="DX6" s="230"/>
      <c r="DY6" s="231"/>
      <c r="DZ6" s="4"/>
      <c r="EA6" s="5"/>
      <c r="EB6" s="4">
        <v>1</v>
      </c>
      <c r="EC6" s="5">
        <v>3299000</v>
      </c>
      <c r="ED6" s="230">
        <v>1</v>
      </c>
      <c r="EE6" s="231">
        <v>3299000</v>
      </c>
      <c r="EF6" s="4"/>
      <c r="EG6" s="5"/>
      <c r="EH6" s="4">
        <v>1</v>
      </c>
      <c r="EI6" s="5">
        <v>6999000</v>
      </c>
      <c r="EJ6" s="230">
        <v>1</v>
      </c>
      <c r="EK6" s="231">
        <v>6999000</v>
      </c>
      <c r="EL6" s="4"/>
      <c r="EM6" s="5"/>
      <c r="EN6" s="4"/>
      <c r="EO6" s="5"/>
      <c r="EP6" s="230"/>
      <c r="EQ6" s="231"/>
      <c r="ER6" s="4">
        <v>1</v>
      </c>
      <c r="ES6" s="5">
        <v>2599000</v>
      </c>
      <c r="ET6" s="4"/>
      <c r="EU6" s="5"/>
      <c r="EV6" s="230">
        <v>1</v>
      </c>
      <c r="EW6" s="231">
        <v>2599000</v>
      </c>
      <c r="EX6" s="4"/>
      <c r="EY6" s="5"/>
      <c r="EZ6" s="4">
        <v>4</v>
      </c>
      <c r="FA6" s="5">
        <v>15796000</v>
      </c>
      <c r="FB6" s="230">
        <v>4</v>
      </c>
      <c r="FC6" s="231">
        <v>15796000</v>
      </c>
      <c r="FD6" s="4">
        <v>1</v>
      </c>
      <c r="FE6" s="5">
        <v>2599000</v>
      </c>
      <c r="FF6" s="4">
        <v>3</v>
      </c>
      <c r="FG6" s="5">
        <v>17297000</v>
      </c>
      <c r="FH6" s="230">
        <v>4</v>
      </c>
      <c r="FI6" s="231">
        <v>19896000</v>
      </c>
      <c r="FJ6" s="4"/>
      <c r="FK6" s="5"/>
      <c r="FL6" s="4">
        <v>2</v>
      </c>
      <c r="FM6" s="5">
        <v>12798000</v>
      </c>
      <c r="FN6" s="230">
        <v>2</v>
      </c>
      <c r="FO6" s="231">
        <v>12798000</v>
      </c>
      <c r="FP6" s="4">
        <v>82</v>
      </c>
      <c r="FQ6" s="6">
        <v>366018000</v>
      </c>
    </row>
    <row r="7" spans="1:173" x14ac:dyDescent="0.2">
      <c r="A7" s="1"/>
      <c r="B7" s="2">
        <v>6240701</v>
      </c>
      <c r="C7" s="3" t="s">
        <v>304</v>
      </c>
      <c r="D7" s="4">
        <v>4</v>
      </c>
      <c r="E7" s="5">
        <v>10296000</v>
      </c>
      <c r="F7" s="4"/>
      <c r="G7" s="5"/>
      <c r="H7" s="230">
        <v>4</v>
      </c>
      <c r="I7" s="231">
        <v>10296000</v>
      </c>
      <c r="J7" s="4">
        <v>3</v>
      </c>
      <c r="K7" s="5">
        <v>7497000</v>
      </c>
      <c r="L7" s="4">
        <v>1</v>
      </c>
      <c r="M7" s="5">
        <v>5899000</v>
      </c>
      <c r="N7" s="230">
        <v>4</v>
      </c>
      <c r="O7" s="231">
        <v>13396000</v>
      </c>
      <c r="P7" s="4"/>
      <c r="Q7" s="5"/>
      <c r="R7" s="4">
        <v>1</v>
      </c>
      <c r="S7" s="5">
        <v>5899000</v>
      </c>
      <c r="T7" s="230">
        <v>1</v>
      </c>
      <c r="U7" s="231">
        <v>5899000</v>
      </c>
      <c r="V7" s="4">
        <v>4</v>
      </c>
      <c r="W7" s="5">
        <v>8396000</v>
      </c>
      <c r="X7" s="4"/>
      <c r="Y7" s="5"/>
      <c r="Z7" s="230">
        <v>4</v>
      </c>
      <c r="AA7" s="231">
        <v>8396000</v>
      </c>
      <c r="AB7" s="4">
        <v>1</v>
      </c>
      <c r="AC7" s="5">
        <v>2099000</v>
      </c>
      <c r="AD7" s="4">
        <v>3</v>
      </c>
      <c r="AE7" s="5">
        <v>17197000</v>
      </c>
      <c r="AF7" s="230">
        <v>4</v>
      </c>
      <c r="AG7" s="231">
        <v>19296000</v>
      </c>
      <c r="AH7" s="4"/>
      <c r="AI7" s="5"/>
      <c r="AJ7" s="4">
        <v>2</v>
      </c>
      <c r="AK7" s="5">
        <v>8198000</v>
      </c>
      <c r="AL7" s="230">
        <v>2</v>
      </c>
      <c r="AM7" s="231">
        <v>8198000</v>
      </c>
      <c r="AN7" s="4">
        <v>2</v>
      </c>
      <c r="AO7" s="5">
        <v>5598000</v>
      </c>
      <c r="AP7" s="4"/>
      <c r="AQ7" s="5"/>
      <c r="AR7" s="230">
        <v>2</v>
      </c>
      <c r="AS7" s="231">
        <v>5598000</v>
      </c>
      <c r="AT7" s="4">
        <v>1</v>
      </c>
      <c r="AU7" s="5">
        <v>2299000</v>
      </c>
      <c r="AV7" s="4"/>
      <c r="AW7" s="5"/>
      <c r="AX7" s="230">
        <v>1</v>
      </c>
      <c r="AY7" s="231">
        <v>2299000</v>
      </c>
      <c r="AZ7" s="4">
        <v>1</v>
      </c>
      <c r="BA7" s="5">
        <v>2399000</v>
      </c>
      <c r="BB7" s="4">
        <v>1</v>
      </c>
      <c r="BC7" s="5">
        <v>3899000</v>
      </c>
      <c r="BD7" s="230">
        <v>2</v>
      </c>
      <c r="BE7" s="231">
        <v>6298000</v>
      </c>
      <c r="BF7" s="4"/>
      <c r="BG7" s="5"/>
      <c r="BH7" s="4">
        <v>1</v>
      </c>
      <c r="BI7" s="5">
        <v>4299000</v>
      </c>
      <c r="BJ7" s="230">
        <v>1</v>
      </c>
      <c r="BK7" s="231">
        <v>4299000</v>
      </c>
      <c r="BL7" s="4">
        <v>1</v>
      </c>
      <c r="BM7" s="5">
        <v>2799000</v>
      </c>
      <c r="BN7" s="4">
        <v>1</v>
      </c>
      <c r="BO7" s="5">
        <v>3899000</v>
      </c>
      <c r="BP7" s="230">
        <v>2</v>
      </c>
      <c r="BQ7" s="231">
        <v>6698000</v>
      </c>
      <c r="BR7" s="4">
        <v>7</v>
      </c>
      <c r="BS7" s="5">
        <v>17293000</v>
      </c>
      <c r="BT7" s="4">
        <v>1</v>
      </c>
      <c r="BU7" s="5">
        <v>8999000</v>
      </c>
      <c r="BV7" s="230">
        <v>8</v>
      </c>
      <c r="BW7" s="231">
        <v>26292000</v>
      </c>
      <c r="BX7" s="4">
        <v>4</v>
      </c>
      <c r="BY7" s="5">
        <v>9596000</v>
      </c>
      <c r="BZ7" s="4">
        <v>1</v>
      </c>
      <c r="CA7" s="5">
        <v>4899000</v>
      </c>
      <c r="CB7" s="230">
        <v>5</v>
      </c>
      <c r="CC7" s="231">
        <v>14495000</v>
      </c>
      <c r="CD7" s="4">
        <v>1</v>
      </c>
      <c r="CE7" s="5">
        <v>2299000</v>
      </c>
      <c r="CF7" s="4"/>
      <c r="CG7" s="5"/>
      <c r="CH7" s="230">
        <v>1</v>
      </c>
      <c r="CI7" s="231">
        <v>2299000</v>
      </c>
      <c r="CJ7" s="4"/>
      <c r="CK7" s="5"/>
      <c r="CL7" s="4"/>
      <c r="CM7" s="5"/>
      <c r="CN7" s="230"/>
      <c r="CO7" s="231"/>
      <c r="CP7" s="4">
        <v>1</v>
      </c>
      <c r="CQ7" s="5">
        <v>2599000</v>
      </c>
      <c r="CR7" s="4"/>
      <c r="CS7" s="5"/>
      <c r="CT7" s="230">
        <v>1</v>
      </c>
      <c r="CU7" s="231">
        <v>2599000</v>
      </c>
      <c r="CV7" s="4">
        <v>1</v>
      </c>
      <c r="CW7" s="5">
        <v>2599000</v>
      </c>
      <c r="CX7" s="4">
        <v>2</v>
      </c>
      <c r="CY7" s="5">
        <v>17998000</v>
      </c>
      <c r="CZ7" s="230">
        <v>3</v>
      </c>
      <c r="DA7" s="231">
        <v>20597000</v>
      </c>
      <c r="DB7" s="4"/>
      <c r="DC7" s="5"/>
      <c r="DD7" s="4"/>
      <c r="DE7" s="5"/>
      <c r="DF7" s="230"/>
      <c r="DG7" s="231"/>
      <c r="DH7" s="4"/>
      <c r="DI7" s="5"/>
      <c r="DJ7" s="4">
        <v>1</v>
      </c>
      <c r="DK7" s="5">
        <v>4299000</v>
      </c>
      <c r="DL7" s="230">
        <v>1</v>
      </c>
      <c r="DM7" s="231">
        <v>4299000</v>
      </c>
      <c r="DN7" s="4">
        <v>1</v>
      </c>
      <c r="DO7" s="5">
        <v>2599000</v>
      </c>
      <c r="DP7" s="4">
        <v>4</v>
      </c>
      <c r="DQ7" s="5">
        <v>17996000</v>
      </c>
      <c r="DR7" s="230">
        <v>5</v>
      </c>
      <c r="DS7" s="231">
        <v>20595000</v>
      </c>
      <c r="DT7" s="4">
        <v>1</v>
      </c>
      <c r="DU7" s="5">
        <v>2799000</v>
      </c>
      <c r="DV7" s="4">
        <v>1</v>
      </c>
      <c r="DW7" s="5">
        <v>3299000</v>
      </c>
      <c r="DX7" s="230">
        <v>2</v>
      </c>
      <c r="DY7" s="231">
        <v>6098000</v>
      </c>
      <c r="DZ7" s="4"/>
      <c r="EA7" s="5"/>
      <c r="EB7" s="4"/>
      <c r="EC7" s="5"/>
      <c r="ED7" s="230"/>
      <c r="EE7" s="231"/>
      <c r="EF7" s="4">
        <v>2</v>
      </c>
      <c r="EG7" s="5">
        <v>5198000</v>
      </c>
      <c r="EH7" s="4">
        <v>2</v>
      </c>
      <c r="EI7" s="5">
        <v>10298000</v>
      </c>
      <c r="EJ7" s="230">
        <v>4</v>
      </c>
      <c r="EK7" s="231">
        <v>15496000</v>
      </c>
      <c r="EL7" s="4"/>
      <c r="EM7" s="5"/>
      <c r="EN7" s="4"/>
      <c r="EO7" s="5"/>
      <c r="EP7" s="230"/>
      <c r="EQ7" s="231"/>
      <c r="ER7" s="4"/>
      <c r="ES7" s="5"/>
      <c r="ET7" s="4">
        <v>1</v>
      </c>
      <c r="EU7" s="5">
        <v>6999000</v>
      </c>
      <c r="EV7" s="230">
        <v>1</v>
      </c>
      <c r="EW7" s="231">
        <v>6999000</v>
      </c>
      <c r="EX7" s="4"/>
      <c r="EY7" s="5"/>
      <c r="EZ7" s="4">
        <v>1</v>
      </c>
      <c r="FA7" s="5">
        <v>7699000</v>
      </c>
      <c r="FB7" s="230">
        <v>1</v>
      </c>
      <c r="FC7" s="231">
        <v>7699000</v>
      </c>
      <c r="FD7" s="4"/>
      <c r="FE7" s="5"/>
      <c r="FF7" s="4">
        <v>4</v>
      </c>
      <c r="FG7" s="5">
        <v>18896000</v>
      </c>
      <c r="FH7" s="230">
        <v>4</v>
      </c>
      <c r="FI7" s="231">
        <v>18896000</v>
      </c>
      <c r="FJ7" s="4"/>
      <c r="FK7" s="5"/>
      <c r="FL7" s="4"/>
      <c r="FM7" s="5"/>
      <c r="FN7" s="230"/>
      <c r="FO7" s="231"/>
      <c r="FP7" s="4">
        <v>63</v>
      </c>
      <c r="FQ7" s="6">
        <v>237037000</v>
      </c>
    </row>
    <row r="8" spans="1:173" x14ac:dyDescent="0.2">
      <c r="A8" s="1"/>
      <c r="B8" s="2">
        <v>6240704</v>
      </c>
      <c r="C8" s="3" t="s">
        <v>305</v>
      </c>
      <c r="D8" s="4"/>
      <c r="E8" s="5"/>
      <c r="F8" s="4">
        <v>1</v>
      </c>
      <c r="G8" s="5">
        <v>3599000</v>
      </c>
      <c r="H8" s="230">
        <v>1</v>
      </c>
      <c r="I8" s="231">
        <v>3599000</v>
      </c>
      <c r="J8" s="4"/>
      <c r="K8" s="5"/>
      <c r="L8" s="4"/>
      <c r="M8" s="5"/>
      <c r="N8" s="230"/>
      <c r="O8" s="231"/>
      <c r="P8" s="4"/>
      <c r="Q8" s="5"/>
      <c r="R8" s="4"/>
      <c r="S8" s="5"/>
      <c r="T8" s="230"/>
      <c r="U8" s="231"/>
      <c r="V8" s="4"/>
      <c r="W8" s="5"/>
      <c r="X8" s="4"/>
      <c r="Y8" s="5"/>
      <c r="Z8" s="230"/>
      <c r="AA8" s="231"/>
      <c r="AB8" s="4"/>
      <c r="AC8" s="5"/>
      <c r="AD8" s="4">
        <v>1</v>
      </c>
      <c r="AE8" s="5">
        <v>6899000</v>
      </c>
      <c r="AF8" s="230">
        <v>1</v>
      </c>
      <c r="AG8" s="231">
        <v>6899000</v>
      </c>
      <c r="AH8" s="4"/>
      <c r="AI8" s="5"/>
      <c r="AJ8" s="4"/>
      <c r="AK8" s="5"/>
      <c r="AL8" s="230"/>
      <c r="AM8" s="231"/>
      <c r="AN8" s="4">
        <v>1</v>
      </c>
      <c r="AO8" s="5">
        <v>2599000</v>
      </c>
      <c r="AP8" s="4"/>
      <c r="AQ8" s="5"/>
      <c r="AR8" s="230">
        <v>1</v>
      </c>
      <c r="AS8" s="231">
        <v>2599000</v>
      </c>
      <c r="AT8" s="4">
        <v>1</v>
      </c>
      <c r="AU8" s="5">
        <v>2299000</v>
      </c>
      <c r="AV8" s="4"/>
      <c r="AW8" s="5"/>
      <c r="AX8" s="230">
        <v>1</v>
      </c>
      <c r="AY8" s="231">
        <v>2299000</v>
      </c>
      <c r="AZ8" s="4"/>
      <c r="BA8" s="5"/>
      <c r="BB8" s="4"/>
      <c r="BC8" s="5"/>
      <c r="BD8" s="230"/>
      <c r="BE8" s="231"/>
      <c r="BF8" s="4"/>
      <c r="BG8" s="5"/>
      <c r="BH8" s="4"/>
      <c r="BI8" s="5"/>
      <c r="BJ8" s="230"/>
      <c r="BK8" s="231"/>
      <c r="BL8" s="4"/>
      <c r="BM8" s="5"/>
      <c r="BN8" s="4"/>
      <c r="BO8" s="5"/>
      <c r="BP8" s="230"/>
      <c r="BQ8" s="231"/>
      <c r="BR8" s="4"/>
      <c r="BS8" s="5"/>
      <c r="BT8" s="4">
        <v>1</v>
      </c>
      <c r="BU8" s="5">
        <v>5899000</v>
      </c>
      <c r="BV8" s="230">
        <v>1</v>
      </c>
      <c r="BW8" s="231">
        <v>5899000</v>
      </c>
      <c r="BX8" s="4"/>
      <c r="BY8" s="5"/>
      <c r="BZ8" s="4"/>
      <c r="CA8" s="5"/>
      <c r="CB8" s="230"/>
      <c r="CC8" s="231"/>
      <c r="CD8" s="4"/>
      <c r="CE8" s="5"/>
      <c r="CF8" s="4"/>
      <c r="CG8" s="5"/>
      <c r="CH8" s="230"/>
      <c r="CI8" s="231"/>
      <c r="CJ8" s="4"/>
      <c r="CK8" s="5"/>
      <c r="CL8" s="4"/>
      <c r="CM8" s="5"/>
      <c r="CN8" s="230"/>
      <c r="CO8" s="231"/>
      <c r="CP8" s="4">
        <v>1</v>
      </c>
      <c r="CQ8" s="5">
        <v>2299000</v>
      </c>
      <c r="CR8" s="4"/>
      <c r="CS8" s="5"/>
      <c r="CT8" s="230">
        <v>1</v>
      </c>
      <c r="CU8" s="231">
        <v>2299000</v>
      </c>
      <c r="CV8" s="4"/>
      <c r="CW8" s="5"/>
      <c r="CX8" s="4"/>
      <c r="CY8" s="5"/>
      <c r="CZ8" s="230"/>
      <c r="DA8" s="231"/>
      <c r="DB8" s="4">
        <v>1</v>
      </c>
      <c r="DC8" s="5">
        <v>2299000</v>
      </c>
      <c r="DD8" s="4">
        <v>1</v>
      </c>
      <c r="DE8" s="5">
        <v>6999000</v>
      </c>
      <c r="DF8" s="230">
        <v>2</v>
      </c>
      <c r="DG8" s="231">
        <v>9298000</v>
      </c>
      <c r="DH8" s="4"/>
      <c r="DI8" s="5"/>
      <c r="DJ8" s="4">
        <v>1</v>
      </c>
      <c r="DK8" s="5">
        <v>9999000</v>
      </c>
      <c r="DL8" s="230">
        <v>1</v>
      </c>
      <c r="DM8" s="231">
        <v>9999000</v>
      </c>
      <c r="DN8" s="4"/>
      <c r="DO8" s="5"/>
      <c r="DP8" s="4"/>
      <c r="DQ8" s="5"/>
      <c r="DR8" s="230"/>
      <c r="DS8" s="231"/>
      <c r="DT8" s="4"/>
      <c r="DU8" s="5"/>
      <c r="DV8" s="4">
        <v>4</v>
      </c>
      <c r="DW8" s="5">
        <v>23596000</v>
      </c>
      <c r="DX8" s="230">
        <v>4</v>
      </c>
      <c r="DY8" s="231">
        <v>23596000</v>
      </c>
      <c r="DZ8" s="4"/>
      <c r="EA8" s="5"/>
      <c r="EB8" s="4">
        <v>1</v>
      </c>
      <c r="EC8" s="5">
        <v>3299000</v>
      </c>
      <c r="ED8" s="230">
        <v>1</v>
      </c>
      <c r="EE8" s="231">
        <v>3299000</v>
      </c>
      <c r="EF8" s="4"/>
      <c r="EG8" s="5"/>
      <c r="EH8" s="4"/>
      <c r="EI8" s="5"/>
      <c r="EJ8" s="230"/>
      <c r="EK8" s="231"/>
      <c r="EL8" s="4">
        <v>1</v>
      </c>
      <c r="EM8" s="5">
        <v>2299000</v>
      </c>
      <c r="EN8" s="4"/>
      <c r="EO8" s="5"/>
      <c r="EP8" s="230">
        <v>1</v>
      </c>
      <c r="EQ8" s="231">
        <v>2299000</v>
      </c>
      <c r="ER8" s="4"/>
      <c r="ES8" s="5"/>
      <c r="ET8" s="4">
        <v>1</v>
      </c>
      <c r="EU8" s="5">
        <v>4299000</v>
      </c>
      <c r="EV8" s="230">
        <v>1</v>
      </c>
      <c r="EW8" s="231">
        <v>4299000</v>
      </c>
      <c r="EX8" s="4"/>
      <c r="EY8" s="5"/>
      <c r="EZ8" s="4">
        <v>1</v>
      </c>
      <c r="FA8" s="5">
        <v>3299000</v>
      </c>
      <c r="FB8" s="230">
        <v>1</v>
      </c>
      <c r="FC8" s="231">
        <v>3299000</v>
      </c>
      <c r="FD8" s="4">
        <v>1</v>
      </c>
      <c r="FE8" s="5">
        <v>2299000</v>
      </c>
      <c r="FF8" s="4">
        <v>1</v>
      </c>
      <c r="FG8" s="5">
        <v>5899000</v>
      </c>
      <c r="FH8" s="230">
        <v>2</v>
      </c>
      <c r="FI8" s="231">
        <v>8198000</v>
      </c>
      <c r="FJ8" s="4"/>
      <c r="FK8" s="5"/>
      <c r="FL8" s="4">
        <v>1</v>
      </c>
      <c r="FM8" s="5">
        <v>4299000</v>
      </c>
      <c r="FN8" s="230">
        <v>1</v>
      </c>
      <c r="FO8" s="231">
        <v>4299000</v>
      </c>
      <c r="FP8" s="4">
        <v>20</v>
      </c>
      <c r="FQ8" s="6">
        <v>92180000</v>
      </c>
    </row>
    <row r="9" spans="1:173" x14ac:dyDescent="0.2">
      <c r="A9" s="1"/>
      <c r="B9" s="2">
        <v>6240703</v>
      </c>
      <c r="C9" s="3" t="s">
        <v>306</v>
      </c>
      <c r="D9" s="4"/>
      <c r="E9" s="5"/>
      <c r="F9" s="4">
        <v>1</v>
      </c>
      <c r="G9" s="5">
        <v>4299000</v>
      </c>
      <c r="H9" s="230">
        <v>1</v>
      </c>
      <c r="I9" s="231">
        <v>4299000</v>
      </c>
      <c r="J9" s="4"/>
      <c r="K9" s="5"/>
      <c r="L9" s="4">
        <v>1</v>
      </c>
      <c r="M9" s="5">
        <v>5699000</v>
      </c>
      <c r="N9" s="230">
        <v>1</v>
      </c>
      <c r="O9" s="231">
        <v>5699000</v>
      </c>
      <c r="P9" s="4"/>
      <c r="Q9" s="5"/>
      <c r="R9" s="4">
        <v>1</v>
      </c>
      <c r="S9" s="5">
        <v>3599000</v>
      </c>
      <c r="T9" s="230">
        <v>1</v>
      </c>
      <c r="U9" s="231">
        <v>3599000</v>
      </c>
      <c r="V9" s="4"/>
      <c r="W9" s="5"/>
      <c r="X9" s="4"/>
      <c r="Y9" s="5"/>
      <c r="Z9" s="230"/>
      <c r="AA9" s="231"/>
      <c r="AB9" s="4">
        <v>3</v>
      </c>
      <c r="AC9" s="5">
        <v>6797000</v>
      </c>
      <c r="AD9" s="4">
        <v>3</v>
      </c>
      <c r="AE9" s="5">
        <v>19497000</v>
      </c>
      <c r="AF9" s="230">
        <v>6</v>
      </c>
      <c r="AG9" s="231">
        <v>26294000</v>
      </c>
      <c r="AH9" s="4">
        <v>1</v>
      </c>
      <c r="AI9" s="5">
        <v>2799000</v>
      </c>
      <c r="AJ9" s="4">
        <v>2</v>
      </c>
      <c r="AK9" s="5">
        <v>7198000</v>
      </c>
      <c r="AL9" s="230">
        <v>3</v>
      </c>
      <c r="AM9" s="231">
        <v>9997000</v>
      </c>
      <c r="AN9" s="4">
        <v>3</v>
      </c>
      <c r="AO9" s="5">
        <v>7797000</v>
      </c>
      <c r="AP9" s="4"/>
      <c r="AQ9" s="5"/>
      <c r="AR9" s="230">
        <v>3</v>
      </c>
      <c r="AS9" s="231">
        <v>7797000</v>
      </c>
      <c r="AT9" s="4">
        <v>1</v>
      </c>
      <c r="AU9" s="5">
        <v>2799000</v>
      </c>
      <c r="AV9" s="4">
        <v>1</v>
      </c>
      <c r="AW9" s="5">
        <v>5499000</v>
      </c>
      <c r="AX9" s="230">
        <v>2</v>
      </c>
      <c r="AY9" s="231">
        <v>8298000</v>
      </c>
      <c r="AZ9" s="4">
        <v>2</v>
      </c>
      <c r="BA9" s="5">
        <v>5598000</v>
      </c>
      <c r="BB9" s="4">
        <v>1</v>
      </c>
      <c r="BC9" s="5">
        <v>3899000</v>
      </c>
      <c r="BD9" s="230">
        <v>3</v>
      </c>
      <c r="BE9" s="231">
        <v>9497000</v>
      </c>
      <c r="BF9" s="4">
        <v>2</v>
      </c>
      <c r="BG9" s="5">
        <v>5398000</v>
      </c>
      <c r="BH9" s="4">
        <v>1</v>
      </c>
      <c r="BI9" s="5">
        <v>3899000</v>
      </c>
      <c r="BJ9" s="230">
        <v>3</v>
      </c>
      <c r="BK9" s="231">
        <v>9297000</v>
      </c>
      <c r="BL9" s="4">
        <v>3</v>
      </c>
      <c r="BM9" s="5">
        <v>7897000</v>
      </c>
      <c r="BN9" s="4"/>
      <c r="BO9" s="5"/>
      <c r="BP9" s="230">
        <v>3</v>
      </c>
      <c r="BQ9" s="231">
        <v>7897000</v>
      </c>
      <c r="BR9" s="4">
        <v>4</v>
      </c>
      <c r="BS9" s="5">
        <v>10996000</v>
      </c>
      <c r="BT9" s="4">
        <v>1</v>
      </c>
      <c r="BU9" s="5">
        <v>5899000</v>
      </c>
      <c r="BV9" s="230">
        <v>5</v>
      </c>
      <c r="BW9" s="231">
        <v>16895000</v>
      </c>
      <c r="BX9" s="4">
        <v>5</v>
      </c>
      <c r="BY9" s="5">
        <v>11695000</v>
      </c>
      <c r="BZ9" s="4">
        <v>1</v>
      </c>
      <c r="CA9" s="5">
        <v>9999000</v>
      </c>
      <c r="CB9" s="230">
        <v>6</v>
      </c>
      <c r="CC9" s="231">
        <v>21694000</v>
      </c>
      <c r="CD9" s="4">
        <v>1</v>
      </c>
      <c r="CE9" s="5">
        <v>2799000</v>
      </c>
      <c r="CF9" s="4"/>
      <c r="CG9" s="5"/>
      <c r="CH9" s="230">
        <v>1</v>
      </c>
      <c r="CI9" s="231">
        <v>2799000</v>
      </c>
      <c r="CJ9" s="4"/>
      <c r="CK9" s="5"/>
      <c r="CL9" s="4"/>
      <c r="CM9" s="5"/>
      <c r="CN9" s="230"/>
      <c r="CO9" s="231"/>
      <c r="CP9" s="4">
        <v>4</v>
      </c>
      <c r="CQ9" s="5">
        <v>9496000</v>
      </c>
      <c r="CR9" s="4">
        <v>2</v>
      </c>
      <c r="CS9" s="5">
        <v>12298000</v>
      </c>
      <c r="CT9" s="230">
        <v>6</v>
      </c>
      <c r="CU9" s="231">
        <v>21794000</v>
      </c>
      <c r="CV9" s="4"/>
      <c r="CW9" s="5"/>
      <c r="CX9" s="4"/>
      <c r="CY9" s="5"/>
      <c r="CZ9" s="230"/>
      <c r="DA9" s="231"/>
      <c r="DB9" s="4">
        <v>4</v>
      </c>
      <c r="DC9" s="5">
        <v>10296000</v>
      </c>
      <c r="DD9" s="4"/>
      <c r="DE9" s="5"/>
      <c r="DF9" s="230">
        <v>4</v>
      </c>
      <c r="DG9" s="231">
        <v>10296000</v>
      </c>
      <c r="DH9" s="4">
        <v>2</v>
      </c>
      <c r="DI9" s="5">
        <v>4598000</v>
      </c>
      <c r="DJ9" s="4">
        <v>1</v>
      </c>
      <c r="DK9" s="5">
        <v>3299000</v>
      </c>
      <c r="DL9" s="230">
        <v>3</v>
      </c>
      <c r="DM9" s="231">
        <v>7897000</v>
      </c>
      <c r="DN9" s="4">
        <v>1</v>
      </c>
      <c r="DO9" s="5">
        <v>2299000</v>
      </c>
      <c r="DP9" s="4">
        <v>1</v>
      </c>
      <c r="DQ9" s="5">
        <v>4299000</v>
      </c>
      <c r="DR9" s="230">
        <v>2</v>
      </c>
      <c r="DS9" s="231">
        <v>6598000</v>
      </c>
      <c r="DT9" s="4"/>
      <c r="DU9" s="5"/>
      <c r="DV9" s="4"/>
      <c r="DW9" s="5"/>
      <c r="DX9" s="230"/>
      <c r="DY9" s="231"/>
      <c r="DZ9" s="4"/>
      <c r="EA9" s="5"/>
      <c r="EB9" s="4"/>
      <c r="EC9" s="5"/>
      <c r="ED9" s="230"/>
      <c r="EE9" s="231"/>
      <c r="EF9" s="4">
        <v>1</v>
      </c>
      <c r="EG9" s="5">
        <v>2299000</v>
      </c>
      <c r="EH9" s="4">
        <v>1</v>
      </c>
      <c r="EI9" s="5">
        <v>3299000</v>
      </c>
      <c r="EJ9" s="230">
        <v>2</v>
      </c>
      <c r="EK9" s="231">
        <v>5598000</v>
      </c>
      <c r="EL9" s="4"/>
      <c r="EM9" s="5"/>
      <c r="EN9" s="4"/>
      <c r="EO9" s="5"/>
      <c r="EP9" s="230"/>
      <c r="EQ9" s="231"/>
      <c r="ER9" s="4"/>
      <c r="ES9" s="5"/>
      <c r="ET9" s="4">
        <v>3</v>
      </c>
      <c r="EU9" s="5">
        <v>14897000</v>
      </c>
      <c r="EV9" s="230">
        <v>3</v>
      </c>
      <c r="EW9" s="231">
        <v>14897000</v>
      </c>
      <c r="EX9" s="4"/>
      <c r="EY9" s="5"/>
      <c r="EZ9" s="4"/>
      <c r="FA9" s="5"/>
      <c r="FB9" s="230"/>
      <c r="FC9" s="231"/>
      <c r="FD9" s="4">
        <v>4</v>
      </c>
      <c r="FE9" s="5">
        <v>10096000</v>
      </c>
      <c r="FF9" s="4"/>
      <c r="FG9" s="5"/>
      <c r="FH9" s="230">
        <v>4</v>
      </c>
      <c r="FI9" s="231">
        <v>10096000</v>
      </c>
      <c r="FJ9" s="4">
        <v>1</v>
      </c>
      <c r="FK9" s="5">
        <v>2299000</v>
      </c>
      <c r="FL9" s="4">
        <v>4</v>
      </c>
      <c r="FM9" s="5">
        <v>20496000</v>
      </c>
      <c r="FN9" s="230">
        <v>5</v>
      </c>
      <c r="FO9" s="231">
        <v>22795000</v>
      </c>
      <c r="FP9" s="4">
        <v>67</v>
      </c>
      <c r="FQ9" s="6">
        <v>234033000</v>
      </c>
    </row>
    <row r="10" spans="1:173" x14ac:dyDescent="0.2">
      <c r="A10" s="1"/>
      <c r="B10" s="2">
        <v>6240707</v>
      </c>
      <c r="C10" s="3" t="s">
        <v>307</v>
      </c>
      <c r="D10" s="4">
        <v>2</v>
      </c>
      <c r="E10" s="5">
        <v>5398000</v>
      </c>
      <c r="F10" s="4"/>
      <c r="G10" s="5"/>
      <c r="H10" s="230">
        <v>2</v>
      </c>
      <c r="I10" s="231">
        <v>5398000</v>
      </c>
      <c r="J10" s="4"/>
      <c r="K10" s="5"/>
      <c r="L10" s="4"/>
      <c r="M10" s="5"/>
      <c r="N10" s="230"/>
      <c r="O10" s="231"/>
      <c r="P10" s="4"/>
      <c r="Q10" s="5"/>
      <c r="R10" s="4"/>
      <c r="S10" s="5"/>
      <c r="T10" s="230"/>
      <c r="U10" s="231"/>
      <c r="V10" s="4"/>
      <c r="W10" s="5"/>
      <c r="X10" s="4"/>
      <c r="Y10" s="5"/>
      <c r="Z10" s="230"/>
      <c r="AA10" s="231"/>
      <c r="AB10" s="4">
        <v>1</v>
      </c>
      <c r="AC10" s="5">
        <v>2799000</v>
      </c>
      <c r="AD10" s="4">
        <v>1</v>
      </c>
      <c r="AE10" s="5">
        <v>5499000</v>
      </c>
      <c r="AF10" s="230">
        <v>2</v>
      </c>
      <c r="AG10" s="231">
        <v>8298000</v>
      </c>
      <c r="AH10" s="4">
        <v>2</v>
      </c>
      <c r="AI10" s="5">
        <v>4898000</v>
      </c>
      <c r="AJ10" s="4"/>
      <c r="AK10" s="5"/>
      <c r="AL10" s="230">
        <v>2</v>
      </c>
      <c r="AM10" s="231">
        <v>4898000</v>
      </c>
      <c r="AN10" s="4"/>
      <c r="AO10" s="5"/>
      <c r="AP10" s="4"/>
      <c r="AQ10" s="5"/>
      <c r="AR10" s="230"/>
      <c r="AS10" s="231"/>
      <c r="AT10" s="4"/>
      <c r="AU10" s="5"/>
      <c r="AV10" s="4"/>
      <c r="AW10" s="5"/>
      <c r="AX10" s="230"/>
      <c r="AY10" s="231"/>
      <c r="AZ10" s="4">
        <v>1</v>
      </c>
      <c r="BA10" s="5">
        <v>2099000</v>
      </c>
      <c r="BB10" s="4"/>
      <c r="BC10" s="5"/>
      <c r="BD10" s="230">
        <v>1</v>
      </c>
      <c r="BE10" s="231">
        <v>2099000</v>
      </c>
      <c r="BF10" s="4"/>
      <c r="BG10" s="5"/>
      <c r="BH10" s="4">
        <v>1</v>
      </c>
      <c r="BI10" s="5">
        <v>3899000</v>
      </c>
      <c r="BJ10" s="230">
        <v>1</v>
      </c>
      <c r="BK10" s="231">
        <v>3899000</v>
      </c>
      <c r="BL10" s="4"/>
      <c r="BM10" s="5"/>
      <c r="BN10" s="4"/>
      <c r="BO10" s="5"/>
      <c r="BP10" s="230"/>
      <c r="BQ10" s="231"/>
      <c r="BR10" s="4"/>
      <c r="BS10" s="5"/>
      <c r="BT10" s="4">
        <v>1</v>
      </c>
      <c r="BU10" s="5">
        <v>5899000</v>
      </c>
      <c r="BV10" s="230">
        <v>1</v>
      </c>
      <c r="BW10" s="231">
        <v>5899000</v>
      </c>
      <c r="BX10" s="4"/>
      <c r="BY10" s="5"/>
      <c r="BZ10" s="4"/>
      <c r="CA10" s="5"/>
      <c r="CB10" s="230"/>
      <c r="CC10" s="231"/>
      <c r="CD10" s="4"/>
      <c r="CE10" s="5"/>
      <c r="CF10" s="4"/>
      <c r="CG10" s="5"/>
      <c r="CH10" s="230"/>
      <c r="CI10" s="231"/>
      <c r="CJ10" s="4"/>
      <c r="CK10" s="5"/>
      <c r="CL10" s="4"/>
      <c r="CM10" s="5"/>
      <c r="CN10" s="230"/>
      <c r="CO10" s="231"/>
      <c r="CP10" s="4"/>
      <c r="CQ10" s="5"/>
      <c r="CR10" s="4"/>
      <c r="CS10" s="5"/>
      <c r="CT10" s="230"/>
      <c r="CU10" s="231"/>
      <c r="CV10" s="4"/>
      <c r="CW10" s="5"/>
      <c r="CX10" s="4">
        <v>1</v>
      </c>
      <c r="CY10" s="5">
        <v>6299000</v>
      </c>
      <c r="CZ10" s="230">
        <v>1</v>
      </c>
      <c r="DA10" s="231">
        <v>6299000</v>
      </c>
      <c r="DB10" s="4"/>
      <c r="DC10" s="5"/>
      <c r="DD10" s="4"/>
      <c r="DE10" s="5"/>
      <c r="DF10" s="230"/>
      <c r="DG10" s="231"/>
      <c r="DH10" s="4"/>
      <c r="DI10" s="5"/>
      <c r="DJ10" s="4"/>
      <c r="DK10" s="5"/>
      <c r="DL10" s="230"/>
      <c r="DM10" s="231"/>
      <c r="DN10" s="4"/>
      <c r="DO10" s="5"/>
      <c r="DP10" s="4"/>
      <c r="DQ10" s="5"/>
      <c r="DR10" s="230"/>
      <c r="DS10" s="231"/>
      <c r="DT10" s="4"/>
      <c r="DU10" s="5"/>
      <c r="DV10" s="4"/>
      <c r="DW10" s="5"/>
      <c r="DX10" s="230"/>
      <c r="DY10" s="231"/>
      <c r="DZ10" s="4"/>
      <c r="EA10" s="5"/>
      <c r="EB10" s="4"/>
      <c r="EC10" s="5"/>
      <c r="ED10" s="230"/>
      <c r="EE10" s="231"/>
      <c r="EF10" s="4"/>
      <c r="EG10" s="5"/>
      <c r="EH10" s="4"/>
      <c r="EI10" s="5"/>
      <c r="EJ10" s="230"/>
      <c r="EK10" s="231"/>
      <c r="EL10" s="4"/>
      <c r="EM10" s="5"/>
      <c r="EN10" s="4"/>
      <c r="EO10" s="5"/>
      <c r="EP10" s="230"/>
      <c r="EQ10" s="231"/>
      <c r="ER10" s="4"/>
      <c r="ES10" s="5"/>
      <c r="ET10" s="4"/>
      <c r="EU10" s="5"/>
      <c r="EV10" s="230"/>
      <c r="EW10" s="231"/>
      <c r="EX10" s="4">
        <v>1</v>
      </c>
      <c r="EY10" s="5">
        <v>2299000</v>
      </c>
      <c r="EZ10" s="4"/>
      <c r="FA10" s="5"/>
      <c r="FB10" s="230">
        <v>1</v>
      </c>
      <c r="FC10" s="231">
        <v>2299000</v>
      </c>
      <c r="FD10" s="4"/>
      <c r="FE10" s="5"/>
      <c r="FF10" s="4"/>
      <c r="FG10" s="5"/>
      <c r="FH10" s="230"/>
      <c r="FI10" s="231"/>
      <c r="FJ10" s="4"/>
      <c r="FK10" s="5"/>
      <c r="FL10" s="4"/>
      <c r="FM10" s="5"/>
      <c r="FN10" s="230"/>
      <c r="FO10" s="231"/>
      <c r="FP10" s="4">
        <v>11</v>
      </c>
      <c r="FQ10" s="6">
        <v>39089000</v>
      </c>
    </row>
    <row r="11" spans="1:173" x14ac:dyDescent="0.2">
      <c r="A11" s="1"/>
      <c r="B11" s="2">
        <v>6240706</v>
      </c>
      <c r="C11" s="3" t="s">
        <v>308</v>
      </c>
      <c r="D11" s="4"/>
      <c r="E11" s="5"/>
      <c r="F11" s="4">
        <v>1</v>
      </c>
      <c r="G11" s="5">
        <v>6499000</v>
      </c>
      <c r="H11" s="230">
        <v>1</v>
      </c>
      <c r="I11" s="231">
        <v>6499000</v>
      </c>
      <c r="J11" s="4">
        <v>2</v>
      </c>
      <c r="K11" s="5">
        <v>4698000</v>
      </c>
      <c r="L11" s="4">
        <v>1</v>
      </c>
      <c r="M11" s="5">
        <v>7999000</v>
      </c>
      <c r="N11" s="230">
        <v>3</v>
      </c>
      <c r="O11" s="231">
        <v>12697000</v>
      </c>
      <c r="P11" s="4"/>
      <c r="Q11" s="5"/>
      <c r="R11" s="4"/>
      <c r="S11" s="5"/>
      <c r="T11" s="230"/>
      <c r="U11" s="231"/>
      <c r="V11" s="4"/>
      <c r="W11" s="5"/>
      <c r="X11" s="4"/>
      <c r="Y11" s="5"/>
      <c r="Z11" s="230"/>
      <c r="AA11" s="231"/>
      <c r="AB11" s="4"/>
      <c r="AC11" s="5"/>
      <c r="AD11" s="4"/>
      <c r="AE11" s="5"/>
      <c r="AF11" s="230"/>
      <c r="AG11" s="231"/>
      <c r="AH11" s="4">
        <v>2</v>
      </c>
      <c r="AI11" s="5">
        <v>4398000</v>
      </c>
      <c r="AJ11" s="4"/>
      <c r="AK11" s="5"/>
      <c r="AL11" s="230">
        <v>2</v>
      </c>
      <c r="AM11" s="231">
        <v>4398000</v>
      </c>
      <c r="AN11" s="4"/>
      <c r="AO11" s="5"/>
      <c r="AP11" s="4">
        <v>2</v>
      </c>
      <c r="AQ11" s="5">
        <v>14298000</v>
      </c>
      <c r="AR11" s="230">
        <v>2</v>
      </c>
      <c r="AS11" s="231">
        <v>14298000</v>
      </c>
      <c r="AT11" s="4"/>
      <c r="AU11" s="5"/>
      <c r="AV11" s="4">
        <v>1</v>
      </c>
      <c r="AW11" s="5">
        <v>5899000</v>
      </c>
      <c r="AX11" s="230">
        <v>1</v>
      </c>
      <c r="AY11" s="231">
        <v>5899000</v>
      </c>
      <c r="AZ11" s="4"/>
      <c r="BA11" s="5"/>
      <c r="BB11" s="4">
        <v>2</v>
      </c>
      <c r="BC11" s="5">
        <v>10498000</v>
      </c>
      <c r="BD11" s="230">
        <v>2</v>
      </c>
      <c r="BE11" s="231">
        <v>10498000</v>
      </c>
      <c r="BF11" s="4"/>
      <c r="BG11" s="5"/>
      <c r="BH11" s="4"/>
      <c r="BI11" s="5"/>
      <c r="BJ11" s="230"/>
      <c r="BK11" s="231"/>
      <c r="BL11" s="4"/>
      <c r="BM11" s="5"/>
      <c r="BN11" s="4"/>
      <c r="BO11" s="5"/>
      <c r="BP11" s="230"/>
      <c r="BQ11" s="231"/>
      <c r="BR11" s="4"/>
      <c r="BS11" s="5"/>
      <c r="BT11" s="4">
        <v>2</v>
      </c>
      <c r="BU11" s="5">
        <v>10498000</v>
      </c>
      <c r="BV11" s="230">
        <v>2</v>
      </c>
      <c r="BW11" s="231">
        <v>10498000</v>
      </c>
      <c r="BX11" s="4"/>
      <c r="BY11" s="5"/>
      <c r="BZ11" s="4"/>
      <c r="CA11" s="5"/>
      <c r="CB11" s="230"/>
      <c r="CC11" s="231"/>
      <c r="CD11" s="4"/>
      <c r="CE11" s="5"/>
      <c r="CF11" s="4"/>
      <c r="CG11" s="5"/>
      <c r="CH11" s="230"/>
      <c r="CI11" s="231"/>
      <c r="CJ11" s="4"/>
      <c r="CK11" s="5"/>
      <c r="CL11" s="4"/>
      <c r="CM11" s="5"/>
      <c r="CN11" s="230"/>
      <c r="CO11" s="231"/>
      <c r="CP11" s="4"/>
      <c r="CQ11" s="5"/>
      <c r="CR11" s="4">
        <v>1</v>
      </c>
      <c r="CS11" s="5">
        <v>6899000</v>
      </c>
      <c r="CT11" s="230">
        <v>1</v>
      </c>
      <c r="CU11" s="231">
        <v>6899000</v>
      </c>
      <c r="CV11" s="4">
        <v>2</v>
      </c>
      <c r="CW11" s="5">
        <v>4898000</v>
      </c>
      <c r="CX11" s="4"/>
      <c r="CY11" s="5"/>
      <c r="CZ11" s="230">
        <v>2</v>
      </c>
      <c r="DA11" s="231">
        <v>4898000</v>
      </c>
      <c r="DB11" s="4"/>
      <c r="DC11" s="5"/>
      <c r="DD11" s="4">
        <v>2</v>
      </c>
      <c r="DE11" s="5">
        <v>16898000</v>
      </c>
      <c r="DF11" s="230">
        <v>2</v>
      </c>
      <c r="DG11" s="231">
        <v>16898000</v>
      </c>
      <c r="DH11" s="4"/>
      <c r="DI11" s="5"/>
      <c r="DJ11" s="4"/>
      <c r="DK11" s="5"/>
      <c r="DL11" s="230"/>
      <c r="DM11" s="231"/>
      <c r="DN11" s="4"/>
      <c r="DO11" s="5"/>
      <c r="DP11" s="4">
        <v>2</v>
      </c>
      <c r="DQ11" s="5">
        <v>8098000</v>
      </c>
      <c r="DR11" s="230">
        <v>2</v>
      </c>
      <c r="DS11" s="231">
        <v>8098000</v>
      </c>
      <c r="DT11" s="4"/>
      <c r="DU11" s="5"/>
      <c r="DV11" s="4"/>
      <c r="DW11" s="5"/>
      <c r="DX11" s="230"/>
      <c r="DY11" s="231"/>
      <c r="DZ11" s="4"/>
      <c r="EA11" s="5"/>
      <c r="EB11" s="4"/>
      <c r="EC11" s="5"/>
      <c r="ED11" s="230"/>
      <c r="EE11" s="231"/>
      <c r="EF11" s="4"/>
      <c r="EG11" s="5"/>
      <c r="EH11" s="4">
        <v>2</v>
      </c>
      <c r="EI11" s="5">
        <v>9498000</v>
      </c>
      <c r="EJ11" s="230">
        <v>2</v>
      </c>
      <c r="EK11" s="231">
        <v>9498000</v>
      </c>
      <c r="EL11" s="4"/>
      <c r="EM11" s="5"/>
      <c r="EN11" s="4"/>
      <c r="EO11" s="5"/>
      <c r="EP11" s="230"/>
      <c r="EQ11" s="231"/>
      <c r="ER11" s="4"/>
      <c r="ES11" s="5"/>
      <c r="ET11" s="4">
        <v>1</v>
      </c>
      <c r="EU11" s="5">
        <v>6999000</v>
      </c>
      <c r="EV11" s="230">
        <v>1</v>
      </c>
      <c r="EW11" s="231">
        <v>6999000</v>
      </c>
      <c r="EX11" s="4"/>
      <c r="EY11" s="5"/>
      <c r="EZ11" s="4">
        <v>1</v>
      </c>
      <c r="FA11" s="5">
        <v>6999000</v>
      </c>
      <c r="FB11" s="230">
        <v>1</v>
      </c>
      <c r="FC11" s="231">
        <v>6999000</v>
      </c>
      <c r="FD11" s="4"/>
      <c r="FE11" s="5"/>
      <c r="FF11" s="4">
        <v>2</v>
      </c>
      <c r="FG11" s="5">
        <v>14198000</v>
      </c>
      <c r="FH11" s="230">
        <v>2</v>
      </c>
      <c r="FI11" s="231">
        <v>14198000</v>
      </c>
      <c r="FJ11" s="4">
        <v>1</v>
      </c>
      <c r="FK11" s="5">
        <v>2299000</v>
      </c>
      <c r="FL11" s="4"/>
      <c r="FM11" s="5"/>
      <c r="FN11" s="230">
        <v>1</v>
      </c>
      <c r="FO11" s="231">
        <v>2299000</v>
      </c>
      <c r="FP11" s="4">
        <v>27</v>
      </c>
      <c r="FQ11" s="6">
        <v>141573000</v>
      </c>
    </row>
    <row r="12" spans="1:173" x14ac:dyDescent="0.2">
      <c r="A12" s="1"/>
      <c r="B12" s="2">
        <v>6240709</v>
      </c>
      <c r="C12" s="3" t="s">
        <v>280</v>
      </c>
      <c r="D12" s="4"/>
      <c r="E12" s="5"/>
      <c r="F12" s="4"/>
      <c r="G12" s="5"/>
      <c r="H12" s="230"/>
      <c r="I12" s="231"/>
      <c r="J12" s="4"/>
      <c r="K12" s="5"/>
      <c r="L12" s="4">
        <v>1</v>
      </c>
      <c r="M12" s="5">
        <v>3599000</v>
      </c>
      <c r="N12" s="230">
        <v>1</v>
      </c>
      <c r="O12" s="231">
        <v>3599000</v>
      </c>
      <c r="P12" s="4"/>
      <c r="Q12" s="5"/>
      <c r="R12" s="4"/>
      <c r="S12" s="5"/>
      <c r="T12" s="230"/>
      <c r="U12" s="231"/>
      <c r="V12" s="4"/>
      <c r="W12" s="5"/>
      <c r="X12" s="4"/>
      <c r="Y12" s="5"/>
      <c r="Z12" s="230"/>
      <c r="AA12" s="231"/>
      <c r="AB12" s="4"/>
      <c r="AC12" s="5"/>
      <c r="AD12" s="4"/>
      <c r="AE12" s="5"/>
      <c r="AF12" s="230"/>
      <c r="AG12" s="231"/>
      <c r="AH12" s="4">
        <v>1</v>
      </c>
      <c r="AI12" s="5">
        <v>2099000</v>
      </c>
      <c r="AJ12" s="4">
        <v>1</v>
      </c>
      <c r="AK12" s="5">
        <v>9999000</v>
      </c>
      <c r="AL12" s="230">
        <v>2</v>
      </c>
      <c r="AM12" s="231">
        <v>12098000</v>
      </c>
      <c r="AN12" s="4"/>
      <c r="AO12" s="5"/>
      <c r="AP12" s="4"/>
      <c r="AQ12" s="5"/>
      <c r="AR12" s="230"/>
      <c r="AS12" s="231"/>
      <c r="AT12" s="4"/>
      <c r="AU12" s="5"/>
      <c r="AV12" s="4"/>
      <c r="AW12" s="5"/>
      <c r="AX12" s="230"/>
      <c r="AY12" s="231"/>
      <c r="AZ12" s="4"/>
      <c r="BA12" s="5"/>
      <c r="BB12" s="4">
        <v>1</v>
      </c>
      <c r="BC12" s="5">
        <v>5499000</v>
      </c>
      <c r="BD12" s="230">
        <v>1</v>
      </c>
      <c r="BE12" s="231">
        <v>5499000</v>
      </c>
      <c r="BF12" s="4"/>
      <c r="BG12" s="5"/>
      <c r="BH12" s="4"/>
      <c r="BI12" s="5"/>
      <c r="BJ12" s="230"/>
      <c r="BK12" s="231"/>
      <c r="BL12" s="4"/>
      <c r="BM12" s="5"/>
      <c r="BN12" s="4">
        <v>1</v>
      </c>
      <c r="BO12" s="5">
        <v>3599000</v>
      </c>
      <c r="BP12" s="230">
        <v>1</v>
      </c>
      <c r="BQ12" s="231">
        <v>3599000</v>
      </c>
      <c r="BR12" s="4">
        <v>1</v>
      </c>
      <c r="BS12" s="5">
        <v>2599000</v>
      </c>
      <c r="BT12" s="4">
        <v>1</v>
      </c>
      <c r="BU12" s="5">
        <v>7999000</v>
      </c>
      <c r="BV12" s="230">
        <v>2</v>
      </c>
      <c r="BW12" s="231">
        <v>10598000</v>
      </c>
      <c r="BX12" s="4"/>
      <c r="BY12" s="5"/>
      <c r="BZ12" s="4">
        <v>1</v>
      </c>
      <c r="CA12" s="5">
        <v>3599000</v>
      </c>
      <c r="CB12" s="230">
        <v>1</v>
      </c>
      <c r="CC12" s="231">
        <v>3599000</v>
      </c>
      <c r="CD12" s="4"/>
      <c r="CE12" s="5"/>
      <c r="CF12" s="4"/>
      <c r="CG12" s="5"/>
      <c r="CH12" s="230"/>
      <c r="CI12" s="231"/>
      <c r="CJ12" s="4"/>
      <c r="CK12" s="5"/>
      <c r="CL12" s="4">
        <v>2</v>
      </c>
      <c r="CM12" s="5">
        <v>14898000</v>
      </c>
      <c r="CN12" s="230">
        <v>2</v>
      </c>
      <c r="CO12" s="231">
        <v>14898000</v>
      </c>
      <c r="CP12" s="4">
        <v>1</v>
      </c>
      <c r="CQ12" s="5">
        <v>2599000</v>
      </c>
      <c r="CR12" s="4"/>
      <c r="CS12" s="5"/>
      <c r="CT12" s="230">
        <v>1</v>
      </c>
      <c r="CU12" s="231">
        <v>2599000</v>
      </c>
      <c r="CV12" s="4"/>
      <c r="CW12" s="5"/>
      <c r="CX12" s="4"/>
      <c r="CY12" s="5"/>
      <c r="CZ12" s="230"/>
      <c r="DA12" s="231"/>
      <c r="DB12" s="4">
        <v>1</v>
      </c>
      <c r="DC12" s="5">
        <v>2599000</v>
      </c>
      <c r="DD12" s="4"/>
      <c r="DE12" s="5"/>
      <c r="DF12" s="230">
        <v>1</v>
      </c>
      <c r="DG12" s="231">
        <v>2599000</v>
      </c>
      <c r="DH12" s="4"/>
      <c r="DI12" s="5"/>
      <c r="DJ12" s="4"/>
      <c r="DK12" s="5"/>
      <c r="DL12" s="230"/>
      <c r="DM12" s="231"/>
      <c r="DN12" s="4"/>
      <c r="DO12" s="5"/>
      <c r="DP12" s="4"/>
      <c r="DQ12" s="5"/>
      <c r="DR12" s="230"/>
      <c r="DS12" s="231"/>
      <c r="DT12" s="4"/>
      <c r="DU12" s="5"/>
      <c r="DV12" s="4"/>
      <c r="DW12" s="5"/>
      <c r="DX12" s="230"/>
      <c r="DY12" s="231"/>
      <c r="DZ12" s="4"/>
      <c r="EA12" s="5"/>
      <c r="EB12" s="4"/>
      <c r="EC12" s="5"/>
      <c r="ED12" s="230"/>
      <c r="EE12" s="231"/>
      <c r="EF12" s="4"/>
      <c r="EG12" s="5"/>
      <c r="EH12" s="4"/>
      <c r="EI12" s="5"/>
      <c r="EJ12" s="230"/>
      <c r="EK12" s="231"/>
      <c r="EL12" s="4"/>
      <c r="EM12" s="5"/>
      <c r="EN12" s="4"/>
      <c r="EO12" s="5"/>
      <c r="EP12" s="230"/>
      <c r="EQ12" s="231"/>
      <c r="ER12" s="4"/>
      <c r="ES12" s="5"/>
      <c r="ET12" s="4"/>
      <c r="EU12" s="5"/>
      <c r="EV12" s="230"/>
      <c r="EW12" s="231"/>
      <c r="EX12" s="4"/>
      <c r="EY12" s="5"/>
      <c r="EZ12" s="4"/>
      <c r="FA12" s="5"/>
      <c r="FB12" s="230"/>
      <c r="FC12" s="231"/>
      <c r="FD12" s="4">
        <v>2</v>
      </c>
      <c r="FE12" s="5">
        <v>4598000</v>
      </c>
      <c r="FF12" s="4">
        <v>2</v>
      </c>
      <c r="FG12" s="5">
        <v>13298000</v>
      </c>
      <c r="FH12" s="230">
        <v>4</v>
      </c>
      <c r="FI12" s="231">
        <v>17896000</v>
      </c>
      <c r="FJ12" s="4"/>
      <c r="FK12" s="5"/>
      <c r="FL12" s="4"/>
      <c r="FM12" s="5"/>
      <c r="FN12" s="230"/>
      <c r="FO12" s="231"/>
      <c r="FP12" s="4">
        <v>16</v>
      </c>
      <c r="FQ12" s="6">
        <v>76984000</v>
      </c>
    </row>
    <row r="13" spans="1:173" x14ac:dyDescent="0.2">
      <c r="A13" s="1"/>
      <c r="B13" s="2">
        <v>6240708</v>
      </c>
      <c r="C13" s="3" t="s">
        <v>277</v>
      </c>
      <c r="D13" s="4"/>
      <c r="E13" s="5"/>
      <c r="F13" s="4"/>
      <c r="G13" s="5"/>
      <c r="H13" s="230"/>
      <c r="I13" s="231"/>
      <c r="J13" s="4">
        <v>1</v>
      </c>
      <c r="K13" s="5">
        <v>2299000</v>
      </c>
      <c r="L13" s="4"/>
      <c r="M13" s="5"/>
      <c r="N13" s="230">
        <v>1</v>
      </c>
      <c r="O13" s="231">
        <v>2299000</v>
      </c>
      <c r="P13" s="4">
        <v>2</v>
      </c>
      <c r="Q13" s="5">
        <v>5098000</v>
      </c>
      <c r="R13" s="4"/>
      <c r="S13" s="5"/>
      <c r="T13" s="230">
        <v>2</v>
      </c>
      <c r="U13" s="231">
        <v>5098000</v>
      </c>
      <c r="V13" s="4"/>
      <c r="W13" s="5"/>
      <c r="X13" s="4"/>
      <c r="Y13" s="5"/>
      <c r="Z13" s="230"/>
      <c r="AA13" s="231"/>
      <c r="AB13" s="4"/>
      <c r="AC13" s="5"/>
      <c r="AD13" s="4"/>
      <c r="AE13" s="5"/>
      <c r="AF13" s="230"/>
      <c r="AG13" s="231"/>
      <c r="AH13" s="4">
        <v>1</v>
      </c>
      <c r="AI13" s="5">
        <v>2299000</v>
      </c>
      <c r="AJ13" s="4"/>
      <c r="AK13" s="5"/>
      <c r="AL13" s="230">
        <v>1</v>
      </c>
      <c r="AM13" s="231">
        <v>2299000</v>
      </c>
      <c r="AN13" s="4"/>
      <c r="AO13" s="5"/>
      <c r="AP13" s="4"/>
      <c r="AQ13" s="5"/>
      <c r="AR13" s="230"/>
      <c r="AS13" s="231"/>
      <c r="AT13" s="4"/>
      <c r="AU13" s="5"/>
      <c r="AV13" s="4"/>
      <c r="AW13" s="5"/>
      <c r="AX13" s="230"/>
      <c r="AY13" s="231"/>
      <c r="AZ13" s="4"/>
      <c r="BA13" s="5"/>
      <c r="BB13" s="4"/>
      <c r="BC13" s="5"/>
      <c r="BD13" s="230"/>
      <c r="BE13" s="231"/>
      <c r="BF13" s="4"/>
      <c r="BG13" s="5"/>
      <c r="BH13" s="4"/>
      <c r="BI13" s="5"/>
      <c r="BJ13" s="230"/>
      <c r="BK13" s="231"/>
      <c r="BL13" s="4"/>
      <c r="BM13" s="5"/>
      <c r="BN13" s="4"/>
      <c r="BO13" s="5"/>
      <c r="BP13" s="230"/>
      <c r="BQ13" s="231"/>
      <c r="BR13" s="4">
        <v>1</v>
      </c>
      <c r="BS13" s="5">
        <v>2399000</v>
      </c>
      <c r="BT13" s="4">
        <v>1</v>
      </c>
      <c r="BU13" s="5">
        <v>8999000</v>
      </c>
      <c r="BV13" s="230">
        <v>2</v>
      </c>
      <c r="BW13" s="231">
        <v>11398000</v>
      </c>
      <c r="BX13" s="4"/>
      <c r="BY13" s="5"/>
      <c r="BZ13" s="4">
        <v>1</v>
      </c>
      <c r="CA13" s="5">
        <v>3899000</v>
      </c>
      <c r="CB13" s="230">
        <v>1</v>
      </c>
      <c r="CC13" s="231">
        <v>3899000</v>
      </c>
      <c r="CD13" s="4"/>
      <c r="CE13" s="5"/>
      <c r="CF13" s="4"/>
      <c r="CG13" s="5"/>
      <c r="CH13" s="230"/>
      <c r="CI13" s="231"/>
      <c r="CJ13" s="4"/>
      <c r="CK13" s="5"/>
      <c r="CL13" s="4"/>
      <c r="CM13" s="5"/>
      <c r="CN13" s="230"/>
      <c r="CO13" s="231"/>
      <c r="CP13" s="4"/>
      <c r="CQ13" s="5"/>
      <c r="CR13" s="4"/>
      <c r="CS13" s="5"/>
      <c r="CT13" s="230"/>
      <c r="CU13" s="231"/>
      <c r="CV13" s="4"/>
      <c r="CW13" s="5"/>
      <c r="CX13" s="4"/>
      <c r="CY13" s="5"/>
      <c r="CZ13" s="230"/>
      <c r="DA13" s="231"/>
      <c r="DB13" s="4"/>
      <c r="DC13" s="5"/>
      <c r="DD13" s="4">
        <v>1</v>
      </c>
      <c r="DE13" s="5">
        <v>3299000</v>
      </c>
      <c r="DF13" s="230">
        <v>1</v>
      </c>
      <c r="DG13" s="231">
        <v>3299000</v>
      </c>
      <c r="DH13" s="4"/>
      <c r="DI13" s="5"/>
      <c r="DJ13" s="4"/>
      <c r="DK13" s="5"/>
      <c r="DL13" s="230"/>
      <c r="DM13" s="231"/>
      <c r="DN13" s="4"/>
      <c r="DO13" s="5"/>
      <c r="DP13" s="4">
        <v>1</v>
      </c>
      <c r="DQ13" s="5">
        <v>6299000</v>
      </c>
      <c r="DR13" s="230">
        <v>1</v>
      </c>
      <c r="DS13" s="231">
        <v>6299000</v>
      </c>
      <c r="DT13" s="4"/>
      <c r="DU13" s="5"/>
      <c r="DV13" s="4"/>
      <c r="DW13" s="5"/>
      <c r="DX13" s="230"/>
      <c r="DY13" s="231"/>
      <c r="DZ13" s="4"/>
      <c r="EA13" s="5"/>
      <c r="EB13" s="4"/>
      <c r="EC13" s="5"/>
      <c r="ED13" s="230"/>
      <c r="EE13" s="231"/>
      <c r="EF13" s="4">
        <v>2</v>
      </c>
      <c r="EG13" s="5">
        <v>4598000</v>
      </c>
      <c r="EH13" s="4"/>
      <c r="EI13" s="5"/>
      <c r="EJ13" s="230">
        <v>2</v>
      </c>
      <c r="EK13" s="231">
        <v>4598000</v>
      </c>
      <c r="EL13" s="4">
        <v>2</v>
      </c>
      <c r="EM13" s="5">
        <v>4598000</v>
      </c>
      <c r="EN13" s="4">
        <v>2</v>
      </c>
      <c r="EO13" s="5">
        <v>11798000</v>
      </c>
      <c r="EP13" s="230">
        <v>4</v>
      </c>
      <c r="EQ13" s="231">
        <v>16396000</v>
      </c>
      <c r="ER13" s="4"/>
      <c r="ES13" s="5"/>
      <c r="ET13" s="4"/>
      <c r="EU13" s="5"/>
      <c r="EV13" s="230"/>
      <c r="EW13" s="231"/>
      <c r="EX13" s="4"/>
      <c r="EY13" s="5"/>
      <c r="EZ13" s="4"/>
      <c r="FA13" s="5"/>
      <c r="FB13" s="230"/>
      <c r="FC13" s="231"/>
      <c r="FD13" s="4">
        <v>1</v>
      </c>
      <c r="FE13" s="5">
        <v>2599000</v>
      </c>
      <c r="FF13" s="4">
        <v>1</v>
      </c>
      <c r="FG13" s="5">
        <v>9999000</v>
      </c>
      <c r="FH13" s="230">
        <v>2</v>
      </c>
      <c r="FI13" s="231">
        <v>12598000</v>
      </c>
      <c r="FJ13" s="4"/>
      <c r="FK13" s="5"/>
      <c r="FL13" s="4"/>
      <c r="FM13" s="5"/>
      <c r="FN13" s="230"/>
      <c r="FO13" s="231"/>
      <c r="FP13" s="4">
        <v>17</v>
      </c>
      <c r="FQ13" s="6">
        <v>68183000</v>
      </c>
    </row>
    <row r="14" spans="1:173" x14ac:dyDescent="0.2">
      <c r="A14" s="1"/>
      <c r="B14" s="2">
        <v>6240705</v>
      </c>
      <c r="C14" s="3" t="s">
        <v>309</v>
      </c>
      <c r="D14" s="4"/>
      <c r="E14" s="5"/>
      <c r="F14" s="4"/>
      <c r="G14" s="5"/>
      <c r="H14" s="230"/>
      <c r="I14" s="231"/>
      <c r="J14" s="4"/>
      <c r="K14" s="5"/>
      <c r="L14" s="4">
        <v>2</v>
      </c>
      <c r="M14" s="5">
        <v>7798000</v>
      </c>
      <c r="N14" s="230">
        <v>2</v>
      </c>
      <c r="O14" s="231">
        <v>7798000</v>
      </c>
      <c r="P14" s="4">
        <v>1</v>
      </c>
      <c r="Q14" s="5">
        <v>2799000</v>
      </c>
      <c r="R14" s="4"/>
      <c r="S14" s="5"/>
      <c r="T14" s="230">
        <v>1</v>
      </c>
      <c r="U14" s="231">
        <v>2799000</v>
      </c>
      <c r="V14" s="4">
        <v>1</v>
      </c>
      <c r="W14" s="5">
        <v>2099000</v>
      </c>
      <c r="X14" s="4"/>
      <c r="Y14" s="5"/>
      <c r="Z14" s="230">
        <v>1</v>
      </c>
      <c r="AA14" s="231">
        <v>2099000</v>
      </c>
      <c r="AB14" s="4">
        <v>1</v>
      </c>
      <c r="AC14" s="5">
        <v>2599000</v>
      </c>
      <c r="AD14" s="4">
        <v>1</v>
      </c>
      <c r="AE14" s="5">
        <v>9999000</v>
      </c>
      <c r="AF14" s="230">
        <v>2</v>
      </c>
      <c r="AG14" s="231">
        <v>12598000</v>
      </c>
      <c r="AH14" s="4"/>
      <c r="AI14" s="5"/>
      <c r="AJ14" s="4"/>
      <c r="AK14" s="5"/>
      <c r="AL14" s="230"/>
      <c r="AM14" s="231"/>
      <c r="AN14" s="4"/>
      <c r="AO14" s="5"/>
      <c r="AP14" s="4"/>
      <c r="AQ14" s="5"/>
      <c r="AR14" s="230"/>
      <c r="AS14" s="231"/>
      <c r="AT14" s="4"/>
      <c r="AU14" s="5"/>
      <c r="AV14" s="4">
        <v>1</v>
      </c>
      <c r="AW14" s="5">
        <v>6899000</v>
      </c>
      <c r="AX14" s="230">
        <v>1</v>
      </c>
      <c r="AY14" s="231">
        <v>6899000</v>
      </c>
      <c r="AZ14" s="4"/>
      <c r="BA14" s="5"/>
      <c r="BB14" s="4"/>
      <c r="BC14" s="5"/>
      <c r="BD14" s="230"/>
      <c r="BE14" s="231"/>
      <c r="BF14" s="4"/>
      <c r="BG14" s="5"/>
      <c r="BH14" s="4"/>
      <c r="BI14" s="5"/>
      <c r="BJ14" s="230"/>
      <c r="BK14" s="231"/>
      <c r="BL14" s="4"/>
      <c r="BM14" s="5"/>
      <c r="BN14" s="4">
        <v>1</v>
      </c>
      <c r="BO14" s="5">
        <v>5499000</v>
      </c>
      <c r="BP14" s="230">
        <v>1</v>
      </c>
      <c r="BQ14" s="231">
        <v>5499000</v>
      </c>
      <c r="BR14" s="4">
        <v>2</v>
      </c>
      <c r="BS14" s="5">
        <v>4698000</v>
      </c>
      <c r="BT14" s="4"/>
      <c r="BU14" s="5"/>
      <c r="BV14" s="230">
        <v>2</v>
      </c>
      <c r="BW14" s="231">
        <v>4698000</v>
      </c>
      <c r="BX14" s="4"/>
      <c r="BY14" s="5"/>
      <c r="BZ14" s="4">
        <v>1</v>
      </c>
      <c r="CA14" s="5">
        <v>3599000</v>
      </c>
      <c r="CB14" s="230">
        <v>1</v>
      </c>
      <c r="CC14" s="231">
        <v>3599000</v>
      </c>
      <c r="CD14" s="4"/>
      <c r="CE14" s="5"/>
      <c r="CF14" s="4">
        <v>1</v>
      </c>
      <c r="CG14" s="5">
        <v>5899000</v>
      </c>
      <c r="CH14" s="230">
        <v>1</v>
      </c>
      <c r="CI14" s="231">
        <v>5899000</v>
      </c>
      <c r="CJ14" s="4"/>
      <c r="CK14" s="5"/>
      <c r="CL14" s="4"/>
      <c r="CM14" s="5"/>
      <c r="CN14" s="230"/>
      <c r="CO14" s="231"/>
      <c r="CP14" s="4"/>
      <c r="CQ14" s="5"/>
      <c r="CR14" s="4">
        <v>1</v>
      </c>
      <c r="CS14" s="5">
        <v>3599000</v>
      </c>
      <c r="CT14" s="230">
        <v>1</v>
      </c>
      <c r="CU14" s="231">
        <v>3599000</v>
      </c>
      <c r="CV14" s="4"/>
      <c r="CW14" s="5"/>
      <c r="CX14" s="4">
        <v>1</v>
      </c>
      <c r="CY14" s="5">
        <v>5699000</v>
      </c>
      <c r="CZ14" s="230">
        <v>1</v>
      </c>
      <c r="DA14" s="231">
        <v>5699000</v>
      </c>
      <c r="DB14" s="4">
        <v>2</v>
      </c>
      <c r="DC14" s="5">
        <v>4898000</v>
      </c>
      <c r="DD14" s="4">
        <v>2</v>
      </c>
      <c r="DE14" s="5">
        <v>12898000</v>
      </c>
      <c r="DF14" s="230">
        <v>4</v>
      </c>
      <c r="DG14" s="231">
        <v>17796000</v>
      </c>
      <c r="DH14" s="4"/>
      <c r="DI14" s="5"/>
      <c r="DJ14" s="4">
        <v>1</v>
      </c>
      <c r="DK14" s="5">
        <v>6299000</v>
      </c>
      <c r="DL14" s="230">
        <v>1</v>
      </c>
      <c r="DM14" s="231">
        <v>6299000</v>
      </c>
      <c r="DN14" s="4"/>
      <c r="DO14" s="5"/>
      <c r="DP14" s="4">
        <v>1</v>
      </c>
      <c r="DQ14" s="5">
        <v>6999000</v>
      </c>
      <c r="DR14" s="230">
        <v>1</v>
      </c>
      <c r="DS14" s="231">
        <v>6999000</v>
      </c>
      <c r="DT14" s="4"/>
      <c r="DU14" s="5"/>
      <c r="DV14" s="4"/>
      <c r="DW14" s="5"/>
      <c r="DX14" s="230"/>
      <c r="DY14" s="231"/>
      <c r="DZ14" s="4"/>
      <c r="EA14" s="5"/>
      <c r="EB14" s="4"/>
      <c r="EC14" s="5"/>
      <c r="ED14" s="230"/>
      <c r="EE14" s="231"/>
      <c r="EF14" s="4"/>
      <c r="EG14" s="5"/>
      <c r="EH14" s="4"/>
      <c r="EI14" s="5"/>
      <c r="EJ14" s="230"/>
      <c r="EK14" s="231"/>
      <c r="EL14" s="4"/>
      <c r="EM14" s="5"/>
      <c r="EN14" s="4">
        <v>1</v>
      </c>
      <c r="EO14" s="5">
        <v>3299000</v>
      </c>
      <c r="EP14" s="230">
        <v>1</v>
      </c>
      <c r="EQ14" s="231">
        <v>3299000</v>
      </c>
      <c r="ER14" s="4"/>
      <c r="ES14" s="5"/>
      <c r="ET14" s="4"/>
      <c r="EU14" s="5"/>
      <c r="EV14" s="230"/>
      <c r="EW14" s="231"/>
      <c r="EX14" s="4"/>
      <c r="EY14" s="5"/>
      <c r="EZ14" s="4">
        <v>2</v>
      </c>
      <c r="FA14" s="5">
        <v>8598000</v>
      </c>
      <c r="FB14" s="230">
        <v>2</v>
      </c>
      <c r="FC14" s="231">
        <v>8598000</v>
      </c>
      <c r="FD14" s="4"/>
      <c r="FE14" s="5"/>
      <c r="FF14" s="4"/>
      <c r="FG14" s="5"/>
      <c r="FH14" s="230"/>
      <c r="FI14" s="231"/>
      <c r="FJ14" s="4"/>
      <c r="FK14" s="5"/>
      <c r="FL14" s="4">
        <v>1</v>
      </c>
      <c r="FM14" s="5">
        <v>3299000</v>
      </c>
      <c r="FN14" s="230">
        <v>1</v>
      </c>
      <c r="FO14" s="231">
        <v>3299000</v>
      </c>
      <c r="FP14" s="4">
        <v>24</v>
      </c>
      <c r="FQ14" s="6">
        <v>107476000</v>
      </c>
    </row>
    <row r="15" spans="1:173" x14ac:dyDescent="0.2">
      <c r="A15" s="1"/>
      <c r="B15" s="2">
        <v>6170706</v>
      </c>
      <c r="C15" s="3" t="s">
        <v>310</v>
      </c>
      <c r="D15" s="4"/>
      <c r="E15" s="5"/>
      <c r="F15" s="4"/>
      <c r="G15" s="5"/>
      <c r="H15" s="230"/>
      <c r="I15" s="231"/>
      <c r="J15" s="4">
        <v>3</v>
      </c>
      <c r="K15" s="5">
        <v>7197000</v>
      </c>
      <c r="L15" s="4">
        <v>2</v>
      </c>
      <c r="M15" s="5">
        <v>11798000</v>
      </c>
      <c r="N15" s="230">
        <v>5</v>
      </c>
      <c r="O15" s="231">
        <v>18995000</v>
      </c>
      <c r="P15" s="4">
        <v>1</v>
      </c>
      <c r="Q15" s="5">
        <v>2799000</v>
      </c>
      <c r="R15" s="4">
        <v>1</v>
      </c>
      <c r="S15" s="5">
        <v>4299000</v>
      </c>
      <c r="T15" s="230">
        <v>2</v>
      </c>
      <c r="U15" s="231">
        <v>7098000</v>
      </c>
      <c r="V15" s="4"/>
      <c r="W15" s="5"/>
      <c r="X15" s="4"/>
      <c r="Y15" s="5"/>
      <c r="Z15" s="230"/>
      <c r="AA15" s="231"/>
      <c r="AB15" s="4">
        <v>2</v>
      </c>
      <c r="AC15" s="5">
        <v>5198000</v>
      </c>
      <c r="AD15" s="4">
        <v>1</v>
      </c>
      <c r="AE15" s="5">
        <v>4299000</v>
      </c>
      <c r="AF15" s="230">
        <v>3</v>
      </c>
      <c r="AG15" s="231">
        <v>9497000</v>
      </c>
      <c r="AH15" s="4">
        <v>2</v>
      </c>
      <c r="AI15" s="5">
        <v>5598000</v>
      </c>
      <c r="AJ15" s="4"/>
      <c r="AK15" s="5"/>
      <c r="AL15" s="230">
        <v>2</v>
      </c>
      <c r="AM15" s="231">
        <v>5598000</v>
      </c>
      <c r="AN15" s="4">
        <v>4</v>
      </c>
      <c r="AO15" s="5">
        <v>10696000</v>
      </c>
      <c r="AP15" s="4">
        <v>1</v>
      </c>
      <c r="AQ15" s="5">
        <v>3899000</v>
      </c>
      <c r="AR15" s="230">
        <v>5</v>
      </c>
      <c r="AS15" s="231">
        <v>14595000</v>
      </c>
      <c r="AT15" s="4">
        <v>2</v>
      </c>
      <c r="AU15" s="5">
        <v>4698000</v>
      </c>
      <c r="AV15" s="4">
        <v>2</v>
      </c>
      <c r="AW15" s="5">
        <v>14898000</v>
      </c>
      <c r="AX15" s="230">
        <v>4</v>
      </c>
      <c r="AY15" s="231">
        <v>19596000</v>
      </c>
      <c r="AZ15" s="4">
        <v>2</v>
      </c>
      <c r="BA15" s="5">
        <v>4598000</v>
      </c>
      <c r="BB15" s="4"/>
      <c r="BC15" s="5"/>
      <c r="BD15" s="230">
        <v>2</v>
      </c>
      <c r="BE15" s="231">
        <v>4598000</v>
      </c>
      <c r="BF15" s="4">
        <v>1</v>
      </c>
      <c r="BG15" s="5">
        <v>2399000</v>
      </c>
      <c r="BH15" s="4"/>
      <c r="BI15" s="5"/>
      <c r="BJ15" s="230">
        <v>1</v>
      </c>
      <c r="BK15" s="231">
        <v>2399000</v>
      </c>
      <c r="BL15" s="4">
        <v>3</v>
      </c>
      <c r="BM15" s="5">
        <v>7297000</v>
      </c>
      <c r="BN15" s="4"/>
      <c r="BO15" s="5"/>
      <c r="BP15" s="230">
        <v>3</v>
      </c>
      <c r="BQ15" s="231">
        <v>7297000</v>
      </c>
      <c r="BR15" s="4">
        <v>3</v>
      </c>
      <c r="BS15" s="5">
        <v>6797000</v>
      </c>
      <c r="BT15" s="4">
        <v>1</v>
      </c>
      <c r="BU15" s="5">
        <v>4299000</v>
      </c>
      <c r="BV15" s="230">
        <v>4</v>
      </c>
      <c r="BW15" s="231">
        <v>11096000</v>
      </c>
      <c r="BX15" s="4">
        <v>5</v>
      </c>
      <c r="BY15" s="5">
        <v>11895000</v>
      </c>
      <c r="BZ15" s="4">
        <v>3</v>
      </c>
      <c r="CA15" s="5">
        <v>17297000</v>
      </c>
      <c r="CB15" s="230">
        <v>8</v>
      </c>
      <c r="CC15" s="231">
        <v>29192000</v>
      </c>
      <c r="CD15" s="4"/>
      <c r="CE15" s="5"/>
      <c r="CF15" s="4"/>
      <c r="CG15" s="5"/>
      <c r="CH15" s="230"/>
      <c r="CI15" s="231"/>
      <c r="CJ15" s="4">
        <v>2</v>
      </c>
      <c r="CK15" s="5">
        <v>4598000</v>
      </c>
      <c r="CL15" s="4"/>
      <c r="CM15" s="5"/>
      <c r="CN15" s="230">
        <v>2</v>
      </c>
      <c r="CO15" s="231">
        <v>4598000</v>
      </c>
      <c r="CP15" s="4"/>
      <c r="CQ15" s="5"/>
      <c r="CR15" s="4">
        <v>1</v>
      </c>
      <c r="CS15" s="5">
        <v>3899000</v>
      </c>
      <c r="CT15" s="230">
        <v>1</v>
      </c>
      <c r="CU15" s="231">
        <v>3899000</v>
      </c>
      <c r="CV15" s="4"/>
      <c r="CW15" s="5"/>
      <c r="CX15" s="4"/>
      <c r="CY15" s="5"/>
      <c r="CZ15" s="230"/>
      <c r="DA15" s="231"/>
      <c r="DB15" s="4">
        <v>1</v>
      </c>
      <c r="DC15" s="5">
        <v>2299000</v>
      </c>
      <c r="DD15" s="4"/>
      <c r="DE15" s="5"/>
      <c r="DF15" s="230">
        <v>1</v>
      </c>
      <c r="DG15" s="231">
        <v>2299000</v>
      </c>
      <c r="DH15" s="4"/>
      <c r="DI15" s="5"/>
      <c r="DJ15" s="4"/>
      <c r="DK15" s="5"/>
      <c r="DL15" s="230"/>
      <c r="DM15" s="231"/>
      <c r="DN15" s="4">
        <v>1</v>
      </c>
      <c r="DO15" s="5">
        <v>2299000</v>
      </c>
      <c r="DP15" s="4">
        <v>2</v>
      </c>
      <c r="DQ15" s="5">
        <v>6598000</v>
      </c>
      <c r="DR15" s="230">
        <v>3</v>
      </c>
      <c r="DS15" s="231">
        <v>8897000</v>
      </c>
      <c r="DT15" s="4"/>
      <c r="DU15" s="5"/>
      <c r="DV15" s="4">
        <v>1</v>
      </c>
      <c r="DW15" s="5">
        <v>6899000</v>
      </c>
      <c r="DX15" s="230">
        <v>1</v>
      </c>
      <c r="DY15" s="231">
        <v>6899000</v>
      </c>
      <c r="DZ15" s="4"/>
      <c r="EA15" s="5"/>
      <c r="EB15" s="4"/>
      <c r="EC15" s="5"/>
      <c r="ED15" s="230"/>
      <c r="EE15" s="231"/>
      <c r="EF15" s="4"/>
      <c r="EG15" s="5"/>
      <c r="EH15" s="4">
        <v>1</v>
      </c>
      <c r="EI15" s="5">
        <v>5499000</v>
      </c>
      <c r="EJ15" s="230">
        <v>1</v>
      </c>
      <c r="EK15" s="231">
        <v>5499000</v>
      </c>
      <c r="EL15" s="4">
        <v>1</v>
      </c>
      <c r="EM15" s="5">
        <v>2299000</v>
      </c>
      <c r="EN15" s="4"/>
      <c r="EO15" s="5"/>
      <c r="EP15" s="230">
        <v>1</v>
      </c>
      <c r="EQ15" s="231">
        <v>2299000</v>
      </c>
      <c r="ER15" s="4">
        <v>1</v>
      </c>
      <c r="ES15" s="5">
        <v>2299000</v>
      </c>
      <c r="ET15" s="4"/>
      <c r="EU15" s="5"/>
      <c r="EV15" s="230">
        <v>1</v>
      </c>
      <c r="EW15" s="231">
        <v>2299000</v>
      </c>
      <c r="EX15" s="4">
        <v>2</v>
      </c>
      <c r="EY15" s="5">
        <v>4598000</v>
      </c>
      <c r="EZ15" s="4">
        <v>2</v>
      </c>
      <c r="FA15" s="5">
        <v>8198000</v>
      </c>
      <c r="FB15" s="230">
        <v>4</v>
      </c>
      <c r="FC15" s="231">
        <v>12796000</v>
      </c>
      <c r="FD15" s="4">
        <v>1</v>
      </c>
      <c r="FE15" s="5">
        <v>2599000</v>
      </c>
      <c r="FF15" s="4">
        <v>2</v>
      </c>
      <c r="FG15" s="5">
        <v>8798000</v>
      </c>
      <c r="FH15" s="230">
        <v>3</v>
      </c>
      <c r="FI15" s="231">
        <v>11397000</v>
      </c>
      <c r="FJ15" s="4"/>
      <c r="FK15" s="5"/>
      <c r="FL15" s="4"/>
      <c r="FM15" s="5"/>
      <c r="FN15" s="230"/>
      <c r="FO15" s="231"/>
      <c r="FP15" s="4">
        <v>57</v>
      </c>
      <c r="FQ15" s="6">
        <v>190843000</v>
      </c>
    </row>
    <row r="16" spans="1:173" x14ac:dyDescent="0.2">
      <c r="A16" s="232"/>
      <c r="B16" s="2">
        <v>6170703</v>
      </c>
      <c r="C16" s="3" t="s">
        <v>343</v>
      </c>
      <c r="D16" s="4"/>
      <c r="E16" s="5"/>
      <c r="F16" s="4"/>
      <c r="G16" s="5"/>
      <c r="H16" s="230"/>
      <c r="I16" s="231"/>
      <c r="J16" s="4"/>
      <c r="K16" s="5"/>
      <c r="L16" s="4"/>
      <c r="M16" s="5"/>
      <c r="N16" s="230"/>
      <c r="O16" s="231"/>
      <c r="P16" s="4"/>
      <c r="Q16" s="5"/>
      <c r="R16" s="4"/>
      <c r="S16" s="5"/>
      <c r="T16" s="230"/>
      <c r="U16" s="231"/>
      <c r="V16" s="4"/>
      <c r="W16" s="5"/>
      <c r="X16" s="4">
        <v>1</v>
      </c>
      <c r="Y16" s="5">
        <v>25999000</v>
      </c>
      <c r="Z16" s="230">
        <v>1</v>
      </c>
      <c r="AA16" s="231">
        <v>25999000</v>
      </c>
      <c r="AB16" s="4"/>
      <c r="AC16" s="5"/>
      <c r="AD16" s="4"/>
      <c r="AE16" s="5"/>
      <c r="AF16" s="230"/>
      <c r="AG16" s="231"/>
      <c r="AH16" s="4"/>
      <c r="AI16" s="5"/>
      <c r="AJ16" s="4"/>
      <c r="AK16" s="5"/>
      <c r="AL16" s="230"/>
      <c r="AM16" s="231"/>
      <c r="AN16" s="4">
        <v>1</v>
      </c>
      <c r="AO16" s="5">
        <v>2099000</v>
      </c>
      <c r="AP16" s="4"/>
      <c r="AQ16" s="5"/>
      <c r="AR16" s="230">
        <v>1</v>
      </c>
      <c r="AS16" s="231">
        <v>2099000</v>
      </c>
      <c r="AT16" s="4"/>
      <c r="AU16" s="5"/>
      <c r="AV16" s="4"/>
      <c r="AW16" s="5"/>
      <c r="AX16" s="230"/>
      <c r="AY16" s="231"/>
      <c r="AZ16" s="4"/>
      <c r="BA16" s="5"/>
      <c r="BB16" s="4">
        <v>1</v>
      </c>
      <c r="BC16" s="5">
        <v>5499000</v>
      </c>
      <c r="BD16" s="230">
        <v>1</v>
      </c>
      <c r="BE16" s="231">
        <v>5499000</v>
      </c>
      <c r="BF16" s="4"/>
      <c r="BG16" s="5"/>
      <c r="BH16" s="4"/>
      <c r="BI16" s="5"/>
      <c r="BJ16" s="230"/>
      <c r="BK16" s="231"/>
      <c r="BL16" s="4"/>
      <c r="BM16" s="5"/>
      <c r="BN16" s="4"/>
      <c r="BO16" s="5"/>
      <c r="BP16" s="230"/>
      <c r="BQ16" s="231"/>
      <c r="BR16" s="4">
        <v>1</v>
      </c>
      <c r="BS16" s="5">
        <v>2299000</v>
      </c>
      <c r="BT16" s="4"/>
      <c r="BU16" s="5"/>
      <c r="BV16" s="230">
        <v>1</v>
      </c>
      <c r="BW16" s="231">
        <v>2299000</v>
      </c>
      <c r="BX16" s="4">
        <v>1</v>
      </c>
      <c r="BY16" s="5">
        <v>2599000</v>
      </c>
      <c r="BZ16" s="4"/>
      <c r="CA16" s="5"/>
      <c r="CB16" s="230">
        <v>1</v>
      </c>
      <c r="CC16" s="231">
        <v>2599000</v>
      </c>
      <c r="CD16" s="4"/>
      <c r="CE16" s="5"/>
      <c r="CF16" s="4"/>
      <c r="CG16" s="5"/>
      <c r="CH16" s="230"/>
      <c r="CI16" s="231"/>
      <c r="CJ16" s="4"/>
      <c r="CK16" s="5"/>
      <c r="CL16" s="4"/>
      <c r="CM16" s="5"/>
      <c r="CN16" s="230"/>
      <c r="CO16" s="231"/>
      <c r="CP16" s="4"/>
      <c r="CQ16" s="5"/>
      <c r="CR16" s="4"/>
      <c r="CS16" s="5"/>
      <c r="CT16" s="230"/>
      <c r="CU16" s="231"/>
      <c r="CV16" s="4"/>
      <c r="CW16" s="5"/>
      <c r="CX16" s="4"/>
      <c r="CY16" s="5"/>
      <c r="CZ16" s="230"/>
      <c r="DA16" s="231"/>
      <c r="DB16" s="4"/>
      <c r="DC16" s="5"/>
      <c r="DD16" s="4"/>
      <c r="DE16" s="5"/>
      <c r="DF16" s="230"/>
      <c r="DG16" s="231"/>
      <c r="DH16" s="4"/>
      <c r="DI16" s="5"/>
      <c r="DJ16" s="4"/>
      <c r="DK16" s="5"/>
      <c r="DL16" s="230"/>
      <c r="DM16" s="231"/>
      <c r="DN16" s="4"/>
      <c r="DO16" s="5"/>
      <c r="DP16" s="4"/>
      <c r="DQ16" s="5"/>
      <c r="DR16" s="230"/>
      <c r="DS16" s="231"/>
      <c r="DT16" s="4"/>
      <c r="DU16" s="5"/>
      <c r="DV16" s="4">
        <v>1</v>
      </c>
      <c r="DW16" s="5">
        <v>3899000</v>
      </c>
      <c r="DX16" s="230">
        <v>1</v>
      </c>
      <c r="DY16" s="231">
        <v>3899000</v>
      </c>
      <c r="DZ16" s="4"/>
      <c r="EA16" s="5"/>
      <c r="EB16" s="4"/>
      <c r="EC16" s="5"/>
      <c r="ED16" s="230"/>
      <c r="EE16" s="231"/>
      <c r="EF16" s="4">
        <v>1</v>
      </c>
      <c r="EG16" s="5">
        <v>2599000</v>
      </c>
      <c r="EH16" s="4"/>
      <c r="EI16" s="5"/>
      <c r="EJ16" s="230">
        <v>1</v>
      </c>
      <c r="EK16" s="231">
        <v>2599000</v>
      </c>
      <c r="EL16" s="4"/>
      <c r="EM16" s="5"/>
      <c r="EN16" s="4"/>
      <c r="EO16" s="5"/>
      <c r="EP16" s="230"/>
      <c r="EQ16" s="231"/>
      <c r="ER16" s="4"/>
      <c r="ES16" s="5"/>
      <c r="ET16" s="4"/>
      <c r="EU16" s="5"/>
      <c r="EV16" s="230"/>
      <c r="EW16" s="231"/>
      <c r="EX16" s="4"/>
      <c r="EY16" s="5"/>
      <c r="EZ16" s="4"/>
      <c r="FA16" s="5"/>
      <c r="FB16" s="230"/>
      <c r="FC16" s="231"/>
      <c r="FD16" s="4"/>
      <c r="FE16" s="5"/>
      <c r="FF16" s="4"/>
      <c r="FG16" s="5"/>
      <c r="FH16" s="230"/>
      <c r="FI16" s="231"/>
      <c r="FJ16" s="4"/>
      <c r="FK16" s="5"/>
      <c r="FL16" s="4"/>
      <c r="FM16" s="5"/>
      <c r="FN16" s="230"/>
      <c r="FO16" s="231"/>
      <c r="FP16" s="4">
        <v>7</v>
      </c>
      <c r="FQ16" s="6">
        <v>44993000</v>
      </c>
    </row>
    <row r="17" spans="1:173" x14ac:dyDescent="0.2">
      <c r="A17" s="1" t="s">
        <v>48</v>
      </c>
      <c r="B17" s="2">
        <v>6220701</v>
      </c>
      <c r="C17" s="3" t="s">
        <v>311</v>
      </c>
      <c r="D17" s="4"/>
      <c r="E17" s="5"/>
      <c r="F17" s="4">
        <v>2</v>
      </c>
      <c r="G17" s="5">
        <v>8598000</v>
      </c>
      <c r="H17" s="230">
        <v>2</v>
      </c>
      <c r="I17" s="231">
        <v>8598000</v>
      </c>
      <c r="J17" s="4">
        <v>3</v>
      </c>
      <c r="K17" s="5">
        <v>7297000</v>
      </c>
      <c r="L17" s="4"/>
      <c r="M17" s="5"/>
      <c r="N17" s="230">
        <v>3</v>
      </c>
      <c r="O17" s="231">
        <v>7297000</v>
      </c>
      <c r="P17" s="4"/>
      <c r="Q17" s="5"/>
      <c r="R17" s="4">
        <v>1</v>
      </c>
      <c r="S17" s="5">
        <v>3599000</v>
      </c>
      <c r="T17" s="230">
        <v>1</v>
      </c>
      <c r="U17" s="231">
        <v>3599000</v>
      </c>
      <c r="V17" s="4"/>
      <c r="W17" s="5"/>
      <c r="X17" s="4">
        <v>1</v>
      </c>
      <c r="Y17" s="5">
        <v>4299000</v>
      </c>
      <c r="Z17" s="230">
        <v>1</v>
      </c>
      <c r="AA17" s="231">
        <v>4299000</v>
      </c>
      <c r="AB17" s="4"/>
      <c r="AC17" s="5"/>
      <c r="AD17" s="4">
        <v>4</v>
      </c>
      <c r="AE17" s="5">
        <v>19596000</v>
      </c>
      <c r="AF17" s="230">
        <v>4</v>
      </c>
      <c r="AG17" s="231">
        <v>19596000</v>
      </c>
      <c r="AH17" s="4">
        <v>1</v>
      </c>
      <c r="AI17" s="5">
        <v>2799000</v>
      </c>
      <c r="AJ17" s="4">
        <v>2</v>
      </c>
      <c r="AK17" s="5">
        <v>9098000</v>
      </c>
      <c r="AL17" s="230">
        <v>3</v>
      </c>
      <c r="AM17" s="231">
        <v>11897000</v>
      </c>
      <c r="AN17" s="4"/>
      <c r="AO17" s="5"/>
      <c r="AP17" s="4">
        <v>1</v>
      </c>
      <c r="AQ17" s="5">
        <v>5899000</v>
      </c>
      <c r="AR17" s="230">
        <v>1</v>
      </c>
      <c r="AS17" s="231">
        <v>5899000</v>
      </c>
      <c r="AT17" s="4">
        <v>1</v>
      </c>
      <c r="AU17" s="5">
        <v>2099000</v>
      </c>
      <c r="AV17" s="4">
        <v>1</v>
      </c>
      <c r="AW17" s="5">
        <v>3599000</v>
      </c>
      <c r="AX17" s="230">
        <v>2</v>
      </c>
      <c r="AY17" s="231">
        <v>5698000</v>
      </c>
      <c r="AZ17" s="4">
        <v>1</v>
      </c>
      <c r="BA17" s="5">
        <v>2599000</v>
      </c>
      <c r="BB17" s="4">
        <v>3</v>
      </c>
      <c r="BC17" s="5">
        <v>17897000</v>
      </c>
      <c r="BD17" s="230">
        <v>4</v>
      </c>
      <c r="BE17" s="231">
        <v>20496000</v>
      </c>
      <c r="BF17" s="4"/>
      <c r="BG17" s="5"/>
      <c r="BH17" s="4"/>
      <c r="BI17" s="5"/>
      <c r="BJ17" s="230"/>
      <c r="BK17" s="231"/>
      <c r="BL17" s="4"/>
      <c r="BM17" s="5"/>
      <c r="BN17" s="4">
        <v>1</v>
      </c>
      <c r="BO17" s="5">
        <v>3599000</v>
      </c>
      <c r="BP17" s="230">
        <v>1</v>
      </c>
      <c r="BQ17" s="231">
        <v>3599000</v>
      </c>
      <c r="BR17" s="4">
        <v>3</v>
      </c>
      <c r="BS17" s="5">
        <v>7497000</v>
      </c>
      <c r="BT17" s="4">
        <v>2</v>
      </c>
      <c r="BU17" s="5">
        <v>8798000</v>
      </c>
      <c r="BV17" s="230">
        <v>5</v>
      </c>
      <c r="BW17" s="231">
        <v>16295000</v>
      </c>
      <c r="BX17" s="4">
        <v>3</v>
      </c>
      <c r="BY17" s="5">
        <v>8197000</v>
      </c>
      <c r="BZ17" s="4">
        <v>1</v>
      </c>
      <c r="CA17" s="5">
        <v>4299000</v>
      </c>
      <c r="CB17" s="230">
        <v>4</v>
      </c>
      <c r="CC17" s="231">
        <v>12496000</v>
      </c>
      <c r="CD17" s="4">
        <v>1</v>
      </c>
      <c r="CE17" s="5">
        <v>2599000</v>
      </c>
      <c r="CF17" s="4">
        <v>2</v>
      </c>
      <c r="CG17" s="5">
        <v>10198000</v>
      </c>
      <c r="CH17" s="230">
        <v>3</v>
      </c>
      <c r="CI17" s="231">
        <v>12797000</v>
      </c>
      <c r="CJ17" s="4"/>
      <c r="CK17" s="5"/>
      <c r="CL17" s="4">
        <v>1</v>
      </c>
      <c r="CM17" s="5">
        <v>7999000</v>
      </c>
      <c r="CN17" s="230">
        <v>1</v>
      </c>
      <c r="CO17" s="231">
        <v>7999000</v>
      </c>
      <c r="CP17" s="4"/>
      <c r="CQ17" s="5"/>
      <c r="CR17" s="4"/>
      <c r="CS17" s="5"/>
      <c r="CT17" s="230"/>
      <c r="CU17" s="231"/>
      <c r="CV17" s="4"/>
      <c r="CW17" s="5"/>
      <c r="CX17" s="4">
        <v>1</v>
      </c>
      <c r="CY17" s="5">
        <v>4299000</v>
      </c>
      <c r="CZ17" s="230">
        <v>1</v>
      </c>
      <c r="DA17" s="231">
        <v>4299000</v>
      </c>
      <c r="DB17" s="4">
        <v>2</v>
      </c>
      <c r="DC17" s="5">
        <v>4898000</v>
      </c>
      <c r="DD17" s="4">
        <v>2</v>
      </c>
      <c r="DE17" s="5">
        <v>13898000</v>
      </c>
      <c r="DF17" s="230">
        <v>4</v>
      </c>
      <c r="DG17" s="231">
        <v>18796000</v>
      </c>
      <c r="DH17" s="4"/>
      <c r="DI17" s="5"/>
      <c r="DJ17" s="4">
        <v>1</v>
      </c>
      <c r="DK17" s="5">
        <v>9999000</v>
      </c>
      <c r="DL17" s="230">
        <v>1</v>
      </c>
      <c r="DM17" s="231">
        <v>9999000</v>
      </c>
      <c r="DN17" s="4">
        <v>5</v>
      </c>
      <c r="DO17" s="5">
        <v>12595000</v>
      </c>
      <c r="DP17" s="4">
        <v>3</v>
      </c>
      <c r="DQ17" s="5">
        <v>16697000</v>
      </c>
      <c r="DR17" s="230">
        <v>8</v>
      </c>
      <c r="DS17" s="231">
        <v>29292000</v>
      </c>
      <c r="DT17" s="4">
        <v>3</v>
      </c>
      <c r="DU17" s="5">
        <v>7197000</v>
      </c>
      <c r="DV17" s="4">
        <v>2</v>
      </c>
      <c r="DW17" s="5">
        <v>13598000</v>
      </c>
      <c r="DX17" s="230">
        <v>5</v>
      </c>
      <c r="DY17" s="231">
        <v>20795000</v>
      </c>
      <c r="DZ17" s="4"/>
      <c r="EA17" s="5"/>
      <c r="EB17" s="4"/>
      <c r="EC17" s="5"/>
      <c r="ED17" s="230"/>
      <c r="EE17" s="231"/>
      <c r="EF17" s="4"/>
      <c r="EG17" s="5"/>
      <c r="EH17" s="4"/>
      <c r="EI17" s="5"/>
      <c r="EJ17" s="230"/>
      <c r="EK17" s="231"/>
      <c r="EL17" s="4"/>
      <c r="EM17" s="5"/>
      <c r="EN17" s="4">
        <v>1</v>
      </c>
      <c r="EO17" s="5">
        <v>6999000</v>
      </c>
      <c r="EP17" s="230">
        <v>1</v>
      </c>
      <c r="EQ17" s="231">
        <v>6999000</v>
      </c>
      <c r="ER17" s="4"/>
      <c r="ES17" s="5"/>
      <c r="ET17" s="4"/>
      <c r="EU17" s="5"/>
      <c r="EV17" s="230"/>
      <c r="EW17" s="231"/>
      <c r="EX17" s="4"/>
      <c r="EY17" s="5"/>
      <c r="EZ17" s="4">
        <v>6</v>
      </c>
      <c r="FA17" s="5">
        <v>41394000</v>
      </c>
      <c r="FB17" s="230">
        <v>6</v>
      </c>
      <c r="FC17" s="231">
        <v>41394000</v>
      </c>
      <c r="FD17" s="4">
        <v>1</v>
      </c>
      <c r="FE17" s="5">
        <v>2299000</v>
      </c>
      <c r="FF17" s="4">
        <v>1</v>
      </c>
      <c r="FG17" s="5">
        <v>6899000</v>
      </c>
      <c r="FH17" s="230">
        <v>2</v>
      </c>
      <c r="FI17" s="231">
        <v>9198000</v>
      </c>
      <c r="FJ17" s="4"/>
      <c r="FK17" s="5"/>
      <c r="FL17" s="4">
        <v>2</v>
      </c>
      <c r="FM17" s="5">
        <v>13498000</v>
      </c>
      <c r="FN17" s="230">
        <v>2</v>
      </c>
      <c r="FO17" s="231">
        <v>13498000</v>
      </c>
      <c r="FP17" s="4">
        <v>65</v>
      </c>
      <c r="FQ17" s="6">
        <v>294835000</v>
      </c>
    </row>
    <row r="18" spans="1:173" x14ac:dyDescent="0.2">
      <c r="A18" s="1"/>
      <c r="B18" s="2">
        <v>6050701</v>
      </c>
      <c r="C18" s="3" t="s">
        <v>312</v>
      </c>
      <c r="D18" s="4">
        <v>1</v>
      </c>
      <c r="E18" s="5">
        <v>2299000</v>
      </c>
      <c r="F18" s="4"/>
      <c r="G18" s="5"/>
      <c r="H18" s="230">
        <v>1</v>
      </c>
      <c r="I18" s="231">
        <v>2299000</v>
      </c>
      <c r="J18" s="4">
        <v>1</v>
      </c>
      <c r="K18" s="5">
        <v>2799000</v>
      </c>
      <c r="L18" s="4"/>
      <c r="M18" s="5"/>
      <c r="N18" s="230">
        <v>1</v>
      </c>
      <c r="O18" s="231">
        <v>2799000</v>
      </c>
      <c r="P18" s="4"/>
      <c r="Q18" s="5"/>
      <c r="R18" s="4">
        <v>3</v>
      </c>
      <c r="S18" s="5">
        <v>24297000</v>
      </c>
      <c r="T18" s="230">
        <v>3</v>
      </c>
      <c r="U18" s="231">
        <v>24297000</v>
      </c>
      <c r="V18" s="4">
        <v>1</v>
      </c>
      <c r="W18" s="5">
        <v>2299000</v>
      </c>
      <c r="X18" s="4">
        <v>3</v>
      </c>
      <c r="Y18" s="5">
        <v>17897000</v>
      </c>
      <c r="Z18" s="230">
        <v>4</v>
      </c>
      <c r="AA18" s="231">
        <v>20196000</v>
      </c>
      <c r="AB18" s="4">
        <v>1</v>
      </c>
      <c r="AC18" s="5">
        <v>2599000</v>
      </c>
      <c r="AD18" s="4"/>
      <c r="AE18" s="5"/>
      <c r="AF18" s="230">
        <v>1</v>
      </c>
      <c r="AG18" s="231">
        <v>2599000</v>
      </c>
      <c r="AH18" s="4">
        <v>1</v>
      </c>
      <c r="AI18" s="5">
        <v>2299000</v>
      </c>
      <c r="AJ18" s="4">
        <v>2</v>
      </c>
      <c r="AK18" s="5">
        <v>12798000</v>
      </c>
      <c r="AL18" s="230">
        <v>3</v>
      </c>
      <c r="AM18" s="231">
        <v>15097000</v>
      </c>
      <c r="AN18" s="4">
        <v>1</v>
      </c>
      <c r="AO18" s="5">
        <v>2799000</v>
      </c>
      <c r="AP18" s="4">
        <v>2</v>
      </c>
      <c r="AQ18" s="5">
        <v>11598000</v>
      </c>
      <c r="AR18" s="230">
        <v>3</v>
      </c>
      <c r="AS18" s="231">
        <v>14397000</v>
      </c>
      <c r="AT18" s="4">
        <v>2</v>
      </c>
      <c r="AU18" s="5">
        <v>4498000</v>
      </c>
      <c r="AV18" s="4"/>
      <c r="AW18" s="5"/>
      <c r="AX18" s="230">
        <v>2</v>
      </c>
      <c r="AY18" s="231">
        <v>4498000</v>
      </c>
      <c r="AZ18" s="4"/>
      <c r="BA18" s="5"/>
      <c r="BB18" s="4">
        <v>1</v>
      </c>
      <c r="BC18" s="5">
        <v>4299000</v>
      </c>
      <c r="BD18" s="230">
        <v>1</v>
      </c>
      <c r="BE18" s="231">
        <v>4299000</v>
      </c>
      <c r="BF18" s="4"/>
      <c r="BG18" s="5"/>
      <c r="BH18" s="4"/>
      <c r="BI18" s="5"/>
      <c r="BJ18" s="230"/>
      <c r="BK18" s="231"/>
      <c r="BL18" s="4"/>
      <c r="BM18" s="5"/>
      <c r="BN18" s="4"/>
      <c r="BO18" s="5"/>
      <c r="BP18" s="230"/>
      <c r="BQ18" s="231"/>
      <c r="BR18" s="4">
        <v>1</v>
      </c>
      <c r="BS18" s="5">
        <v>2299000</v>
      </c>
      <c r="BT18" s="4">
        <v>3</v>
      </c>
      <c r="BU18" s="5">
        <v>23297000</v>
      </c>
      <c r="BV18" s="230">
        <v>4</v>
      </c>
      <c r="BW18" s="231">
        <v>25596000</v>
      </c>
      <c r="BX18" s="4">
        <v>1</v>
      </c>
      <c r="BY18" s="5">
        <v>2399000</v>
      </c>
      <c r="BZ18" s="4">
        <v>1</v>
      </c>
      <c r="CA18" s="5">
        <v>7999000</v>
      </c>
      <c r="CB18" s="230">
        <v>2</v>
      </c>
      <c r="CC18" s="231">
        <v>10398000</v>
      </c>
      <c r="CD18" s="4">
        <v>2</v>
      </c>
      <c r="CE18" s="5">
        <v>4898000</v>
      </c>
      <c r="CF18" s="4">
        <v>1</v>
      </c>
      <c r="CG18" s="5">
        <v>3299000</v>
      </c>
      <c r="CH18" s="230">
        <v>3</v>
      </c>
      <c r="CI18" s="231">
        <v>8197000</v>
      </c>
      <c r="CJ18" s="4"/>
      <c r="CK18" s="5"/>
      <c r="CL18" s="4">
        <v>2</v>
      </c>
      <c r="CM18" s="5">
        <v>7098000</v>
      </c>
      <c r="CN18" s="230">
        <v>2</v>
      </c>
      <c r="CO18" s="231">
        <v>7098000</v>
      </c>
      <c r="CP18" s="4">
        <v>1</v>
      </c>
      <c r="CQ18" s="5">
        <v>2299000</v>
      </c>
      <c r="CR18" s="4">
        <v>1</v>
      </c>
      <c r="CS18" s="5">
        <v>3899000</v>
      </c>
      <c r="CT18" s="230">
        <v>2</v>
      </c>
      <c r="CU18" s="231">
        <v>6198000</v>
      </c>
      <c r="CV18" s="4"/>
      <c r="CW18" s="5"/>
      <c r="CX18" s="4">
        <v>2</v>
      </c>
      <c r="CY18" s="5">
        <v>7898000</v>
      </c>
      <c r="CZ18" s="230">
        <v>2</v>
      </c>
      <c r="DA18" s="231">
        <v>7898000</v>
      </c>
      <c r="DB18" s="4"/>
      <c r="DC18" s="5"/>
      <c r="DD18" s="4">
        <v>5</v>
      </c>
      <c r="DE18" s="5">
        <v>26595000</v>
      </c>
      <c r="DF18" s="230">
        <v>5</v>
      </c>
      <c r="DG18" s="231">
        <v>26595000</v>
      </c>
      <c r="DH18" s="4"/>
      <c r="DI18" s="5"/>
      <c r="DJ18" s="4"/>
      <c r="DK18" s="5"/>
      <c r="DL18" s="230"/>
      <c r="DM18" s="231"/>
      <c r="DN18" s="4">
        <v>3</v>
      </c>
      <c r="DO18" s="5">
        <v>7497000</v>
      </c>
      <c r="DP18" s="4">
        <v>2</v>
      </c>
      <c r="DQ18" s="5">
        <v>12498000</v>
      </c>
      <c r="DR18" s="230">
        <v>5</v>
      </c>
      <c r="DS18" s="231">
        <v>19995000</v>
      </c>
      <c r="DT18" s="4"/>
      <c r="DU18" s="5"/>
      <c r="DV18" s="4">
        <v>1</v>
      </c>
      <c r="DW18" s="5">
        <v>3299000</v>
      </c>
      <c r="DX18" s="230">
        <v>1</v>
      </c>
      <c r="DY18" s="231">
        <v>3299000</v>
      </c>
      <c r="DZ18" s="4">
        <v>1</v>
      </c>
      <c r="EA18" s="5">
        <v>2799000</v>
      </c>
      <c r="EB18" s="4">
        <v>1</v>
      </c>
      <c r="EC18" s="5">
        <v>9999000</v>
      </c>
      <c r="ED18" s="230">
        <v>2</v>
      </c>
      <c r="EE18" s="231">
        <v>12798000</v>
      </c>
      <c r="EF18" s="4"/>
      <c r="EG18" s="5"/>
      <c r="EH18" s="4"/>
      <c r="EI18" s="5"/>
      <c r="EJ18" s="230"/>
      <c r="EK18" s="231"/>
      <c r="EL18" s="4"/>
      <c r="EM18" s="5"/>
      <c r="EN18" s="4">
        <v>1</v>
      </c>
      <c r="EO18" s="5">
        <v>6899000</v>
      </c>
      <c r="EP18" s="230">
        <v>1</v>
      </c>
      <c r="EQ18" s="231">
        <v>6899000</v>
      </c>
      <c r="ER18" s="4">
        <v>1</v>
      </c>
      <c r="ES18" s="5">
        <v>2299000</v>
      </c>
      <c r="ET18" s="4">
        <v>1</v>
      </c>
      <c r="EU18" s="5">
        <v>5499000</v>
      </c>
      <c r="EV18" s="230">
        <v>2</v>
      </c>
      <c r="EW18" s="231">
        <v>7798000</v>
      </c>
      <c r="EX18" s="4"/>
      <c r="EY18" s="5"/>
      <c r="EZ18" s="4">
        <v>1</v>
      </c>
      <c r="FA18" s="5">
        <v>3299000</v>
      </c>
      <c r="FB18" s="230">
        <v>1</v>
      </c>
      <c r="FC18" s="231">
        <v>3299000</v>
      </c>
      <c r="FD18" s="4"/>
      <c r="FE18" s="5"/>
      <c r="FF18" s="4">
        <v>4</v>
      </c>
      <c r="FG18" s="5">
        <v>24696000</v>
      </c>
      <c r="FH18" s="230">
        <v>4</v>
      </c>
      <c r="FI18" s="231">
        <v>24696000</v>
      </c>
      <c r="FJ18" s="4"/>
      <c r="FK18" s="5"/>
      <c r="FL18" s="4"/>
      <c r="FM18" s="5"/>
      <c r="FN18" s="230"/>
      <c r="FO18" s="231"/>
      <c r="FP18" s="4">
        <v>55</v>
      </c>
      <c r="FQ18" s="6">
        <v>261245000</v>
      </c>
    </row>
    <row r="19" spans="1:173" x14ac:dyDescent="0.2">
      <c r="A19" s="1"/>
      <c r="B19" s="2">
        <v>6050705</v>
      </c>
      <c r="C19" s="3" t="s">
        <v>188</v>
      </c>
      <c r="D19" s="4"/>
      <c r="E19" s="5"/>
      <c r="F19" s="4">
        <v>1</v>
      </c>
      <c r="G19" s="5">
        <v>11999000</v>
      </c>
      <c r="H19" s="230">
        <v>1</v>
      </c>
      <c r="I19" s="231">
        <v>11999000</v>
      </c>
      <c r="J19" s="4">
        <v>1</v>
      </c>
      <c r="K19" s="5">
        <v>2599000</v>
      </c>
      <c r="L19" s="4">
        <v>1</v>
      </c>
      <c r="M19" s="5">
        <v>5499000</v>
      </c>
      <c r="N19" s="230">
        <v>2</v>
      </c>
      <c r="O19" s="231">
        <v>8098000</v>
      </c>
      <c r="P19" s="4"/>
      <c r="Q19" s="5"/>
      <c r="R19" s="4"/>
      <c r="S19" s="5"/>
      <c r="T19" s="230"/>
      <c r="U19" s="231"/>
      <c r="V19" s="4">
        <v>1</v>
      </c>
      <c r="W19" s="5">
        <v>2799000</v>
      </c>
      <c r="X19" s="4"/>
      <c r="Y19" s="5"/>
      <c r="Z19" s="230">
        <v>1</v>
      </c>
      <c r="AA19" s="231">
        <v>2799000</v>
      </c>
      <c r="AB19" s="4">
        <v>1</v>
      </c>
      <c r="AC19" s="5">
        <v>2799000</v>
      </c>
      <c r="AD19" s="4">
        <v>2</v>
      </c>
      <c r="AE19" s="5">
        <v>12898000</v>
      </c>
      <c r="AF19" s="230">
        <v>3</v>
      </c>
      <c r="AG19" s="231">
        <v>15697000</v>
      </c>
      <c r="AH19" s="4">
        <v>1</v>
      </c>
      <c r="AI19" s="5">
        <v>2399000</v>
      </c>
      <c r="AJ19" s="4"/>
      <c r="AK19" s="5"/>
      <c r="AL19" s="230">
        <v>1</v>
      </c>
      <c r="AM19" s="231">
        <v>2399000</v>
      </c>
      <c r="AN19" s="4">
        <v>1</v>
      </c>
      <c r="AO19" s="5">
        <v>2399000</v>
      </c>
      <c r="AP19" s="4"/>
      <c r="AQ19" s="5"/>
      <c r="AR19" s="230">
        <v>1</v>
      </c>
      <c r="AS19" s="231">
        <v>2399000</v>
      </c>
      <c r="AT19" s="4"/>
      <c r="AU19" s="5"/>
      <c r="AV19" s="4"/>
      <c r="AW19" s="5"/>
      <c r="AX19" s="230"/>
      <c r="AY19" s="231"/>
      <c r="AZ19" s="4"/>
      <c r="BA19" s="5"/>
      <c r="BB19" s="4">
        <v>1</v>
      </c>
      <c r="BC19" s="5">
        <v>5499000</v>
      </c>
      <c r="BD19" s="230">
        <v>1</v>
      </c>
      <c r="BE19" s="231">
        <v>5499000</v>
      </c>
      <c r="BF19" s="4"/>
      <c r="BG19" s="5"/>
      <c r="BH19" s="4">
        <v>1</v>
      </c>
      <c r="BI19" s="5">
        <v>4899000</v>
      </c>
      <c r="BJ19" s="230">
        <v>1</v>
      </c>
      <c r="BK19" s="231">
        <v>4899000</v>
      </c>
      <c r="BL19" s="4">
        <v>1</v>
      </c>
      <c r="BM19" s="5">
        <v>2299000</v>
      </c>
      <c r="BN19" s="4"/>
      <c r="BO19" s="5"/>
      <c r="BP19" s="230">
        <v>1</v>
      </c>
      <c r="BQ19" s="231">
        <v>2299000</v>
      </c>
      <c r="BR19" s="4"/>
      <c r="BS19" s="5"/>
      <c r="BT19" s="4"/>
      <c r="BU19" s="5"/>
      <c r="BV19" s="230"/>
      <c r="BW19" s="231"/>
      <c r="BX19" s="4"/>
      <c r="BY19" s="5"/>
      <c r="BZ19" s="4">
        <v>2</v>
      </c>
      <c r="CA19" s="5">
        <v>10798000</v>
      </c>
      <c r="CB19" s="230">
        <v>2</v>
      </c>
      <c r="CC19" s="231">
        <v>10798000</v>
      </c>
      <c r="CD19" s="4"/>
      <c r="CE19" s="5"/>
      <c r="CF19" s="4"/>
      <c r="CG19" s="5"/>
      <c r="CH19" s="230"/>
      <c r="CI19" s="231"/>
      <c r="CJ19" s="4"/>
      <c r="CK19" s="5"/>
      <c r="CL19" s="4">
        <v>1</v>
      </c>
      <c r="CM19" s="5">
        <v>4299000</v>
      </c>
      <c r="CN19" s="230">
        <v>1</v>
      </c>
      <c r="CO19" s="231">
        <v>4299000</v>
      </c>
      <c r="CP19" s="4"/>
      <c r="CQ19" s="5"/>
      <c r="CR19" s="4">
        <v>2</v>
      </c>
      <c r="CS19" s="5">
        <v>11298000</v>
      </c>
      <c r="CT19" s="230">
        <v>2</v>
      </c>
      <c r="CU19" s="231">
        <v>11298000</v>
      </c>
      <c r="CV19" s="4"/>
      <c r="CW19" s="5"/>
      <c r="CX19" s="4"/>
      <c r="CY19" s="5"/>
      <c r="CZ19" s="230"/>
      <c r="DA19" s="231"/>
      <c r="DB19" s="4"/>
      <c r="DC19" s="5"/>
      <c r="DD19" s="4">
        <v>2</v>
      </c>
      <c r="DE19" s="5">
        <v>8098000</v>
      </c>
      <c r="DF19" s="230">
        <v>2</v>
      </c>
      <c r="DG19" s="231">
        <v>8098000</v>
      </c>
      <c r="DH19" s="4"/>
      <c r="DI19" s="5"/>
      <c r="DJ19" s="4"/>
      <c r="DK19" s="5"/>
      <c r="DL19" s="230"/>
      <c r="DM19" s="231"/>
      <c r="DN19" s="4">
        <v>2</v>
      </c>
      <c r="DO19" s="5">
        <v>4598000</v>
      </c>
      <c r="DP19" s="4"/>
      <c r="DQ19" s="5"/>
      <c r="DR19" s="230">
        <v>2</v>
      </c>
      <c r="DS19" s="231">
        <v>4598000</v>
      </c>
      <c r="DT19" s="4"/>
      <c r="DU19" s="5"/>
      <c r="DV19" s="4">
        <v>1</v>
      </c>
      <c r="DW19" s="5">
        <v>4299000</v>
      </c>
      <c r="DX19" s="230">
        <v>1</v>
      </c>
      <c r="DY19" s="231">
        <v>4299000</v>
      </c>
      <c r="DZ19" s="4"/>
      <c r="EA19" s="5"/>
      <c r="EB19" s="4"/>
      <c r="EC19" s="5"/>
      <c r="ED19" s="230"/>
      <c r="EE19" s="231"/>
      <c r="EF19" s="4"/>
      <c r="EG19" s="5"/>
      <c r="EH19" s="4"/>
      <c r="EI19" s="5"/>
      <c r="EJ19" s="230"/>
      <c r="EK19" s="231"/>
      <c r="EL19" s="4"/>
      <c r="EM19" s="5"/>
      <c r="EN19" s="4"/>
      <c r="EO19" s="5"/>
      <c r="EP19" s="230"/>
      <c r="EQ19" s="231"/>
      <c r="ER19" s="4"/>
      <c r="ES19" s="5"/>
      <c r="ET19" s="4">
        <v>1</v>
      </c>
      <c r="EU19" s="5">
        <v>4299000</v>
      </c>
      <c r="EV19" s="230">
        <v>1</v>
      </c>
      <c r="EW19" s="231">
        <v>4299000</v>
      </c>
      <c r="EX19" s="4"/>
      <c r="EY19" s="5"/>
      <c r="EZ19" s="4">
        <v>1</v>
      </c>
      <c r="FA19" s="5">
        <v>3299000</v>
      </c>
      <c r="FB19" s="230">
        <v>1</v>
      </c>
      <c r="FC19" s="231">
        <v>3299000</v>
      </c>
      <c r="FD19" s="4"/>
      <c r="FE19" s="5"/>
      <c r="FF19" s="4">
        <v>2</v>
      </c>
      <c r="FG19" s="5">
        <v>13298000</v>
      </c>
      <c r="FH19" s="230">
        <v>2</v>
      </c>
      <c r="FI19" s="231">
        <v>13298000</v>
      </c>
      <c r="FJ19" s="4"/>
      <c r="FK19" s="5"/>
      <c r="FL19" s="4"/>
      <c r="FM19" s="5"/>
      <c r="FN19" s="230"/>
      <c r="FO19" s="231"/>
      <c r="FP19" s="4">
        <v>26</v>
      </c>
      <c r="FQ19" s="6">
        <v>120374000</v>
      </c>
    </row>
    <row r="20" spans="1:173" x14ac:dyDescent="0.2">
      <c r="A20" s="232"/>
      <c r="B20" s="2">
        <v>6050706</v>
      </c>
      <c r="C20" s="3" t="s">
        <v>191</v>
      </c>
      <c r="D20" s="4">
        <v>2</v>
      </c>
      <c r="E20" s="5">
        <v>4898000</v>
      </c>
      <c r="F20" s="4"/>
      <c r="G20" s="5"/>
      <c r="H20" s="230">
        <v>2</v>
      </c>
      <c r="I20" s="231">
        <v>4898000</v>
      </c>
      <c r="J20" s="4"/>
      <c r="K20" s="5"/>
      <c r="L20" s="4">
        <v>1</v>
      </c>
      <c r="M20" s="5">
        <v>6299000</v>
      </c>
      <c r="N20" s="230">
        <v>1</v>
      </c>
      <c r="O20" s="231">
        <v>6299000</v>
      </c>
      <c r="P20" s="4"/>
      <c r="Q20" s="5"/>
      <c r="R20" s="4">
        <v>1</v>
      </c>
      <c r="S20" s="5">
        <v>9999000</v>
      </c>
      <c r="T20" s="230">
        <v>1</v>
      </c>
      <c r="U20" s="231">
        <v>9999000</v>
      </c>
      <c r="V20" s="4"/>
      <c r="W20" s="5"/>
      <c r="X20" s="4"/>
      <c r="Y20" s="5"/>
      <c r="Z20" s="230"/>
      <c r="AA20" s="231"/>
      <c r="AB20" s="4"/>
      <c r="AC20" s="5"/>
      <c r="AD20" s="4">
        <v>1</v>
      </c>
      <c r="AE20" s="5">
        <v>7999000</v>
      </c>
      <c r="AF20" s="230">
        <v>1</v>
      </c>
      <c r="AG20" s="231">
        <v>7999000</v>
      </c>
      <c r="AH20" s="4">
        <v>1</v>
      </c>
      <c r="AI20" s="5">
        <v>2799000</v>
      </c>
      <c r="AJ20" s="4">
        <v>1</v>
      </c>
      <c r="AK20" s="5">
        <v>3599000</v>
      </c>
      <c r="AL20" s="230">
        <v>2</v>
      </c>
      <c r="AM20" s="231">
        <v>6398000</v>
      </c>
      <c r="AN20" s="4"/>
      <c r="AO20" s="5"/>
      <c r="AP20" s="4"/>
      <c r="AQ20" s="5"/>
      <c r="AR20" s="230"/>
      <c r="AS20" s="231"/>
      <c r="AT20" s="4"/>
      <c r="AU20" s="5"/>
      <c r="AV20" s="4">
        <v>2</v>
      </c>
      <c r="AW20" s="5">
        <v>10198000</v>
      </c>
      <c r="AX20" s="230">
        <v>2</v>
      </c>
      <c r="AY20" s="231">
        <v>10198000</v>
      </c>
      <c r="AZ20" s="4"/>
      <c r="BA20" s="5"/>
      <c r="BB20" s="4"/>
      <c r="BC20" s="5"/>
      <c r="BD20" s="230"/>
      <c r="BE20" s="231"/>
      <c r="BF20" s="4"/>
      <c r="BG20" s="5"/>
      <c r="BH20" s="4"/>
      <c r="BI20" s="5"/>
      <c r="BJ20" s="230"/>
      <c r="BK20" s="231"/>
      <c r="BL20" s="4">
        <v>2</v>
      </c>
      <c r="BM20" s="5">
        <v>5198000</v>
      </c>
      <c r="BN20" s="4"/>
      <c r="BO20" s="5"/>
      <c r="BP20" s="230">
        <v>2</v>
      </c>
      <c r="BQ20" s="231">
        <v>5198000</v>
      </c>
      <c r="BR20" s="4">
        <v>1</v>
      </c>
      <c r="BS20" s="5">
        <v>2099000</v>
      </c>
      <c r="BT20" s="4"/>
      <c r="BU20" s="5"/>
      <c r="BV20" s="230">
        <v>1</v>
      </c>
      <c r="BW20" s="231">
        <v>2099000</v>
      </c>
      <c r="BX20" s="4"/>
      <c r="BY20" s="5"/>
      <c r="BZ20" s="4">
        <v>2</v>
      </c>
      <c r="CA20" s="5">
        <v>10198000</v>
      </c>
      <c r="CB20" s="230">
        <v>2</v>
      </c>
      <c r="CC20" s="231">
        <v>10198000</v>
      </c>
      <c r="CD20" s="4">
        <v>1</v>
      </c>
      <c r="CE20" s="5">
        <v>2599000</v>
      </c>
      <c r="CF20" s="4">
        <v>1</v>
      </c>
      <c r="CG20" s="5">
        <v>5899000</v>
      </c>
      <c r="CH20" s="230">
        <v>2</v>
      </c>
      <c r="CI20" s="231">
        <v>8498000</v>
      </c>
      <c r="CJ20" s="4">
        <v>1</v>
      </c>
      <c r="CK20" s="5">
        <v>2299000</v>
      </c>
      <c r="CL20" s="4">
        <v>1</v>
      </c>
      <c r="CM20" s="5">
        <v>3599000</v>
      </c>
      <c r="CN20" s="230">
        <v>2</v>
      </c>
      <c r="CO20" s="231">
        <v>5898000</v>
      </c>
      <c r="CP20" s="4"/>
      <c r="CQ20" s="5"/>
      <c r="CR20" s="4">
        <v>1</v>
      </c>
      <c r="CS20" s="5">
        <v>3299000</v>
      </c>
      <c r="CT20" s="230">
        <v>1</v>
      </c>
      <c r="CU20" s="231">
        <v>3299000</v>
      </c>
      <c r="CV20" s="4"/>
      <c r="CW20" s="5"/>
      <c r="CX20" s="4"/>
      <c r="CY20" s="5"/>
      <c r="CZ20" s="230"/>
      <c r="DA20" s="231"/>
      <c r="DB20" s="4"/>
      <c r="DC20" s="5"/>
      <c r="DD20" s="4">
        <v>1</v>
      </c>
      <c r="DE20" s="5">
        <v>7999000</v>
      </c>
      <c r="DF20" s="230">
        <v>1</v>
      </c>
      <c r="DG20" s="231">
        <v>7999000</v>
      </c>
      <c r="DH20" s="4"/>
      <c r="DI20" s="5"/>
      <c r="DJ20" s="4">
        <v>1</v>
      </c>
      <c r="DK20" s="5">
        <v>3899000</v>
      </c>
      <c r="DL20" s="230">
        <v>1</v>
      </c>
      <c r="DM20" s="231">
        <v>3899000</v>
      </c>
      <c r="DN20" s="4"/>
      <c r="DO20" s="5"/>
      <c r="DP20" s="4">
        <v>1</v>
      </c>
      <c r="DQ20" s="5">
        <v>5699000</v>
      </c>
      <c r="DR20" s="230">
        <v>1</v>
      </c>
      <c r="DS20" s="231">
        <v>5699000</v>
      </c>
      <c r="DT20" s="4"/>
      <c r="DU20" s="5"/>
      <c r="DV20" s="4"/>
      <c r="DW20" s="5"/>
      <c r="DX20" s="230"/>
      <c r="DY20" s="231"/>
      <c r="DZ20" s="4"/>
      <c r="EA20" s="5"/>
      <c r="EB20" s="4">
        <v>1</v>
      </c>
      <c r="EC20" s="5">
        <v>5899000</v>
      </c>
      <c r="ED20" s="230">
        <v>1</v>
      </c>
      <c r="EE20" s="231">
        <v>5899000</v>
      </c>
      <c r="EF20" s="4"/>
      <c r="EG20" s="5"/>
      <c r="EH20" s="4"/>
      <c r="EI20" s="5"/>
      <c r="EJ20" s="230"/>
      <c r="EK20" s="231"/>
      <c r="EL20" s="4">
        <v>1</v>
      </c>
      <c r="EM20" s="5">
        <v>2299000</v>
      </c>
      <c r="EN20" s="4"/>
      <c r="EO20" s="5"/>
      <c r="EP20" s="230">
        <v>1</v>
      </c>
      <c r="EQ20" s="231">
        <v>2299000</v>
      </c>
      <c r="ER20" s="4"/>
      <c r="ES20" s="5"/>
      <c r="ET20" s="4"/>
      <c r="EU20" s="5"/>
      <c r="EV20" s="230"/>
      <c r="EW20" s="231"/>
      <c r="EX20" s="4">
        <v>1</v>
      </c>
      <c r="EY20" s="5">
        <v>2799000</v>
      </c>
      <c r="EZ20" s="4"/>
      <c r="FA20" s="5"/>
      <c r="FB20" s="230">
        <v>1</v>
      </c>
      <c r="FC20" s="231">
        <v>2799000</v>
      </c>
      <c r="FD20" s="4"/>
      <c r="FE20" s="5"/>
      <c r="FF20" s="4">
        <v>3</v>
      </c>
      <c r="FG20" s="5">
        <v>22797000</v>
      </c>
      <c r="FH20" s="230">
        <v>3</v>
      </c>
      <c r="FI20" s="231">
        <v>22797000</v>
      </c>
      <c r="FJ20" s="4"/>
      <c r="FK20" s="5"/>
      <c r="FL20" s="4">
        <v>1</v>
      </c>
      <c r="FM20" s="5">
        <v>4799000</v>
      </c>
      <c r="FN20" s="230">
        <v>1</v>
      </c>
      <c r="FO20" s="231">
        <v>4799000</v>
      </c>
      <c r="FP20" s="4">
        <v>29</v>
      </c>
      <c r="FQ20" s="6">
        <v>137171000</v>
      </c>
    </row>
    <row r="21" spans="1:173" x14ac:dyDescent="0.2">
      <c r="A21" s="1" t="s">
        <v>57</v>
      </c>
      <c r="B21" s="2">
        <v>6190704</v>
      </c>
      <c r="C21" s="3" t="s">
        <v>313</v>
      </c>
      <c r="D21" s="4">
        <v>2</v>
      </c>
      <c r="E21" s="5">
        <v>5198000</v>
      </c>
      <c r="F21" s="4">
        <v>2</v>
      </c>
      <c r="G21" s="5">
        <v>9498000</v>
      </c>
      <c r="H21" s="230">
        <v>4</v>
      </c>
      <c r="I21" s="231">
        <v>14696000</v>
      </c>
      <c r="J21" s="4">
        <v>1</v>
      </c>
      <c r="K21" s="5">
        <v>2399000</v>
      </c>
      <c r="L21" s="4"/>
      <c r="M21" s="5"/>
      <c r="N21" s="230">
        <v>1</v>
      </c>
      <c r="O21" s="231">
        <v>2399000</v>
      </c>
      <c r="P21" s="4">
        <v>3</v>
      </c>
      <c r="Q21" s="5">
        <v>7797000</v>
      </c>
      <c r="R21" s="4">
        <v>2</v>
      </c>
      <c r="S21" s="5">
        <v>11998000</v>
      </c>
      <c r="T21" s="230">
        <v>5</v>
      </c>
      <c r="U21" s="231">
        <v>19795000</v>
      </c>
      <c r="V21" s="4"/>
      <c r="W21" s="5"/>
      <c r="X21" s="4">
        <v>1</v>
      </c>
      <c r="Y21" s="5">
        <v>9999000</v>
      </c>
      <c r="Z21" s="230">
        <v>1</v>
      </c>
      <c r="AA21" s="231">
        <v>9999000</v>
      </c>
      <c r="AB21" s="4">
        <v>3</v>
      </c>
      <c r="AC21" s="5">
        <v>7297000</v>
      </c>
      <c r="AD21" s="4">
        <v>1</v>
      </c>
      <c r="AE21" s="5">
        <v>5699000</v>
      </c>
      <c r="AF21" s="230">
        <v>4</v>
      </c>
      <c r="AG21" s="231">
        <v>12996000</v>
      </c>
      <c r="AH21" s="4">
        <v>2</v>
      </c>
      <c r="AI21" s="5">
        <v>4398000</v>
      </c>
      <c r="AJ21" s="4">
        <v>5</v>
      </c>
      <c r="AK21" s="5">
        <v>26995000</v>
      </c>
      <c r="AL21" s="230">
        <v>7</v>
      </c>
      <c r="AM21" s="231">
        <v>31393000</v>
      </c>
      <c r="AN21" s="4"/>
      <c r="AO21" s="5"/>
      <c r="AP21" s="4">
        <v>1</v>
      </c>
      <c r="AQ21" s="5">
        <v>4299000</v>
      </c>
      <c r="AR21" s="230">
        <v>1</v>
      </c>
      <c r="AS21" s="231">
        <v>4299000</v>
      </c>
      <c r="AT21" s="4">
        <v>2</v>
      </c>
      <c r="AU21" s="5">
        <v>4898000</v>
      </c>
      <c r="AV21" s="4">
        <v>1</v>
      </c>
      <c r="AW21" s="5">
        <v>5899000</v>
      </c>
      <c r="AX21" s="230">
        <v>3</v>
      </c>
      <c r="AY21" s="231">
        <v>10797000</v>
      </c>
      <c r="AZ21" s="4">
        <v>1</v>
      </c>
      <c r="BA21" s="5">
        <v>2799000</v>
      </c>
      <c r="BB21" s="4"/>
      <c r="BC21" s="5"/>
      <c r="BD21" s="230">
        <v>1</v>
      </c>
      <c r="BE21" s="231">
        <v>2799000</v>
      </c>
      <c r="BF21" s="4"/>
      <c r="BG21" s="5"/>
      <c r="BH21" s="4">
        <v>1</v>
      </c>
      <c r="BI21" s="5">
        <v>5899000</v>
      </c>
      <c r="BJ21" s="230">
        <v>1</v>
      </c>
      <c r="BK21" s="231">
        <v>5899000</v>
      </c>
      <c r="BL21" s="4"/>
      <c r="BM21" s="5"/>
      <c r="BN21" s="4"/>
      <c r="BO21" s="5"/>
      <c r="BP21" s="230"/>
      <c r="BQ21" s="231"/>
      <c r="BR21" s="4">
        <v>3</v>
      </c>
      <c r="BS21" s="5">
        <v>7597000</v>
      </c>
      <c r="BT21" s="4">
        <v>3</v>
      </c>
      <c r="BU21" s="5">
        <v>24897000</v>
      </c>
      <c r="BV21" s="230">
        <v>6</v>
      </c>
      <c r="BW21" s="231">
        <v>32494000</v>
      </c>
      <c r="BX21" s="4">
        <v>4</v>
      </c>
      <c r="BY21" s="5">
        <v>9296000</v>
      </c>
      <c r="BZ21" s="4">
        <v>5</v>
      </c>
      <c r="CA21" s="5">
        <v>32595000</v>
      </c>
      <c r="CB21" s="230">
        <v>9</v>
      </c>
      <c r="CC21" s="231">
        <v>41891000</v>
      </c>
      <c r="CD21" s="4">
        <v>3</v>
      </c>
      <c r="CE21" s="5">
        <v>6897000</v>
      </c>
      <c r="CF21" s="4"/>
      <c r="CG21" s="5"/>
      <c r="CH21" s="230">
        <v>3</v>
      </c>
      <c r="CI21" s="231">
        <v>6897000</v>
      </c>
      <c r="CJ21" s="4"/>
      <c r="CK21" s="5"/>
      <c r="CL21" s="4">
        <v>2</v>
      </c>
      <c r="CM21" s="5">
        <v>8698000</v>
      </c>
      <c r="CN21" s="230">
        <v>2</v>
      </c>
      <c r="CO21" s="231">
        <v>8698000</v>
      </c>
      <c r="CP21" s="4"/>
      <c r="CQ21" s="5"/>
      <c r="CR21" s="4">
        <v>3</v>
      </c>
      <c r="CS21" s="5">
        <v>10197000</v>
      </c>
      <c r="CT21" s="230">
        <v>3</v>
      </c>
      <c r="CU21" s="231">
        <v>10197000</v>
      </c>
      <c r="CV21" s="4">
        <v>2</v>
      </c>
      <c r="CW21" s="5">
        <v>5198000</v>
      </c>
      <c r="CX21" s="4">
        <v>1</v>
      </c>
      <c r="CY21" s="5">
        <v>3599000</v>
      </c>
      <c r="CZ21" s="230">
        <v>3</v>
      </c>
      <c r="DA21" s="231">
        <v>8797000</v>
      </c>
      <c r="DB21" s="4">
        <v>2</v>
      </c>
      <c r="DC21" s="5">
        <v>4598000</v>
      </c>
      <c r="DD21" s="4">
        <v>3</v>
      </c>
      <c r="DE21" s="5">
        <v>19497000</v>
      </c>
      <c r="DF21" s="230">
        <v>5</v>
      </c>
      <c r="DG21" s="231">
        <v>24095000</v>
      </c>
      <c r="DH21" s="4"/>
      <c r="DI21" s="5"/>
      <c r="DJ21" s="4">
        <v>4</v>
      </c>
      <c r="DK21" s="5">
        <v>21796000</v>
      </c>
      <c r="DL21" s="230">
        <v>4</v>
      </c>
      <c r="DM21" s="231">
        <v>21796000</v>
      </c>
      <c r="DN21" s="4"/>
      <c r="DO21" s="5"/>
      <c r="DP21" s="4">
        <v>2</v>
      </c>
      <c r="DQ21" s="5">
        <v>10298000</v>
      </c>
      <c r="DR21" s="230">
        <v>2</v>
      </c>
      <c r="DS21" s="231">
        <v>10298000</v>
      </c>
      <c r="DT21" s="4">
        <v>1</v>
      </c>
      <c r="DU21" s="5">
        <v>2799000</v>
      </c>
      <c r="DV21" s="4">
        <v>3</v>
      </c>
      <c r="DW21" s="5">
        <v>19197000</v>
      </c>
      <c r="DX21" s="230">
        <v>4</v>
      </c>
      <c r="DY21" s="231">
        <v>21996000</v>
      </c>
      <c r="DZ21" s="4">
        <v>2</v>
      </c>
      <c r="EA21" s="5">
        <v>5198000</v>
      </c>
      <c r="EB21" s="4"/>
      <c r="EC21" s="5"/>
      <c r="ED21" s="230">
        <v>2</v>
      </c>
      <c r="EE21" s="231">
        <v>5198000</v>
      </c>
      <c r="EF21" s="4">
        <v>2</v>
      </c>
      <c r="EG21" s="5">
        <v>5098000</v>
      </c>
      <c r="EH21" s="4"/>
      <c r="EI21" s="5"/>
      <c r="EJ21" s="230">
        <v>2</v>
      </c>
      <c r="EK21" s="231">
        <v>5098000</v>
      </c>
      <c r="EL21" s="4">
        <v>1</v>
      </c>
      <c r="EM21" s="5">
        <v>2799000</v>
      </c>
      <c r="EN21" s="4">
        <v>3</v>
      </c>
      <c r="EO21" s="5">
        <v>15497000</v>
      </c>
      <c r="EP21" s="230">
        <v>4</v>
      </c>
      <c r="EQ21" s="231">
        <v>18296000</v>
      </c>
      <c r="ER21" s="4">
        <v>2</v>
      </c>
      <c r="ES21" s="5">
        <v>4598000</v>
      </c>
      <c r="ET21" s="4">
        <v>2</v>
      </c>
      <c r="EU21" s="5">
        <v>10298000</v>
      </c>
      <c r="EV21" s="230">
        <v>4</v>
      </c>
      <c r="EW21" s="231">
        <v>14896000</v>
      </c>
      <c r="EX21" s="4"/>
      <c r="EY21" s="5"/>
      <c r="EZ21" s="4">
        <v>1</v>
      </c>
      <c r="FA21" s="5">
        <v>9999000</v>
      </c>
      <c r="FB21" s="230">
        <v>1</v>
      </c>
      <c r="FC21" s="231">
        <v>9999000</v>
      </c>
      <c r="FD21" s="4">
        <v>1</v>
      </c>
      <c r="FE21" s="5">
        <v>2299000</v>
      </c>
      <c r="FF21" s="4">
        <v>5</v>
      </c>
      <c r="FG21" s="5">
        <v>21695000</v>
      </c>
      <c r="FH21" s="230">
        <v>6</v>
      </c>
      <c r="FI21" s="231">
        <v>23994000</v>
      </c>
      <c r="FJ21" s="4">
        <v>1</v>
      </c>
      <c r="FK21" s="5">
        <v>2799000</v>
      </c>
      <c r="FL21" s="4">
        <v>1</v>
      </c>
      <c r="FM21" s="5">
        <v>9999000</v>
      </c>
      <c r="FN21" s="230">
        <v>2</v>
      </c>
      <c r="FO21" s="231">
        <v>12798000</v>
      </c>
      <c r="FP21" s="4">
        <v>90</v>
      </c>
      <c r="FQ21" s="6">
        <v>392510000</v>
      </c>
    </row>
    <row r="22" spans="1:173" x14ac:dyDescent="0.2">
      <c r="A22" s="1"/>
      <c r="B22" s="2">
        <v>6190701</v>
      </c>
      <c r="C22" s="3" t="s">
        <v>314</v>
      </c>
      <c r="D22" s="4">
        <v>1</v>
      </c>
      <c r="E22" s="5">
        <v>2799000</v>
      </c>
      <c r="F22" s="4"/>
      <c r="G22" s="5"/>
      <c r="H22" s="230">
        <v>1</v>
      </c>
      <c r="I22" s="231">
        <v>2799000</v>
      </c>
      <c r="J22" s="4">
        <v>1</v>
      </c>
      <c r="K22" s="5">
        <v>2099000</v>
      </c>
      <c r="L22" s="4"/>
      <c r="M22" s="5"/>
      <c r="N22" s="230">
        <v>1</v>
      </c>
      <c r="O22" s="231">
        <v>2099000</v>
      </c>
      <c r="P22" s="4"/>
      <c r="Q22" s="5"/>
      <c r="R22" s="4"/>
      <c r="S22" s="5"/>
      <c r="T22" s="230"/>
      <c r="U22" s="231"/>
      <c r="V22" s="4">
        <v>1</v>
      </c>
      <c r="W22" s="5">
        <v>2399000</v>
      </c>
      <c r="X22" s="4"/>
      <c r="Y22" s="5"/>
      <c r="Z22" s="230">
        <v>1</v>
      </c>
      <c r="AA22" s="231">
        <v>2399000</v>
      </c>
      <c r="AB22" s="4">
        <v>2</v>
      </c>
      <c r="AC22" s="5">
        <v>5398000</v>
      </c>
      <c r="AD22" s="4"/>
      <c r="AE22" s="5"/>
      <c r="AF22" s="230">
        <v>2</v>
      </c>
      <c r="AG22" s="231">
        <v>5398000</v>
      </c>
      <c r="AH22" s="4">
        <v>2</v>
      </c>
      <c r="AI22" s="5">
        <v>5198000</v>
      </c>
      <c r="AJ22" s="4"/>
      <c r="AK22" s="5"/>
      <c r="AL22" s="230">
        <v>2</v>
      </c>
      <c r="AM22" s="231">
        <v>5198000</v>
      </c>
      <c r="AN22" s="4"/>
      <c r="AO22" s="5"/>
      <c r="AP22" s="4">
        <v>1</v>
      </c>
      <c r="AQ22" s="5">
        <v>9999000</v>
      </c>
      <c r="AR22" s="230">
        <v>1</v>
      </c>
      <c r="AS22" s="231">
        <v>9999000</v>
      </c>
      <c r="AT22" s="4"/>
      <c r="AU22" s="5"/>
      <c r="AV22" s="4"/>
      <c r="AW22" s="5"/>
      <c r="AX22" s="230"/>
      <c r="AY22" s="231"/>
      <c r="AZ22" s="4">
        <v>4</v>
      </c>
      <c r="BA22" s="5">
        <v>9496000</v>
      </c>
      <c r="BB22" s="4">
        <v>1</v>
      </c>
      <c r="BC22" s="5">
        <v>9999000</v>
      </c>
      <c r="BD22" s="230">
        <v>5</v>
      </c>
      <c r="BE22" s="231">
        <v>19495000</v>
      </c>
      <c r="BF22" s="4"/>
      <c r="BG22" s="5"/>
      <c r="BH22" s="4"/>
      <c r="BI22" s="5"/>
      <c r="BJ22" s="230"/>
      <c r="BK22" s="231"/>
      <c r="BL22" s="4">
        <v>2</v>
      </c>
      <c r="BM22" s="5">
        <v>4598000</v>
      </c>
      <c r="BN22" s="4">
        <v>1</v>
      </c>
      <c r="BO22" s="5">
        <v>5899000</v>
      </c>
      <c r="BP22" s="230">
        <v>3</v>
      </c>
      <c r="BQ22" s="231">
        <v>10497000</v>
      </c>
      <c r="BR22" s="4">
        <v>2</v>
      </c>
      <c r="BS22" s="5">
        <v>5198000</v>
      </c>
      <c r="BT22" s="4"/>
      <c r="BU22" s="5"/>
      <c r="BV22" s="230">
        <v>2</v>
      </c>
      <c r="BW22" s="231">
        <v>5198000</v>
      </c>
      <c r="BX22" s="4">
        <v>1</v>
      </c>
      <c r="BY22" s="5">
        <v>2799000</v>
      </c>
      <c r="BZ22" s="4"/>
      <c r="CA22" s="5"/>
      <c r="CB22" s="230">
        <v>1</v>
      </c>
      <c r="CC22" s="231">
        <v>2799000</v>
      </c>
      <c r="CD22" s="4"/>
      <c r="CE22" s="5"/>
      <c r="CF22" s="4"/>
      <c r="CG22" s="5"/>
      <c r="CH22" s="230"/>
      <c r="CI22" s="231"/>
      <c r="CJ22" s="4"/>
      <c r="CK22" s="5"/>
      <c r="CL22" s="4">
        <v>1</v>
      </c>
      <c r="CM22" s="5">
        <v>6499000</v>
      </c>
      <c r="CN22" s="230">
        <v>1</v>
      </c>
      <c r="CO22" s="231">
        <v>6499000</v>
      </c>
      <c r="CP22" s="4">
        <v>1</v>
      </c>
      <c r="CQ22" s="5">
        <v>2299000</v>
      </c>
      <c r="CR22" s="4"/>
      <c r="CS22" s="5"/>
      <c r="CT22" s="230">
        <v>1</v>
      </c>
      <c r="CU22" s="231">
        <v>2299000</v>
      </c>
      <c r="CV22" s="4"/>
      <c r="CW22" s="5"/>
      <c r="CX22" s="4"/>
      <c r="CY22" s="5"/>
      <c r="CZ22" s="230"/>
      <c r="DA22" s="231"/>
      <c r="DB22" s="4">
        <v>1</v>
      </c>
      <c r="DC22" s="5">
        <v>2299000</v>
      </c>
      <c r="DD22" s="4"/>
      <c r="DE22" s="5"/>
      <c r="DF22" s="230">
        <v>1</v>
      </c>
      <c r="DG22" s="231">
        <v>2299000</v>
      </c>
      <c r="DH22" s="4">
        <v>1</v>
      </c>
      <c r="DI22" s="5">
        <v>2299000</v>
      </c>
      <c r="DJ22" s="4">
        <v>1</v>
      </c>
      <c r="DK22" s="5">
        <v>7999000</v>
      </c>
      <c r="DL22" s="230">
        <v>2</v>
      </c>
      <c r="DM22" s="231">
        <v>10298000</v>
      </c>
      <c r="DN22" s="4"/>
      <c r="DO22" s="5"/>
      <c r="DP22" s="4">
        <v>1</v>
      </c>
      <c r="DQ22" s="5">
        <v>9999000</v>
      </c>
      <c r="DR22" s="230">
        <v>1</v>
      </c>
      <c r="DS22" s="231">
        <v>9999000</v>
      </c>
      <c r="DT22" s="4"/>
      <c r="DU22" s="5"/>
      <c r="DV22" s="4">
        <v>1</v>
      </c>
      <c r="DW22" s="5">
        <v>4799000</v>
      </c>
      <c r="DX22" s="230">
        <v>1</v>
      </c>
      <c r="DY22" s="231">
        <v>4799000</v>
      </c>
      <c r="DZ22" s="4">
        <v>1</v>
      </c>
      <c r="EA22" s="5">
        <v>2299000</v>
      </c>
      <c r="EB22" s="4">
        <v>1</v>
      </c>
      <c r="EC22" s="5">
        <v>4299000</v>
      </c>
      <c r="ED22" s="230">
        <v>2</v>
      </c>
      <c r="EE22" s="231">
        <v>6598000</v>
      </c>
      <c r="EF22" s="4"/>
      <c r="EG22" s="5"/>
      <c r="EH22" s="4"/>
      <c r="EI22" s="5"/>
      <c r="EJ22" s="230"/>
      <c r="EK22" s="231"/>
      <c r="EL22" s="4"/>
      <c r="EM22" s="5"/>
      <c r="EN22" s="4"/>
      <c r="EO22" s="5"/>
      <c r="EP22" s="230"/>
      <c r="EQ22" s="231"/>
      <c r="ER22" s="4"/>
      <c r="ES22" s="5"/>
      <c r="ET22" s="4"/>
      <c r="EU22" s="5"/>
      <c r="EV22" s="230"/>
      <c r="EW22" s="231"/>
      <c r="EX22" s="4">
        <v>2</v>
      </c>
      <c r="EY22" s="5">
        <v>4898000</v>
      </c>
      <c r="EZ22" s="4">
        <v>2</v>
      </c>
      <c r="FA22" s="5">
        <v>10998000</v>
      </c>
      <c r="FB22" s="230">
        <v>4</v>
      </c>
      <c r="FC22" s="231">
        <v>15896000</v>
      </c>
      <c r="FD22" s="4"/>
      <c r="FE22" s="5"/>
      <c r="FF22" s="4">
        <v>2</v>
      </c>
      <c r="FG22" s="5">
        <v>7598000</v>
      </c>
      <c r="FH22" s="230">
        <v>2</v>
      </c>
      <c r="FI22" s="231">
        <v>7598000</v>
      </c>
      <c r="FJ22" s="4">
        <v>2</v>
      </c>
      <c r="FK22" s="5">
        <v>4598000</v>
      </c>
      <c r="FL22" s="4">
        <v>2</v>
      </c>
      <c r="FM22" s="5">
        <v>7198000</v>
      </c>
      <c r="FN22" s="230">
        <v>4</v>
      </c>
      <c r="FO22" s="231">
        <v>11796000</v>
      </c>
      <c r="FP22" s="4">
        <v>38</v>
      </c>
      <c r="FQ22" s="6">
        <v>143962000</v>
      </c>
    </row>
    <row r="23" spans="1:173" x14ac:dyDescent="0.2">
      <c r="A23" s="1"/>
      <c r="B23" s="2">
        <v>6190706</v>
      </c>
      <c r="C23" s="3" t="s">
        <v>315</v>
      </c>
      <c r="D23" s="4">
        <v>4</v>
      </c>
      <c r="E23" s="5">
        <v>10396000</v>
      </c>
      <c r="F23" s="4"/>
      <c r="G23" s="5"/>
      <c r="H23" s="230">
        <v>4</v>
      </c>
      <c r="I23" s="231">
        <v>10396000</v>
      </c>
      <c r="J23" s="4">
        <v>1</v>
      </c>
      <c r="K23" s="5">
        <v>2299000</v>
      </c>
      <c r="L23" s="4">
        <v>2</v>
      </c>
      <c r="M23" s="5">
        <v>8598000</v>
      </c>
      <c r="N23" s="230">
        <v>3</v>
      </c>
      <c r="O23" s="231">
        <v>10897000</v>
      </c>
      <c r="P23" s="4">
        <v>3</v>
      </c>
      <c r="Q23" s="5">
        <v>7497000</v>
      </c>
      <c r="R23" s="4">
        <v>2</v>
      </c>
      <c r="S23" s="5">
        <v>12398000</v>
      </c>
      <c r="T23" s="230">
        <v>5</v>
      </c>
      <c r="U23" s="231">
        <v>19895000</v>
      </c>
      <c r="V23" s="4">
        <v>3</v>
      </c>
      <c r="W23" s="5">
        <v>7697000</v>
      </c>
      <c r="X23" s="4">
        <v>2</v>
      </c>
      <c r="Y23" s="5">
        <v>9798000</v>
      </c>
      <c r="Z23" s="230">
        <v>5</v>
      </c>
      <c r="AA23" s="231">
        <v>17495000</v>
      </c>
      <c r="AB23" s="4">
        <v>3</v>
      </c>
      <c r="AC23" s="5">
        <v>7697000</v>
      </c>
      <c r="AD23" s="4">
        <v>1</v>
      </c>
      <c r="AE23" s="5">
        <v>5899000</v>
      </c>
      <c r="AF23" s="230">
        <v>4</v>
      </c>
      <c r="AG23" s="231">
        <v>13596000</v>
      </c>
      <c r="AH23" s="4">
        <v>5</v>
      </c>
      <c r="AI23" s="5">
        <v>12495000</v>
      </c>
      <c r="AJ23" s="4">
        <v>2</v>
      </c>
      <c r="AK23" s="5">
        <v>10398000</v>
      </c>
      <c r="AL23" s="230">
        <v>7</v>
      </c>
      <c r="AM23" s="231">
        <v>22893000</v>
      </c>
      <c r="AN23" s="4">
        <v>1</v>
      </c>
      <c r="AO23" s="5">
        <v>2299000</v>
      </c>
      <c r="AP23" s="4">
        <v>1</v>
      </c>
      <c r="AQ23" s="5">
        <v>4299000</v>
      </c>
      <c r="AR23" s="230">
        <v>2</v>
      </c>
      <c r="AS23" s="231">
        <v>6598000</v>
      </c>
      <c r="AT23" s="4">
        <v>4</v>
      </c>
      <c r="AU23" s="5">
        <v>9996000</v>
      </c>
      <c r="AV23" s="4">
        <v>1</v>
      </c>
      <c r="AW23" s="5">
        <v>7999000</v>
      </c>
      <c r="AX23" s="230">
        <v>5</v>
      </c>
      <c r="AY23" s="231">
        <v>17995000</v>
      </c>
      <c r="AZ23" s="4">
        <v>3</v>
      </c>
      <c r="BA23" s="5">
        <v>7697000</v>
      </c>
      <c r="BB23" s="4">
        <v>1</v>
      </c>
      <c r="BC23" s="5">
        <v>7999000</v>
      </c>
      <c r="BD23" s="230">
        <v>4</v>
      </c>
      <c r="BE23" s="231">
        <v>15696000</v>
      </c>
      <c r="BF23" s="4">
        <v>3</v>
      </c>
      <c r="BG23" s="5">
        <v>6897000</v>
      </c>
      <c r="BH23" s="4">
        <v>1</v>
      </c>
      <c r="BI23" s="5">
        <v>3899000</v>
      </c>
      <c r="BJ23" s="230">
        <v>4</v>
      </c>
      <c r="BK23" s="231">
        <v>10796000</v>
      </c>
      <c r="BL23" s="4">
        <v>5</v>
      </c>
      <c r="BM23" s="5">
        <v>10495000</v>
      </c>
      <c r="BN23" s="4">
        <v>3</v>
      </c>
      <c r="BO23" s="5">
        <v>21897000</v>
      </c>
      <c r="BP23" s="230">
        <v>8</v>
      </c>
      <c r="BQ23" s="231">
        <v>32392000</v>
      </c>
      <c r="BR23" s="4">
        <v>1</v>
      </c>
      <c r="BS23" s="5">
        <v>2399000</v>
      </c>
      <c r="BT23" s="4">
        <v>7</v>
      </c>
      <c r="BU23" s="5">
        <v>45993000</v>
      </c>
      <c r="BV23" s="230">
        <v>8</v>
      </c>
      <c r="BW23" s="231">
        <v>48392000</v>
      </c>
      <c r="BX23" s="4">
        <v>3</v>
      </c>
      <c r="BY23" s="5">
        <v>7697000</v>
      </c>
      <c r="BZ23" s="4">
        <v>3</v>
      </c>
      <c r="CA23" s="5">
        <v>25497000</v>
      </c>
      <c r="CB23" s="230">
        <v>6</v>
      </c>
      <c r="CC23" s="231">
        <v>33194000</v>
      </c>
      <c r="CD23" s="4"/>
      <c r="CE23" s="5"/>
      <c r="CF23" s="4">
        <v>3</v>
      </c>
      <c r="CG23" s="5">
        <v>15497000</v>
      </c>
      <c r="CH23" s="230">
        <v>3</v>
      </c>
      <c r="CI23" s="231">
        <v>15497000</v>
      </c>
      <c r="CJ23" s="4">
        <v>1</v>
      </c>
      <c r="CK23" s="5">
        <v>2599000</v>
      </c>
      <c r="CL23" s="4">
        <v>2</v>
      </c>
      <c r="CM23" s="5">
        <v>11698000</v>
      </c>
      <c r="CN23" s="230">
        <v>3</v>
      </c>
      <c r="CO23" s="231">
        <v>14297000</v>
      </c>
      <c r="CP23" s="4">
        <v>3</v>
      </c>
      <c r="CQ23" s="5">
        <v>7197000</v>
      </c>
      <c r="CR23" s="4">
        <v>6</v>
      </c>
      <c r="CS23" s="5">
        <v>25794000</v>
      </c>
      <c r="CT23" s="230">
        <v>9</v>
      </c>
      <c r="CU23" s="231">
        <v>32991000</v>
      </c>
      <c r="CV23" s="4"/>
      <c r="CW23" s="5"/>
      <c r="CX23" s="4">
        <v>4</v>
      </c>
      <c r="CY23" s="5">
        <v>19596000</v>
      </c>
      <c r="CZ23" s="230">
        <v>4</v>
      </c>
      <c r="DA23" s="231">
        <v>19596000</v>
      </c>
      <c r="DB23" s="4">
        <v>1</v>
      </c>
      <c r="DC23" s="5">
        <v>2299000</v>
      </c>
      <c r="DD23" s="4">
        <v>5</v>
      </c>
      <c r="DE23" s="5">
        <v>28695000</v>
      </c>
      <c r="DF23" s="230">
        <v>6</v>
      </c>
      <c r="DG23" s="231">
        <v>30994000</v>
      </c>
      <c r="DH23" s="4">
        <v>1</v>
      </c>
      <c r="DI23" s="5">
        <v>2599000</v>
      </c>
      <c r="DJ23" s="4">
        <v>5</v>
      </c>
      <c r="DK23" s="5">
        <v>20295000</v>
      </c>
      <c r="DL23" s="230">
        <v>6</v>
      </c>
      <c r="DM23" s="231">
        <v>22894000</v>
      </c>
      <c r="DN23" s="4">
        <v>4</v>
      </c>
      <c r="DO23" s="5">
        <v>9496000</v>
      </c>
      <c r="DP23" s="4">
        <v>5</v>
      </c>
      <c r="DQ23" s="5">
        <v>26695000</v>
      </c>
      <c r="DR23" s="230">
        <v>9</v>
      </c>
      <c r="DS23" s="231">
        <v>36191000</v>
      </c>
      <c r="DT23" s="4">
        <v>1</v>
      </c>
      <c r="DU23" s="5">
        <v>2599000</v>
      </c>
      <c r="DV23" s="4">
        <v>2</v>
      </c>
      <c r="DW23" s="5">
        <v>10998000</v>
      </c>
      <c r="DX23" s="230">
        <v>3</v>
      </c>
      <c r="DY23" s="231">
        <v>13597000</v>
      </c>
      <c r="DZ23" s="4">
        <v>1</v>
      </c>
      <c r="EA23" s="5">
        <v>2599000</v>
      </c>
      <c r="EB23" s="4">
        <v>1</v>
      </c>
      <c r="EC23" s="5">
        <v>4299000</v>
      </c>
      <c r="ED23" s="230">
        <v>2</v>
      </c>
      <c r="EE23" s="231">
        <v>6898000</v>
      </c>
      <c r="EF23" s="4"/>
      <c r="EG23" s="5"/>
      <c r="EH23" s="4">
        <v>1</v>
      </c>
      <c r="EI23" s="5">
        <v>5899000</v>
      </c>
      <c r="EJ23" s="230">
        <v>1</v>
      </c>
      <c r="EK23" s="231">
        <v>5899000</v>
      </c>
      <c r="EL23" s="4"/>
      <c r="EM23" s="5"/>
      <c r="EN23" s="4">
        <v>3</v>
      </c>
      <c r="EO23" s="5">
        <v>16797000</v>
      </c>
      <c r="EP23" s="230">
        <v>3</v>
      </c>
      <c r="EQ23" s="231">
        <v>16797000</v>
      </c>
      <c r="ER23" s="4"/>
      <c r="ES23" s="5"/>
      <c r="ET23" s="4">
        <v>2</v>
      </c>
      <c r="EU23" s="5">
        <v>10298000</v>
      </c>
      <c r="EV23" s="230">
        <v>2</v>
      </c>
      <c r="EW23" s="231">
        <v>10298000</v>
      </c>
      <c r="EX23" s="4">
        <v>1</v>
      </c>
      <c r="EY23" s="5">
        <v>2599000</v>
      </c>
      <c r="EZ23" s="4">
        <v>3</v>
      </c>
      <c r="FA23" s="5">
        <v>23997000</v>
      </c>
      <c r="FB23" s="230">
        <v>4</v>
      </c>
      <c r="FC23" s="231">
        <v>26596000</v>
      </c>
      <c r="FD23" s="4">
        <v>1</v>
      </c>
      <c r="FE23" s="5">
        <v>2599000</v>
      </c>
      <c r="FF23" s="4">
        <v>3</v>
      </c>
      <c r="FG23" s="5">
        <v>16397000</v>
      </c>
      <c r="FH23" s="230">
        <v>4</v>
      </c>
      <c r="FI23" s="231">
        <v>18996000</v>
      </c>
      <c r="FJ23" s="4">
        <v>1</v>
      </c>
      <c r="FK23" s="5">
        <v>2599000</v>
      </c>
      <c r="FL23" s="4">
        <v>1</v>
      </c>
      <c r="FM23" s="5">
        <v>4799000</v>
      </c>
      <c r="FN23" s="230">
        <v>2</v>
      </c>
      <c r="FO23" s="231">
        <v>7398000</v>
      </c>
      <c r="FP23" s="4">
        <v>126</v>
      </c>
      <c r="FQ23" s="6">
        <v>539174000</v>
      </c>
    </row>
    <row r="24" spans="1:173" x14ac:dyDescent="0.2">
      <c r="A24" s="1"/>
      <c r="B24" s="2">
        <v>6190707</v>
      </c>
      <c r="C24" s="3" t="s">
        <v>316</v>
      </c>
      <c r="D24" s="4">
        <v>1</v>
      </c>
      <c r="E24" s="5">
        <v>2399000</v>
      </c>
      <c r="F24" s="4">
        <v>2</v>
      </c>
      <c r="G24" s="5">
        <v>9898000</v>
      </c>
      <c r="H24" s="230">
        <v>3</v>
      </c>
      <c r="I24" s="231">
        <v>12297000</v>
      </c>
      <c r="J24" s="4">
        <v>4</v>
      </c>
      <c r="K24" s="5">
        <v>11196000</v>
      </c>
      <c r="L24" s="4"/>
      <c r="M24" s="5"/>
      <c r="N24" s="230">
        <v>4</v>
      </c>
      <c r="O24" s="231">
        <v>11196000</v>
      </c>
      <c r="P24" s="4">
        <v>2</v>
      </c>
      <c r="Q24" s="5">
        <v>5398000</v>
      </c>
      <c r="R24" s="4">
        <v>3</v>
      </c>
      <c r="S24" s="5">
        <v>15397000</v>
      </c>
      <c r="T24" s="230">
        <v>5</v>
      </c>
      <c r="U24" s="231">
        <v>20795000</v>
      </c>
      <c r="V24" s="4">
        <v>1</v>
      </c>
      <c r="W24" s="5">
        <v>2599000</v>
      </c>
      <c r="X24" s="4">
        <v>1</v>
      </c>
      <c r="Y24" s="5">
        <v>6899000</v>
      </c>
      <c r="Z24" s="230">
        <v>2</v>
      </c>
      <c r="AA24" s="231">
        <v>9498000</v>
      </c>
      <c r="AB24" s="4">
        <v>2</v>
      </c>
      <c r="AC24" s="5">
        <v>4398000</v>
      </c>
      <c r="AD24" s="4">
        <v>6</v>
      </c>
      <c r="AE24" s="5">
        <v>37594000</v>
      </c>
      <c r="AF24" s="230">
        <v>8</v>
      </c>
      <c r="AG24" s="231">
        <v>41992000</v>
      </c>
      <c r="AH24" s="4">
        <v>4</v>
      </c>
      <c r="AI24" s="5">
        <v>9396000</v>
      </c>
      <c r="AJ24" s="4">
        <v>5</v>
      </c>
      <c r="AK24" s="5">
        <v>27795000</v>
      </c>
      <c r="AL24" s="230">
        <v>9</v>
      </c>
      <c r="AM24" s="231">
        <v>37191000</v>
      </c>
      <c r="AN24" s="4">
        <v>4</v>
      </c>
      <c r="AO24" s="5">
        <v>9696000</v>
      </c>
      <c r="AP24" s="4">
        <v>3</v>
      </c>
      <c r="AQ24" s="5">
        <v>13397000</v>
      </c>
      <c r="AR24" s="230">
        <v>7</v>
      </c>
      <c r="AS24" s="231">
        <v>23093000</v>
      </c>
      <c r="AT24" s="4">
        <v>1</v>
      </c>
      <c r="AU24" s="5">
        <v>2799000</v>
      </c>
      <c r="AV24" s="4">
        <v>2</v>
      </c>
      <c r="AW24" s="5">
        <v>7498000</v>
      </c>
      <c r="AX24" s="230">
        <v>3</v>
      </c>
      <c r="AY24" s="231">
        <v>10297000</v>
      </c>
      <c r="AZ24" s="4">
        <v>1</v>
      </c>
      <c r="BA24" s="5">
        <v>2799000</v>
      </c>
      <c r="BB24" s="4">
        <v>2</v>
      </c>
      <c r="BC24" s="5">
        <v>7898000</v>
      </c>
      <c r="BD24" s="230">
        <v>3</v>
      </c>
      <c r="BE24" s="231">
        <v>10697000</v>
      </c>
      <c r="BF24" s="4">
        <v>5</v>
      </c>
      <c r="BG24" s="5">
        <v>11195000</v>
      </c>
      <c r="BH24" s="4">
        <v>1</v>
      </c>
      <c r="BI24" s="5">
        <v>3899000</v>
      </c>
      <c r="BJ24" s="230">
        <v>6</v>
      </c>
      <c r="BK24" s="231">
        <v>15094000</v>
      </c>
      <c r="BL24" s="4">
        <v>8</v>
      </c>
      <c r="BM24" s="5">
        <v>18092000</v>
      </c>
      <c r="BN24" s="4">
        <v>4</v>
      </c>
      <c r="BO24" s="5">
        <v>24096000</v>
      </c>
      <c r="BP24" s="230">
        <v>12</v>
      </c>
      <c r="BQ24" s="231">
        <v>42188000</v>
      </c>
      <c r="BR24" s="4">
        <v>6</v>
      </c>
      <c r="BS24" s="5">
        <v>13594000</v>
      </c>
      <c r="BT24" s="4">
        <v>3</v>
      </c>
      <c r="BU24" s="5">
        <v>13397000</v>
      </c>
      <c r="BV24" s="230">
        <v>9</v>
      </c>
      <c r="BW24" s="231">
        <v>26991000</v>
      </c>
      <c r="BX24" s="4">
        <v>3</v>
      </c>
      <c r="BY24" s="5">
        <v>7197000</v>
      </c>
      <c r="BZ24" s="4">
        <v>3</v>
      </c>
      <c r="CA24" s="5">
        <v>15597000</v>
      </c>
      <c r="CB24" s="230">
        <v>6</v>
      </c>
      <c r="CC24" s="231">
        <v>22794000</v>
      </c>
      <c r="CD24" s="4">
        <v>2</v>
      </c>
      <c r="CE24" s="5">
        <v>4898000</v>
      </c>
      <c r="CF24" s="4"/>
      <c r="CG24" s="5"/>
      <c r="CH24" s="230">
        <v>2</v>
      </c>
      <c r="CI24" s="231">
        <v>4898000</v>
      </c>
      <c r="CJ24" s="4">
        <v>2</v>
      </c>
      <c r="CK24" s="5">
        <v>4898000</v>
      </c>
      <c r="CL24" s="4">
        <v>1</v>
      </c>
      <c r="CM24" s="5">
        <v>3299000</v>
      </c>
      <c r="CN24" s="230">
        <v>3</v>
      </c>
      <c r="CO24" s="231">
        <v>8197000</v>
      </c>
      <c r="CP24" s="4"/>
      <c r="CQ24" s="5"/>
      <c r="CR24" s="4">
        <v>2</v>
      </c>
      <c r="CS24" s="5">
        <v>6598000</v>
      </c>
      <c r="CT24" s="230">
        <v>2</v>
      </c>
      <c r="CU24" s="231">
        <v>6598000</v>
      </c>
      <c r="CV24" s="4">
        <v>1</v>
      </c>
      <c r="CW24" s="5">
        <v>2599000</v>
      </c>
      <c r="CX24" s="4">
        <v>2</v>
      </c>
      <c r="CY24" s="5">
        <v>9798000</v>
      </c>
      <c r="CZ24" s="230">
        <v>3</v>
      </c>
      <c r="DA24" s="231">
        <v>12397000</v>
      </c>
      <c r="DB24" s="4">
        <v>2</v>
      </c>
      <c r="DC24" s="5">
        <v>5398000</v>
      </c>
      <c r="DD24" s="4">
        <v>2</v>
      </c>
      <c r="DE24" s="5">
        <v>9198000</v>
      </c>
      <c r="DF24" s="230">
        <v>4</v>
      </c>
      <c r="DG24" s="231">
        <v>14596000</v>
      </c>
      <c r="DH24" s="4"/>
      <c r="DI24" s="5"/>
      <c r="DJ24" s="4">
        <v>2</v>
      </c>
      <c r="DK24" s="5">
        <v>8098000</v>
      </c>
      <c r="DL24" s="230">
        <v>2</v>
      </c>
      <c r="DM24" s="231">
        <v>8098000</v>
      </c>
      <c r="DN24" s="4">
        <v>3</v>
      </c>
      <c r="DO24" s="5">
        <v>7197000</v>
      </c>
      <c r="DP24" s="4">
        <v>3</v>
      </c>
      <c r="DQ24" s="5">
        <v>15797000</v>
      </c>
      <c r="DR24" s="230">
        <v>6</v>
      </c>
      <c r="DS24" s="231">
        <v>22994000</v>
      </c>
      <c r="DT24" s="4">
        <v>2</v>
      </c>
      <c r="DU24" s="5">
        <v>4898000</v>
      </c>
      <c r="DV24" s="4">
        <v>2</v>
      </c>
      <c r="DW24" s="5">
        <v>13198000</v>
      </c>
      <c r="DX24" s="230">
        <v>4</v>
      </c>
      <c r="DY24" s="231">
        <v>18096000</v>
      </c>
      <c r="DZ24" s="4">
        <v>1</v>
      </c>
      <c r="EA24" s="5">
        <v>2299000</v>
      </c>
      <c r="EB24" s="4">
        <v>1</v>
      </c>
      <c r="EC24" s="5">
        <v>3599000</v>
      </c>
      <c r="ED24" s="230">
        <v>2</v>
      </c>
      <c r="EE24" s="231">
        <v>5898000</v>
      </c>
      <c r="EF24" s="4">
        <v>1</v>
      </c>
      <c r="EG24" s="5">
        <v>2599000</v>
      </c>
      <c r="EH24" s="4">
        <v>1</v>
      </c>
      <c r="EI24" s="5">
        <v>5899000</v>
      </c>
      <c r="EJ24" s="230">
        <v>2</v>
      </c>
      <c r="EK24" s="231">
        <v>8498000</v>
      </c>
      <c r="EL24" s="4">
        <v>2</v>
      </c>
      <c r="EM24" s="5">
        <v>5198000</v>
      </c>
      <c r="EN24" s="4"/>
      <c r="EO24" s="5"/>
      <c r="EP24" s="230">
        <v>2</v>
      </c>
      <c r="EQ24" s="231">
        <v>5198000</v>
      </c>
      <c r="ER24" s="4">
        <v>5</v>
      </c>
      <c r="ES24" s="5">
        <v>12695000</v>
      </c>
      <c r="ET24" s="4">
        <v>2</v>
      </c>
      <c r="EU24" s="5">
        <v>12498000</v>
      </c>
      <c r="EV24" s="230">
        <v>7</v>
      </c>
      <c r="EW24" s="231">
        <v>25193000</v>
      </c>
      <c r="EX24" s="4">
        <v>3</v>
      </c>
      <c r="EY24" s="5">
        <v>6897000</v>
      </c>
      <c r="EZ24" s="4">
        <v>3</v>
      </c>
      <c r="FA24" s="5">
        <v>13997000</v>
      </c>
      <c r="FB24" s="230">
        <v>6</v>
      </c>
      <c r="FC24" s="231">
        <v>20894000</v>
      </c>
      <c r="FD24" s="4">
        <v>4</v>
      </c>
      <c r="FE24" s="5">
        <v>9796000</v>
      </c>
      <c r="FF24" s="4">
        <v>3</v>
      </c>
      <c r="FG24" s="5">
        <v>13497000</v>
      </c>
      <c r="FH24" s="230">
        <v>7</v>
      </c>
      <c r="FI24" s="231">
        <v>23293000</v>
      </c>
      <c r="FJ24" s="4">
        <v>1</v>
      </c>
      <c r="FK24" s="5">
        <v>2299000</v>
      </c>
      <c r="FL24" s="4"/>
      <c r="FM24" s="5"/>
      <c r="FN24" s="230">
        <v>1</v>
      </c>
      <c r="FO24" s="231">
        <v>2299000</v>
      </c>
      <c r="FP24" s="4">
        <v>130</v>
      </c>
      <c r="FQ24" s="6">
        <v>471270000</v>
      </c>
    </row>
    <row r="25" spans="1:173" x14ac:dyDescent="0.2">
      <c r="A25" s="1"/>
      <c r="B25" s="2">
        <v>6190708</v>
      </c>
      <c r="C25" s="3" t="s">
        <v>241</v>
      </c>
      <c r="D25" s="4">
        <v>1</v>
      </c>
      <c r="E25" s="5">
        <v>2299000</v>
      </c>
      <c r="F25" s="4">
        <v>1</v>
      </c>
      <c r="G25" s="5">
        <v>5899000</v>
      </c>
      <c r="H25" s="230">
        <v>2</v>
      </c>
      <c r="I25" s="231">
        <v>8198000</v>
      </c>
      <c r="J25" s="4"/>
      <c r="K25" s="5"/>
      <c r="L25" s="4">
        <v>1</v>
      </c>
      <c r="M25" s="5">
        <v>4299000</v>
      </c>
      <c r="N25" s="230">
        <v>1</v>
      </c>
      <c r="O25" s="231">
        <v>4299000</v>
      </c>
      <c r="P25" s="4"/>
      <c r="Q25" s="5"/>
      <c r="R25" s="4"/>
      <c r="S25" s="5"/>
      <c r="T25" s="230"/>
      <c r="U25" s="231"/>
      <c r="V25" s="4">
        <v>1</v>
      </c>
      <c r="W25" s="5">
        <v>2799000</v>
      </c>
      <c r="X25" s="4"/>
      <c r="Y25" s="5"/>
      <c r="Z25" s="230">
        <v>1</v>
      </c>
      <c r="AA25" s="231">
        <v>2799000</v>
      </c>
      <c r="AB25" s="4"/>
      <c r="AC25" s="5"/>
      <c r="AD25" s="4">
        <v>2</v>
      </c>
      <c r="AE25" s="5">
        <v>13598000</v>
      </c>
      <c r="AF25" s="230">
        <v>2</v>
      </c>
      <c r="AG25" s="231">
        <v>13598000</v>
      </c>
      <c r="AH25" s="4"/>
      <c r="AI25" s="5"/>
      <c r="AJ25" s="4">
        <v>1</v>
      </c>
      <c r="AK25" s="5">
        <v>4299000</v>
      </c>
      <c r="AL25" s="230">
        <v>1</v>
      </c>
      <c r="AM25" s="231">
        <v>4299000</v>
      </c>
      <c r="AN25" s="4"/>
      <c r="AO25" s="5"/>
      <c r="AP25" s="4">
        <v>1</v>
      </c>
      <c r="AQ25" s="5">
        <v>3599000</v>
      </c>
      <c r="AR25" s="230">
        <v>1</v>
      </c>
      <c r="AS25" s="231">
        <v>3599000</v>
      </c>
      <c r="AT25" s="4">
        <v>1</v>
      </c>
      <c r="AU25" s="5">
        <v>2799000</v>
      </c>
      <c r="AV25" s="4">
        <v>3</v>
      </c>
      <c r="AW25" s="5">
        <v>12897000</v>
      </c>
      <c r="AX25" s="230">
        <v>4</v>
      </c>
      <c r="AY25" s="231">
        <v>15696000</v>
      </c>
      <c r="AZ25" s="4"/>
      <c r="BA25" s="5"/>
      <c r="BB25" s="4">
        <v>1</v>
      </c>
      <c r="BC25" s="5">
        <v>4299000</v>
      </c>
      <c r="BD25" s="230">
        <v>1</v>
      </c>
      <c r="BE25" s="231">
        <v>4299000</v>
      </c>
      <c r="BF25" s="4"/>
      <c r="BG25" s="5"/>
      <c r="BH25" s="4"/>
      <c r="BI25" s="5"/>
      <c r="BJ25" s="230"/>
      <c r="BK25" s="231"/>
      <c r="BL25" s="4"/>
      <c r="BM25" s="5"/>
      <c r="BN25" s="4"/>
      <c r="BO25" s="5"/>
      <c r="BP25" s="230"/>
      <c r="BQ25" s="231"/>
      <c r="BR25" s="4">
        <v>1</v>
      </c>
      <c r="BS25" s="5">
        <v>2599000</v>
      </c>
      <c r="BT25" s="4"/>
      <c r="BU25" s="5"/>
      <c r="BV25" s="230">
        <v>1</v>
      </c>
      <c r="BW25" s="231">
        <v>2599000</v>
      </c>
      <c r="BX25" s="4"/>
      <c r="BY25" s="5"/>
      <c r="BZ25" s="4">
        <v>2</v>
      </c>
      <c r="CA25" s="5">
        <v>11198000</v>
      </c>
      <c r="CB25" s="230">
        <v>2</v>
      </c>
      <c r="CC25" s="231">
        <v>11198000</v>
      </c>
      <c r="CD25" s="4"/>
      <c r="CE25" s="5"/>
      <c r="CF25" s="4">
        <v>1</v>
      </c>
      <c r="CG25" s="5">
        <v>3599000</v>
      </c>
      <c r="CH25" s="230">
        <v>1</v>
      </c>
      <c r="CI25" s="231">
        <v>3599000</v>
      </c>
      <c r="CJ25" s="4"/>
      <c r="CK25" s="5"/>
      <c r="CL25" s="4"/>
      <c r="CM25" s="5"/>
      <c r="CN25" s="230"/>
      <c r="CO25" s="231"/>
      <c r="CP25" s="4"/>
      <c r="CQ25" s="5"/>
      <c r="CR25" s="4">
        <v>1</v>
      </c>
      <c r="CS25" s="5">
        <v>4299000</v>
      </c>
      <c r="CT25" s="230">
        <v>1</v>
      </c>
      <c r="CU25" s="231">
        <v>4299000</v>
      </c>
      <c r="CV25" s="4"/>
      <c r="CW25" s="5"/>
      <c r="CX25" s="4"/>
      <c r="CY25" s="5"/>
      <c r="CZ25" s="230"/>
      <c r="DA25" s="231"/>
      <c r="DB25" s="4"/>
      <c r="DC25" s="5"/>
      <c r="DD25" s="4"/>
      <c r="DE25" s="5"/>
      <c r="DF25" s="230"/>
      <c r="DG25" s="231"/>
      <c r="DH25" s="4"/>
      <c r="DI25" s="5"/>
      <c r="DJ25" s="4"/>
      <c r="DK25" s="5"/>
      <c r="DL25" s="230"/>
      <c r="DM25" s="231"/>
      <c r="DN25" s="4">
        <v>1</v>
      </c>
      <c r="DO25" s="5">
        <v>2599000</v>
      </c>
      <c r="DP25" s="4">
        <v>1</v>
      </c>
      <c r="DQ25" s="5">
        <v>9999000</v>
      </c>
      <c r="DR25" s="230">
        <v>2</v>
      </c>
      <c r="DS25" s="231">
        <v>12598000</v>
      </c>
      <c r="DT25" s="4"/>
      <c r="DU25" s="5"/>
      <c r="DV25" s="4"/>
      <c r="DW25" s="5"/>
      <c r="DX25" s="230"/>
      <c r="DY25" s="231"/>
      <c r="DZ25" s="4">
        <v>1</v>
      </c>
      <c r="EA25" s="5">
        <v>2299000</v>
      </c>
      <c r="EB25" s="4"/>
      <c r="EC25" s="5"/>
      <c r="ED25" s="230">
        <v>1</v>
      </c>
      <c r="EE25" s="231">
        <v>2299000</v>
      </c>
      <c r="EF25" s="4"/>
      <c r="EG25" s="5"/>
      <c r="EH25" s="4"/>
      <c r="EI25" s="5"/>
      <c r="EJ25" s="230"/>
      <c r="EK25" s="231"/>
      <c r="EL25" s="4"/>
      <c r="EM25" s="5"/>
      <c r="EN25" s="4"/>
      <c r="EO25" s="5"/>
      <c r="EP25" s="230"/>
      <c r="EQ25" s="231"/>
      <c r="ER25" s="4"/>
      <c r="ES25" s="5"/>
      <c r="ET25" s="4"/>
      <c r="EU25" s="5"/>
      <c r="EV25" s="230"/>
      <c r="EW25" s="231"/>
      <c r="EX25" s="4">
        <v>1</v>
      </c>
      <c r="EY25" s="5">
        <v>2299000</v>
      </c>
      <c r="EZ25" s="4"/>
      <c r="FA25" s="5"/>
      <c r="FB25" s="230">
        <v>1</v>
      </c>
      <c r="FC25" s="231">
        <v>2299000</v>
      </c>
      <c r="FD25" s="4"/>
      <c r="FE25" s="5"/>
      <c r="FF25" s="4"/>
      <c r="FG25" s="5"/>
      <c r="FH25" s="230"/>
      <c r="FI25" s="231"/>
      <c r="FJ25" s="4"/>
      <c r="FK25" s="5"/>
      <c r="FL25" s="4"/>
      <c r="FM25" s="5"/>
      <c r="FN25" s="230"/>
      <c r="FO25" s="231"/>
      <c r="FP25" s="4">
        <v>22</v>
      </c>
      <c r="FQ25" s="6">
        <v>95678000</v>
      </c>
    </row>
    <row r="26" spans="1:173" x14ac:dyDescent="0.2">
      <c r="A26" s="232"/>
      <c r="B26" s="2">
        <v>6190705</v>
      </c>
      <c r="C26" s="3" t="s">
        <v>317</v>
      </c>
      <c r="D26" s="4"/>
      <c r="E26" s="5"/>
      <c r="F26" s="4"/>
      <c r="G26" s="5"/>
      <c r="H26" s="230"/>
      <c r="I26" s="231"/>
      <c r="J26" s="4">
        <v>2</v>
      </c>
      <c r="K26" s="5">
        <v>4598000</v>
      </c>
      <c r="L26" s="4">
        <v>1</v>
      </c>
      <c r="M26" s="5">
        <v>7999000</v>
      </c>
      <c r="N26" s="230">
        <v>3</v>
      </c>
      <c r="O26" s="231">
        <v>12597000</v>
      </c>
      <c r="P26" s="4">
        <v>2</v>
      </c>
      <c r="Q26" s="5">
        <v>4798000</v>
      </c>
      <c r="R26" s="4">
        <v>1</v>
      </c>
      <c r="S26" s="5">
        <v>3599000</v>
      </c>
      <c r="T26" s="230">
        <v>3</v>
      </c>
      <c r="U26" s="231">
        <v>8397000</v>
      </c>
      <c r="V26" s="4"/>
      <c r="W26" s="5"/>
      <c r="X26" s="4"/>
      <c r="Y26" s="5"/>
      <c r="Z26" s="230"/>
      <c r="AA26" s="231"/>
      <c r="AB26" s="4">
        <v>1</v>
      </c>
      <c r="AC26" s="5">
        <v>2099000</v>
      </c>
      <c r="AD26" s="4"/>
      <c r="AE26" s="5"/>
      <c r="AF26" s="230">
        <v>1</v>
      </c>
      <c r="AG26" s="231">
        <v>2099000</v>
      </c>
      <c r="AH26" s="4"/>
      <c r="AI26" s="5"/>
      <c r="AJ26" s="4">
        <v>2</v>
      </c>
      <c r="AK26" s="5">
        <v>12398000</v>
      </c>
      <c r="AL26" s="230">
        <v>2</v>
      </c>
      <c r="AM26" s="231">
        <v>12398000</v>
      </c>
      <c r="AN26" s="4">
        <v>1</v>
      </c>
      <c r="AO26" s="5">
        <v>2299000</v>
      </c>
      <c r="AP26" s="4"/>
      <c r="AQ26" s="5"/>
      <c r="AR26" s="230">
        <v>1</v>
      </c>
      <c r="AS26" s="231">
        <v>2299000</v>
      </c>
      <c r="AT26" s="4">
        <v>1</v>
      </c>
      <c r="AU26" s="5">
        <v>2799000</v>
      </c>
      <c r="AV26" s="4">
        <v>1</v>
      </c>
      <c r="AW26" s="5">
        <v>4899000</v>
      </c>
      <c r="AX26" s="230">
        <v>2</v>
      </c>
      <c r="AY26" s="231">
        <v>7698000</v>
      </c>
      <c r="AZ26" s="4">
        <v>1</v>
      </c>
      <c r="BA26" s="5">
        <v>2799000</v>
      </c>
      <c r="BB26" s="4"/>
      <c r="BC26" s="5"/>
      <c r="BD26" s="230">
        <v>1</v>
      </c>
      <c r="BE26" s="231">
        <v>2799000</v>
      </c>
      <c r="BF26" s="4"/>
      <c r="BG26" s="5"/>
      <c r="BH26" s="4"/>
      <c r="BI26" s="5"/>
      <c r="BJ26" s="230"/>
      <c r="BK26" s="231"/>
      <c r="BL26" s="4">
        <v>2</v>
      </c>
      <c r="BM26" s="5">
        <v>4398000</v>
      </c>
      <c r="BN26" s="4"/>
      <c r="BO26" s="5"/>
      <c r="BP26" s="230">
        <v>2</v>
      </c>
      <c r="BQ26" s="231">
        <v>4398000</v>
      </c>
      <c r="BR26" s="4"/>
      <c r="BS26" s="5"/>
      <c r="BT26" s="4">
        <v>1</v>
      </c>
      <c r="BU26" s="5">
        <v>6899000</v>
      </c>
      <c r="BV26" s="230">
        <v>1</v>
      </c>
      <c r="BW26" s="231">
        <v>6899000</v>
      </c>
      <c r="BX26" s="4">
        <v>1</v>
      </c>
      <c r="BY26" s="5">
        <v>2299000</v>
      </c>
      <c r="BZ26" s="4">
        <v>1</v>
      </c>
      <c r="CA26" s="5">
        <v>4799000</v>
      </c>
      <c r="CB26" s="230">
        <v>2</v>
      </c>
      <c r="CC26" s="231">
        <v>7098000</v>
      </c>
      <c r="CD26" s="4"/>
      <c r="CE26" s="5"/>
      <c r="CF26" s="4"/>
      <c r="CG26" s="5"/>
      <c r="CH26" s="230"/>
      <c r="CI26" s="231"/>
      <c r="CJ26" s="4">
        <v>1</v>
      </c>
      <c r="CK26" s="5">
        <v>2299000</v>
      </c>
      <c r="CL26" s="4">
        <v>2</v>
      </c>
      <c r="CM26" s="5">
        <v>14298000</v>
      </c>
      <c r="CN26" s="230">
        <v>3</v>
      </c>
      <c r="CO26" s="231">
        <v>16597000</v>
      </c>
      <c r="CP26" s="4">
        <v>1</v>
      </c>
      <c r="CQ26" s="5">
        <v>2599000</v>
      </c>
      <c r="CR26" s="4"/>
      <c r="CS26" s="5"/>
      <c r="CT26" s="230">
        <v>1</v>
      </c>
      <c r="CU26" s="231">
        <v>2599000</v>
      </c>
      <c r="CV26" s="4"/>
      <c r="CW26" s="5"/>
      <c r="CX26" s="4">
        <v>1</v>
      </c>
      <c r="CY26" s="5">
        <v>3599000</v>
      </c>
      <c r="CZ26" s="230">
        <v>1</v>
      </c>
      <c r="DA26" s="231">
        <v>3599000</v>
      </c>
      <c r="DB26" s="4">
        <v>1</v>
      </c>
      <c r="DC26" s="5">
        <v>2299000</v>
      </c>
      <c r="DD26" s="4">
        <v>3</v>
      </c>
      <c r="DE26" s="5">
        <v>17197000</v>
      </c>
      <c r="DF26" s="230">
        <v>4</v>
      </c>
      <c r="DG26" s="231">
        <v>19496000</v>
      </c>
      <c r="DH26" s="4"/>
      <c r="DI26" s="5"/>
      <c r="DJ26" s="4"/>
      <c r="DK26" s="5"/>
      <c r="DL26" s="230"/>
      <c r="DM26" s="231"/>
      <c r="DN26" s="4"/>
      <c r="DO26" s="5"/>
      <c r="DP26" s="4">
        <v>3</v>
      </c>
      <c r="DQ26" s="5">
        <v>17297000</v>
      </c>
      <c r="DR26" s="230">
        <v>3</v>
      </c>
      <c r="DS26" s="231">
        <v>17297000</v>
      </c>
      <c r="DT26" s="4"/>
      <c r="DU26" s="5"/>
      <c r="DV26" s="4">
        <v>1</v>
      </c>
      <c r="DW26" s="5">
        <v>6999000</v>
      </c>
      <c r="DX26" s="230">
        <v>1</v>
      </c>
      <c r="DY26" s="231">
        <v>6999000</v>
      </c>
      <c r="DZ26" s="4"/>
      <c r="EA26" s="5"/>
      <c r="EB26" s="4">
        <v>1</v>
      </c>
      <c r="EC26" s="5">
        <v>9999000</v>
      </c>
      <c r="ED26" s="230">
        <v>1</v>
      </c>
      <c r="EE26" s="231">
        <v>9999000</v>
      </c>
      <c r="EF26" s="4">
        <v>1</v>
      </c>
      <c r="EG26" s="5">
        <v>2299000</v>
      </c>
      <c r="EH26" s="4">
        <v>1</v>
      </c>
      <c r="EI26" s="5">
        <v>3899000</v>
      </c>
      <c r="EJ26" s="230">
        <v>2</v>
      </c>
      <c r="EK26" s="231">
        <v>6198000</v>
      </c>
      <c r="EL26" s="4"/>
      <c r="EM26" s="5"/>
      <c r="EN26" s="4"/>
      <c r="EO26" s="5"/>
      <c r="EP26" s="230"/>
      <c r="EQ26" s="231"/>
      <c r="ER26" s="4">
        <v>1</v>
      </c>
      <c r="ES26" s="5">
        <v>2599000</v>
      </c>
      <c r="ET26" s="4"/>
      <c r="EU26" s="5"/>
      <c r="EV26" s="230">
        <v>1</v>
      </c>
      <c r="EW26" s="231">
        <v>2599000</v>
      </c>
      <c r="EX26" s="4"/>
      <c r="EY26" s="5"/>
      <c r="EZ26" s="4">
        <v>1</v>
      </c>
      <c r="FA26" s="5">
        <v>3299000</v>
      </c>
      <c r="FB26" s="230">
        <v>1</v>
      </c>
      <c r="FC26" s="231">
        <v>3299000</v>
      </c>
      <c r="FD26" s="4">
        <v>3</v>
      </c>
      <c r="FE26" s="5">
        <v>7197000</v>
      </c>
      <c r="FF26" s="4"/>
      <c r="FG26" s="5"/>
      <c r="FH26" s="230">
        <v>3</v>
      </c>
      <c r="FI26" s="231">
        <v>7197000</v>
      </c>
      <c r="FJ26" s="4"/>
      <c r="FK26" s="5"/>
      <c r="FL26" s="4">
        <v>1</v>
      </c>
      <c r="FM26" s="5">
        <v>3899000</v>
      </c>
      <c r="FN26" s="230">
        <v>1</v>
      </c>
      <c r="FO26" s="231">
        <v>3899000</v>
      </c>
      <c r="FP26" s="4">
        <v>40</v>
      </c>
      <c r="FQ26" s="6">
        <v>166460000</v>
      </c>
    </row>
    <row r="27" spans="1:173" x14ac:dyDescent="0.2">
      <c r="A27" s="1" t="s">
        <v>50</v>
      </c>
      <c r="B27" s="2">
        <v>6180706</v>
      </c>
      <c r="C27" s="3" t="s">
        <v>318</v>
      </c>
      <c r="D27" s="4">
        <v>1</v>
      </c>
      <c r="E27" s="5">
        <v>2599000</v>
      </c>
      <c r="F27" s="4"/>
      <c r="G27" s="5"/>
      <c r="H27" s="230">
        <v>1</v>
      </c>
      <c r="I27" s="231">
        <v>2599000</v>
      </c>
      <c r="J27" s="4">
        <v>1</v>
      </c>
      <c r="K27" s="5">
        <v>2299000</v>
      </c>
      <c r="L27" s="4">
        <v>2</v>
      </c>
      <c r="M27" s="5">
        <v>9198000</v>
      </c>
      <c r="N27" s="230">
        <v>3</v>
      </c>
      <c r="O27" s="231">
        <v>11497000</v>
      </c>
      <c r="P27" s="4">
        <v>1</v>
      </c>
      <c r="Q27" s="5">
        <v>2799000</v>
      </c>
      <c r="R27" s="4">
        <v>1</v>
      </c>
      <c r="S27" s="5">
        <v>3599000</v>
      </c>
      <c r="T27" s="230">
        <v>2</v>
      </c>
      <c r="U27" s="231">
        <v>6398000</v>
      </c>
      <c r="V27" s="4">
        <v>3</v>
      </c>
      <c r="W27" s="5">
        <v>7297000</v>
      </c>
      <c r="X27" s="4">
        <v>2</v>
      </c>
      <c r="Y27" s="5">
        <v>9798000</v>
      </c>
      <c r="Z27" s="230">
        <v>5</v>
      </c>
      <c r="AA27" s="231">
        <v>17095000</v>
      </c>
      <c r="AB27" s="4">
        <v>4</v>
      </c>
      <c r="AC27" s="5">
        <v>11196000</v>
      </c>
      <c r="AD27" s="4">
        <v>2</v>
      </c>
      <c r="AE27" s="5">
        <v>11998000</v>
      </c>
      <c r="AF27" s="230">
        <v>6</v>
      </c>
      <c r="AG27" s="231">
        <v>23194000</v>
      </c>
      <c r="AH27" s="4">
        <v>1</v>
      </c>
      <c r="AI27" s="5">
        <v>2299000</v>
      </c>
      <c r="AJ27" s="4">
        <v>1</v>
      </c>
      <c r="AK27" s="5">
        <v>5899000</v>
      </c>
      <c r="AL27" s="230">
        <v>2</v>
      </c>
      <c r="AM27" s="231">
        <v>8198000</v>
      </c>
      <c r="AN27" s="4">
        <v>4</v>
      </c>
      <c r="AO27" s="5">
        <v>9296000</v>
      </c>
      <c r="AP27" s="4"/>
      <c r="AQ27" s="5"/>
      <c r="AR27" s="230">
        <v>4</v>
      </c>
      <c r="AS27" s="231">
        <v>9296000</v>
      </c>
      <c r="AT27" s="4">
        <v>1</v>
      </c>
      <c r="AU27" s="5">
        <v>2599000</v>
      </c>
      <c r="AV27" s="4">
        <v>3</v>
      </c>
      <c r="AW27" s="5">
        <v>18897000</v>
      </c>
      <c r="AX27" s="230">
        <v>4</v>
      </c>
      <c r="AY27" s="231">
        <v>21496000</v>
      </c>
      <c r="AZ27" s="4">
        <v>2</v>
      </c>
      <c r="BA27" s="5">
        <v>4398000</v>
      </c>
      <c r="BB27" s="4">
        <v>1</v>
      </c>
      <c r="BC27" s="5">
        <v>4299000</v>
      </c>
      <c r="BD27" s="230">
        <v>3</v>
      </c>
      <c r="BE27" s="231">
        <v>8697000</v>
      </c>
      <c r="BF27" s="4">
        <v>1</v>
      </c>
      <c r="BG27" s="5">
        <v>2099000</v>
      </c>
      <c r="BH27" s="4">
        <v>2</v>
      </c>
      <c r="BI27" s="5">
        <v>15498000</v>
      </c>
      <c r="BJ27" s="230">
        <v>3</v>
      </c>
      <c r="BK27" s="231">
        <v>17597000</v>
      </c>
      <c r="BL27" s="4">
        <v>2</v>
      </c>
      <c r="BM27" s="5">
        <v>4498000</v>
      </c>
      <c r="BN27" s="4">
        <v>1</v>
      </c>
      <c r="BO27" s="5">
        <v>9999000</v>
      </c>
      <c r="BP27" s="230">
        <v>3</v>
      </c>
      <c r="BQ27" s="231">
        <v>14497000</v>
      </c>
      <c r="BR27" s="4">
        <v>2</v>
      </c>
      <c r="BS27" s="5">
        <v>4898000</v>
      </c>
      <c r="BT27" s="4">
        <v>1</v>
      </c>
      <c r="BU27" s="5">
        <v>5899000</v>
      </c>
      <c r="BV27" s="230">
        <v>3</v>
      </c>
      <c r="BW27" s="231">
        <v>10797000</v>
      </c>
      <c r="BX27" s="4">
        <v>3</v>
      </c>
      <c r="BY27" s="5">
        <v>8397000</v>
      </c>
      <c r="BZ27" s="4">
        <v>3</v>
      </c>
      <c r="CA27" s="5">
        <v>16697000</v>
      </c>
      <c r="CB27" s="230">
        <v>6</v>
      </c>
      <c r="CC27" s="231">
        <v>25094000</v>
      </c>
      <c r="CD27" s="4"/>
      <c r="CE27" s="5"/>
      <c r="CF27" s="4">
        <v>2</v>
      </c>
      <c r="CG27" s="5">
        <v>8598000</v>
      </c>
      <c r="CH27" s="230">
        <v>2</v>
      </c>
      <c r="CI27" s="231">
        <v>8598000</v>
      </c>
      <c r="CJ27" s="4"/>
      <c r="CK27" s="5"/>
      <c r="CL27" s="4">
        <v>1</v>
      </c>
      <c r="CM27" s="5">
        <v>5899000</v>
      </c>
      <c r="CN27" s="230">
        <v>1</v>
      </c>
      <c r="CO27" s="231">
        <v>5899000</v>
      </c>
      <c r="CP27" s="4">
        <v>1</v>
      </c>
      <c r="CQ27" s="5">
        <v>2799000</v>
      </c>
      <c r="CR27" s="4">
        <v>2</v>
      </c>
      <c r="CS27" s="5">
        <v>18398000</v>
      </c>
      <c r="CT27" s="230">
        <v>3</v>
      </c>
      <c r="CU27" s="231">
        <v>21197000</v>
      </c>
      <c r="CV27" s="4"/>
      <c r="CW27" s="5"/>
      <c r="CX27" s="4">
        <v>1</v>
      </c>
      <c r="CY27" s="5">
        <v>3599000</v>
      </c>
      <c r="CZ27" s="230">
        <v>1</v>
      </c>
      <c r="DA27" s="231">
        <v>3599000</v>
      </c>
      <c r="DB27" s="4">
        <v>3</v>
      </c>
      <c r="DC27" s="5">
        <v>6897000</v>
      </c>
      <c r="DD27" s="4">
        <v>5</v>
      </c>
      <c r="DE27" s="5">
        <v>26195000</v>
      </c>
      <c r="DF27" s="230">
        <v>8</v>
      </c>
      <c r="DG27" s="231">
        <v>33092000</v>
      </c>
      <c r="DH27" s="4">
        <v>1</v>
      </c>
      <c r="DI27" s="5">
        <v>2599000</v>
      </c>
      <c r="DJ27" s="4"/>
      <c r="DK27" s="5"/>
      <c r="DL27" s="230">
        <v>1</v>
      </c>
      <c r="DM27" s="231">
        <v>2599000</v>
      </c>
      <c r="DN27" s="4">
        <v>3</v>
      </c>
      <c r="DO27" s="5">
        <v>7497000</v>
      </c>
      <c r="DP27" s="4">
        <v>8</v>
      </c>
      <c r="DQ27" s="5">
        <v>44392000</v>
      </c>
      <c r="DR27" s="230">
        <v>11</v>
      </c>
      <c r="DS27" s="231">
        <v>51889000</v>
      </c>
      <c r="DT27" s="4"/>
      <c r="DU27" s="5"/>
      <c r="DV27" s="4">
        <v>2</v>
      </c>
      <c r="DW27" s="5">
        <v>7198000</v>
      </c>
      <c r="DX27" s="230">
        <v>2</v>
      </c>
      <c r="DY27" s="231">
        <v>7198000</v>
      </c>
      <c r="DZ27" s="4">
        <v>2</v>
      </c>
      <c r="EA27" s="5">
        <v>4598000</v>
      </c>
      <c r="EB27" s="4"/>
      <c r="EC27" s="5"/>
      <c r="ED27" s="230">
        <v>2</v>
      </c>
      <c r="EE27" s="231">
        <v>4598000</v>
      </c>
      <c r="EF27" s="4"/>
      <c r="EG27" s="5"/>
      <c r="EH27" s="4">
        <v>2</v>
      </c>
      <c r="EI27" s="5">
        <v>8098000</v>
      </c>
      <c r="EJ27" s="230">
        <v>2</v>
      </c>
      <c r="EK27" s="231">
        <v>8098000</v>
      </c>
      <c r="EL27" s="4"/>
      <c r="EM27" s="5"/>
      <c r="EN27" s="4">
        <v>2</v>
      </c>
      <c r="EO27" s="5">
        <v>10998000</v>
      </c>
      <c r="EP27" s="230">
        <v>2</v>
      </c>
      <c r="EQ27" s="231">
        <v>10998000</v>
      </c>
      <c r="ER27" s="4"/>
      <c r="ES27" s="5"/>
      <c r="ET27" s="4"/>
      <c r="EU27" s="5"/>
      <c r="EV27" s="230"/>
      <c r="EW27" s="231"/>
      <c r="EX27" s="4"/>
      <c r="EY27" s="5"/>
      <c r="EZ27" s="4">
        <v>2</v>
      </c>
      <c r="FA27" s="5">
        <v>13498000</v>
      </c>
      <c r="FB27" s="230">
        <v>2</v>
      </c>
      <c r="FC27" s="231">
        <v>13498000</v>
      </c>
      <c r="FD27" s="4"/>
      <c r="FE27" s="5"/>
      <c r="FF27" s="4">
        <v>2</v>
      </c>
      <c r="FG27" s="5">
        <v>14798000</v>
      </c>
      <c r="FH27" s="230">
        <v>2</v>
      </c>
      <c r="FI27" s="231">
        <v>14798000</v>
      </c>
      <c r="FJ27" s="4"/>
      <c r="FK27" s="5"/>
      <c r="FL27" s="4"/>
      <c r="FM27" s="5"/>
      <c r="FN27" s="230"/>
      <c r="FO27" s="231"/>
      <c r="FP27" s="4">
        <v>84</v>
      </c>
      <c r="FQ27" s="6">
        <v>362516000</v>
      </c>
    </row>
    <row r="28" spans="1:173" x14ac:dyDescent="0.2">
      <c r="A28" s="232"/>
      <c r="B28" s="2">
        <v>6180707</v>
      </c>
      <c r="C28" s="3" t="s">
        <v>319</v>
      </c>
      <c r="D28" s="4"/>
      <c r="E28" s="5"/>
      <c r="F28" s="4">
        <v>1</v>
      </c>
      <c r="G28" s="5">
        <v>4299000</v>
      </c>
      <c r="H28" s="230">
        <v>1</v>
      </c>
      <c r="I28" s="231">
        <v>4299000</v>
      </c>
      <c r="J28" s="4"/>
      <c r="K28" s="5"/>
      <c r="L28" s="4"/>
      <c r="M28" s="5"/>
      <c r="N28" s="230"/>
      <c r="O28" s="231"/>
      <c r="P28" s="4"/>
      <c r="Q28" s="5"/>
      <c r="R28" s="4"/>
      <c r="S28" s="5"/>
      <c r="T28" s="230"/>
      <c r="U28" s="231"/>
      <c r="V28" s="4">
        <v>1</v>
      </c>
      <c r="W28" s="5">
        <v>2799000</v>
      </c>
      <c r="X28" s="4"/>
      <c r="Y28" s="5"/>
      <c r="Z28" s="230">
        <v>1</v>
      </c>
      <c r="AA28" s="231">
        <v>2799000</v>
      </c>
      <c r="AB28" s="4">
        <v>1</v>
      </c>
      <c r="AC28" s="5">
        <v>2299000</v>
      </c>
      <c r="AD28" s="4"/>
      <c r="AE28" s="5"/>
      <c r="AF28" s="230">
        <v>1</v>
      </c>
      <c r="AG28" s="231">
        <v>2299000</v>
      </c>
      <c r="AH28" s="4"/>
      <c r="AI28" s="5"/>
      <c r="AJ28" s="4"/>
      <c r="AK28" s="5"/>
      <c r="AL28" s="230"/>
      <c r="AM28" s="231"/>
      <c r="AN28" s="4"/>
      <c r="AO28" s="5"/>
      <c r="AP28" s="4"/>
      <c r="AQ28" s="5"/>
      <c r="AR28" s="230"/>
      <c r="AS28" s="231"/>
      <c r="AT28" s="4"/>
      <c r="AU28" s="5"/>
      <c r="AV28" s="4"/>
      <c r="AW28" s="5"/>
      <c r="AX28" s="230"/>
      <c r="AY28" s="231"/>
      <c r="AZ28" s="4"/>
      <c r="BA28" s="5"/>
      <c r="BB28" s="4"/>
      <c r="BC28" s="5"/>
      <c r="BD28" s="230"/>
      <c r="BE28" s="231"/>
      <c r="BF28" s="4"/>
      <c r="BG28" s="5"/>
      <c r="BH28" s="4">
        <v>1</v>
      </c>
      <c r="BI28" s="5">
        <v>6299000</v>
      </c>
      <c r="BJ28" s="230">
        <v>1</v>
      </c>
      <c r="BK28" s="231">
        <v>6299000</v>
      </c>
      <c r="BL28" s="4">
        <v>1</v>
      </c>
      <c r="BM28" s="5">
        <v>2099000</v>
      </c>
      <c r="BN28" s="4">
        <v>1</v>
      </c>
      <c r="BO28" s="5">
        <v>5899000</v>
      </c>
      <c r="BP28" s="230">
        <v>2</v>
      </c>
      <c r="BQ28" s="231">
        <v>7998000</v>
      </c>
      <c r="BR28" s="4">
        <v>1</v>
      </c>
      <c r="BS28" s="5">
        <v>2799000</v>
      </c>
      <c r="BT28" s="4"/>
      <c r="BU28" s="5"/>
      <c r="BV28" s="230">
        <v>1</v>
      </c>
      <c r="BW28" s="231">
        <v>2799000</v>
      </c>
      <c r="BX28" s="4"/>
      <c r="BY28" s="5"/>
      <c r="BZ28" s="4">
        <v>1</v>
      </c>
      <c r="CA28" s="5">
        <v>9999000</v>
      </c>
      <c r="CB28" s="230">
        <v>1</v>
      </c>
      <c r="CC28" s="231">
        <v>9999000</v>
      </c>
      <c r="CD28" s="4"/>
      <c r="CE28" s="5"/>
      <c r="CF28" s="4"/>
      <c r="CG28" s="5"/>
      <c r="CH28" s="230"/>
      <c r="CI28" s="231"/>
      <c r="CJ28" s="4"/>
      <c r="CK28" s="5"/>
      <c r="CL28" s="4"/>
      <c r="CM28" s="5"/>
      <c r="CN28" s="230"/>
      <c r="CO28" s="231"/>
      <c r="CP28" s="4"/>
      <c r="CQ28" s="5"/>
      <c r="CR28" s="4"/>
      <c r="CS28" s="5"/>
      <c r="CT28" s="230"/>
      <c r="CU28" s="231"/>
      <c r="CV28" s="4"/>
      <c r="CW28" s="5"/>
      <c r="CX28" s="4">
        <v>1</v>
      </c>
      <c r="CY28" s="5">
        <v>4299000</v>
      </c>
      <c r="CZ28" s="230">
        <v>1</v>
      </c>
      <c r="DA28" s="231">
        <v>4299000</v>
      </c>
      <c r="DB28" s="4">
        <v>1</v>
      </c>
      <c r="DC28" s="5">
        <v>2799000</v>
      </c>
      <c r="DD28" s="4"/>
      <c r="DE28" s="5"/>
      <c r="DF28" s="230">
        <v>1</v>
      </c>
      <c r="DG28" s="231">
        <v>2799000</v>
      </c>
      <c r="DH28" s="4"/>
      <c r="DI28" s="5"/>
      <c r="DJ28" s="4">
        <v>2</v>
      </c>
      <c r="DK28" s="5">
        <v>6898000</v>
      </c>
      <c r="DL28" s="230">
        <v>2</v>
      </c>
      <c r="DM28" s="231">
        <v>6898000</v>
      </c>
      <c r="DN28" s="4">
        <v>1</v>
      </c>
      <c r="DO28" s="5">
        <v>2599000</v>
      </c>
      <c r="DP28" s="4">
        <v>1</v>
      </c>
      <c r="DQ28" s="5">
        <v>9999000</v>
      </c>
      <c r="DR28" s="230">
        <v>2</v>
      </c>
      <c r="DS28" s="231">
        <v>12598000</v>
      </c>
      <c r="DT28" s="4">
        <v>1</v>
      </c>
      <c r="DU28" s="5">
        <v>2299000</v>
      </c>
      <c r="DV28" s="4"/>
      <c r="DW28" s="5"/>
      <c r="DX28" s="230">
        <v>1</v>
      </c>
      <c r="DY28" s="231">
        <v>2299000</v>
      </c>
      <c r="DZ28" s="4"/>
      <c r="EA28" s="5"/>
      <c r="EB28" s="4">
        <v>1</v>
      </c>
      <c r="EC28" s="5">
        <v>5899000</v>
      </c>
      <c r="ED28" s="230">
        <v>1</v>
      </c>
      <c r="EE28" s="231">
        <v>5899000</v>
      </c>
      <c r="EF28" s="4"/>
      <c r="EG28" s="5"/>
      <c r="EH28" s="4">
        <v>1</v>
      </c>
      <c r="EI28" s="5">
        <v>4899000</v>
      </c>
      <c r="EJ28" s="230">
        <v>1</v>
      </c>
      <c r="EK28" s="231">
        <v>4899000</v>
      </c>
      <c r="EL28" s="4"/>
      <c r="EM28" s="5"/>
      <c r="EN28" s="4"/>
      <c r="EO28" s="5"/>
      <c r="EP28" s="230"/>
      <c r="EQ28" s="231"/>
      <c r="ER28" s="4">
        <v>2</v>
      </c>
      <c r="ES28" s="5">
        <v>4898000</v>
      </c>
      <c r="ET28" s="4"/>
      <c r="EU28" s="5"/>
      <c r="EV28" s="230">
        <v>2</v>
      </c>
      <c r="EW28" s="231">
        <v>4898000</v>
      </c>
      <c r="EX28" s="4"/>
      <c r="EY28" s="5"/>
      <c r="EZ28" s="4">
        <v>1</v>
      </c>
      <c r="FA28" s="5">
        <v>5499000</v>
      </c>
      <c r="FB28" s="230">
        <v>1</v>
      </c>
      <c r="FC28" s="231">
        <v>5499000</v>
      </c>
      <c r="FD28" s="4">
        <v>1</v>
      </c>
      <c r="FE28" s="5">
        <v>2299000</v>
      </c>
      <c r="FF28" s="4">
        <v>2</v>
      </c>
      <c r="FG28" s="5">
        <v>6898000</v>
      </c>
      <c r="FH28" s="230">
        <v>3</v>
      </c>
      <c r="FI28" s="231">
        <v>9197000</v>
      </c>
      <c r="FJ28" s="4">
        <v>1</v>
      </c>
      <c r="FK28" s="5">
        <v>2599000</v>
      </c>
      <c r="FL28" s="4"/>
      <c r="FM28" s="5"/>
      <c r="FN28" s="230">
        <v>1</v>
      </c>
      <c r="FO28" s="231">
        <v>2599000</v>
      </c>
      <c r="FP28" s="4">
        <v>24</v>
      </c>
      <c r="FQ28" s="6">
        <v>98376000</v>
      </c>
    </row>
    <row r="29" spans="1:173" x14ac:dyDescent="0.2">
      <c r="A29" s="1" t="s">
        <v>64</v>
      </c>
      <c r="B29" s="2">
        <v>6130702</v>
      </c>
      <c r="C29" s="3" t="s">
        <v>200</v>
      </c>
      <c r="D29" s="4">
        <v>1</v>
      </c>
      <c r="E29" s="5">
        <v>2099000</v>
      </c>
      <c r="F29" s="4"/>
      <c r="G29" s="5"/>
      <c r="H29" s="230">
        <v>1</v>
      </c>
      <c r="I29" s="231">
        <v>2099000</v>
      </c>
      <c r="J29" s="4"/>
      <c r="K29" s="5"/>
      <c r="L29" s="4"/>
      <c r="M29" s="5"/>
      <c r="N29" s="230"/>
      <c r="O29" s="231"/>
      <c r="P29" s="4"/>
      <c r="Q29" s="5"/>
      <c r="R29" s="4"/>
      <c r="S29" s="5"/>
      <c r="T29" s="230"/>
      <c r="U29" s="231"/>
      <c r="V29" s="4">
        <v>2</v>
      </c>
      <c r="W29" s="5">
        <v>4998000</v>
      </c>
      <c r="X29" s="4"/>
      <c r="Y29" s="5"/>
      <c r="Z29" s="230">
        <v>2</v>
      </c>
      <c r="AA29" s="231">
        <v>4998000</v>
      </c>
      <c r="AB29" s="4"/>
      <c r="AC29" s="5"/>
      <c r="AD29" s="4"/>
      <c r="AE29" s="5"/>
      <c r="AF29" s="230"/>
      <c r="AG29" s="231"/>
      <c r="AH29" s="4">
        <v>1</v>
      </c>
      <c r="AI29" s="5">
        <v>2599000</v>
      </c>
      <c r="AJ29" s="4">
        <v>1</v>
      </c>
      <c r="AK29" s="5">
        <v>5899000</v>
      </c>
      <c r="AL29" s="230">
        <v>2</v>
      </c>
      <c r="AM29" s="231">
        <v>8498000</v>
      </c>
      <c r="AN29" s="4"/>
      <c r="AO29" s="5"/>
      <c r="AP29" s="4">
        <v>2</v>
      </c>
      <c r="AQ29" s="5">
        <v>10198000</v>
      </c>
      <c r="AR29" s="230">
        <v>2</v>
      </c>
      <c r="AS29" s="231">
        <v>10198000</v>
      </c>
      <c r="AT29" s="4"/>
      <c r="AU29" s="5"/>
      <c r="AV29" s="4">
        <v>2</v>
      </c>
      <c r="AW29" s="5">
        <v>13698000</v>
      </c>
      <c r="AX29" s="230">
        <v>2</v>
      </c>
      <c r="AY29" s="231">
        <v>13698000</v>
      </c>
      <c r="AZ29" s="4">
        <v>3</v>
      </c>
      <c r="BA29" s="5">
        <v>7397000</v>
      </c>
      <c r="BB29" s="4">
        <v>1</v>
      </c>
      <c r="BC29" s="5">
        <v>3899000</v>
      </c>
      <c r="BD29" s="230">
        <v>4</v>
      </c>
      <c r="BE29" s="231">
        <v>11296000</v>
      </c>
      <c r="BF29" s="4">
        <v>1</v>
      </c>
      <c r="BG29" s="5">
        <v>2299000</v>
      </c>
      <c r="BH29" s="4"/>
      <c r="BI29" s="5"/>
      <c r="BJ29" s="230">
        <v>1</v>
      </c>
      <c r="BK29" s="231">
        <v>2299000</v>
      </c>
      <c r="BL29" s="4"/>
      <c r="BM29" s="5"/>
      <c r="BN29" s="4"/>
      <c r="BO29" s="5"/>
      <c r="BP29" s="230"/>
      <c r="BQ29" s="231"/>
      <c r="BR29" s="4">
        <v>1</v>
      </c>
      <c r="BS29" s="5">
        <v>2399000</v>
      </c>
      <c r="BT29" s="4">
        <v>1</v>
      </c>
      <c r="BU29" s="5">
        <v>3899000</v>
      </c>
      <c r="BV29" s="230">
        <v>2</v>
      </c>
      <c r="BW29" s="231">
        <v>6298000</v>
      </c>
      <c r="BX29" s="4">
        <v>2</v>
      </c>
      <c r="BY29" s="5">
        <v>5598000</v>
      </c>
      <c r="BZ29" s="4"/>
      <c r="CA29" s="5"/>
      <c r="CB29" s="230">
        <v>2</v>
      </c>
      <c r="CC29" s="231">
        <v>5598000</v>
      </c>
      <c r="CD29" s="4"/>
      <c r="CE29" s="5"/>
      <c r="CF29" s="4">
        <v>2</v>
      </c>
      <c r="CG29" s="5">
        <v>15898000</v>
      </c>
      <c r="CH29" s="230">
        <v>2</v>
      </c>
      <c r="CI29" s="231">
        <v>15898000</v>
      </c>
      <c r="CJ29" s="4">
        <v>1</v>
      </c>
      <c r="CK29" s="5">
        <v>2299000</v>
      </c>
      <c r="CL29" s="4">
        <v>2</v>
      </c>
      <c r="CM29" s="5">
        <v>8498000</v>
      </c>
      <c r="CN29" s="230">
        <v>3</v>
      </c>
      <c r="CO29" s="231">
        <v>10797000</v>
      </c>
      <c r="CP29" s="4"/>
      <c r="CQ29" s="5"/>
      <c r="CR29" s="4">
        <v>2</v>
      </c>
      <c r="CS29" s="5">
        <v>10198000</v>
      </c>
      <c r="CT29" s="230">
        <v>2</v>
      </c>
      <c r="CU29" s="231">
        <v>10198000</v>
      </c>
      <c r="CV29" s="4"/>
      <c r="CW29" s="5"/>
      <c r="CX29" s="4">
        <v>1</v>
      </c>
      <c r="CY29" s="5">
        <v>7999000</v>
      </c>
      <c r="CZ29" s="230">
        <v>1</v>
      </c>
      <c r="DA29" s="231">
        <v>7999000</v>
      </c>
      <c r="DB29" s="4">
        <v>1</v>
      </c>
      <c r="DC29" s="5">
        <v>2299000</v>
      </c>
      <c r="DD29" s="4">
        <v>1</v>
      </c>
      <c r="DE29" s="5">
        <v>6899000</v>
      </c>
      <c r="DF29" s="230">
        <v>2</v>
      </c>
      <c r="DG29" s="231">
        <v>9198000</v>
      </c>
      <c r="DH29" s="4"/>
      <c r="DI29" s="5"/>
      <c r="DJ29" s="4"/>
      <c r="DK29" s="5"/>
      <c r="DL29" s="230"/>
      <c r="DM29" s="231"/>
      <c r="DN29" s="4">
        <v>1</v>
      </c>
      <c r="DO29" s="5">
        <v>2799000</v>
      </c>
      <c r="DP29" s="4"/>
      <c r="DQ29" s="5"/>
      <c r="DR29" s="230">
        <v>1</v>
      </c>
      <c r="DS29" s="231">
        <v>2799000</v>
      </c>
      <c r="DT29" s="4"/>
      <c r="DU29" s="5"/>
      <c r="DV29" s="4"/>
      <c r="DW29" s="5"/>
      <c r="DX29" s="230"/>
      <c r="DY29" s="231"/>
      <c r="DZ29" s="4">
        <v>1</v>
      </c>
      <c r="EA29" s="5">
        <v>2799000</v>
      </c>
      <c r="EB29" s="4">
        <v>2</v>
      </c>
      <c r="EC29" s="5">
        <v>13398000</v>
      </c>
      <c r="ED29" s="230">
        <v>3</v>
      </c>
      <c r="EE29" s="231">
        <v>16197000</v>
      </c>
      <c r="EF29" s="4">
        <v>1</v>
      </c>
      <c r="EG29" s="5">
        <v>2299000</v>
      </c>
      <c r="EH29" s="4">
        <v>1</v>
      </c>
      <c r="EI29" s="5">
        <v>4299000</v>
      </c>
      <c r="EJ29" s="230">
        <v>2</v>
      </c>
      <c r="EK29" s="231">
        <v>6598000</v>
      </c>
      <c r="EL29" s="4"/>
      <c r="EM29" s="5"/>
      <c r="EN29" s="4"/>
      <c r="EO29" s="5"/>
      <c r="EP29" s="230"/>
      <c r="EQ29" s="231"/>
      <c r="ER29" s="4">
        <v>1</v>
      </c>
      <c r="ES29" s="5">
        <v>2599000</v>
      </c>
      <c r="ET29" s="4">
        <v>2</v>
      </c>
      <c r="EU29" s="5">
        <v>15898000</v>
      </c>
      <c r="EV29" s="230">
        <v>3</v>
      </c>
      <c r="EW29" s="231">
        <v>18497000</v>
      </c>
      <c r="EX29" s="4">
        <v>2</v>
      </c>
      <c r="EY29" s="5">
        <v>4898000</v>
      </c>
      <c r="EZ29" s="4">
        <v>2</v>
      </c>
      <c r="FA29" s="5">
        <v>11298000</v>
      </c>
      <c r="FB29" s="230">
        <v>4</v>
      </c>
      <c r="FC29" s="231">
        <v>16196000</v>
      </c>
      <c r="FD29" s="4"/>
      <c r="FE29" s="5"/>
      <c r="FF29" s="4"/>
      <c r="FG29" s="5"/>
      <c r="FH29" s="230"/>
      <c r="FI29" s="231"/>
      <c r="FJ29" s="4">
        <v>1</v>
      </c>
      <c r="FK29" s="5">
        <v>2299000</v>
      </c>
      <c r="FL29" s="4"/>
      <c r="FM29" s="5"/>
      <c r="FN29" s="230">
        <v>1</v>
      </c>
      <c r="FO29" s="231">
        <v>2299000</v>
      </c>
      <c r="FP29" s="4">
        <v>42</v>
      </c>
      <c r="FQ29" s="6">
        <v>181658000</v>
      </c>
    </row>
    <row r="30" spans="1:173" x14ac:dyDescent="0.2">
      <c r="A30" s="1"/>
      <c r="B30" s="2">
        <v>6140705</v>
      </c>
      <c r="C30" s="3" t="s">
        <v>204</v>
      </c>
      <c r="D30" s="4"/>
      <c r="E30" s="5"/>
      <c r="F30" s="4">
        <v>1</v>
      </c>
      <c r="G30" s="5">
        <v>25999000</v>
      </c>
      <c r="H30" s="230">
        <v>1</v>
      </c>
      <c r="I30" s="231">
        <v>25999000</v>
      </c>
      <c r="J30" s="4">
        <v>1</v>
      </c>
      <c r="K30" s="5">
        <v>2799000</v>
      </c>
      <c r="L30" s="4">
        <v>1</v>
      </c>
      <c r="M30" s="5">
        <v>4299000</v>
      </c>
      <c r="N30" s="230">
        <v>2</v>
      </c>
      <c r="O30" s="231">
        <v>7098000</v>
      </c>
      <c r="P30" s="4"/>
      <c r="Q30" s="5"/>
      <c r="R30" s="4">
        <v>1</v>
      </c>
      <c r="S30" s="5">
        <v>6999000</v>
      </c>
      <c r="T30" s="230">
        <v>1</v>
      </c>
      <c r="U30" s="231">
        <v>6999000</v>
      </c>
      <c r="V30" s="4"/>
      <c r="W30" s="5"/>
      <c r="X30" s="4">
        <v>1</v>
      </c>
      <c r="Y30" s="5">
        <v>8399000</v>
      </c>
      <c r="Z30" s="230">
        <v>1</v>
      </c>
      <c r="AA30" s="231">
        <v>8399000</v>
      </c>
      <c r="AB30" s="4"/>
      <c r="AC30" s="5"/>
      <c r="AD30" s="4">
        <v>4</v>
      </c>
      <c r="AE30" s="5">
        <v>47396000</v>
      </c>
      <c r="AF30" s="230">
        <v>4</v>
      </c>
      <c r="AG30" s="231">
        <v>47396000</v>
      </c>
      <c r="AH30" s="4">
        <v>1</v>
      </c>
      <c r="AI30" s="5">
        <v>2399000</v>
      </c>
      <c r="AJ30" s="4">
        <v>3</v>
      </c>
      <c r="AK30" s="5">
        <v>27297000</v>
      </c>
      <c r="AL30" s="230">
        <v>4</v>
      </c>
      <c r="AM30" s="231">
        <v>29696000</v>
      </c>
      <c r="AN30" s="4"/>
      <c r="AO30" s="5"/>
      <c r="AP30" s="4">
        <v>1</v>
      </c>
      <c r="AQ30" s="5">
        <v>7999000</v>
      </c>
      <c r="AR30" s="230">
        <v>1</v>
      </c>
      <c r="AS30" s="231">
        <v>7999000</v>
      </c>
      <c r="AT30" s="4"/>
      <c r="AU30" s="5"/>
      <c r="AV30" s="4">
        <v>1</v>
      </c>
      <c r="AW30" s="5">
        <v>9999000</v>
      </c>
      <c r="AX30" s="230">
        <v>1</v>
      </c>
      <c r="AY30" s="231">
        <v>9999000</v>
      </c>
      <c r="AZ30" s="4"/>
      <c r="BA30" s="5"/>
      <c r="BB30" s="4"/>
      <c r="BC30" s="5"/>
      <c r="BD30" s="230"/>
      <c r="BE30" s="231"/>
      <c r="BF30" s="4"/>
      <c r="BG30" s="5"/>
      <c r="BH30" s="4"/>
      <c r="BI30" s="5"/>
      <c r="BJ30" s="230"/>
      <c r="BK30" s="231"/>
      <c r="BL30" s="4"/>
      <c r="BM30" s="5"/>
      <c r="BN30" s="4">
        <v>1</v>
      </c>
      <c r="BO30" s="5">
        <v>5499000</v>
      </c>
      <c r="BP30" s="230">
        <v>1</v>
      </c>
      <c r="BQ30" s="231">
        <v>5499000</v>
      </c>
      <c r="BR30" s="4"/>
      <c r="BS30" s="5"/>
      <c r="BT30" s="4">
        <v>3</v>
      </c>
      <c r="BU30" s="5">
        <v>25497000</v>
      </c>
      <c r="BV30" s="230">
        <v>3</v>
      </c>
      <c r="BW30" s="231">
        <v>25497000</v>
      </c>
      <c r="BX30" s="4"/>
      <c r="BY30" s="5"/>
      <c r="BZ30" s="4">
        <v>1</v>
      </c>
      <c r="CA30" s="5">
        <v>4799000</v>
      </c>
      <c r="CB30" s="230">
        <v>1</v>
      </c>
      <c r="CC30" s="231">
        <v>4799000</v>
      </c>
      <c r="CD30" s="4"/>
      <c r="CE30" s="5"/>
      <c r="CF30" s="4"/>
      <c r="CG30" s="5"/>
      <c r="CH30" s="230"/>
      <c r="CI30" s="231"/>
      <c r="CJ30" s="4">
        <v>1</v>
      </c>
      <c r="CK30" s="5">
        <v>2599000</v>
      </c>
      <c r="CL30" s="4"/>
      <c r="CM30" s="5"/>
      <c r="CN30" s="230">
        <v>1</v>
      </c>
      <c r="CO30" s="231">
        <v>2599000</v>
      </c>
      <c r="CP30" s="4"/>
      <c r="CQ30" s="5"/>
      <c r="CR30" s="4"/>
      <c r="CS30" s="5"/>
      <c r="CT30" s="230"/>
      <c r="CU30" s="231"/>
      <c r="CV30" s="4"/>
      <c r="CW30" s="5"/>
      <c r="CX30" s="4">
        <v>2</v>
      </c>
      <c r="CY30" s="5">
        <v>15498000</v>
      </c>
      <c r="CZ30" s="230">
        <v>2</v>
      </c>
      <c r="DA30" s="231">
        <v>15498000</v>
      </c>
      <c r="DB30" s="4"/>
      <c r="DC30" s="5"/>
      <c r="DD30" s="4">
        <v>1</v>
      </c>
      <c r="DE30" s="5">
        <v>6899000</v>
      </c>
      <c r="DF30" s="230">
        <v>1</v>
      </c>
      <c r="DG30" s="231">
        <v>6899000</v>
      </c>
      <c r="DH30" s="4"/>
      <c r="DI30" s="5"/>
      <c r="DJ30" s="4"/>
      <c r="DK30" s="5"/>
      <c r="DL30" s="230"/>
      <c r="DM30" s="231"/>
      <c r="DN30" s="4"/>
      <c r="DO30" s="5"/>
      <c r="DP30" s="4">
        <v>4</v>
      </c>
      <c r="DQ30" s="5">
        <v>27296000</v>
      </c>
      <c r="DR30" s="230">
        <v>4</v>
      </c>
      <c r="DS30" s="231">
        <v>27296000</v>
      </c>
      <c r="DT30" s="4"/>
      <c r="DU30" s="5"/>
      <c r="DV30" s="4">
        <v>1</v>
      </c>
      <c r="DW30" s="5">
        <v>3299000</v>
      </c>
      <c r="DX30" s="230">
        <v>1</v>
      </c>
      <c r="DY30" s="231">
        <v>3299000</v>
      </c>
      <c r="DZ30" s="4"/>
      <c r="EA30" s="5"/>
      <c r="EB30" s="4"/>
      <c r="EC30" s="5"/>
      <c r="ED30" s="230"/>
      <c r="EE30" s="231"/>
      <c r="EF30" s="4"/>
      <c r="EG30" s="5"/>
      <c r="EH30" s="4">
        <v>2</v>
      </c>
      <c r="EI30" s="5">
        <v>12598000</v>
      </c>
      <c r="EJ30" s="230">
        <v>2</v>
      </c>
      <c r="EK30" s="231">
        <v>12598000</v>
      </c>
      <c r="EL30" s="4"/>
      <c r="EM30" s="5"/>
      <c r="EN30" s="4"/>
      <c r="EO30" s="5"/>
      <c r="EP30" s="230"/>
      <c r="EQ30" s="231"/>
      <c r="ER30" s="4">
        <v>1</v>
      </c>
      <c r="ES30" s="5">
        <v>2599000</v>
      </c>
      <c r="ET30" s="4">
        <v>2</v>
      </c>
      <c r="EU30" s="5">
        <v>15898000</v>
      </c>
      <c r="EV30" s="230">
        <v>3</v>
      </c>
      <c r="EW30" s="231">
        <v>18497000</v>
      </c>
      <c r="EX30" s="4"/>
      <c r="EY30" s="5"/>
      <c r="EZ30" s="4">
        <v>2</v>
      </c>
      <c r="FA30" s="5">
        <v>14998000</v>
      </c>
      <c r="FB30" s="230">
        <v>2</v>
      </c>
      <c r="FC30" s="231">
        <v>14998000</v>
      </c>
      <c r="FD30" s="4"/>
      <c r="FE30" s="5"/>
      <c r="FF30" s="4"/>
      <c r="FG30" s="5"/>
      <c r="FH30" s="230"/>
      <c r="FI30" s="231"/>
      <c r="FJ30" s="4"/>
      <c r="FK30" s="5"/>
      <c r="FL30" s="4">
        <v>17</v>
      </c>
      <c r="FM30" s="5">
        <v>119983000</v>
      </c>
      <c r="FN30" s="230">
        <v>17</v>
      </c>
      <c r="FO30" s="231">
        <v>119983000</v>
      </c>
      <c r="FP30" s="4">
        <v>53</v>
      </c>
      <c r="FQ30" s="6">
        <v>401047000</v>
      </c>
    </row>
    <row r="31" spans="1:173" x14ac:dyDescent="0.2">
      <c r="A31" s="1"/>
      <c r="B31" s="2">
        <v>6140706</v>
      </c>
      <c r="C31" s="3" t="s">
        <v>210</v>
      </c>
      <c r="D31" s="4"/>
      <c r="E31" s="5"/>
      <c r="F31" s="4"/>
      <c r="G31" s="5"/>
      <c r="H31" s="230"/>
      <c r="I31" s="231"/>
      <c r="J31" s="4"/>
      <c r="K31" s="5"/>
      <c r="L31" s="4">
        <v>2</v>
      </c>
      <c r="M31" s="5">
        <v>13598000</v>
      </c>
      <c r="N31" s="230">
        <v>2</v>
      </c>
      <c r="O31" s="231">
        <v>13598000</v>
      </c>
      <c r="P31" s="4"/>
      <c r="Q31" s="5"/>
      <c r="R31" s="4"/>
      <c r="S31" s="5"/>
      <c r="T31" s="230"/>
      <c r="U31" s="231"/>
      <c r="V31" s="4"/>
      <c r="W31" s="5"/>
      <c r="X31" s="4">
        <v>1</v>
      </c>
      <c r="Y31" s="5">
        <v>3599000</v>
      </c>
      <c r="Z31" s="230">
        <v>1</v>
      </c>
      <c r="AA31" s="231">
        <v>3599000</v>
      </c>
      <c r="AB31" s="4"/>
      <c r="AC31" s="5"/>
      <c r="AD31" s="4">
        <v>1</v>
      </c>
      <c r="AE31" s="5">
        <v>9999000</v>
      </c>
      <c r="AF31" s="230">
        <v>1</v>
      </c>
      <c r="AG31" s="231">
        <v>9999000</v>
      </c>
      <c r="AH31" s="4"/>
      <c r="AI31" s="5"/>
      <c r="AJ31" s="4"/>
      <c r="AK31" s="5"/>
      <c r="AL31" s="230"/>
      <c r="AM31" s="231"/>
      <c r="AN31" s="4"/>
      <c r="AO31" s="5"/>
      <c r="AP31" s="4"/>
      <c r="AQ31" s="5"/>
      <c r="AR31" s="230"/>
      <c r="AS31" s="231"/>
      <c r="AT31" s="4"/>
      <c r="AU31" s="5"/>
      <c r="AV31" s="4"/>
      <c r="AW31" s="5"/>
      <c r="AX31" s="230"/>
      <c r="AY31" s="231"/>
      <c r="AZ31" s="4">
        <v>2</v>
      </c>
      <c r="BA31" s="5">
        <v>4798000</v>
      </c>
      <c r="BB31" s="4"/>
      <c r="BC31" s="5"/>
      <c r="BD31" s="230">
        <v>2</v>
      </c>
      <c r="BE31" s="231">
        <v>4798000</v>
      </c>
      <c r="BF31" s="4"/>
      <c r="BG31" s="5"/>
      <c r="BH31" s="4">
        <v>1</v>
      </c>
      <c r="BI31" s="5">
        <v>3899000</v>
      </c>
      <c r="BJ31" s="230">
        <v>1</v>
      </c>
      <c r="BK31" s="231">
        <v>3899000</v>
      </c>
      <c r="BL31" s="4"/>
      <c r="BM31" s="5"/>
      <c r="BN31" s="4">
        <v>1</v>
      </c>
      <c r="BO31" s="5">
        <v>3899000</v>
      </c>
      <c r="BP31" s="230">
        <v>1</v>
      </c>
      <c r="BQ31" s="231">
        <v>3899000</v>
      </c>
      <c r="BR31" s="4"/>
      <c r="BS31" s="5"/>
      <c r="BT31" s="4"/>
      <c r="BU31" s="5"/>
      <c r="BV31" s="230"/>
      <c r="BW31" s="231"/>
      <c r="BX31" s="4">
        <v>1</v>
      </c>
      <c r="BY31" s="5">
        <v>2799000</v>
      </c>
      <c r="BZ31" s="4"/>
      <c r="CA31" s="5"/>
      <c r="CB31" s="230">
        <v>1</v>
      </c>
      <c r="CC31" s="231">
        <v>2799000</v>
      </c>
      <c r="CD31" s="4"/>
      <c r="CE31" s="5"/>
      <c r="CF31" s="4"/>
      <c r="CG31" s="5"/>
      <c r="CH31" s="230"/>
      <c r="CI31" s="231"/>
      <c r="CJ31" s="4"/>
      <c r="CK31" s="5"/>
      <c r="CL31" s="4"/>
      <c r="CM31" s="5"/>
      <c r="CN31" s="230"/>
      <c r="CO31" s="231"/>
      <c r="CP31" s="4"/>
      <c r="CQ31" s="5"/>
      <c r="CR31" s="4"/>
      <c r="CS31" s="5"/>
      <c r="CT31" s="230"/>
      <c r="CU31" s="231"/>
      <c r="CV31" s="4"/>
      <c r="CW31" s="5"/>
      <c r="CX31" s="4"/>
      <c r="CY31" s="5"/>
      <c r="CZ31" s="230"/>
      <c r="DA31" s="231"/>
      <c r="DB31" s="4"/>
      <c r="DC31" s="5"/>
      <c r="DD31" s="4">
        <v>1</v>
      </c>
      <c r="DE31" s="5">
        <v>6299000</v>
      </c>
      <c r="DF31" s="230">
        <v>1</v>
      </c>
      <c r="DG31" s="231">
        <v>6299000</v>
      </c>
      <c r="DH31" s="4"/>
      <c r="DI31" s="5"/>
      <c r="DJ31" s="4"/>
      <c r="DK31" s="5"/>
      <c r="DL31" s="230"/>
      <c r="DM31" s="231"/>
      <c r="DN31" s="4"/>
      <c r="DO31" s="5"/>
      <c r="DP31" s="4"/>
      <c r="DQ31" s="5"/>
      <c r="DR31" s="230"/>
      <c r="DS31" s="231"/>
      <c r="DT31" s="4"/>
      <c r="DU31" s="5"/>
      <c r="DV31" s="4">
        <v>1</v>
      </c>
      <c r="DW31" s="5">
        <v>6999000</v>
      </c>
      <c r="DX31" s="230">
        <v>1</v>
      </c>
      <c r="DY31" s="231">
        <v>6999000</v>
      </c>
      <c r="DZ31" s="4"/>
      <c r="EA31" s="5"/>
      <c r="EB31" s="4"/>
      <c r="EC31" s="5"/>
      <c r="ED31" s="230"/>
      <c r="EE31" s="231"/>
      <c r="EF31" s="4">
        <v>1</v>
      </c>
      <c r="EG31" s="5">
        <v>2299000</v>
      </c>
      <c r="EH31" s="4">
        <v>1</v>
      </c>
      <c r="EI31" s="5">
        <v>6999000</v>
      </c>
      <c r="EJ31" s="230">
        <v>2</v>
      </c>
      <c r="EK31" s="231">
        <v>9298000</v>
      </c>
      <c r="EL31" s="4"/>
      <c r="EM31" s="5"/>
      <c r="EN31" s="4"/>
      <c r="EO31" s="5"/>
      <c r="EP31" s="230"/>
      <c r="EQ31" s="231"/>
      <c r="ER31" s="4"/>
      <c r="ES31" s="5"/>
      <c r="ET31" s="4">
        <v>1</v>
      </c>
      <c r="EU31" s="5">
        <v>6999000</v>
      </c>
      <c r="EV31" s="230">
        <v>1</v>
      </c>
      <c r="EW31" s="231">
        <v>6999000</v>
      </c>
      <c r="EX31" s="4"/>
      <c r="EY31" s="5"/>
      <c r="EZ31" s="4"/>
      <c r="FA31" s="5"/>
      <c r="FB31" s="230"/>
      <c r="FC31" s="231"/>
      <c r="FD31" s="4">
        <v>1</v>
      </c>
      <c r="FE31" s="5">
        <v>2599000</v>
      </c>
      <c r="FF31" s="4"/>
      <c r="FG31" s="5"/>
      <c r="FH31" s="230">
        <v>1</v>
      </c>
      <c r="FI31" s="231">
        <v>2599000</v>
      </c>
      <c r="FJ31" s="4"/>
      <c r="FK31" s="5"/>
      <c r="FL31" s="4">
        <v>1</v>
      </c>
      <c r="FM31" s="5">
        <v>9999000</v>
      </c>
      <c r="FN31" s="230">
        <v>1</v>
      </c>
      <c r="FO31" s="231">
        <v>9999000</v>
      </c>
      <c r="FP31" s="4">
        <v>16</v>
      </c>
      <c r="FQ31" s="6">
        <v>84784000</v>
      </c>
    </row>
    <row r="32" spans="1:173" x14ac:dyDescent="0.2">
      <c r="A32" s="232"/>
      <c r="B32" s="2">
        <v>6140703</v>
      </c>
      <c r="C32" s="3" t="s">
        <v>362</v>
      </c>
      <c r="D32" s="4"/>
      <c r="E32" s="5"/>
      <c r="F32" s="4"/>
      <c r="G32" s="5"/>
      <c r="H32" s="230"/>
      <c r="I32" s="231"/>
      <c r="J32" s="4"/>
      <c r="K32" s="5"/>
      <c r="L32" s="4"/>
      <c r="M32" s="5"/>
      <c r="N32" s="230"/>
      <c r="O32" s="231"/>
      <c r="P32" s="4"/>
      <c r="Q32" s="5"/>
      <c r="R32" s="4"/>
      <c r="S32" s="5"/>
      <c r="T32" s="230"/>
      <c r="U32" s="231"/>
      <c r="V32" s="4"/>
      <c r="W32" s="5"/>
      <c r="X32" s="4"/>
      <c r="Y32" s="5"/>
      <c r="Z32" s="230"/>
      <c r="AA32" s="231"/>
      <c r="AB32" s="4"/>
      <c r="AC32" s="5"/>
      <c r="AD32" s="4"/>
      <c r="AE32" s="5"/>
      <c r="AF32" s="230"/>
      <c r="AG32" s="231"/>
      <c r="AH32" s="4"/>
      <c r="AI32" s="5"/>
      <c r="AJ32" s="4"/>
      <c r="AK32" s="5"/>
      <c r="AL32" s="230"/>
      <c r="AM32" s="231"/>
      <c r="AN32" s="4"/>
      <c r="AO32" s="5"/>
      <c r="AP32" s="4"/>
      <c r="AQ32" s="5"/>
      <c r="AR32" s="230"/>
      <c r="AS32" s="231"/>
      <c r="AT32" s="4"/>
      <c r="AU32" s="5"/>
      <c r="AV32" s="4"/>
      <c r="AW32" s="5"/>
      <c r="AX32" s="230"/>
      <c r="AY32" s="231"/>
      <c r="AZ32" s="4"/>
      <c r="BA32" s="5"/>
      <c r="BB32" s="4"/>
      <c r="BC32" s="5"/>
      <c r="BD32" s="230"/>
      <c r="BE32" s="231"/>
      <c r="BF32" s="4"/>
      <c r="BG32" s="5"/>
      <c r="BH32" s="4"/>
      <c r="BI32" s="5"/>
      <c r="BJ32" s="230"/>
      <c r="BK32" s="231"/>
      <c r="BL32" s="4"/>
      <c r="BM32" s="5"/>
      <c r="BN32" s="4"/>
      <c r="BO32" s="5"/>
      <c r="BP32" s="230"/>
      <c r="BQ32" s="231"/>
      <c r="BR32" s="4"/>
      <c r="BS32" s="5"/>
      <c r="BT32" s="4">
        <v>1</v>
      </c>
      <c r="BU32" s="5">
        <v>5899000</v>
      </c>
      <c r="BV32" s="230">
        <v>1</v>
      </c>
      <c r="BW32" s="231">
        <v>5899000</v>
      </c>
      <c r="BX32" s="4"/>
      <c r="BY32" s="5"/>
      <c r="BZ32" s="4"/>
      <c r="CA32" s="5"/>
      <c r="CB32" s="230"/>
      <c r="CC32" s="231"/>
      <c r="CD32" s="4"/>
      <c r="CE32" s="5"/>
      <c r="CF32" s="4"/>
      <c r="CG32" s="5"/>
      <c r="CH32" s="230"/>
      <c r="CI32" s="231"/>
      <c r="CJ32" s="4"/>
      <c r="CK32" s="5"/>
      <c r="CL32" s="4"/>
      <c r="CM32" s="5"/>
      <c r="CN32" s="230"/>
      <c r="CO32" s="231"/>
      <c r="CP32" s="4"/>
      <c r="CQ32" s="5"/>
      <c r="CR32" s="4"/>
      <c r="CS32" s="5"/>
      <c r="CT32" s="230"/>
      <c r="CU32" s="231"/>
      <c r="CV32" s="4"/>
      <c r="CW32" s="5"/>
      <c r="CX32" s="4"/>
      <c r="CY32" s="5"/>
      <c r="CZ32" s="230"/>
      <c r="DA32" s="231"/>
      <c r="DB32" s="4"/>
      <c r="DC32" s="5"/>
      <c r="DD32" s="4">
        <v>1</v>
      </c>
      <c r="DE32" s="5">
        <v>5899000</v>
      </c>
      <c r="DF32" s="230">
        <v>1</v>
      </c>
      <c r="DG32" s="231">
        <v>5899000</v>
      </c>
      <c r="DH32" s="4">
        <v>2</v>
      </c>
      <c r="DI32" s="5">
        <v>5398000</v>
      </c>
      <c r="DJ32" s="4">
        <v>2</v>
      </c>
      <c r="DK32" s="5">
        <v>9498000</v>
      </c>
      <c r="DL32" s="230">
        <v>4</v>
      </c>
      <c r="DM32" s="231">
        <v>14896000</v>
      </c>
      <c r="DN32" s="4">
        <v>1</v>
      </c>
      <c r="DO32" s="5">
        <v>2799000</v>
      </c>
      <c r="DP32" s="4">
        <v>2</v>
      </c>
      <c r="DQ32" s="5">
        <v>7598000</v>
      </c>
      <c r="DR32" s="230">
        <v>3</v>
      </c>
      <c r="DS32" s="231">
        <v>10397000</v>
      </c>
      <c r="DT32" s="4"/>
      <c r="DU32" s="5"/>
      <c r="DV32" s="4"/>
      <c r="DW32" s="5"/>
      <c r="DX32" s="230"/>
      <c r="DY32" s="231"/>
      <c r="DZ32" s="4"/>
      <c r="EA32" s="5"/>
      <c r="EB32" s="4"/>
      <c r="EC32" s="5"/>
      <c r="ED32" s="230"/>
      <c r="EE32" s="231"/>
      <c r="EF32" s="4">
        <v>1</v>
      </c>
      <c r="EG32" s="5">
        <v>2599000</v>
      </c>
      <c r="EH32" s="4"/>
      <c r="EI32" s="5"/>
      <c r="EJ32" s="230">
        <v>1</v>
      </c>
      <c r="EK32" s="231">
        <v>2599000</v>
      </c>
      <c r="EL32" s="4">
        <v>1</v>
      </c>
      <c r="EM32" s="5">
        <v>2599000</v>
      </c>
      <c r="EN32" s="4"/>
      <c r="EO32" s="5"/>
      <c r="EP32" s="230">
        <v>1</v>
      </c>
      <c r="EQ32" s="231">
        <v>2599000</v>
      </c>
      <c r="ER32" s="4"/>
      <c r="ES32" s="5"/>
      <c r="ET32" s="4"/>
      <c r="EU32" s="5"/>
      <c r="EV32" s="230"/>
      <c r="EW32" s="231"/>
      <c r="EX32" s="4">
        <v>1</v>
      </c>
      <c r="EY32" s="5">
        <v>2799000</v>
      </c>
      <c r="EZ32" s="4"/>
      <c r="FA32" s="5"/>
      <c r="FB32" s="230">
        <v>1</v>
      </c>
      <c r="FC32" s="231">
        <v>2799000</v>
      </c>
      <c r="FD32" s="4">
        <v>1</v>
      </c>
      <c r="FE32" s="5">
        <v>2299000</v>
      </c>
      <c r="FF32" s="4"/>
      <c r="FG32" s="5"/>
      <c r="FH32" s="230">
        <v>1</v>
      </c>
      <c r="FI32" s="231">
        <v>2299000</v>
      </c>
      <c r="FJ32" s="4"/>
      <c r="FK32" s="5"/>
      <c r="FL32" s="4"/>
      <c r="FM32" s="5"/>
      <c r="FN32" s="230"/>
      <c r="FO32" s="231"/>
      <c r="FP32" s="4">
        <v>13</v>
      </c>
      <c r="FQ32" s="6">
        <v>47387000</v>
      </c>
    </row>
    <row r="33" spans="1:173" x14ac:dyDescent="0.2">
      <c r="A33" s="1" t="s">
        <v>46</v>
      </c>
      <c r="B33" s="2">
        <v>6040701</v>
      </c>
      <c r="C33" s="3" t="s">
        <v>320</v>
      </c>
      <c r="D33" s="4">
        <v>1</v>
      </c>
      <c r="E33" s="5">
        <v>2599000</v>
      </c>
      <c r="F33" s="4">
        <v>1</v>
      </c>
      <c r="G33" s="5">
        <v>3599000</v>
      </c>
      <c r="H33" s="230">
        <v>2</v>
      </c>
      <c r="I33" s="231">
        <v>6198000</v>
      </c>
      <c r="J33" s="4"/>
      <c r="K33" s="5"/>
      <c r="L33" s="4"/>
      <c r="M33" s="5"/>
      <c r="N33" s="230"/>
      <c r="O33" s="231"/>
      <c r="P33" s="4"/>
      <c r="Q33" s="5"/>
      <c r="R33" s="4"/>
      <c r="S33" s="5"/>
      <c r="T33" s="230"/>
      <c r="U33" s="231"/>
      <c r="V33" s="4">
        <v>2</v>
      </c>
      <c r="W33" s="5">
        <v>5598000</v>
      </c>
      <c r="X33" s="4"/>
      <c r="Y33" s="5"/>
      <c r="Z33" s="230">
        <v>2</v>
      </c>
      <c r="AA33" s="231">
        <v>5598000</v>
      </c>
      <c r="AB33" s="4"/>
      <c r="AC33" s="5"/>
      <c r="AD33" s="4">
        <v>1</v>
      </c>
      <c r="AE33" s="5">
        <v>9999000</v>
      </c>
      <c r="AF33" s="230">
        <v>1</v>
      </c>
      <c r="AG33" s="231">
        <v>9999000</v>
      </c>
      <c r="AH33" s="4">
        <v>2</v>
      </c>
      <c r="AI33" s="5">
        <v>4898000</v>
      </c>
      <c r="AJ33" s="4">
        <v>2</v>
      </c>
      <c r="AK33" s="5">
        <v>15998000</v>
      </c>
      <c r="AL33" s="230">
        <v>4</v>
      </c>
      <c r="AM33" s="231">
        <v>20896000</v>
      </c>
      <c r="AN33" s="4"/>
      <c r="AO33" s="5"/>
      <c r="AP33" s="4">
        <v>1</v>
      </c>
      <c r="AQ33" s="5">
        <v>9999000</v>
      </c>
      <c r="AR33" s="230">
        <v>1</v>
      </c>
      <c r="AS33" s="231">
        <v>9999000</v>
      </c>
      <c r="AT33" s="4"/>
      <c r="AU33" s="5"/>
      <c r="AV33" s="4">
        <v>1</v>
      </c>
      <c r="AW33" s="5">
        <v>4299000</v>
      </c>
      <c r="AX33" s="230">
        <v>1</v>
      </c>
      <c r="AY33" s="231">
        <v>4299000</v>
      </c>
      <c r="AZ33" s="4"/>
      <c r="BA33" s="5"/>
      <c r="BB33" s="4"/>
      <c r="BC33" s="5"/>
      <c r="BD33" s="230"/>
      <c r="BE33" s="231"/>
      <c r="BF33" s="4">
        <v>2</v>
      </c>
      <c r="BG33" s="5">
        <v>4198000</v>
      </c>
      <c r="BH33" s="4">
        <v>1</v>
      </c>
      <c r="BI33" s="5">
        <v>5699000</v>
      </c>
      <c r="BJ33" s="230">
        <v>3</v>
      </c>
      <c r="BK33" s="231">
        <v>9897000</v>
      </c>
      <c r="BL33" s="4">
        <v>1</v>
      </c>
      <c r="BM33" s="5">
        <v>2399000</v>
      </c>
      <c r="BN33" s="4"/>
      <c r="BO33" s="5"/>
      <c r="BP33" s="230">
        <v>1</v>
      </c>
      <c r="BQ33" s="231">
        <v>2399000</v>
      </c>
      <c r="BR33" s="4">
        <v>2</v>
      </c>
      <c r="BS33" s="5">
        <v>4898000</v>
      </c>
      <c r="BT33" s="4">
        <v>1</v>
      </c>
      <c r="BU33" s="5">
        <v>9999000</v>
      </c>
      <c r="BV33" s="230">
        <v>3</v>
      </c>
      <c r="BW33" s="231">
        <v>14897000</v>
      </c>
      <c r="BX33" s="4">
        <v>1</v>
      </c>
      <c r="BY33" s="5">
        <v>2599000</v>
      </c>
      <c r="BZ33" s="4">
        <v>3</v>
      </c>
      <c r="CA33" s="5">
        <v>16097000</v>
      </c>
      <c r="CB33" s="230">
        <v>4</v>
      </c>
      <c r="CC33" s="231">
        <v>18696000</v>
      </c>
      <c r="CD33" s="4">
        <v>4</v>
      </c>
      <c r="CE33" s="5">
        <v>10496000</v>
      </c>
      <c r="CF33" s="4">
        <v>2</v>
      </c>
      <c r="CG33" s="5">
        <v>7598000</v>
      </c>
      <c r="CH33" s="230">
        <v>6</v>
      </c>
      <c r="CI33" s="231">
        <v>18094000</v>
      </c>
      <c r="CJ33" s="4"/>
      <c r="CK33" s="5"/>
      <c r="CL33" s="4">
        <v>2</v>
      </c>
      <c r="CM33" s="5">
        <v>29898000</v>
      </c>
      <c r="CN33" s="230">
        <v>2</v>
      </c>
      <c r="CO33" s="231">
        <v>29898000</v>
      </c>
      <c r="CP33" s="4"/>
      <c r="CQ33" s="5"/>
      <c r="CR33" s="4"/>
      <c r="CS33" s="5"/>
      <c r="CT33" s="230"/>
      <c r="CU33" s="231"/>
      <c r="CV33" s="4">
        <v>2</v>
      </c>
      <c r="CW33" s="5">
        <v>4898000</v>
      </c>
      <c r="CX33" s="4"/>
      <c r="CY33" s="5"/>
      <c r="CZ33" s="230">
        <v>2</v>
      </c>
      <c r="DA33" s="231">
        <v>4898000</v>
      </c>
      <c r="DB33" s="4">
        <v>1</v>
      </c>
      <c r="DC33" s="5">
        <v>2299000</v>
      </c>
      <c r="DD33" s="4">
        <v>2</v>
      </c>
      <c r="DE33" s="5">
        <v>9198000</v>
      </c>
      <c r="DF33" s="230">
        <v>3</v>
      </c>
      <c r="DG33" s="231">
        <v>11497000</v>
      </c>
      <c r="DH33" s="4">
        <v>1</v>
      </c>
      <c r="DI33" s="5">
        <v>2299000</v>
      </c>
      <c r="DJ33" s="4">
        <v>3</v>
      </c>
      <c r="DK33" s="5">
        <v>17797000</v>
      </c>
      <c r="DL33" s="230">
        <v>4</v>
      </c>
      <c r="DM33" s="231">
        <v>20096000</v>
      </c>
      <c r="DN33" s="4"/>
      <c r="DO33" s="5"/>
      <c r="DP33" s="4">
        <v>3</v>
      </c>
      <c r="DQ33" s="5">
        <v>14597000</v>
      </c>
      <c r="DR33" s="230">
        <v>3</v>
      </c>
      <c r="DS33" s="231">
        <v>14597000</v>
      </c>
      <c r="DT33" s="4"/>
      <c r="DU33" s="5"/>
      <c r="DV33" s="4"/>
      <c r="DW33" s="5"/>
      <c r="DX33" s="230"/>
      <c r="DY33" s="231"/>
      <c r="DZ33" s="4">
        <v>1</v>
      </c>
      <c r="EA33" s="5">
        <v>2599000</v>
      </c>
      <c r="EB33" s="4">
        <v>1</v>
      </c>
      <c r="EC33" s="5">
        <v>3899000</v>
      </c>
      <c r="ED33" s="230">
        <v>2</v>
      </c>
      <c r="EE33" s="231">
        <v>6498000</v>
      </c>
      <c r="EF33" s="4">
        <v>2</v>
      </c>
      <c r="EG33" s="5">
        <v>4598000</v>
      </c>
      <c r="EH33" s="4"/>
      <c r="EI33" s="5"/>
      <c r="EJ33" s="230">
        <v>2</v>
      </c>
      <c r="EK33" s="231">
        <v>4598000</v>
      </c>
      <c r="EL33" s="4"/>
      <c r="EM33" s="5"/>
      <c r="EN33" s="4">
        <v>2</v>
      </c>
      <c r="EO33" s="5">
        <v>12498000</v>
      </c>
      <c r="EP33" s="230">
        <v>2</v>
      </c>
      <c r="EQ33" s="231">
        <v>12498000</v>
      </c>
      <c r="ER33" s="4">
        <v>1</v>
      </c>
      <c r="ES33" s="5">
        <v>1799000</v>
      </c>
      <c r="ET33" s="4">
        <v>3</v>
      </c>
      <c r="EU33" s="5">
        <v>17997000</v>
      </c>
      <c r="EV33" s="230">
        <v>4</v>
      </c>
      <c r="EW33" s="231">
        <v>19796000</v>
      </c>
      <c r="EX33" s="4"/>
      <c r="EY33" s="5"/>
      <c r="EZ33" s="4">
        <v>1</v>
      </c>
      <c r="FA33" s="5">
        <v>4799000</v>
      </c>
      <c r="FB33" s="230">
        <v>1</v>
      </c>
      <c r="FC33" s="231">
        <v>4799000</v>
      </c>
      <c r="FD33" s="4">
        <v>1</v>
      </c>
      <c r="FE33" s="5">
        <v>2299000</v>
      </c>
      <c r="FF33" s="4">
        <v>2</v>
      </c>
      <c r="FG33" s="5">
        <v>15898000</v>
      </c>
      <c r="FH33" s="230">
        <v>3</v>
      </c>
      <c r="FI33" s="231">
        <v>18197000</v>
      </c>
      <c r="FJ33" s="4"/>
      <c r="FK33" s="5"/>
      <c r="FL33" s="4"/>
      <c r="FM33" s="5"/>
      <c r="FN33" s="230"/>
      <c r="FO33" s="231"/>
      <c r="FP33" s="4">
        <v>56</v>
      </c>
      <c r="FQ33" s="6">
        <v>268344000</v>
      </c>
    </row>
    <row r="34" spans="1:173" x14ac:dyDescent="0.2">
      <c r="A34" s="1"/>
      <c r="B34" s="2">
        <v>6040703</v>
      </c>
      <c r="C34" s="3" t="s">
        <v>180</v>
      </c>
      <c r="D34" s="4"/>
      <c r="E34" s="5"/>
      <c r="F34" s="4">
        <v>1</v>
      </c>
      <c r="G34" s="5">
        <v>5899000</v>
      </c>
      <c r="H34" s="230">
        <v>1</v>
      </c>
      <c r="I34" s="231">
        <v>5899000</v>
      </c>
      <c r="J34" s="4"/>
      <c r="K34" s="5"/>
      <c r="L34" s="4"/>
      <c r="M34" s="5"/>
      <c r="N34" s="230"/>
      <c r="O34" s="231"/>
      <c r="P34" s="4"/>
      <c r="Q34" s="5"/>
      <c r="R34" s="4"/>
      <c r="S34" s="5"/>
      <c r="T34" s="230"/>
      <c r="U34" s="231"/>
      <c r="V34" s="4">
        <v>1</v>
      </c>
      <c r="W34" s="5">
        <v>2399000</v>
      </c>
      <c r="X34" s="4"/>
      <c r="Y34" s="5"/>
      <c r="Z34" s="230">
        <v>1</v>
      </c>
      <c r="AA34" s="231">
        <v>2399000</v>
      </c>
      <c r="AB34" s="4"/>
      <c r="AC34" s="5"/>
      <c r="AD34" s="4">
        <v>1</v>
      </c>
      <c r="AE34" s="5">
        <v>5499000</v>
      </c>
      <c r="AF34" s="230">
        <v>1</v>
      </c>
      <c r="AG34" s="231">
        <v>5499000</v>
      </c>
      <c r="AH34" s="4">
        <v>2</v>
      </c>
      <c r="AI34" s="5">
        <v>4998000</v>
      </c>
      <c r="AJ34" s="4">
        <v>1</v>
      </c>
      <c r="AK34" s="5">
        <v>4899000</v>
      </c>
      <c r="AL34" s="230">
        <v>3</v>
      </c>
      <c r="AM34" s="231">
        <v>9897000</v>
      </c>
      <c r="AN34" s="4"/>
      <c r="AO34" s="5"/>
      <c r="AP34" s="4">
        <v>1</v>
      </c>
      <c r="AQ34" s="5">
        <v>4299000</v>
      </c>
      <c r="AR34" s="230">
        <v>1</v>
      </c>
      <c r="AS34" s="231">
        <v>4299000</v>
      </c>
      <c r="AT34" s="4"/>
      <c r="AU34" s="5"/>
      <c r="AV34" s="4">
        <v>1</v>
      </c>
      <c r="AW34" s="5">
        <v>3899000</v>
      </c>
      <c r="AX34" s="230">
        <v>1</v>
      </c>
      <c r="AY34" s="231">
        <v>3899000</v>
      </c>
      <c r="AZ34" s="4"/>
      <c r="BA34" s="5"/>
      <c r="BB34" s="4"/>
      <c r="BC34" s="5"/>
      <c r="BD34" s="230"/>
      <c r="BE34" s="231"/>
      <c r="BF34" s="4"/>
      <c r="BG34" s="5"/>
      <c r="BH34" s="4">
        <v>2</v>
      </c>
      <c r="BI34" s="5">
        <v>13598000</v>
      </c>
      <c r="BJ34" s="230">
        <v>2</v>
      </c>
      <c r="BK34" s="231">
        <v>13598000</v>
      </c>
      <c r="BL34" s="4"/>
      <c r="BM34" s="5"/>
      <c r="BN34" s="4">
        <v>2</v>
      </c>
      <c r="BO34" s="5">
        <v>7898000</v>
      </c>
      <c r="BP34" s="230">
        <v>2</v>
      </c>
      <c r="BQ34" s="231">
        <v>7898000</v>
      </c>
      <c r="BR34" s="4"/>
      <c r="BS34" s="5"/>
      <c r="BT34" s="4"/>
      <c r="BU34" s="5"/>
      <c r="BV34" s="230"/>
      <c r="BW34" s="231"/>
      <c r="BX34" s="4"/>
      <c r="BY34" s="5"/>
      <c r="BZ34" s="4"/>
      <c r="CA34" s="5"/>
      <c r="CB34" s="230"/>
      <c r="CC34" s="231"/>
      <c r="CD34" s="4"/>
      <c r="CE34" s="5"/>
      <c r="CF34" s="4">
        <v>1</v>
      </c>
      <c r="CG34" s="5">
        <v>5899000</v>
      </c>
      <c r="CH34" s="230">
        <v>1</v>
      </c>
      <c r="CI34" s="231">
        <v>5899000</v>
      </c>
      <c r="CJ34" s="4">
        <v>1</v>
      </c>
      <c r="CK34" s="5">
        <v>2299000</v>
      </c>
      <c r="CL34" s="4"/>
      <c r="CM34" s="5"/>
      <c r="CN34" s="230">
        <v>1</v>
      </c>
      <c r="CO34" s="231">
        <v>2299000</v>
      </c>
      <c r="CP34" s="4"/>
      <c r="CQ34" s="5"/>
      <c r="CR34" s="4"/>
      <c r="CS34" s="5"/>
      <c r="CT34" s="230"/>
      <c r="CU34" s="231"/>
      <c r="CV34" s="4"/>
      <c r="CW34" s="5"/>
      <c r="CX34" s="4"/>
      <c r="CY34" s="5"/>
      <c r="CZ34" s="230"/>
      <c r="DA34" s="231"/>
      <c r="DB34" s="4"/>
      <c r="DC34" s="5"/>
      <c r="DD34" s="4"/>
      <c r="DE34" s="5"/>
      <c r="DF34" s="230"/>
      <c r="DG34" s="231"/>
      <c r="DH34" s="4"/>
      <c r="DI34" s="5"/>
      <c r="DJ34" s="4"/>
      <c r="DK34" s="5"/>
      <c r="DL34" s="230"/>
      <c r="DM34" s="231"/>
      <c r="DN34" s="4"/>
      <c r="DO34" s="5"/>
      <c r="DP34" s="4"/>
      <c r="DQ34" s="5"/>
      <c r="DR34" s="230"/>
      <c r="DS34" s="231"/>
      <c r="DT34" s="4"/>
      <c r="DU34" s="5"/>
      <c r="DV34" s="4"/>
      <c r="DW34" s="5"/>
      <c r="DX34" s="230"/>
      <c r="DY34" s="231"/>
      <c r="DZ34" s="4"/>
      <c r="EA34" s="5"/>
      <c r="EB34" s="4">
        <v>2</v>
      </c>
      <c r="EC34" s="5">
        <v>10798000</v>
      </c>
      <c r="ED34" s="230">
        <v>2</v>
      </c>
      <c r="EE34" s="231">
        <v>10798000</v>
      </c>
      <c r="EF34" s="4">
        <v>1</v>
      </c>
      <c r="EG34" s="5">
        <v>2299000</v>
      </c>
      <c r="EH34" s="4"/>
      <c r="EI34" s="5"/>
      <c r="EJ34" s="230">
        <v>1</v>
      </c>
      <c r="EK34" s="231">
        <v>2299000</v>
      </c>
      <c r="EL34" s="4"/>
      <c r="EM34" s="5"/>
      <c r="EN34" s="4">
        <v>2</v>
      </c>
      <c r="EO34" s="5">
        <v>30798000</v>
      </c>
      <c r="EP34" s="230">
        <v>2</v>
      </c>
      <c r="EQ34" s="231">
        <v>30798000</v>
      </c>
      <c r="ER34" s="4">
        <v>1</v>
      </c>
      <c r="ES34" s="5">
        <v>2299000</v>
      </c>
      <c r="ET34" s="4"/>
      <c r="EU34" s="5"/>
      <c r="EV34" s="230">
        <v>1</v>
      </c>
      <c r="EW34" s="231">
        <v>2299000</v>
      </c>
      <c r="EX34" s="4"/>
      <c r="EY34" s="5"/>
      <c r="EZ34" s="4"/>
      <c r="FA34" s="5"/>
      <c r="FB34" s="230"/>
      <c r="FC34" s="231"/>
      <c r="FD34" s="4"/>
      <c r="FE34" s="5"/>
      <c r="FF34" s="4">
        <v>2</v>
      </c>
      <c r="FG34" s="5">
        <v>12898000</v>
      </c>
      <c r="FH34" s="230">
        <v>2</v>
      </c>
      <c r="FI34" s="231">
        <v>12898000</v>
      </c>
      <c r="FJ34" s="4"/>
      <c r="FK34" s="5"/>
      <c r="FL34" s="4"/>
      <c r="FM34" s="5"/>
      <c r="FN34" s="230"/>
      <c r="FO34" s="231"/>
      <c r="FP34" s="4">
        <v>22</v>
      </c>
      <c r="FQ34" s="6">
        <v>120678000</v>
      </c>
    </row>
    <row r="35" spans="1:173" x14ac:dyDescent="0.2">
      <c r="A35" s="1"/>
      <c r="B35" s="2">
        <v>6080712</v>
      </c>
      <c r="C35" s="3" t="s">
        <v>321</v>
      </c>
      <c r="D35" s="4"/>
      <c r="E35" s="5"/>
      <c r="F35" s="4"/>
      <c r="G35" s="5"/>
      <c r="H35" s="230"/>
      <c r="I35" s="231"/>
      <c r="J35" s="4">
        <v>1</v>
      </c>
      <c r="K35" s="5">
        <v>2599000</v>
      </c>
      <c r="L35" s="4">
        <v>1</v>
      </c>
      <c r="M35" s="5">
        <v>3899000</v>
      </c>
      <c r="N35" s="230">
        <v>2</v>
      </c>
      <c r="O35" s="231">
        <v>6498000</v>
      </c>
      <c r="P35" s="4"/>
      <c r="Q35" s="5"/>
      <c r="R35" s="4"/>
      <c r="S35" s="5"/>
      <c r="T35" s="230"/>
      <c r="U35" s="231"/>
      <c r="V35" s="4">
        <v>2</v>
      </c>
      <c r="W35" s="5">
        <v>4898000</v>
      </c>
      <c r="X35" s="4"/>
      <c r="Y35" s="5"/>
      <c r="Z35" s="230">
        <v>2</v>
      </c>
      <c r="AA35" s="231">
        <v>4898000</v>
      </c>
      <c r="AB35" s="4"/>
      <c r="AC35" s="5"/>
      <c r="AD35" s="4">
        <v>5</v>
      </c>
      <c r="AE35" s="5">
        <v>28895000</v>
      </c>
      <c r="AF35" s="230">
        <v>5</v>
      </c>
      <c r="AG35" s="231">
        <v>28895000</v>
      </c>
      <c r="AH35" s="4"/>
      <c r="AI35" s="5"/>
      <c r="AJ35" s="4">
        <v>1</v>
      </c>
      <c r="AK35" s="5">
        <v>5499000</v>
      </c>
      <c r="AL35" s="230">
        <v>1</v>
      </c>
      <c r="AM35" s="231">
        <v>5499000</v>
      </c>
      <c r="AN35" s="4">
        <v>1</v>
      </c>
      <c r="AO35" s="5">
        <v>2599000</v>
      </c>
      <c r="AP35" s="4"/>
      <c r="AQ35" s="5"/>
      <c r="AR35" s="230">
        <v>1</v>
      </c>
      <c r="AS35" s="231">
        <v>2599000</v>
      </c>
      <c r="AT35" s="4">
        <v>1</v>
      </c>
      <c r="AU35" s="5">
        <v>2599000</v>
      </c>
      <c r="AV35" s="4">
        <v>1</v>
      </c>
      <c r="AW35" s="5">
        <v>5899000</v>
      </c>
      <c r="AX35" s="230">
        <v>2</v>
      </c>
      <c r="AY35" s="231">
        <v>8498000</v>
      </c>
      <c r="AZ35" s="4">
        <v>2</v>
      </c>
      <c r="BA35" s="5">
        <v>4198000</v>
      </c>
      <c r="BB35" s="4">
        <v>2</v>
      </c>
      <c r="BC35" s="5">
        <v>13898000</v>
      </c>
      <c r="BD35" s="230">
        <v>4</v>
      </c>
      <c r="BE35" s="231">
        <v>18096000</v>
      </c>
      <c r="BF35" s="4"/>
      <c r="BG35" s="5"/>
      <c r="BH35" s="4"/>
      <c r="BI35" s="5"/>
      <c r="BJ35" s="230"/>
      <c r="BK35" s="231"/>
      <c r="BL35" s="4"/>
      <c r="BM35" s="5"/>
      <c r="BN35" s="4">
        <v>1</v>
      </c>
      <c r="BO35" s="5">
        <v>5899000</v>
      </c>
      <c r="BP35" s="230">
        <v>1</v>
      </c>
      <c r="BQ35" s="231">
        <v>5899000</v>
      </c>
      <c r="BR35" s="4">
        <v>1</v>
      </c>
      <c r="BS35" s="5">
        <v>2799000</v>
      </c>
      <c r="BT35" s="4">
        <v>1</v>
      </c>
      <c r="BU35" s="5">
        <v>3899000</v>
      </c>
      <c r="BV35" s="230">
        <v>2</v>
      </c>
      <c r="BW35" s="231">
        <v>6698000</v>
      </c>
      <c r="BX35" s="4"/>
      <c r="BY35" s="5"/>
      <c r="BZ35" s="4"/>
      <c r="CA35" s="5"/>
      <c r="CB35" s="230"/>
      <c r="CC35" s="231"/>
      <c r="CD35" s="4"/>
      <c r="CE35" s="5"/>
      <c r="CF35" s="4">
        <v>1</v>
      </c>
      <c r="CG35" s="5">
        <v>3299000</v>
      </c>
      <c r="CH35" s="230">
        <v>1</v>
      </c>
      <c r="CI35" s="231">
        <v>3299000</v>
      </c>
      <c r="CJ35" s="4">
        <v>2</v>
      </c>
      <c r="CK35" s="5">
        <v>4598000</v>
      </c>
      <c r="CL35" s="4">
        <v>1</v>
      </c>
      <c r="CM35" s="5">
        <v>5499000</v>
      </c>
      <c r="CN35" s="230">
        <v>3</v>
      </c>
      <c r="CO35" s="231">
        <v>10097000</v>
      </c>
      <c r="CP35" s="4">
        <v>1</v>
      </c>
      <c r="CQ35" s="5">
        <v>2299000</v>
      </c>
      <c r="CR35" s="4">
        <v>1</v>
      </c>
      <c r="CS35" s="5">
        <v>5899000</v>
      </c>
      <c r="CT35" s="230">
        <v>2</v>
      </c>
      <c r="CU35" s="231">
        <v>8198000</v>
      </c>
      <c r="CV35" s="4">
        <v>1</v>
      </c>
      <c r="CW35" s="5">
        <v>2299000</v>
      </c>
      <c r="CX35" s="4">
        <v>2</v>
      </c>
      <c r="CY35" s="5">
        <v>11398000</v>
      </c>
      <c r="CZ35" s="230">
        <v>3</v>
      </c>
      <c r="DA35" s="231">
        <v>13697000</v>
      </c>
      <c r="DB35" s="4"/>
      <c r="DC35" s="5"/>
      <c r="DD35" s="4">
        <v>1</v>
      </c>
      <c r="DE35" s="5">
        <v>6999000</v>
      </c>
      <c r="DF35" s="230">
        <v>1</v>
      </c>
      <c r="DG35" s="231">
        <v>6999000</v>
      </c>
      <c r="DH35" s="4">
        <v>1</v>
      </c>
      <c r="DI35" s="5">
        <v>2299000</v>
      </c>
      <c r="DJ35" s="4"/>
      <c r="DK35" s="5"/>
      <c r="DL35" s="230">
        <v>1</v>
      </c>
      <c r="DM35" s="231">
        <v>2299000</v>
      </c>
      <c r="DN35" s="4">
        <v>1</v>
      </c>
      <c r="DO35" s="5">
        <v>2299000</v>
      </c>
      <c r="DP35" s="4">
        <v>3</v>
      </c>
      <c r="DQ35" s="5">
        <v>19097000</v>
      </c>
      <c r="DR35" s="230">
        <v>4</v>
      </c>
      <c r="DS35" s="231">
        <v>21396000</v>
      </c>
      <c r="DT35" s="4"/>
      <c r="DU35" s="5"/>
      <c r="DV35" s="4"/>
      <c r="DW35" s="5"/>
      <c r="DX35" s="230"/>
      <c r="DY35" s="231"/>
      <c r="DZ35" s="4"/>
      <c r="EA35" s="5"/>
      <c r="EB35" s="4"/>
      <c r="EC35" s="5"/>
      <c r="ED35" s="230"/>
      <c r="EE35" s="231"/>
      <c r="EF35" s="4"/>
      <c r="EG35" s="5"/>
      <c r="EH35" s="4"/>
      <c r="EI35" s="5"/>
      <c r="EJ35" s="230"/>
      <c r="EK35" s="231"/>
      <c r="EL35" s="4"/>
      <c r="EM35" s="5"/>
      <c r="EN35" s="4">
        <v>1</v>
      </c>
      <c r="EO35" s="5">
        <v>4299000</v>
      </c>
      <c r="EP35" s="230">
        <v>1</v>
      </c>
      <c r="EQ35" s="231">
        <v>4299000</v>
      </c>
      <c r="ER35" s="4"/>
      <c r="ES35" s="5"/>
      <c r="ET35" s="4">
        <v>1</v>
      </c>
      <c r="EU35" s="5">
        <v>3299000</v>
      </c>
      <c r="EV35" s="230">
        <v>1</v>
      </c>
      <c r="EW35" s="231">
        <v>3299000</v>
      </c>
      <c r="EX35" s="4">
        <v>2</v>
      </c>
      <c r="EY35" s="5">
        <v>4898000</v>
      </c>
      <c r="EZ35" s="4">
        <v>4</v>
      </c>
      <c r="FA35" s="5">
        <v>27296000</v>
      </c>
      <c r="FB35" s="230">
        <v>6</v>
      </c>
      <c r="FC35" s="231">
        <v>32194000</v>
      </c>
      <c r="FD35" s="4"/>
      <c r="FE35" s="5"/>
      <c r="FF35" s="4"/>
      <c r="FG35" s="5"/>
      <c r="FH35" s="230"/>
      <c r="FI35" s="231"/>
      <c r="FJ35" s="4"/>
      <c r="FK35" s="5"/>
      <c r="FL35" s="4"/>
      <c r="FM35" s="5"/>
      <c r="FN35" s="230"/>
      <c r="FO35" s="231"/>
      <c r="FP35" s="4">
        <v>43</v>
      </c>
      <c r="FQ35" s="6">
        <v>193357000</v>
      </c>
    </row>
    <row r="36" spans="1:173" x14ac:dyDescent="0.2">
      <c r="A36" s="232"/>
      <c r="B36" s="2">
        <v>6040702</v>
      </c>
      <c r="C36" s="3" t="s">
        <v>178</v>
      </c>
      <c r="D36" s="4"/>
      <c r="E36" s="5"/>
      <c r="F36" s="4"/>
      <c r="G36" s="5"/>
      <c r="H36" s="230"/>
      <c r="I36" s="231"/>
      <c r="J36" s="4"/>
      <c r="K36" s="5"/>
      <c r="L36" s="4">
        <v>1</v>
      </c>
      <c r="M36" s="5">
        <v>3599000</v>
      </c>
      <c r="N36" s="230">
        <v>1</v>
      </c>
      <c r="O36" s="231">
        <v>3599000</v>
      </c>
      <c r="P36" s="4">
        <v>2</v>
      </c>
      <c r="Q36" s="5">
        <v>5198000</v>
      </c>
      <c r="R36" s="4"/>
      <c r="S36" s="5"/>
      <c r="T36" s="230">
        <v>2</v>
      </c>
      <c r="U36" s="231">
        <v>5198000</v>
      </c>
      <c r="V36" s="4">
        <v>1</v>
      </c>
      <c r="W36" s="5">
        <v>2799000</v>
      </c>
      <c r="X36" s="4"/>
      <c r="Y36" s="5"/>
      <c r="Z36" s="230">
        <v>1</v>
      </c>
      <c r="AA36" s="231">
        <v>2799000</v>
      </c>
      <c r="AB36" s="4"/>
      <c r="AC36" s="5"/>
      <c r="AD36" s="4">
        <v>1</v>
      </c>
      <c r="AE36" s="5">
        <v>3899000</v>
      </c>
      <c r="AF36" s="230">
        <v>1</v>
      </c>
      <c r="AG36" s="231">
        <v>3899000</v>
      </c>
      <c r="AH36" s="4">
        <v>1</v>
      </c>
      <c r="AI36" s="5">
        <v>2099000</v>
      </c>
      <c r="AJ36" s="4"/>
      <c r="AK36" s="5"/>
      <c r="AL36" s="230">
        <v>1</v>
      </c>
      <c r="AM36" s="231">
        <v>2099000</v>
      </c>
      <c r="AN36" s="4"/>
      <c r="AO36" s="5"/>
      <c r="AP36" s="4">
        <v>1</v>
      </c>
      <c r="AQ36" s="5">
        <v>5499000</v>
      </c>
      <c r="AR36" s="230">
        <v>1</v>
      </c>
      <c r="AS36" s="231">
        <v>5499000</v>
      </c>
      <c r="AT36" s="4">
        <v>1</v>
      </c>
      <c r="AU36" s="5">
        <v>2099000</v>
      </c>
      <c r="AV36" s="4"/>
      <c r="AW36" s="5"/>
      <c r="AX36" s="230">
        <v>1</v>
      </c>
      <c r="AY36" s="231">
        <v>2099000</v>
      </c>
      <c r="AZ36" s="4">
        <v>1</v>
      </c>
      <c r="BA36" s="5">
        <v>2099000</v>
      </c>
      <c r="BB36" s="4"/>
      <c r="BC36" s="5"/>
      <c r="BD36" s="230">
        <v>1</v>
      </c>
      <c r="BE36" s="231">
        <v>2099000</v>
      </c>
      <c r="BF36" s="4"/>
      <c r="BG36" s="5"/>
      <c r="BH36" s="4">
        <v>1</v>
      </c>
      <c r="BI36" s="5">
        <v>9999000</v>
      </c>
      <c r="BJ36" s="230">
        <v>1</v>
      </c>
      <c r="BK36" s="231">
        <v>9999000</v>
      </c>
      <c r="BL36" s="4"/>
      <c r="BM36" s="5"/>
      <c r="BN36" s="4"/>
      <c r="BO36" s="5"/>
      <c r="BP36" s="230"/>
      <c r="BQ36" s="231"/>
      <c r="BR36" s="4"/>
      <c r="BS36" s="5"/>
      <c r="BT36" s="4"/>
      <c r="BU36" s="5"/>
      <c r="BV36" s="230"/>
      <c r="BW36" s="231"/>
      <c r="BX36" s="4">
        <v>1</v>
      </c>
      <c r="BY36" s="5">
        <v>2399000</v>
      </c>
      <c r="BZ36" s="4">
        <v>1</v>
      </c>
      <c r="CA36" s="5">
        <v>4299000</v>
      </c>
      <c r="CB36" s="230">
        <v>2</v>
      </c>
      <c r="CC36" s="231">
        <v>6698000</v>
      </c>
      <c r="CD36" s="4"/>
      <c r="CE36" s="5"/>
      <c r="CF36" s="4"/>
      <c r="CG36" s="5"/>
      <c r="CH36" s="230"/>
      <c r="CI36" s="231"/>
      <c r="CJ36" s="4"/>
      <c r="CK36" s="5"/>
      <c r="CL36" s="4"/>
      <c r="CM36" s="5"/>
      <c r="CN36" s="230"/>
      <c r="CO36" s="231"/>
      <c r="CP36" s="4">
        <v>1</v>
      </c>
      <c r="CQ36" s="5">
        <v>2799000</v>
      </c>
      <c r="CR36" s="4"/>
      <c r="CS36" s="5"/>
      <c r="CT36" s="230">
        <v>1</v>
      </c>
      <c r="CU36" s="231">
        <v>2799000</v>
      </c>
      <c r="CV36" s="4"/>
      <c r="CW36" s="5"/>
      <c r="CX36" s="4"/>
      <c r="CY36" s="5"/>
      <c r="CZ36" s="230"/>
      <c r="DA36" s="231"/>
      <c r="DB36" s="4"/>
      <c r="DC36" s="5"/>
      <c r="DD36" s="4">
        <v>1</v>
      </c>
      <c r="DE36" s="5">
        <v>6899000</v>
      </c>
      <c r="DF36" s="230">
        <v>1</v>
      </c>
      <c r="DG36" s="231">
        <v>6899000</v>
      </c>
      <c r="DH36" s="4"/>
      <c r="DI36" s="5"/>
      <c r="DJ36" s="4">
        <v>1</v>
      </c>
      <c r="DK36" s="5">
        <v>9999000</v>
      </c>
      <c r="DL36" s="230">
        <v>1</v>
      </c>
      <c r="DM36" s="231">
        <v>9999000</v>
      </c>
      <c r="DN36" s="4"/>
      <c r="DO36" s="5"/>
      <c r="DP36" s="4"/>
      <c r="DQ36" s="5"/>
      <c r="DR36" s="230"/>
      <c r="DS36" s="231"/>
      <c r="DT36" s="4"/>
      <c r="DU36" s="5"/>
      <c r="DV36" s="4"/>
      <c r="DW36" s="5"/>
      <c r="DX36" s="230"/>
      <c r="DY36" s="231"/>
      <c r="DZ36" s="4"/>
      <c r="EA36" s="5"/>
      <c r="EB36" s="4"/>
      <c r="EC36" s="5"/>
      <c r="ED36" s="230"/>
      <c r="EE36" s="231"/>
      <c r="EF36" s="4"/>
      <c r="EG36" s="5"/>
      <c r="EH36" s="4"/>
      <c r="EI36" s="5"/>
      <c r="EJ36" s="230"/>
      <c r="EK36" s="231"/>
      <c r="EL36" s="4"/>
      <c r="EM36" s="5"/>
      <c r="EN36" s="4"/>
      <c r="EO36" s="5"/>
      <c r="EP36" s="230"/>
      <c r="EQ36" s="231"/>
      <c r="ER36" s="4"/>
      <c r="ES36" s="5"/>
      <c r="ET36" s="4">
        <v>1</v>
      </c>
      <c r="EU36" s="5">
        <v>5699000</v>
      </c>
      <c r="EV36" s="230">
        <v>1</v>
      </c>
      <c r="EW36" s="231">
        <v>5699000</v>
      </c>
      <c r="EX36" s="4"/>
      <c r="EY36" s="5"/>
      <c r="EZ36" s="4"/>
      <c r="FA36" s="5"/>
      <c r="FB36" s="230"/>
      <c r="FC36" s="231"/>
      <c r="FD36" s="4"/>
      <c r="FE36" s="5"/>
      <c r="FF36" s="4">
        <v>2</v>
      </c>
      <c r="FG36" s="5">
        <v>17898000</v>
      </c>
      <c r="FH36" s="230">
        <v>2</v>
      </c>
      <c r="FI36" s="231">
        <v>17898000</v>
      </c>
      <c r="FJ36" s="4">
        <v>1</v>
      </c>
      <c r="FK36" s="5">
        <v>2599000</v>
      </c>
      <c r="FL36" s="4"/>
      <c r="FM36" s="5"/>
      <c r="FN36" s="230">
        <v>1</v>
      </c>
      <c r="FO36" s="231">
        <v>2599000</v>
      </c>
      <c r="FP36" s="4">
        <v>19</v>
      </c>
      <c r="FQ36" s="6">
        <v>89881000</v>
      </c>
    </row>
    <row r="37" spans="1:173" x14ac:dyDescent="0.2">
      <c r="A37" s="1" t="s">
        <v>39</v>
      </c>
      <c r="B37" s="2">
        <v>6020711</v>
      </c>
      <c r="C37" s="3" t="s">
        <v>322</v>
      </c>
      <c r="D37" s="4">
        <v>3</v>
      </c>
      <c r="E37" s="5">
        <v>7597000</v>
      </c>
      <c r="F37" s="4"/>
      <c r="G37" s="5"/>
      <c r="H37" s="230">
        <v>3</v>
      </c>
      <c r="I37" s="231">
        <v>7597000</v>
      </c>
      <c r="J37" s="4">
        <v>1</v>
      </c>
      <c r="K37" s="5">
        <v>2599000</v>
      </c>
      <c r="L37" s="4"/>
      <c r="M37" s="5"/>
      <c r="N37" s="230">
        <v>1</v>
      </c>
      <c r="O37" s="231">
        <v>2599000</v>
      </c>
      <c r="P37" s="4"/>
      <c r="Q37" s="5"/>
      <c r="R37" s="4">
        <v>2</v>
      </c>
      <c r="S37" s="5">
        <v>30898000</v>
      </c>
      <c r="T37" s="230">
        <v>2</v>
      </c>
      <c r="U37" s="231">
        <v>30898000</v>
      </c>
      <c r="V37" s="4">
        <v>2</v>
      </c>
      <c r="W37" s="5">
        <v>5598000</v>
      </c>
      <c r="X37" s="4">
        <v>3</v>
      </c>
      <c r="Y37" s="5">
        <v>14697000</v>
      </c>
      <c r="Z37" s="230">
        <v>5</v>
      </c>
      <c r="AA37" s="231">
        <v>20295000</v>
      </c>
      <c r="AB37" s="4">
        <v>1</v>
      </c>
      <c r="AC37" s="5">
        <v>2299000</v>
      </c>
      <c r="AD37" s="4">
        <v>2</v>
      </c>
      <c r="AE37" s="5">
        <v>11898000</v>
      </c>
      <c r="AF37" s="230">
        <v>3</v>
      </c>
      <c r="AG37" s="231">
        <v>14197000</v>
      </c>
      <c r="AH37" s="4">
        <v>2</v>
      </c>
      <c r="AI37" s="5">
        <v>4898000</v>
      </c>
      <c r="AJ37" s="4"/>
      <c r="AK37" s="5"/>
      <c r="AL37" s="230">
        <v>2</v>
      </c>
      <c r="AM37" s="231">
        <v>4898000</v>
      </c>
      <c r="AN37" s="4">
        <v>2</v>
      </c>
      <c r="AO37" s="5">
        <v>4998000</v>
      </c>
      <c r="AP37" s="4">
        <v>2</v>
      </c>
      <c r="AQ37" s="5">
        <v>15698000</v>
      </c>
      <c r="AR37" s="230">
        <v>4</v>
      </c>
      <c r="AS37" s="231">
        <v>20696000</v>
      </c>
      <c r="AT37" s="4">
        <v>1</v>
      </c>
      <c r="AU37" s="5">
        <v>2099000</v>
      </c>
      <c r="AV37" s="4"/>
      <c r="AW37" s="5"/>
      <c r="AX37" s="230">
        <v>1</v>
      </c>
      <c r="AY37" s="231">
        <v>2099000</v>
      </c>
      <c r="AZ37" s="4">
        <v>1</v>
      </c>
      <c r="BA37" s="5">
        <v>2599000</v>
      </c>
      <c r="BB37" s="4">
        <v>1</v>
      </c>
      <c r="BC37" s="5">
        <v>9999000</v>
      </c>
      <c r="BD37" s="230">
        <v>2</v>
      </c>
      <c r="BE37" s="231">
        <v>12598000</v>
      </c>
      <c r="BF37" s="4"/>
      <c r="BG37" s="5"/>
      <c r="BH37" s="4">
        <v>1</v>
      </c>
      <c r="BI37" s="5">
        <v>3899000</v>
      </c>
      <c r="BJ37" s="230">
        <v>1</v>
      </c>
      <c r="BK37" s="231">
        <v>3899000</v>
      </c>
      <c r="BL37" s="4"/>
      <c r="BM37" s="5"/>
      <c r="BN37" s="4">
        <v>1</v>
      </c>
      <c r="BO37" s="5">
        <v>9999000</v>
      </c>
      <c r="BP37" s="230">
        <v>1</v>
      </c>
      <c r="BQ37" s="231">
        <v>9999000</v>
      </c>
      <c r="BR37" s="4">
        <v>2</v>
      </c>
      <c r="BS37" s="5">
        <v>4698000</v>
      </c>
      <c r="BT37" s="4">
        <v>6</v>
      </c>
      <c r="BU37" s="5">
        <v>38594000</v>
      </c>
      <c r="BV37" s="230">
        <v>8</v>
      </c>
      <c r="BW37" s="231">
        <v>43292000</v>
      </c>
      <c r="BX37" s="4">
        <v>1</v>
      </c>
      <c r="BY37" s="5">
        <v>2799000</v>
      </c>
      <c r="BZ37" s="4">
        <v>2</v>
      </c>
      <c r="CA37" s="5">
        <v>11598000</v>
      </c>
      <c r="CB37" s="230">
        <v>3</v>
      </c>
      <c r="CC37" s="231">
        <v>14397000</v>
      </c>
      <c r="CD37" s="4"/>
      <c r="CE37" s="5"/>
      <c r="CF37" s="4">
        <v>1</v>
      </c>
      <c r="CG37" s="5">
        <v>6299000</v>
      </c>
      <c r="CH37" s="230">
        <v>1</v>
      </c>
      <c r="CI37" s="231">
        <v>6299000</v>
      </c>
      <c r="CJ37" s="4">
        <v>1</v>
      </c>
      <c r="CK37" s="5">
        <v>2299000</v>
      </c>
      <c r="CL37" s="4">
        <v>1</v>
      </c>
      <c r="CM37" s="5">
        <v>4299000</v>
      </c>
      <c r="CN37" s="230">
        <v>2</v>
      </c>
      <c r="CO37" s="231">
        <v>6598000</v>
      </c>
      <c r="CP37" s="4"/>
      <c r="CQ37" s="5"/>
      <c r="CR37" s="4"/>
      <c r="CS37" s="5"/>
      <c r="CT37" s="230"/>
      <c r="CU37" s="231"/>
      <c r="CV37" s="4">
        <v>3</v>
      </c>
      <c r="CW37" s="5">
        <v>7197000</v>
      </c>
      <c r="CX37" s="4">
        <v>2</v>
      </c>
      <c r="CY37" s="5">
        <v>10998000</v>
      </c>
      <c r="CZ37" s="230">
        <v>5</v>
      </c>
      <c r="DA37" s="231">
        <v>18195000</v>
      </c>
      <c r="DB37" s="4">
        <v>2</v>
      </c>
      <c r="DC37" s="5">
        <v>4598000</v>
      </c>
      <c r="DD37" s="4">
        <v>3</v>
      </c>
      <c r="DE37" s="5">
        <v>23497000</v>
      </c>
      <c r="DF37" s="230">
        <v>5</v>
      </c>
      <c r="DG37" s="231">
        <v>28095000</v>
      </c>
      <c r="DH37" s="4"/>
      <c r="DI37" s="5"/>
      <c r="DJ37" s="4">
        <v>3</v>
      </c>
      <c r="DK37" s="5">
        <v>20697000</v>
      </c>
      <c r="DL37" s="230">
        <v>3</v>
      </c>
      <c r="DM37" s="231">
        <v>20697000</v>
      </c>
      <c r="DN37" s="4">
        <v>2</v>
      </c>
      <c r="DO37" s="5">
        <v>4898000</v>
      </c>
      <c r="DP37" s="4">
        <v>2</v>
      </c>
      <c r="DQ37" s="5">
        <v>10698000</v>
      </c>
      <c r="DR37" s="230">
        <v>4</v>
      </c>
      <c r="DS37" s="231">
        <v>15596000</v>
      </c>
      <c r="DT37" s="4"/>
      <c r="DU37" s="5"/>
      <c r="DV37" s="4">
        <v>3</v>
      </c>
      <c r="DW37" s="5">
        <v>13597000</v>
      </c>
      <c r="DX37" s="230">
        <v>3</v>
      </c>
      <c r="DY37" s="231">
        <v>13597000</v>
      </c>
      <c r="DZ37" s="4">
        <v>1</v>
      </c>
      <c r="EA37" s="5">
        <v>2799000</v>
      </c>
      <c r="EB37" s="4">
        <v>1</v>
      </c>
      <c r="EC37" s="5">
        <v>3299000</v>
      </c>
      <c r="ED37" s="230">
        <v>2</v>
      </c>
      <c r="EE37" s="231">
        <v>6098000</v>
      </c>
      <c r="EF37" s="4"/>
      <c r="EG37" s="5"/>
      <c r="EH37" s="4">
        <v>4</v>
      </c>
      <c r="EI37" s="5">
        <v>19696000</v>
      </c>
      <c r="EJ37" s="230">
        <v>4</v>
      </c>
      <c r="EK37" s="231">
        <v>19696000</v>
      </c>
      <c r="EL37" s="4">
        <v>1</v>
      </c>
      <c r="EM37" s="5">
        <v>2599000</v>
      </c>
      <c r="EN37" s="4">
        <v>3</v>
      </c>
      <c r="EO37" s="5">
        <v>14697000</v>
      </c>
      <c r="EP37" s="230">
        <v>4</v>
      </c>
      <c r="EQ37" s="231">
        <v>17296000</v>
      </c>
      <c r="ER37" s="4">
        <v>3</v>
      </c>
      <c r="ES37" s="5">
        <v>7797000</v>
      </c>
      <c r="ET37" s="4"/>
      <c r="EU37" s="5"/>
      <c r="EV37" s="230">
        <v>3</v>
      </c>
      <c r="EW37" s="231">
        <v>7797000</v>
      </c>
      <c r="EX37" s="4">
        <v>2</v>
      </c>
      <c r="EY37" s="5">
        <v>4898000</v>
      </c>
      <c r="EZ37" s="4">
        <v>1</v>
      </c>
      <c r="FA37" s="5">
        <v>7999000</v>
      </c>
      <c r="FB37" s="230">
        <v>3</v>
      </c>
      <c r="FC37" s="231">
        <v>12897000</v>
      </c>
      <c r="FD37" s="4"/>
      <c r="FE37" s="5"/>
      <c r="FF37" s="4">
        <v>4</v>
      </c>
      <c r="FG37" s="5">
        <v>45196000</v>
      </c>
      <c r="FH37" s="230">
        <v>4</v>
      </c>
      <c r="FI37" s="231">
        <v>45196000</v>
      </c>
      <c r="FJ37" s="4">
        <v>1</v>
      </c>
      <c r="FK37" s="5">
        <v>2599000</v>
      </c>
      <c r="FL37" s="4">
        <v>5</v>
      </c>
      <c r="FM37" s="5">
        <v>35695000</v>
      </c>
      <c r="FN37" s="230">
        <v>6</v>
      </c>
      <c r="FO37" s="231">
        <v>38294000</v>
      </c>
      <c r="FP37" s="4">
        <v>85</v>
      </c>
      <c r="FQ37" s="6">
        <v>443815000</v>
      </c>
    </row>
    <row r="38" spans="1:173" x14ac:dyDescent="0.2">
      <c r="A38" s="1"/>
      <c r="B38" s="2">
        <v>6020706</v>
      </c>
      <c r="C38" s="3" t="s">
        <v>323</v>
      </c>
      <c r="D38" s="4">
        <v>3</v>
      </c>
      <c r="E38" s="5">
        <v>6797000</v>
      </c>
      <c r="F38" s="4"/>
      <c r="G38" s="5"/>
      <c r="H38" s="230">
        <v>3</v>
      </c>
      <c r="I38" s="231">
        <v>6797000</v>
      </c>
      <c r="J38" s="4">
        <v>6</v>
      </c>
      <c r="K38" s="5">
        <v>14994000</v>
      </c>
      <c r="L38" s="4"/>
      <c r="M38" s="5"/>
      <c r="N38" s="230">
        <v>6</v>
      </c>
      <c r="O38" s="231">
        <v>14994000</v>
      </c>
      <c r="P38" s="4">
        <v>2</v>
      </c>
      <c r="Q38" s="5">
        <v>4798000</v>
      </c>
      <c r="R38" s="4">
        <v>2</v>
      </c>
      <c r="S38" s="5">
        <v>7898000</v>
      </c>
      <c r="T38" s="230">
        <v>4</v>
      </c>
      <c r="U38" s="231">
        <v>12696000</v>
      </c>
      <c r="V38" s="4">
        <v>2</v>
      </c>
      <c r="W38" s="5">
        <v>5098000</v>
      </c>
      <c r="X38" s="4"/>
      <c r="Y38" s="5"/>
      <c r="Z38" s="230">
        <v>2</v>
      </c>
      <c r="AA38" s="231">
        <v>5098000</v>
      </c>
      <c r="AB38" s="4">
        <v>3</v>
      </c>
      <c r="AC38" s="5">
        <v>7797000</v>
      </c>
      <c r="AD38" s="4">
        <v>3</v>
      </c>
      <c r="AE38" s="5">
        <v>20197000</v>
      </c>
      <c r="AF38" s="230">
        <v>6</v>
      </c>
      <c r="AG38" s="231">
        <v>27994000</v>
      </c>
      <c r="AH38" s="4">
        <v>4</v>
      </c>
      <c r="AI38" s="5">
        <v>10296000</v>
      </c>
      <c r="AJ38" s="4">
        <v>3</v>
      </c>
      <c r="AK38" s="5">
        <v>15397000</v>
      </c>
      <c r="AL38" s="230">
        <v>7</v>
      </c>
      <c r="AM38" s="231">
        <v>25693000</v>
      </c>
      <c r="AN38" s="4">
        <v>1</v>
      </c>
      <c r="AO38" s="5">
        <v>2799000</v>
      </c>
      <c r="AP38" s="4">
        <v>2</v>
      </c>
      <c r="AQ38" s="5">
        <v>15898000</v>
      </c>
      <c r="AR38" s="230">
        <v>3</v>
      </c>
      <c r="AS38" s="231">
        <v>18697000</v>
      </c>
      <c r="AT38" s="4">
        <v>2</v>
      </c>
      <c r="AU38" s="5">
        <v>4498000</v>
      </c>
      <c r="AV38" s="4"/>
      <c r="AW38" s="5"/>
      <c r="AX38" s="230">
        <v>2</v>
      </c>
      <c r="AY38" s="231">
        <v>4498000</v>
      </c>
      <c r="AZ38" s="4">
        <v>1</v>
      </c>
      <c r="BA38" s="5">
        <v>2399000</v>
      </c>
      <c r="BB38" s="4">
        <v>3</v>
      </c>
      <c r="BC38" s="5">
        <v>19797000</v>
      </c>
      <c r="BD38" s="230">
        <v>4</v>
      </c>
      <c r="BE38" s="231">
        <v>22196000</v>
      </c>
      <c r="BF38" s="4">
        <v>1</v>
      </c>
      <c r="BG38" s="5">
        <v>2599000</v>
      </c>
      <c r="BH38" s="4"/>
      <c r="BI38" s="5"/>
      <c r="BJ38" s="230">
        <v>1</v>
      </c>
      <c r="BK38" s="231">
        <v>2599000</v>
      </c>
      <c r="BL38" s="4"/>
      <c r="BM38" s="5"/>
      <c r="BN38" s="4">
        <v>1</v>
      </c>
      <c r="BO38" s="5">
        <v>4299000</v>
      </c>
      <c r="BP38" s="230">
        <v>1</v>
      </c>
      <c r="BQ38" s="231">
        <v>4299000</v>
      </c>
      <c r="BR38" s="4">
        <v>6</v>
      </c>
      <c r="BS38" s="5">
        <v>14094000</v>
      </c>
      <c r="BT38" s="4">
        <v>1</v>
      </c>
      <c r="BU38" s="5">
        <v>5899000</v>
      </c>
      <c r="BV38" s="230">
        <v>7</v>
      </c>
      <c r="BW38" s="231">
        <v>19993000</v>
      </c>
      <c r="BX38" s="4">
        <v>3</v>
      </c>
      <c r="BY38" s="5">
        <v>7997000</v>
      </c>
      <c r="BZ38" s="4">
        <v>2</v>
      </c>
      <c r="CA38" s="5">
        <v>9798000</v>
      </c>
      <c r="CB38" s="230">
        <v>5</v>
      </c>
      <c r="CC38" s="231">
        <v>17795000</v>
      </c>
      <c r="CD38" s="4">
        <v>1</v>
      </c>
      <c r="CE38" s="5">
        <v>2299000</v>
      </c>
      <c r="CF38" s="4">
        <v>1</v>
      </c>
      <c r="CG38" s="5">
        <v>3899000</v>
      </c>
      <c r="CH38" s="230">
        <v>2</v>
      </c>
      <c r="CI38" s="231">
        <v>6198000</v>
      </c>
      <c r="CJ38" s="4"/>
      <c r="CK38" s="5"/>
      <c r="CL38" s="4">
        <v>5</v>
      </c>
      <c r="CM38" s="5">
        <v>28095000</v>
      </c>
      <c r="CN38" s="230">
        <v>5</v>
      </c>
      <c r="CO38" s="231">
        <v>28095000</v>
      </c>
      <c r="CP38" s="4">
        <v>1</v>
      </c>
      <c r="CQ38" s="5">
        <v>2599000</v>
      </c>
      <c r="CR38" s="4">
        <v>1</v>
      </c>
      <c r="CS38" s="5">
        <v>3299000</v>
      </c>
      <c r="CT38" s="230">
        <v>2</v>
      </c>
      <c r="CU38" s="231">
        <v>5898000</v>
      </c>
      <c r="CV38" s="4"/>
      <c r="CW38" s="5"/>
      <c r="CX38" s="4"/>
      <c r="CY38" s="5"/>
      <c r="CZ38" s="230"/>
      <c r="DA38" s="231"/>
      <c r="DB38" s="4">
        <v>1</v>
      </c>
      <c r="DC38" s="5">
        <v>2599000</v>
      </c>
      <c r="DD38" s="4">
        <v>3</v>
      </c>
      <c r="DE38" s="5">
        <v>12497000</v>
      </c>
      <c r="DF38" s="230">
        <v>4</v>
      </c>
      <c r="DG38" s="231">
        <v>15096000</v>
      </c>
      <c r="DH38" s="4">
        <v>1</v>
      </c>
      <c r="DI38" s="5">
        <v>2599000</v>
      </c>
      <c r="DJ38" s="4"/>
      <c r="DK38" s="5"/>
      <c r="DL38" s="230">
        <v>1</v>
      </c>
      <c r="DM38" s="231">
        <v>2599000</v>
      </c>
      <c r="DN38" s="4">
        <v>3</v>
      </c>
      <c r="DO38" s="5">
        <v>7197000</v>
      </c>
      <c r="DP38" s="4">
        <v>2</v>
      </c>
      <c r="DQ38" s="5">
        <v>10798000</v>
      </c>
      <c r="DR38" s="230">
        <v>5</v>
      </c>
      <c r="DS38" s="231">
        <v>17995000</v>
      </c>
      <c r="DT38" s="4">
        <v>1</v>
      </c>
      <c r="DU38" s="5">
        <v>2299000</v>
      </c>
      <c r="DV38" s="4"/>
      <c r="DW38" s="5"/>
      <c r="DX38" s="230">
        <v>1</v>
      </c>
      <c r="DY38" s="231">
        <v>2299000</v>
      </c>
      <c r="DZ38" s="4">
        <v>1</v>
      </c>
      <c r="EA38" s="5">
        <v>2299000</v>
      </c>
      <c r="EB38" s="4">
        <v>2</v>
      </c>
      <c r="EC38" s="5">
        <v>11798000</v>
      </c>
      <c r="ED38" s="230">
        <v>3</v>
      </c>
      <c r="EE38" s="231">
        <v>14097000</v>
      </c>
      <c r="EF38" s="4">
        <v>1</v>
      </c>
      <c r="EG38" s="5">
        <v>2599000</v>
      </c>
      <c r="EH38" s="4"/>
      <c r="EI38" s="5"/>
      <c r="EJ38" s="230">
        <v>1</v>
      </c>
      <c r="EK38" s="231">
        <v>2599000</v>
      </c>
      <c r="EL38" s="4">
        <v>1</v>
      </c>
      <c r="EM38" s="5">
        <v>2599000</v>
      </c>
      <c r="EN38" s="4">
        <v>1</v>
      </c>
      <c r="EO38" s="5">
        <v>4299000</v>
      </c>
      <c r="EP38" s="230">
        <v>2</v>
      </c>
      <c r="EQ38" s="231">
        <v>6898000</v>
      </c>
      <c r="ER38" s="4">
        <v>1</v>
      </c>
      <c r="ES38" s="5">
        <v>2299000</v>
      </c>
      <c r="ET38" s="4">
        <v>1</v>
      </c>
      <c r="EU38" s="5">
        <v>5899000</v>
      </c>
      <c r="EV38" s="230">
        <v>2</v>
      </c>
      <c r="EW38" s="231">
        <v>8198000</v>
      </c>
      <c r="EX38" s="4">
        <v>1</v>
      </c>
      <c r="EY38" s="5">
        <v>2299000</v>
      </c>
      <c r="EZ38" s="4">
        <v>1</v>
      </c>
      <c r="FA38" s="5">
        <v>7699000</v>
      </c>
      <c r="FB38" s="230">
        <v>2</v>
      </c>
      <c r="FC38" s="231">
        <v>9998000</v>
      </c>
      <c r="FD38" s="4">
        <v>2</v>
      </c>
      <c r="FE38" s="5">
        <v>4598000</v>
      </c>
      <c r="FF38" s="4">
        <v>1</v>
      </c>
      <c r="FG38" s="5">
        <v>3299000</v>
      </c>
      <c r="FH38" s="230">
        <v>3</v>
      </c>
      <c r="FI38" s="231">
        <v>7897000</v>
      </c>
      <c r="FJ38" s="4">
        <v>1</v>
      </c>
      <c r="FK38" s="5">
        <v>2799000</v>
      </c>
      <c r="FL38" s="4"/>
      <c r="FM38" s="5"/>
      <c r="FN38" s="230">
        <v>1</v>
      </c>
      <c r="FO38" s="231">
        <v>2799000</v>
      </c>
      <c r="FP38" s="4">
        <v>85</v>
      </c>
      <c r="FQ38" s="6">
        <v>314015000</v>
      </c>
    </row>
    <row r="39" spans="1:173" x14ac:dyDescent="0.2">
      <c r="A39" s="1"/>
      <c r="B39" s="2">
        <v>6020704</v>
      </c>
      <c r="C39" s="3" t="s">
        <v>324</v>
      </c>
      <c r="D39" s="4">
        <v>1</v>
      </c>
      <c r="E39" s="5">
        <v>2599000</v>
      </c>
      <c r="F39" s="4">
        <v>1</v>
      </c>
      <c r="G39" s="5">
        <v>7999000</v>
      </c>
      <c r="H39" s="230">
        <v>2</v>
      </c>
      <c r="I39" s="231">
        <v>10598000</v>
      </c>
      <c r="J39" s="4"/>
      <c r="K39" s="5"/>
      <c r="L39" s="4"/>
      <c r="M39" s="5"/>
      <c r="N39" s="230"/>
      <c r="O39" s="231"/>
      <c r="P39" s="4">
        <v>1</v>
      </c>
      <c r="Q39" s="5">
        <v>2399000</v>
      </c>
      <c r="R39" s="4"/>
      <c r="S39" s="5"/>
      <c r="T39" s="230">
        <v>1</v>
      </c>
      <c r="U39" s="231">
        <v>2399000</v>
      </c>
      <c r="V39" s="4">
        <v>2</v>
      </c>
      <c r="W39" s="5">
        <v>5198000</v>
      </c>
      <c r="X39" s="4">
        <v>1</v>
      </c>
      <c r="Y39" s="5">
        <v>4299000</v>
      </c>
      <c r="Z39" s="230">
        <v>3</v>
      </c>
      <c r="AA39" s="231">
        <v>9497000</v>
      </c>
      <c r="AB39" s="4">
        <v>2</v>
      </c>
      <c r="AC39" s="5">
        <v>4898000</v>
      </c>
      <c r="AD39" s="4"/>
      <c r="AE39" s="5"/>
      <c r="AF39" s="230">
        <v>2</v>
      </c>
      <c r="AG39" s="231">
        <v>4898000</v>
      </c>
      <c r="AH39" s="4">
        <v>1</v>
      </c>
      <c r="AI39" s="5">
        <v>2799000</v>
      </c>
      <c r="AJ39" s="4">
        <v>1</v>
      </c>
      <c r="AK39" s="5">
        <v>3599000</v>
      </c>
      <c r="AL39" s="230">
        <v>2</v>
      </c>
      <c r="AM39" s="231">
        <v>6398000</v>
      </c>
      <c r="AN39" s="4">
        <v>1</v>
      </c>
      <c r="AO39" s="5">
        <v>2599000</v>
      </c>
      <c r="AP39" s="4"/>
      <c r="AQ39" s="5"/>
      <c r="AR39" s="230">
        <v>1</v>
      </c>
      <c r="AS39" s="231">
        <v>2599000</v>
      </c>
      <c r="AT39" s="4"/>
      <c r="AU39" s="5"/>
      <c r="AV39" s="4">
        <v>2</v>
      </c>
      <c r="AW39" s="5">
        <v>11198000</v>
      </c>
      <c r="AX39" s="230">
        <v>2</v>
      </c>
      <c r="AY39" s="231">
        <v>11198000</v>
      </c>
      <c r="AZ39" s="4"/>
      <c r="BA39" s="5"/>
      <c r="BB39" s="4"/>
      <c r="BC39" s="5"/>
      <c r="BD39" s="230"/>
      <c r="BE39" s="231"/>
      <c r="BF39" s="4">
        <v>1</v>
      </c>
      <c r="BG39" s="5">
        <v>2599000</v>
      </c>
      <c r="BH39" s="4">
        <v>1</v>
      </c>
      <c r="BI39" s="5">
        <v>3899000</v>
      </c>
      <c r="BJ39" s="230">
        <v>2</v>
      </c>
      <c r="BK39" s="231">
        <v>6498000</v>
      </c>
      <c r="BL39" s="4">
        <v>2</v>
      </c>
      <c r="BM39" s="5">
        <v>4898000</v>
      </c>
      <c r="BN39" s="4">
        <v>1</v>
      </c>
      <c r="BO39" s="5">
        <v>5899000</v>
      </c>
      <c r="BP39" s="230">
        <v>3</v>
      </c>
      <c r="BQ39" s="231">
        <v>10797000</v>
      </c>
      <c r="BR39" s="4">
        <v>2</v>
      </c>
      <c r="BS39" s="5">
        <v>5398000</v>
      </c>
      <c r="BT39" s="4">
        <v>2</v>
      </c>
      <c r="BU39" s="5">
        <v>9198000</v>
      </c>
      <c r="BV39" s="230">
        <v>4</v>
      </c>
      <c r="BW39" s="231">
        <v>14596000</v>
      </c>
      <c r="BX39" s="4">
        <v>1</v>
      </c>
      <c r="BY39" s="5">
        <v>2799000</v>
      </c>
      <c r="BZ39" s="4">
        <v>1</v>
      </c>
      <c r="CA39" s="5">
        <v>9999000</v>
      </c>
      <c r="CB39" s="230">
        <v>2</v>
      </c>
      <c r="CC39" s="231">
        <v>12798000</v>
      </c>
      <c r="CD39" s="4"/>
      <c r="CE39" s="5"/>
      <c r="CF39" s="4"/>
      <c r="CG39" s="5"/>
      <c r="CH39" s="230"/>
      <c r="CI39" s="231"/>
      <c r="CJ39" s="4"/>
      <c r="CK39" s="5"/>
      <c r="CL39" s="4"/>
      <c r="CM39" s="5"/>
      <c r="CN39" s="230"/>
      <c r="CO39" s="231"/>
      <c r="CP39" s="4">
        <v>1</v>
      </c>
      <c r="CQ39" s="5">
        <v>2299000</v>
      </c>
      <c r="CR39" s="4">
        <v>1</v>
      </c>
      <c r="CS39" s="5">
        <v>5499000</v>
      </c>
      <c r="CT39" s="230">
        <v>2</v>
      </c>
      <c r="CU39" s="231">
        <v>7798000</v>
      </c>
      <c r="CV39" s="4"/>
      <c r="CW39" s="5"/>
      <c r="CX39" s="4"/>
      <c r="CY39" s="5"/>
      <c r="CZ39" s="230"/>
      <c r="DA39" s="231"/>
      <c r="DB39" s="4">
        <v>1</v>
      </c>
      <c r="DC39" s="5">
        <v>2299000</v>
      </c>
      <c r="DD39" s="4">
        <v>1</v>
      </c>
      <c r="DE39" s="5">
        <v>3899000</v>
      </c>
      <c r="DF39" s="230">
        <v>2</v>
      </c>
      <c r="DG39" s="231">
        <v>6198000</v>
      </c>
      <c r="DH39" s="4">
        <v>2</v>
      </c>
      <c r="DI39" s="5">
        <v>5198000</v>
      </c>
      <c r="DJ39" s="4"/>
      <c r="DK39" s="5"/>
      <c r="DL39" s="230">
        <v>2</v>
      </c>
      <c r="DM39" s="231">
        <v>5198000</v>
      </c>
      <c r="DN39" s="4">
        <v>2</v>
      </c>
      <c r="DO39" s="5">
        <v>4898000</v>
      </c>
      <c r="DP39" s="4">
        <v>1</v>
      </c>
      <c r="DQ39" s="5">
        <v>4799000</v>
      </c>
      <c r="DR39" s="230">
        <v>3</v>
      </c>
      <c r="DS39" s="231">
        <v>9697000</v>
      </c>
      <c r="DT39" s="4">
        <v>2</v>
      </c>
      <c r="DU39" s="5">
        <v>4598000</v>
      </c>
      <c r="DV39" s="4"/>
      <c r="DW39" s="5"/>
      <c r="DX39" s="230">
        <v>2</v>
      </c>
      <c r="DY39" s="231">
        <v>4598000</v>
      </c>
      <c r="DZ39" s="4"/>
      <c r="EA39" s="5"/>
      <c r="EB39" s="4"/>
      <c r="EC39" s="5"/>
      <c r="ED39" s="230"/>
      <c r="EE39" s="231"/>
      <c r="EF39" s="4">
        <v>1</v>
      </c>
      <c r="EG39" s="5">
        <v>2599000</v>
      </c>
      <c r="EH39" s="4">
        <v>1</v>
      </c>
      <c r="EI39" s="5">
        <v>3899000</v>
      </c>
      <c r="EJ39" s="230">
        <v>2</v>
      </c>
      <c r="EK39" s="231">
        <v>6498000</v>
      </c>
      <c r="EL39" s="4">
        <v>1</v>
      </c>
      <c r="EM39" s="5">
        <v>2299000</v>
      </c>
      <c r="EN39" s="4"/>
      <c r="EO39" s="5"/>
      <c r="EP39" s="230">
        <v>1</v>
      </c>
      <c r="EQ39" s="231">
        <v>2299000</v>
      </c>
      <c r="ER39" s="4"/>
      <c r="ES39" s="5"/>
      <c r="ET39" s="4">
        <v>2</v>
      </c>
      <c r="EU39" s="5">
        <v>16498000</v>
      </c>
      <c r="EV39" s="230">
        <v>2</v>
      </c>
      <c r="EW39" s="231">
        <v>16498000</v>
      </c>
      <c r="EX39" s="4"/>
      <c r="EY39" s="5"/>
      <c r="EZ39" s="4">
        <v>1</v>
      </c>
      <c r="FA39" s="5">
        <v>4799000</v>
      </c>
      <c r="FB39" s="230">
        <v>1</v>
      </c>
      <c r="FC39" s="231">
        <v>4799000</v>
      </c>
      <c r="FD39" s="4"/>
      <c r="FE39" s="5"/>
      <c r="FF39" s="4">
        <v>3</v>
      </c>
      <c r="FG39" s="5">
        <v>22397000</v>
      </c>
      <c r="FH39" s="230">
        <v>3</v>
      </c>
      <c r="FI39" s="231">
        <v>22397000</v>
      </c>
      <c r="FJ39" s="4">
        <v>1</v>
      </c>
      <c r="FK39" s="5">
        <v>2299000</v>
      </c>
      <c r="FL39" s="4"/>
      <c r="FM39" s="5"/>
      <c r="FN39" s="230">
        <v>1</v>
      </c>
      <c r="FO39" s="231">
        <v>2299000</v>
      </c>
      <c r="FP39" s="4">
        <v>45</v>
      </c>
      <c r="FQ39" s="6">
        <v>180555000</v>
      </c>
    </row>
    <row r="40" spans="1:173" x14ac:dyDescent="0.2">
      <c r="A40" s="1"/>
      <c r="B40" s="2">
        <v>6010708</v>
      </c>
      <c r="C40" s="3" t="s">
        <v>325</v>
      </c>
      <c r="D40" s="4">
        <v>1</v>
      </c>
      <c r="E40" s="5">
        <v>2399000</v>
      </c>
      <c r="F40" s="4"/>
      <c r="G40" s="5"/>
      <c r="H40" s="230">
        <v>1</v>
      </c>
      <c r="I40" s="231">
        <v>2399000</v>
      </c>
      <c r="J40" s="4">
        <v>2</v>
      </c>
      <c r="K40" s="5">
        <v>4498000</v>
      </c>
      <c r="L40" s="4">
        <v>2</v>
      </c>
      <c r="M40" s="5">
        <v>7198000</v>
      </c>
      <c r="N40" s="230">
        <v>4</v>
      </c>
      <c r="O40" s="231">
        <v>11696000</v>
      </c>
      <c r="P40" s="4">
        <v>1</v>
      </c>
      <c r="Q40" s="5">
        <v>2399000</v>
      </c>
      <c r="R40" s="4">
        <v>1</v>
      </c>
      <c r="S40" s="5">
        <v>5899000</v>
      </c>
      <c r="T40" s="230">
        <v>2</v>
      </c>
      <c r="U40" s="231">
        <v>8298000</v>
      </c>
      <c r="V40" s="4">
        <v>1</v>
      </c>
      <c r="W40" s="5">
        <v>2799000</v>
      </c>
      <c r="X40" s="4">
        <v>4</v>
      </c>
      <c r="Y40" s="5">
        <v>46996000</v>
      </c>
      <c r="Z40" s="230">
        <v>5</v>
      </c>
      <c r="AA40" s="231">
        <v>49795000</v>
      </c>
      <c r="AB40" s="4">
        <v>4</v>
      </c>
      <c r="AC40" s="5">
        <v>9696000</v>
      </c>
      <c r="AD40" s="4">
        <v>2</v>
      </c>
      <c r="AE40" s="5">
        <v>26998000</v>
      </c>
      <c r="AF40" s="230">
        <v>6</v>
      </c>
      <c r="AG40" s="231">
        <v>36694000</v>
      </c>
      <c r="AH40" s="4">
        <v>2</v>
      </c>
      <c r="AI40" s="5">
        <v>4698000</v>
      </c>
      <c r="AJ40" s="4">
        <v>1</v>
      </c>
      <c r="AK40" s="5">
        <v>25999000</v>
      </c>
      <c r="AL40" s="230">
        <v>3</v>
      </c>
      <c r="AM40" s="231">
        <v>30697000</v>
      </c>
      <c r="AN40" s="4"/>
      <c r="AO40" s="5"/>
      <c r="AP40" s="4">
        <v>3</v>
      </c>
      <c r="AQ40" s="5">
        <v>23797000</v>
      </c>
      <c r="AR40" s="230">
        <v>3</v>
      </c>
      <c r="AS40" s="231">
        <v>23797000</v>
      </c>
      <c r="AT40" s="4">
        <v>1</v>
      </c>
      <c r="AU40" s="5">
        <v>2399000</v>
      </c>
      <c r="AV40" s="4">
        <v>1</v>
      </c>
      <c r="AW40" s="5">
        <v>5899000</v>
      </c>
      <c r="AX40" s="230">
        <v>2</v>
      </c>
      <c r="AY40" s="231">
        <v>8298000</v>
      </c>
      <c r="AZ40" s="4">
        <v>3</v>
      </c>
      <c r="BA40" s="5">
        <v>6297000</v>
      </c>
      <c r="BB40" s="4">
        <v>1</v>
      </c>
      <c r="BC40" s="5">
        <v>5899000</v>
      </c>
      <c r="BD40" s="230">
        <v>4</v>
      </c>
      <c r="BE40" s="231">
        <v>12196000</v>
      </c>
      <c r="BF40" s="4">
        <v>5</v>
      </c>
      <c r="BG40" s="5">
        <v>10795000</v>
      </c>
      <c r="BH40" s="4">
        <v>1</v>
      </c>
      <c r="BI40" s="5">
        <v>7999000</v>
      </c>
      <c r="BJ40" s="230">
        <v>6</v>
      </c>
      <c r="BK40" s="231">
        <v>18794000</v>
      </c>
      <c r="BL40" s="4"/>
      <c r="BM40" s="5"/>
      <c r="BN40" s="4">
        <v>1</v>
      </c>
      <c r="BO40" s="5">
        <v>3899000</v>
      </c>
      <c r="BP40" s="230">
        <v>1</v>
      </c>
      <c r="BQ40" s="231">
        <v>3899000</v>
      </c>
      <c r="BR40" s="4">
        <v>2</v>
      </c>
      <c r="BS40" s="5">
        <v>5198000</v>
      </c>
      <c r="BT40" s="4">
        <v>1</v>
      </c>
      <c r="BU40" s="5">
        <v>6899000</v>
      </c>
      <c r="BV40" s="230">
        <v>3</v>
      </c>
      <c r="BW40" s="231">
        <v>12097000</v>
      </c>
      <c r="BX40" s="4">
        <v>4</v>
      </c>
      <c r="BY40" s="5">
        <v>9796000</v>
      </c>
      <c r="BZ40" s="4">
        <v>3</v>
      </c>
      <c r="CA40" s="5">
        <v>43597000</v>
      </c>
      <c r="CB40" s="230">
        <v>7</v>
      </c>
      <c r="CC40" s="231">
        <v>53393000</v>
      </c>
      <c r="CD40" s="4"/>
      <c r="CE40" s="5"/>
      <c r="CF40" s="4">
        <v>3</v>
      </c>
      <c r="CG40" s="5">
        <v>26497000</v>
      </c>
      <c r="CH40" s="230">
        <v>3</v>
      </c>
      <c r="CI40" s="231">
        <v>26497000</v>
      </c>
      <c r="CJ40" s="4">
        <v>2</v>
      </c>
      <c r="CK40" s="5">
        <v>4898000</v>
      </c>
      <c r="CL40" s="4"/>
      <c r="CM40" s="5"/>
      <c r="CN40" s="230">
        <v>2</v>
      </c>
      <c r="CO40" s="231">
        <v>4898000</v>
      </c>
      <c r="CP40" s="4">
        <v>2</v>
      </c>
      <c r="CQ40" s="5">
        <v>4598000</v>
      </c>
      <c r="CR40" s="4"/>
      <c r="CS40" s="5"/>
      <c r="CT40" s="230">
        <v>2</v>
      </c>
      <c r="CU40" s="231">
        <v>4598000</v>
      </c>
      <c r="CV40" s="4"/>
      <c r="CW40" s="5"/>
      <c r="CX40" s="4">
        <v>1</v>
      </c>
      <c r="CY40" s="5">
        <v>3599000</v>
      </c>
      <c r="CZ40" s="230">
        <v>1</v>
      </c>
      <c r="DA40" s="231">
        <v>3599000</v>
      </c>
      <c r="DB40" s="4"/>
      <c r="DC40" s="5"/>
      <c r="DD40" s="4">
        <v>4</v>
      </c>
      <c r="DE40" s="5">
        <v>28396000</v>
      </c>
      <c r="DF40" s="230">
        <v>4</v>
      </c>
      <c r="DG40" s="231">
        <v>28396000</v>
      </c>
      <c r="DH40" s="4"/>
      <c r="DI40" s="5"/>
      <c r="DJ40" s="4">
        <v>1</v>
      </c>
      <c r="DK40" s="5">
        <v>3299000</v>
      </c>
      <c r="DL40" s="230">
        <v>1</v>
      </c>
      <c r="DM40" s="231">
        <v>3299000</v>
      </c>
      <c r="DN40" s="4"/>
      <c r="DO40" s="5"/>
      <c r="DP40" s="4">
        <v>1</v>
      </c>
      <c r="DQ40" s="5">
        <v>3299000</v>
      </c>
      <c r="DR40" s="230">
        <v>1</v>
      </c>
      <c r="DS40" s="231">
        <v>3299000</v>
      </c>
      <c r="DT40" s="4"/>
      <c r="DU40" s="5"/>
      <c r="DV40" s="4">
        <v>1</v>
      </c>
      <c r="DW40" s="5">
        <v>6999000</v>
      </c>
      <c r="DX40" s="230">
        <v>1</v>
      </c>
      <c r="DY40" s="231">
        <v>6999000</v>
      </c>
      <c r="DZ40" s="4">
        <v>1</v>
      </c>
      <c r="EA40" s="5">
        <v>2599000</v>
      </c>
      <c r="EB40" s="4"/>
      <c r="EC40" s="5"/>
      <c r="ED40" s="230">
        <v>1</v>
      </c>
      <c r="EE40" s="231">
        <v>2599000</v>
      </c>
      <c r="EF40" s="4">
        <v>1</v>
      </c>
      <c r="EG40" s="5">
        <v>2299000</v>
      </c>
      <c r="EH40" s="4">
        <v>2</v>
      </c>
      <c r="EI40" s="5">
        <v>31898000</v>
      </c>
      <c r="EJ40" s="230">
        <v>3</v>
      </c>
      <c r="EK40" s="231">
        <v>34197000</v>
      </c>
      <c r="EL40" s="4"/>
      <c r="EM40" s="5"/>
      <c r="EN40" s="4">
        <v>1</v>
      </c>
      <c r="EO40" s="5">
        <v>6499000</v>
      </c>
      <c r="EP40" s="230">
        <v>1</v>
      </c>
      <c r="EQ40" s="231">
        <v>6499000</v>
      </c>
      <c r="ER40" s="4"/>
      <c r="ES40" s="5"/>
      <c r="ET40" s="4">
        <v>2</v>
      </c>
      <c r="EU40" s="5">
        <v>10098000</v>
      </c>
      <c r="EV40" s="230">
        <v>2</v>
      </c>
      <c r="EW40" s="231">
        <v>10098000</v>
      </c>
      <c r="EX40" s="4">
        <v>1</v>
      </c>
      <c r="EY40" s="5">
        <v>2299000</v>
      </c>
      <c r="EZ40" s="4">
        <v>2</v>
      </c>
      <c r="FA40" s="5">
        <v>11598000</v>
      </c>
      <c r="FB40" s="230">
        <v>3</v>
      </c>
      <c r="FC40" s="231">
        <v>13897000</v>
      </c>
      <c r="FD40" s="4">
        <v>1</v>
      </c>
      <c r="FE40" s="5">
        <v>2299000</v>
      </c>
      <c r="FF40" s="4">
        <v>2</v>
      </c>
      <c r="FG40" s="5">
        <v>10298000</v>
      </c>
      <c r="FH40" s="230">
        <v>3</v>
      </c>
      <c r="FI40" s="231">
        <v>12597000</v>
      </c>
      <c r="FJ40" s="4">
        <v>1</v>
      </c>
      <c r="FK40" s="5">
        <v>2299000</v>
      </c>
      <c r="FL40" s="4">
        <v>2</v>
      </c>
      <c r="FM40" s="5">
        <v>32498000</v>
      </c>
      <c r="FN40" s="230">
        <v>3</v>
      </c>
      <c r="FO40" s="231">
        <v>34797000</v>
      </c>
      <c r="FP40" s="4">
        <v>78</v>
      </c>
      <c r="FQ40" s="6">
        <v>468322000</v>
      </c>
    </row>
    <row r="41" spans="1:173" x14ac:dyDescent="0.2">
      <c r="A41" s="1"/>
      <c r="B41" s="2">
        <v>6010703</v>
      </c>
      <c r="C41" s="3" t="s">
        <v>326</v>
      </c>
      <c r="D41" s="4">
        <v>1</v>
      </c>
      <c r="E41" s="5">
        <v>2399000</v>
      </c>
      <c r="F41" s="4">
        <v>1</v>
      </c>
      <c r="G41" s="5">
        <v>3899000</v>
      </c>
      <c r="H41" s="230">
        <v>2</v>
      </c>
      <c r="I41" s="231">
        <v>6298000</v>
      </c>
      <c r="J41" s="4"/>
      <c r="K41" s="5"/>
      <c r="L41" s="4"/>
      <c r="M41" s="5"/>
      <c r="N41" s="230"/>
      <c r="O41" s="231"/>
      <c r="P41" s="4">
        <v>3</v>
      </c>
      <c r="Q41" s="5">
        <v>7297000</v>
      </c>
      <c r="R41" s="4"/>
      <c r="S41" s="5"/>
      <c r="T41" s="230">
        <v>3</v>
      </c>
      <c r="U41" s="231">
        <v>7297000</v>
      </c>
      <c r="V41" s="4">
        <v>4</v>
      </c>
      <c r="W41" s="5">
        <v>9796000</v>
      </c>
      <c r="X41" s="4">
        <v>2</v>
      </c>
      <c r="Y41" s="5">
        <v>9098000</v>
      </c>
      <c r="Z41" s="230">
        <v>6</v>
      </c>
      <c r="AA41" s="231">
        <v>18894000</v>
      </c>
      <c r="AB41" s="4">
        <v>5</v>
      </c>
      <c r="AC41" s="5">
        <v>12295000</v>
      </c>
      <c r="AD41" s="4"/>
      <c r="AE41" s="5"/>
      <c r="AF41" s="230">
        <v>5</v>
      </c>
      <c r="AG41" s="231">
        <v>12295000</v>
      </c>
      <c r="AH41" s="4">
        <v>6</v>
      </c>
      <c r="AI41" s="5">
        <v>12794000</v>
      </c>
      <c r="AJ41" s="4"/>
      <c r="AK41" s="5"/>
      <c r="AL41" s="230">
        <v>6</v>
      </c>
      <c r="AM41" s="231">
        <v>12794000</v>
      </c>
      <c r="AN41" s="4">
        <v>4</v>
      </c>
      <c r="AO41" s="5">
        <v>9196000</v>
      </c>
      <c r="AP41" s="4"/>
      <c r="AQ41" s="5"/>
      <c r="AR41" s="230">
        <v>4</v>
      </c>
      <c r="AS41" s="231">
        <v>9196000</v>
      </c>
      <c r="AT41" s="4">
        <v>1</v>
      </c>
      <c r="AU41" s="5">
        <v>2099000</v>
      </c>
      <c r="AV41" s="4"/>
      <c r="AW41" s="5"/>
      <c r="AX41" s="230">
        <v>1</v>
      </c>
      <c r="AY41" s="231">
        <v>2099000</v>
      </c>
      <c r="AZ41" s="4"/>
      <c r="BA41" s="5"/>
      <c r="BB41" s="4">
        <v>1</v>
      </c>
      <c r="BC41" s="5">
        <v>6299000</v>
      </c>
      <c r="BD41" s="230">
        <v>1</v>
      </c>
      <c r="BE41" s="231">
        <v>6299000</v>
      </c>
      <c r="BF41" s="4">
        <v>11</v>
      </c>
      <c r="BG41" s="5">
        <v>24489000</v>
      </c>
      <c r="BH41" s="4"/>
      <c r="BI41" s="5"/>
      <c r="BJ41" s="230">
        <v>11</v>
      </c>
      <c r="BK41" s="231">
        <v>24489000</v>
      </c>
      <c r="BL41" s="4"/>
      <c r="BM41" s="5"/>
      <c r="BN41" s="4"/>
      <c r="BO41" s="5"/>
      <c r="BP41" s="230"/>
      <c r="BQ41" s="231"/>
      <c r="BR41" s="4">
        <v>5</v>
      </c>
      <c r="BS41" s="5">
        <v>10695000</v>
      </c>
      <c r="BT41" s="4">
        <v>2</v>
      </c>
      <c r="BU41" s="5">
        <v>13898000</v>
      </c>
      <c r="BV41" s="230">
        <v>7</v>
      </c>
      <c r="BW41" s="231">
        <v>24593000</v>
      </c>
      <c r="BX41" s="4">
        <v>4</v>
      </c>
      <c r="BY41" s="5">
        <v>9096000</v>
      </c>
      <c r="BZ41" s="4">
        <v>3</v>
      </c>
      <c r="CA41" s="5">
        <v>17797000</v>
      </c>
      <c r="CB41" s="230">
        <v>7</v>
      </c>
      <c r="CC41" s="231">
        <v>26893000</v>
      </c>
      <c r="CD41" s="4">
        <v>6</v>
      </c>
      <c r="CE41" s="5">
        <v>13794000</v>
      </c>
      <c r="CF41" s="4">
        <v>2</v>
      </c>
      <c r="CG41" s="5">
        <v>13198000</v>
      </c>
      <c r="CH41" s="230">
        <v>8</v>
      </c>
      <c r="CI41" s="231">
        <v>26992000</v>
      </c>
      <c r="CJ41" s="4">
        <v>2</v>
      </c>
      <c r="CK41" s="5">
        <v>4598000</v>
      </c>
      <c r="CL41" s="4">
        <v>1</v>
      </c>
      <c r="CM41" s="5">
        <v>6299000</v>
      </c>
      <c r="CN41" s="230">
        <v>3</v>
      </c>
      <c r="CO41" s="231">
        <v>10897000</v>
      </c>
      <c r="CP41" s="4">
        <v>3</v>
      </c>
      <c r="CQ41" s="5">
        <v>6897000</v>
      </c>
      <c r="CR41" s="4">
        <v>2</v>
      </c>
      <c r="CS41" s="5">
        <v>7498000</v>
      </c>
      <c r="CT41" s="230">
        <v>5</v>
      </c>
      <c r="CU41" s="231">
        <v>14395000</v>
      </c>
      <c r="CV41" s="4"/>
      <c r="CW41" s="5"/>
      <c r="CX41" s="4">
        <v>1</v>
      </c>
      <c r="CY41" s="5">
        <v>9999000</v>
      </c>
      <c r="CZ41" s="230">
        <v>1</v>
      </c>
      <c r="DA41" s="231">
        <v>9999000</v>
      </c>
      <c r="DB41" s="4">
        <v>2</v>
      </c>
      <c r="DC41" s="5">
        <v>5398000</v>
      </c>
      <c r="DD41" s="4">
        <v>2</v>
      </c>
      <c r="DE41" s="5">
        <v>10198000</v>
      </c>
      <c r="DF41" s="230">
        <v>4</v>
      </c>
      <c r="DG41" s="231">
        <v>15596000</v>
      </c>
      <c r="DH41" s="4">
        <v>1</v>
      </c>
      <c r="DI41" s="5">
        <v>2299000</v>
      </c>
      <c r="DJ41" s="4"/>
      <c r="DK41" s="5"/>
      <c r="DL41" s="230">
        <v>1</v>
      </c>
      <c r="DM41" s="231">
        <v>2299000</v>
      </c>
      <c r="DN41" s="4">
        <v>4</v>
      </c>
      <c r="DO41" s="5">
        <v>9196000</v>
      </c>
      <c r="DP41" s="4">
        <v>3</v>
      </c>
      <c r="DQ41" s="5">
        <v>13697000</v>
      </c>
      <c r="DR41" s="230">
        <v>7</v>
      </c>
      <c r="DS41" s="231">
        <v>22893000</v>
      </c>
      <c r="DT41" s="4">
        <v>1</v>
      </c>
      <c r="DU41" s="5">
        <v>2799000</v>
      </c>
      <c r="DV41" s="4">
        <v>1</v>
      </c>
      <c r="DW41" s="5">
        <v>3299000</v>
      </c>
      <c r="DX41" s="230">
        <v>2</v>
      </c>
      <c r="DY41" s="231">
        <v>6098000</v>
      </c>
      <c r="DZ41" s="4">
        <v>1</v>
      </c>
      <c r="EA41" s="5">
        <v>2299000</v>
      </c>
      <c r="EB41" s="4">
        <v>1</v>
      </c>
      <c r="EC41" s="5">
        <v>5899000</v>
      </c>
      <c r="ED41" s="230">
        <v>2</v>
      </c>
      <c r="EE41" s="231">
        <v>8198000</v>
      </c>
      <c r="EF41" s="4">
        <v>1</v>
      </c>
      <c r="EG41" s="5">
        <v>2299000</v>
      </c>
      <c r="EH41" s="4"/>
      <c r="EI41" s="5"/>
      <c r="EJ41" s="230">
        <v>1</v>
      </c>
      <c r="EK41" s="231">
        <v>2299000</v>
      </c>
      <c r="EL41" s="4">
        <v>1</v>
      </c>
      <c r="EM41" s="5">
        <v>2299000</v>
      </c>
      <c r="EN41" s="4">
        <v>1</v>
      </c>
      <c r="EO41" s="5">
        <v>4299000</v>
      </c>
      <c r="EP41" s="230">
        <v>2</v>
      </c>
      <c r="EQ41" s="231">
        <v>6598000</v>
      </c>
      <c r="ER41" s="4"/>
      <c r="ES41" s="5"/>
      <c r="ET41" s="4"/>
      <c r="EU41" s="5"/>
      <c r="EV41" s="230"/>
      <c r="EW41" s="231"/>
      <c r="EX41" s="4">
        <v>6</v>
      </c>
      <c r="EY41" s="5">
        <v>13794000</v>
      </c>
      <c r="EZ41" s="4">
        <v>2</v>
      </c>
      <c r="FA41" s="5">
        <v>7798000</v>
      </c>
      <c r="FB41" s="230">
        <v>8</v>
      </c>
      <c r="FC41" s="231">
        <v>21592000</v>
      </c>
      <c r="FD41" s="4">
        <v>5</v>
      </c>
      <c r="FE41" s="5">
        <v>11795000</v>
      </c>
      <c r="FF41" s="4">
        <v>1</v>
      </c>
      <c r="FG41" s="5">
        <v>3299000</v>
      </c>
      <c r="FH41" s="230">
        <v>6</v>
      </c>
      <c r="FI41" s="231">
        <v>15094000</v>
      </c>
      <c r="FJ41" s="4"/>
      <c r="FK41" s="5"/>
      <c r="FL41" s="4"/>
      <c r="FM41" s="5"/>
      <c r="FN41" s="230"/>
      <c r="FO41" s="231"/>
      <c r="FP41" s="4">
        <v>103</v>
      </c>
      <c r="FQ41" s="6">
        <v>314097000</v>
      </c>
    </row>
    <row r="42" spans="1:173" x14ac:dyDescent="0.2">
      <c r="A42" s="1"/>
      <c r="B42" s="2">
        <v>6010702</v>
      </c>
      <c r="C42" s="3" t="s">
        <v>327</v>
      </c>
      <c r="D42" s="4">
        <v>5</v>
      </c>
      <c r="E42" s="5">
        <v>12595000</v>
      </c>
      <c r="F42" s="4">
        <v>1</v>
      </c>
      <c r="G42" s="5">
        <v>6899000</v>
      </c>
      <c r="H42" s="230">
        <v>6</v>
      </c>
      <c r="I42" s="231">
        <v>19494000</v>
      </c>
      <c r="J42" s="4">
        <v>6</v>
      </c>
      <c r="K42" s="5">
        <v>13994000</v>
      </c>
      <c r="L42" s="4">
        <v>2</v>
      </c>
      <c r="M42" s="5">
        <v>7898000</v>
      </c>
      <c r="N42" s="230">
        <v>8</v>
      </c>
      <c r="O42" s="231">
        <v>21892000</v>
      </c>
      <c r="P42" s="4">
        <v>8</v>
      </c>
      <c r="Q42" s="5">
        <v>19592000</v>
      </c>
      <c r="R42" s="4"/>
      <c r="S42" s="5"/>
      <c r="T42" s="230">
        <v>8</v>
      </c>
      <c r="U42" s="231">
        <v>19592000</v>
      </c>
      <c r="V42" s="4">
        <v>3</v>
      </c>
      <c r="W42" s="5">
        <v>6597000</v>
      </c>
      <c r="X42" s="4">
        <v>1</v>
      </c>
      <c r="Y42" s="5">
        <v>4899000</v>
      </c>
      <c r="Z42" s="230">
        <v>4</v>
      </c>
      <c r="AA42" s="231">
        <v>11496000</v>
      </c>
      <c r="AB42" s="4">
        <v>16</v>
      </c>
      <c r="AC42" s="5">
        <v>38584000</v>
      </c>
      <c r="AD42" s="4">
        <v>6</v>
      </c>
      <c r="AE42" s="5">
        <v>49994000</v>
      </c>
      <c r="AF42" s="230">
        <v>22</v>
      </c>
      <c r="AG42" s="231">
        <v>88578000</v>
      </c>
      <c r="AH42" s="4">
        <v>8</v>
      </c>
      <c r="AI42" s="5">
        <v>20192000</v>
      </c>
      <c r="AJ42" s="4">
        <v>1</v>
      </c>
      <c r="AK42" s="5">
        <v>3899000</v>
      </c>
      <c r="AL42" s="230">
        <v>9</v>
      </c>
      <c r="AM42" s="231">
        <v>24091000</v>
      </c>
      <c r="AN42" s="4">
        <v>3</v>
      </c>
      <c r="AO42" s="5">
        <v>7297000</v>
      </c>
      <c r="AP42" s="4">
        <v>1</v>
      </c>
      <c r="AQ42" s="5">
        <v>9999000</v>
      </c>
      <c r="AR42" s="230">
        <v>4</v>
      </c>
      <c r="AS42" s="231">
        <v>17296000</v>
      </c>
      <c r="AT42" s="4">
        <v>8</v>
      </c>
      <c r="AU42" s="5">
        <v>18692000</v>
      </c>
      <c r="AV42" s="4">
        <v>4</v>
      </c>
      <c r="AW42" s="5">
        <v>22096000</v>
      </c>
      <c r="AX42" s="230">
        <v>12</v>
      </c>
      <c r="AY42" s="231">
        <v>40788000</v>
      </c>
      <c r="AZ42" s="4">
        <v>4</v>
      </c>
      <c r="BA42" s="5">
        <v>9996000</v>
      </c>
      <c r="BB42" s="4">
        <v>2</v>
      </c>
      <c r="BC42" s="5">
        <v>10198000</v>
      </c>
      <c r="BD42" s="230">
        <v>6</v>
      </c>
      <c r="BE42" s="231">
        <v>20194000</v>
      </c>
      <c r="BF42" s="4">
        <v>4</v>
      </c>
      <c r="BG42" s="5">
        <v>8396000</v>
      </c>
      <c r="BH42" s="4">
        <v>1</v>
      </c>
      <c r="BI42" s="5">
        <v>4899000</v>
      </c>
      <c r="BJ42" s="230">
        <v>5</v>
      </c>
      <c r="BK42" s="231">
        <v>13295000</v>
      </c>
      <c r="BL42" s="4">
        <v>5</v>
      </c>
      <c r="BM42" s="5">
        <v>11695000</v>
      </c>
      <c r="BN42" s="4">
        <v>1</v>
      </c>
      <c r="BO42" s="5">
        <v>25999000</v>
      </c>
      <c r="BP42" s="230">
        <v>6</v>
      </c>
      <c r="BQ42" s="231">
        <v>37694000</v>
      </c>
      <c r="BR42" s="4">
        <v>8</v>
      </c>
      <c r="BS42" s="5">
        <v>18592000</v>
      </c>
      <c r="BT42" s="4">
        <v>3</v>
      </c>
      <c r="BU42" s="5">
        <v>20297000</v>
      </c>
      <c r="BV42" s="230">
        <v>11</v>
      </c>
      <c r="BW42" s="231">
        <v>38889000</v>
      </c>
      <c r="BX42" s="4">
        <v>7</v>
      </c>
      <c r="BY42" s="5">
        <v>16393000</v>
      </c>
      <c r="BZ42" s="4">
        <v>3</v>
      </c>
      <c r="CA42" s="5">
        <v>16697000</v>
      </c>
      <c r="CB42" s="230">
        <v>10</v>
      </c>
      <c r="CC42" s="231">
        <v>33090000</v>
      </c>
      <c r="CD42" s="4"/>
      <c r="CE42" s="5"/>
      <c r="CF42" s="4">
        <v>3</v>
      </c>
      <c r="CG42" s="5">
        <v>13497000</v>
      </c>
      <c r="CH42" s="230">
        <v>3</v>
      </c>
      <c r="CI42" s="231">
        <v>13497000</v>
      </c>
      <c r="CJ42" s="4">
        <v>5</v>
      </c>
      <c r="CK42" s="5">
        <v>11795000</v>
      </c>
      <c r="CL42" s="4"/>
      <c r="CM42" s="5"/>
      <c r="CN42" s="230">
        <v>5</v>
      </c>
      <c r="CO42" s="231">
        <v>11795000</v>
      </c>
      <c r="CP42" s="4">
        <v>12</v>
      </c>
      <c r="CQ42" s="5">
        <v>28388000</v>
      </c>
      <c r="CR42" s="4">
        <v>5</v>
      </c>
      <c r="CS42" s="5">
        <v>23195000</v>
      </c>
      <c r="CT42" s="230">
        <v>17</v>
      </c>
      <c r="CU42" s="231">
        <v>51583000</v>
      </c>
      <c r="CV42" s="4"/>
      <c r="CW42" s="5"/>
      <c r="CX42" s="4">
        <v>1</v>
      </c>
      <c r="CY42" s="5">
        <v>4299000</v>
      </c>
      <c r="CZ42" s="230">
        <v>1</v>
      </c>
      <c r="DA42" s="231">
        <v>4299000</v>
      </c>
      <c r="DB42" s="4">
        <v>4</v>
      </c>
      <c r="DC42" s="5">
        <v>9496000</v>
      </c>
      <c r="DD42" s="4">
        <v>6</v>
      </c>
      <c r="DE42" s="5">
        <v>41594000</v>
      </c>
      <c r="DF42" s="230">
        <v>10</v>
      </c>
      <c r="DG42" s="231">
        <v>51090000</v>
      </c>
      <c r="DH42" s="4">
        <v>3</v>
      </c>
      <c r="DI42" s="5">
        <v>6897000</v>
      </c>
      <c r="DJ42" s="4">
        <v>3</v>
      </c>
      <c r="DK42" s="5">
        <v>22597000</v>
      </c>
      <c r="DL42" s="230">
        <v>6</v>
      </c>
      <c r="DM42" s="231">
        <v>29494000</v>
      </c>
      <c r="DN42" s="4">
        <v>6</v>
      </c>
      <c r="DO42" s="5">
        <v>14294000</v>
      </c>
      <c r="DP42" s="4">
        <v>7</v>
      </c>
      <c r="DQ42" s="5">
        <v>33693000</v>
      </c>
      <c r="DR42" s="230">
        <v>13</v>
      </c>
      <c r="DS42" s="231">
        <v>47987000</v>
      </c>
      <c r="DT42" s="4">
        <v>4</v>
      </c>
      <c r="DU42" s="5">
        <v>9796000</v>
      </c>
      <c r="DV42" s="4">
        <v>3</v>
      </c>
      <c r="DW42" s="5">
        <v>11097000</v>
      </c>
      <c r="DX42" s="230">
        <v>7</v>
      </c>
      <c r="DY42" s="231">
        <v>20893000</v>
      </c>
      <c r="DZ42" s="4"/>
      <c r="EA42" s="5"/>
      <c r="EB42" s="4">
        <v>3</v>
      </c>
      <c r="EC42" s="5">
        <v>18797000</v>
      </c>
      <c r="ED42" s="230">
        <v>3</v>
      </c>
      <c r="EE42" s="231">
        <v>18797000</v>
      </c>
      <c r="EF42" s="4">
        <v>3</v>
      </c>
      <c r="EG42" s="5">
        <v>7197000</v>
      </c>
      <c r="EH42" s="4">
        <v>2</v>
      </c>
      <c r="EI42" s="5">
        <v>9798000</v>
      </c>
      <c r="EJ42" s="230">
        <v>5</v>
      </c>
      <c r="EK42" s="231">
        <v>16995000</v>
      </c>
      <c r="EL42" s="4">
        <v>3</v>
      </c>
      <c r="EM42" s="5">
        <v>8197000</v>
      </c>
      <c r="EN42" s="4">
        <v>2</v>
      </c>
      <c r="EO42" s="5">
        <v>7598000</v>
      </c>
      <c r="EP42" s="230">
        <v>5</v>
      </c>
      <c r="EQ42" s="231">
        <v>15795000</v>
      </c>
      <c r="ER42" s="4">
        <v>2</v>
      </c>
      <c r="ES42" s="5">
        <v>4898000</v>
      </c>
      <c r="ET42" s="4">
        <v>3</v>
      </c>
      <c r="EU42" s="5">
        <v>17197000</v>
      </c>
      <c r="EV42" s="230">
        <v>5</v>
      </c>
      <c r="EW42" s="231">
        <v>22095000</v>
      </c>
      <c r="EX42" s="4">
        <v>6</v>
      </c>
      <c r="EY42" s="5">
        <v>14694000</v>
      </c>
      <c r="EZ42" s="4">
        <v>6</v>
      </c>
      <c r="FA42" s="5">
        <v>38394000</v>
      </c>
      <c r="FB42" s="230">
        <v>12</v>
      </c>
      <c r="FC42" s="231">
        <v>53088000</v>
      </c>
      <c r="FD42" s="4">
        <v>8</v>
      </c>
      <c r="FE42" s="5">
        <v>19492000</v>
      </c>
      <c r="FF42" s="4">
        <v>5</v>
      </c>
      <c r="FG42" s="5">
        <v>21095000</v>
      </c>
      <c r="FH42" s="230">
        <v>13</v>
      </c>
      <c r="FI42" s="231">
        <v>40587000</v>
      </c>
      <c r="FJ42" s="4">
        <v>3</v>
      </c>
      <c r="FK42" s="5">
        <v>7197000</v>
      </c>
      <c r="FL42" s="4">
        <v>2</v>
      </c>
      <c r="FM42" s="5">
        <v>8598000</v>
      </c>
      <c r="FN42" s="230">
        <v>5</v>
      </c>
      <c r="FO42" s="231">
        <v>15795000</v>
      </c>
      <c r="FP42" s="4">
        <v>221</v>
      </c>
      <c r="FQ42" s="6">
        <v>800179000</v>
      </c>
    </row>
    <row r="43" spans="1:173" x14ac:dyDescent="0.2">
      <c r="A43" s="1"/>
      <c r="B43" s="2">
        <v>6010701</v>
      </c>
      <c r="C43" s="3" t="s">
        <v>328</v>
      </c>
      <c r="D43" s="4">
        <v>2</v>
      </c>
      <c r="E43" s="5">
        <v>5098000</v>
      </c>
      <c r="F43" s="4">
        <v>1</v>
      </c>
      <c r="G43" s="5">
        <v>4299000</v>
      </c>
      <c r="H43" s="230">
        <v>3</v>
      </c>
      <c r="I43" s="231">
        <v>9397000</v>
      </c>
      <c r="J43" s="4">
        <v>3</v>
      </c>
      <c r="K43" s="5">
        <v>7297000</v>
      </c>
      <c r="L43" s="4">
        <v>2</v>
      </c>
      <c r="M43" s="5">
        <v>14298000</v>
      </c>
      <c r="N43" s="230">
        <v>5</v>
      </c>
      <c r="O43" s="231">
        <v>21595000</v>
      </c>
      <c r="P43" s="4">
        <v>7</v>
      </c>
      <c r="Q43" s="5">
        <v>18693000</v>
      </c>
      <c r="R43" s="4">
        <v>2</v>
      </c>
      <c r="S43" s="5">
        <v>15498000</v>
      </c>
      <c r="T43" s="230">
        <v>9</v>
      </c>
      <c r="U43" s="231">
        <v>34191000</v>
      </c>
      <c r="V43" s="4">
        <v>5</v>
      </c>
      <c r="W43" s="5">
        <v>11995000</v>
      </c>
      <c r="X43" s="4"/>
      <c r="Y43" s="5"/>
      <c r="Z43" s="230">
        <v>5</v>
      </c>
      <c r="AA43" s="231">
        <v>11995000</v>
      </c>
      <c r="AB43" s="4">
        <v>12</v>
      </c>
      <c r="AC43" s="5">
        <v>29388000</v>
      </c>
      <c r="AD43" s="4">
        <v>6</v>
      </c>
      <c r="AE43" s="5">
        <v>26594000</v>
      </c>
      <c r="AF43" s="230">
        <v>18</v>
      </c>
      <c r="AG43" s="231">
        <v>55982000</v>
      </c>
      <c r="AH43" s="4">
        <v>3</v>
      </c>
      <c r="AI43" s="5">
        <v>6597000</v>
      </c>
      <c r="AJ43" s="4">
        <v>4</v>
      </c>
      <c r="AK43" s="5">
        <v>21396000</v>
      </c>
      <c r="AL43" s="230">
        <v>7</v>
      </c>
      <c r="AM43" s="231">
        <v>27993000</v>
      </c>
      <c r="AN43" s="4">
        <v>6</v>
      </c>
      <c r="AO43" s="5">
        <v>14394000</v>
      </c>
      <c r="AP43" s="4">
        <v>2</v>
      </c>
      <c r="AQ43" s="5">
        <v>13598000</v>
      </c>
      <c r="AR43" s="230">
        <v>8</v>
      </c>
      <c r="AS43" s="231">
        <v>27992000</v>
      </c>
      <c r="AT43" s="4">
        <v>6</v>
      </c>
      <c r="AU43" s="5">
        <v>14394000</v>
      </c>
      <c r="AV43" s="4">
        <v>2</v>
      </c>
      <c r="AW43" s="5">
        <v>7498000</v>
      </c>
      <c r="AX43" s="230">
        <v>8</v>
      </c>
      <c r="AY43" s="231">
        <v>21892000</v>
      </c>
      <c r="AZ43" s="4">
        <v>3</v>
      </c>
      <c r="BA43" s="5">
        <v>6497000</v>
      </c>
      <c r="BB43" s="4">
        <v>1</v>
      </c>
      <c r="BC43" s="5">
        <v>3599000</v>
      </c>
      <c r="BD43" s="230">
        <v>4</v>
      </c>
      <c r="BE43" s="231">
        <v>10096000</v>
      </c>
      <c r="BF43" s="4">
        <v>7</v>
      </c>
      <c r="BG43" s="5">
        <v>18693000</v>
      </c>
      <c r="BH43" s="4"/>
      <c r="BI43" s="5"/>
      <c r="BJ43" s="230">
        <v>7</v>
      </c>
      <c r="BK43" s="231">
        <v>18693000</v>
      </c>
      <c r="BL43" s="4">
        <v>1</v>
      </c>
      <c r="BM43" s="5">
        <v>2599000</v>
      </c>
      <c r="BN43" s="4">
        <v>1</v>
      </c>
      <c r="BO43" s="5">
        <v>5899000</v>
      </c>
      <c r="BP43" s="230">
        <v>2</v>
      </c>
      <c r="BQ43" s="231">
        <v>8498000</v>
      </c>
      <c r="BR43" s="4">
        <v>6</v>
      </c>
      <c r="BS43" s="5">
        <v>14794000</v>
      </c>
      <c r="BT43" s="4">
        <v>7</v>
      </c>
      <c r="BU43" s="5">
        <v>43493000</v>
      </c>
      <c r="BV43" s="230">
        <v>13</v>
      </c>
      <c r="BW43" s="231">
        <v>58287000</v>
      </c>
      <c r="BX43" s="4">
        <v>6</v>
      </c>
      <c r="BY43" s="5">
        <v>13194000</v>
      </c>
      <c r="BZ43" s="4">
        <v>2</v>
      </c>
      <c r="CA43" s="5">
        <v>14298000</v>
      </c>
      <c r="CB43" s="230">
        <v>8</v>
      </c>
      <c r="CC43" s="231">
        <v>27492000</v>
      </c>
      <c r="CD43" s="4">
        <v>4</v>
      </c>
      <c r="CE43" s="5">
        <v>9996000</v>
      </c>
      <c r="CF43" s="4">
        <v>5</v>
      </c>
      <c r="CG43" s="5">
        <v>22395000</v>
      </c>
      <c r="CH43" s="230">
        <v>9</v>
      </c>
      <c r="CI43" s="231">
        <v>32391000</v>
      </c>
      <c r="CJ43" s="4">
        <v>6</v>
      </c>
      <c r="CK43" s="5">
        <v>14394000</v>
      </c>
      <c r="CL43" s="4">
        <v>2</v>
      </c>
      <c r="CM43" s="5">
        <v>6598000</v>
      </c>
      <c r="CN43" s="230">
        <v>8</v>
      </c>
      <c r="CO43" s="231">
        <v>20992000</v>
      </c>
      <c r="CP43" s="4">
        <v>5</v>
      </c>
      <c r="CQ43" s="5">
        <v>11795000</v>
      </c>
      <c r="CR43" s="4">
        <v>4</v>
      </c>
      <c r="CS43" s="5">
        <v>23496000</v>
      </c>
      <c r="CT43" s="230">
        <v>9</v>
      </c>
      <c r="CU43" s="231">
        <v>35291000</v>
      </c>
      <c r="CV43" s="4">
        <v>3</v>
      </c>
      <c r="CW43" s="5">
        <v>7197000</v>
      </c>
      <c r="CX43" s="4">
        <v>4</v>
      </c>
      <c r="CY43" s="5">
        <v>17996000</v>
      </c>
      <c r="CZ43" s="230">
        <v>7</v>
      </c>
      <c r="DA43" s="231">
        <v>25193000</v>
      </c>
      <c r="DB43" s="4">
        <v>2</v>
      </c>
      <c r="DC43" s="5">
        <v>5098000</v>
      </c>
      <c r="DD43" s="4">
        <v>3</v>
      </c>
      <c r="DE43" s="5">
        <v>13497000</v>
      </c>
      <c r="DF43" s="230">
        <v>5</v>
      </c>
      <c r="DG43" s="231">
        <v>18595000</v>
      </c>
      <c r="DH43" s="4">
        <v>3</v>
      </c>
      <c r="DI43" s="5">
        <v>7197000</v>
      </c>
      <c r="DJ43" s="4">
        <v>5</v>
      </c>
      <c r="DK43" s="5">
        <v>34595000</v>
      </c>
      <c r="DL43" s="230">
        <v>8</v>
      </c>
      <c r="DM43" s="231">
        <v>41792000</v>
      </c>
      <c r="DN43" s="4">
        <v>3</v>
      </c>
      <c r="DO43" s="5">
        <v>7697000</v>
      </c>
      <c r="DP43" s="4">
        <v>3</v>
      </c>
      <c r="DQ43" s="5">
        <v>13597000</v>
      </c>
      <c r="DR43" s="230">
        <v>6</v>
      </c>
      <c r="DS43" s="231">
        <v>21294000</v>
      </c>
      <c r="DT43" s="4">
        <v>4</v>
      </c>
      <c r="DU43" s="5">
        <v>9796000</v>
      </c>
      <c r="DV43" s="4">
        <v>5</v>
      </c>
      <c r="DW43" s="5">
        <v>24895000</v>
      </c>
      <c r="DX43" s="230">
        <v>9</v>
      </c>
      <c r="DY43" s="231">
        <v>34691000</v>
      </c>
      <c r="DZ43" s="4">
        <v>5</v>
      </c>
      <c r="EA43" s="5">
        <v>12295000</v>
      </c>
      <c r="EB43" s="4">
        <v>2</v>
      </c>
      <c r="EC43" s="5">
        <v>10798000</v>
      </c>
      <c r="ED43" s="230">
        <v>7</v>
      </c>
      <c r="EE43" s="231">
        <v>23093000</v>
      </c>
      <c r="EF43" s="4">
        <v>1</v>
      </c>
      <c r="EG43" s="5">
        <v>2299000</v>
      </c>
      <c r="EH43" s="4">
        <v>2</v>
      </c>
      <c r="EI43" s="5">
        <v>7198000</v>
      </c>
      <c r="EJ43" s="230">
        <v>3</v>
      </c>
      <c r="EK43" s="231">
        <v>9497000</v>
      </c>
      <c r="EL43" s="4">
        <v>2</v>
      </c>
      <c r="EM43" s="5">
        <v>4898000</v>
      </c>
      <c r="EN43" s="4">
        <v>2</v>
      </c>
      <c r="EO43" s="5">
        <v>8598000</v>
      </c>
      <c r="EP43" s="230">
        <v>4</v>
      </c>
      <c r="EQ43" s="231">
        <v>13496000</v>
      </c>
      <c r="ER43" s="4">
        <v>1</v>
      </c>
      <c r="ES43" s="5">
        <v>2299000</v>
      </c>
      <c r="ET43" s="4">
        <v>4</v>
      </c>
      <c r="EU43" s="5">
        <v>18796000</v>
      </c>
      <c r="EV43" s="230">
        <v>5</v>
      </c>
      <c r="EW43" s="231">
        <v>21095000</v>
      </c>
      <c r="EX43" s="4">
        <v>8</v>
      </c>
      <c r="EY43" s="5">
        <v>19292000</v>
      </c>
      <c r="EZ43" s="4">
        <v>4</v>
      </c>
      <c r="FA43" s="5">
        <v>19896000</v>
      </c>
      <c r="FB43" s="230">
        <v>12</v>
      </c>
      <c r="FC43" s="231">
        <v>39188000</v>
      </c>
      <c r="FD43" s="4">
        <v>6</v>
      </c>
      <c r="FE43" s="5">
        <v>15194000</v>
      </c>
      <c r="FF43" s="4">
        <v>7</v>
      </c>
      <c r="FG43" s="5">
        <v>35793000</v>
      </c>
      <c r="FH43" s="230">
        <v>13</v>
      </c>
      <c r="FI43" s="231">
        <v>50987000</v>
      </c>
      <c r="FJ43" s="4">
        <v>4</v>
      </c>
      <c r="FK43" s="5">
        <v>9496000</v>
      </c>
      <c r="FL43" s="4">
        <v>10</v>
      </c>
      <c r="FM43" s="5">
        <v>79890000</v>
      </c>
      <c r="FN43" s="230">
        <v>14</v>
      </c>
      <c r="FO43" s="231">
        <v>89386000</v>
      </c>
      <c r="FP43" s="4">
        <v>216</v>
      </c>
      <c r="FQ43" s="6">
        <v>811084000</v>
      </c>
    </row>
    <row r="44" spans="1:173" x14ac:dyDescent="0.2">
      <c r="A44" s="1"/>
      <c r="B44" s="2">
        <v>6010710</v>
      </c>
      <c r="C44" s="3" t="s">
        <v>329</v>
      </c>
      <c r="D44" s="4"/>
      <c r="E44" s="5"/>
      <c r="F44" s="4">
        <v>1</v>
      </c>
      <c r="G44" s="5">
        <v>5499000</v>
      </c>
      <c r="H44" s="230">
        <v>1</v>
      </c>
      <c r="I44" s="231">
        <v>5499000</v>
      </c>
      <c r="J44" s="4">
        <v>9</v>
      </c>
      <c r="K44" s="5">
        <v>21591000</v>
      </c>
      <c r="L44" s="4"/>
      <c r="M44" s="5"/>
      <c r="N44" s="230">
        <v>9</v>
      </c>
      <c r="O44" s="231">
        <v>21591000</v>
      </c>
      <c r="P44" s="4">
        <v>5</v>
      </c>
      <c r="Q44" s="5">
        <v>11295000</v>
      </c>
      <c r="R44" s="4">
        <v>2</v>
      </c>
      <c r="S44" s="5">
        <v>9598000</v>
      </c>
      <c r="T44" s="230">
        <v>7</v>
      </c>
      <c r="U44" s="231">
        <v>20893000</v>
      </c>
      <c r="V44" s="4">
        <v>4</v>
      </c>
      <c r="W44" s="5">
        <v>8596000</v>
      </c>
      <c r="X44" s="4">
        <v>2</v>
      </c>
      <c r="Y44" s="5">
        <v>14298000</v>
      </c>
      <c r="Z44" s="230">
        <v>6</v>
      </c>
      <c r="AA44" s="231">
        <v>22894000</v>
      </c>
      <c r="AB44" s="4">
        <v>4</v>
      </c>
      <c r="AC44" s="5">
        <v>9796000</v>
      </c>
      <c r="AD44" s="4">
        <v>1</v>
      </c>
      <c r="AE44" s="5">
        <v>5899000</v>
      </c>
      <c r="AF44" s="230">
        <v>5</v>
      </c>
      <c r="AG44" s="231">
        <v>15695000</v>
      </c>
      <c r="AH44" s="4">
        <v>2</v>
      </c>
      <c r="AI44" s="5">
        <v>4998000</v>
      </c>
      <c r="AJ44" s="4">
        <v>1</v>
      </c>
      <c r="AK44" s="5">
        <v>3899000</v>
      </c>
      <c r="AL44" s="230">
        <v>3</v>
      </c>
      <c r="AM44" s="231">
        <v>8897000</v>
      </c>
      <c r="AN44" s="4">
        <v>4</v>
      </c>
      <c r="AO44" s="5">
        <v>8996000</v>
      </c>
      <c r="AP44" s="4">
        <v>1</v>
      </c>
      <c r="AQ44" s="5">
        <v>3599000</v>
      </c>
      <c r="AR44" s="230">
        <v>5</v>
      </c>
      <c r="AS44" s="231">
        <v>12595000</v>
      </c>
      <c r="AT44" s="4"/>
      <c r="AU44" s="5"/>
      <c r="AV44" s="4">
        <v>1</v>
      </c>
      <c r="AW44" s="5">
        <v>9999000</v>
      </c>
      <c r="AX44" s="230">
        <v>1</v>
      </c>
      <c r="AY44" s="231">
        <v>9999000</v>
      </c>
      <c r="AZ44" s="4">
        <v>1</v>
      </c>
      <c r="BA44" s="5">
        <v>2799000</v>
      </c>
      <c r="BB44" s="4">
        <v>1</v>
      </c>
      <c r="BC44" s="5">
        <v>5899000</v>
      </c>
      <c r="BD44" s="230">
        <v>2</v>
      </c>
      <c r="BE44" s="231">
        <v>8698000</v>
      </c>
      <c r="BF44" s="4">
        <v>2</v>
      </c>
      <c r="BG44" s="5">
        <v>4898000</v>
      </c>
      <c r="BH44" s="4"/>
      <c r="BI44" s="5"/>
      <c r="BJ44" s="230">
        <v>2</v>
      </c>
      <c r="BK44" s="231">
        <v>4898000</v>
      </c>
      <c r="BL44" s="4">
        <v>5</v>
      </c>
      <c r="BM44" s="5">
        <v>11795000</v>
      </c>
      <c r="BN44" s="4"/>
      <c r="BO44" s="5"/>
      <c r="BP44" s="230">
        <v>5</v>
      </c>
      <c r="BQ44" s="231">
        <v>11795000</v>
      </c>
      <c r="BR44" s="4">
        <v>3</v>
      </c>
      <c r="BS44" s="5">
        <v>7597000</v>
      </c>
      <c r="BT44" s="4"/>
      <c r="BU44" s="5"/>
      <c r="BV44" s="230">
        <v>3</v>
      </c>
      <c r="BW44" s="231">
        <v>7597000</v>
      </c>
      <c r="BX44" s="4">
        <v>4</v>
      </c>
      <c r="BY44" s="5">
        <v>9096000</v>
      </c>
      <c r="BZ44" s="4">
        <v>1</v>
      </c>
      <c r="CA44" s="5">
        <v>5899000</v>
      </c>
      <c r="CB44" s="230">
        <v>5</v>
      </c>
      <c r="CC44" s="231">
        <v>14995000</v>
      </c>
      <c r="CD44" s="4"/>
      <c r="CE44" s="5"/>
      <c r="CF44" s="4">
        <v>1</v>
      </c>
      <c r="CG44" s="5">
        <v>3899000</v>
      </c>
      <c r="CH44" s="230">
        <v>1</v>
      </c>
      <c r="CI44" s="231">
        <v>3899000</v>
      </c>
      <c r="CJ44" s="4">
        <v>2</v>
      </c>
      <c r="CK44" s="5">
        <v>5198000</v>
      </c>
      <c r="CL44" s="4">
        <v>1</v>
      </c>
      <c r="CM44" s="5">
        <v>9999000</v>
      </c>
      <c r="CN44" s="230">
        <v>3</v>
      </c>
      <c r="CO44" s="231">
        <v>15197000</v>
      </c>
      <c r="CP44" s="4">
        <v>4</v>
      </c>
      <c r="CQ44" s="5">
        <v>9196000</v>
      </c>
      <c r="CR44" s="4">
        <v>1</v>
      </c>
      <c r="CS44" s="5">
        <v>3299000</v>
      </c>
      <c r="CT44" s="230">
        <v>5</v>
      </c>
      <c r="CU44" s="231">
        <v>12495000</v>
      </c>
      <c r="CV44" s="4"/>
      <c r="CW44" s="5"/>
      <c r="CX44" s="4">
        <v>1</v>
      </c>
      <c r="CY44" s="5">
        <v>3899000</v>
      </c>
      <c r="CZ44" s="230">
        <v>1</v>
      </c>
      <c r="DA44" s="231">
        <v>3899000</v>
      </c>
      <c r="DB44" s="4">
        <v>2</v>
      </c>
      <c r="DC44" s="5">
        <v>4898000</v>
      </c>
      <c r="DD44" s="4">
        <v>3</v>
      </c>
      <c r="DE44" s="5">
        <v>13497000</v>
      </c>
      <c r="DF44" s="230">
        <v>5</v>
      </c>
      <c r="DG44" s="231">
        <v>18395000</v>
      </c>
      <c r="DH44" s="4">
        <v>1</v>
      </c>
      <c r="DI44" s="5">
        <v>2599000</v>
      </c>
      <c r="DJ44" s="4">
        <v>2</v>
      </c>
      <c r="DK44" s="5">
        <v>6598000</v>
      </c>
      <c r="DL44" s="230">
        <v>3</v>
      </c>
      <c r="DM44" s="231">
        <v>9197000</v>
      </c>
      <c r="DN44" s="4">
        <v>2</v>
      </c>
      <c r="DO44" s="5">
        <v>5198000</v>
      </c>
      <c r="DP44" s="4">
        <v>3</v>
      </c>
      <c r="DQ44" s="5">
        <v>10897000</v>
      </c>
      <c r="DR44" s="230">
        <v>5</v>
      </c>
      <c r="DS44" s="231">
        <v>16095000</v>
      </c>
      <c r="DT44" s="4"/>
      <c r="DU44" s="5"/>
      <c r="DV44" s="4">
        <v>1</v>
      </c>
      <c r="DW44" s="5">
        <v>9999000</v>
      </c>
      <c r="DX44" s="230">
        <v>1</v>
      </c>
      <c r="DY44" s="231">
        <v>9999000</v>
      </c>
      <c r="DZ44" s="4">
        <v>1</v>
      </c>
      <c r="EA44" s="5">
        <v>2299000</v>
      </c>
      <c r="EB44" s="4">
        <v>1</v>
      </c>
      <c r="EC44" s="5">
        <v>3299000</v>
      </c>
      <c r="ED44" s="230">
        <v>2</v>
      </c>
      <c r="EE44" s="231">
        <v>5598000</v>
      </c>
      <c r="EF44" s="4"/>
      <c r="EG44" s="5"/>
      <c r="EH44" s="4"/>
      <c r="EI44" s="5"/>
      <c r="EJ44" s="230"/>
      <c r="EK44" s="231"/>
      <c r="EL44" s="4">
        <v>3</v>
      </c>
      <c r="EM44" s="5">
        <v>7197000</v>
      </c>
      <c r="EN44" s="4">
        <v>2</v>
      </c>
      <c r="EO44" s="5">
        <v>7598000</v>
      </c>
      <c r="EP44" s="230">
        <v>5</v>
      </c>
      <c r="EQ44" s="231">
        <v>14795000</v>
      </c>
      <c r="ER44" s="4"/>
      <c r="ES44" s="5"/>
      <c r="ET44" s="4"/>
      <c r="EU44" s="5"/>
      <c r="EV44" s="230"/>
      <c r="EW44" s="231"/>
      <c r="EX44" s="4">
        <v>2</v>
      </c>
      <c r="EY44" s="5">
        <v>4598000</v>
      </c>
      <c r="EZ44" s="4"/>
      <c r="FA44" s="5"/>
      <c r="FB44" s="230">
        <v>2</v>
      </c>
      <c r="FC44" s="231">
        <v>4598000</v>
      </c>
      <c r="FD44" s="4"/>
      <c r="FE44" s="5"/>
      <c r="FF44" s="4">
        <v>2</v>
      </c>
      <c r="FG44" s="5">
        <v>7198000</v>
      </c>
      <c r="FH44" s="230">
        <v>2</v>
      </c>
      <c r="FI44" s="231">
        <v>7198000</v>
      </c>
      <c r="FJ44" s="4">
        <v>1</v>
      </c>
      <c r="FK44" s="5">
        <v>2299000</v>
      </c>
      <c r="FL44" s="4">
        <v>2</v>
      </c>
      <c r="FM44" s="5">
        <v>13898000</v>
      </c>
      <c r="FN44" s="230">
        <v>3</v>
      </c>
      <c r="FO44" s="231">
        <v>16197000</v>
      </c>
      <c r="FP44" s="4">
        <v>92</v>
      </c>
      <c r="FQ44" s="6">
        <v>303608000</v>
      </c>
    </row>
    <row r="45" spans="1:173" x14ac:dyDescent="0.2">
      <c r="A45" s="1"/>
      <c r="B45" s="2">
        <v>6010709</v>
      </c>
      <c r="C45" s="3" t="s">
        <v>330</v>
      </c>
      <c r="D45" s="4">
        <v>6</v>
      </c>
      <c r="E45" s="5">
        <v>13994000</v>
      </c>
      <c r="F45" s="4">
        <v>4</v>
      </c>
      <c r="G45" s="5">
        <v>21296000</v>
      </c>
      <c r="H45" s="230">
        <v>10</v>
      </c>
      <c r="I45" s="231">
        <v>35290000</v>
      </c>
      <c r="J45" s="4">
        <v>6</v>
      </c>
      <c r="K45" s="5">
        <v>15294000</v>
      </c>
      <c r="L45" s="4">
        <v>2</v>
      </c>
      <c r="M45" s="5">
        <v>11798000</v>
      </c>
      <c r="N45" s="230">
        <v>8</v>
      </c>
      <c r="O45" s="231">
        <v>27092000</v>
      </c>
      <c r="P45" s="4">
        <v>11</v>
      </c>
      <c r="Q45" s="5">
        <v>26589000</v>
      </c>
      <c r="R45" s="4">
        <v>1</v>
      </c>
      <c r="S45" s="5">
        <v>3899000</v>
      </c>
      <c r="T45" s="230">
        <v>12</v>
      </c>
      <c r="U45" s="231">
        <v>30488000</v>
      </c>
      <c r="V45" s="4">
        <v>2</v>
      </c>
      <c r="W45" s="5">
        <v>5098000</v>
      </c>
      <c r="X45" s="4">
        <v>1</v>
      </c>
      <c r="Y45" s="5">
        <v>3899000</v>
      </c>
      <c r="Z45" s="230">
        <v>3</v>
      </c>
      <c r="AA45" s="231">
        <v>8997000</v>
      </c>
      <c r="AB45" s="4">
        <v>9</v>
      </c>
      <c r="AC45" s="5">
        <v>20991000</v>
      </c>
      <c r="AD45" s="4">
        <v>11</v>
      </c>
      <c r="AE45" s="5">
        <v>54589000</v>
      </c>
      <c r="AF45" s="230">
        <v>20</v>
      </c>
      <c r="AG45" s="231">
        <v>75580000</v>
      </c>
      <c r="AH45" s="4">
        <v>17</v>
      </c>
      <c r="AI45" s="5">
        <v>38283000</v>
      </c>
      <c r="AJ45" s="4">
        <v>5</v>
      </c>
      <c r="AK45" s="5">
        <v>26895000</v>
      </c>
      <c r="AL45" s="230">
        <v>22</v>
      </c>
      <c r="AM45" s="231">
        <v>65178000</v>
      </c>
      <c r="AN45" s="4">
        <v>12</v>
      </c>
      <c r="AO45" s="5">
        <v>26288000</v>
      </c>
      <c r="AP45" s="4">
        <v>4</v>
      </c>
      <c r="AQ45" s="5">
        <v>20396000</v>
      </c>
      <c r="AR45" s="230">
        <v>16</v>
      </c>
      <c r="AS45" s="231">
        <v>46684000</v>
      </c>
      <c r="AT45" s="4">
        <v>5</v>
      </c>
      <c r="AU45" s="5">
        <v>12295000</v>
      </c>
      <c r="AV45" s="4"/>
      <c r="AW45" s="5"/>
      <c r="AX45" s="230">
        <v>5</v>
      </c>
      <c r="AY45" s="231">
        <v>12295000</v>
      </c>
      <c r="AZ45" s="4">
        <v>7</v>
      </c>
      <c r="BA45" s="5">
        <v>15993000</v>
      </c>
      <c r="BB45" s="4">
        <v>5</v>
      </c>
      <c r="BC45" s="5">
        <v>26095000</v>
      </c>
      <c r="BD45" s="230">
        <v>12</v>
      </c>
      <c r="BE45" s="231">
        <v>42088000</v>
      </c>
      <c r="BF45" s="4">
        <v>4</v>
      </c>
      <c r="BG45" s="5">
        <v>9496000</v>
      </c>
      <c r="BH45" s="4">
        <v>2</v>
      </c>
      <c r="BI45" s="5">
        <v>10198000</v>
      </c>
      <c r="BJ45" s="230">
        <v>6</v>
      </c>
      <c r="BK45" s="231">
        <v>19694000</v>
      </c>
      <c r="BL45" s="4">
        <v>3</v>
      </c>
      <c r="BM45" s="5">
        <v>7297000</v>
      </c>
      <c r="BN45" s="4">
        <v>3</v>
      </c>
      <c r="BO45" s="5">
        <v>13397000</v>
      </c>
      <c r="BP45" s="230">
        <v>6</v>
      </c>
      <c r="BQ45" s="231">
        <v>20694000</v>
      </c>
      <c r="BR45" s="4">
        <v>11</v>
      </c>
      <c r="BS45" s="5">
        <v>25489000</v>
      </c>
      <c r="BT45" s="4">
        <v>6</v>
      </c>
      <c r="BU45" s="5">
        <v>34594000</v>
      </c>
      <c r="BV45" s="230">
        <v>17</v>
      </c>
      <c r="BW45" s="231">
        <v>60083000</v>
      </c>
      <c r="BX45" s="4">
        <v>19</v>
      </c>
      <c r="BY45" s="5">
        <v>44481000</v>
      </c>
      <c r="BZ45" s="4">
        <v>4</v>
      </c>
      <c r="CA45" s="5">
        <v>15696000</v>
      </c>
      <c r="CB45" s="230">
        <v>23</v>
      </c>
      <c r="CC45" s="231">
        <v>60177000</v>
      </c>
      <c r="CD45" s="4">
        <v>5</v>
      </c>
      <c r="CE45" s="5">
        <v>12295000</v>
      </c>
      <c r="CF45" s="4">
        <v>6</v>
      </c>
      <c r="CG45" s="5">
        <v>34894000</v>
      </c>
      <c r="CH45" s="230">
        <v>11</v>
      </c>
      <c r="CI45" s="231">
        <v>47189000</v>
      </c>
      <c r="CJ45" s="4">
        <v>6</v>
      </c>
      <c r="CK45" s="5">
        <v>14394000</v>
      </c>
      <c r="CL45" s="4">
        <v>2</v>
      </c>
      <c r="CM45" s="5">
        <v>7898000</v>
      </c>
      <c r="CN45" s="230">
        <v>8</v>
      </c>
      <c r="CO45" s="231">
        <v>22292000</v>
      </c>
      <c r="CP45" s="4">
        <v>12</v>
      </c>
      <c r="CQ45" s="5">
        <v>27888000</v>
      </c>
      <c r="CR45" s="4">
        <v>4</v>
      </c>
      <c r="CS45" s="5">
        <v>17796000</v>
      </c>
      <c r="CT45" s="230">
        <v>16</v>
      </c>
      <c r="CU45" s="231">
        <v>45684000</v>
      </c>
      <c r="CV45" s="4"/>
      <c r="CW45" s="5"/>
      <c r="CX45" s="4">
        <v>4</v>
      </c>
      <c r="CY45" s="5">
        <v>23396000</v>
      </c>
      <c r="CZ45" s="230">
        <v>4</v>
      </c>
      <c r="DA45" s="231">
        <v>23396000</v>
      </c>
      <c r="DB45" s="4">
        <v>8</v>
      </c>
      <c r="DC45" s="5">
        <v>19392000</v>
      </c>
      <c r="DD45" s="4">
        <v>6</v>
      </c>
      <c r="DE45" s="5">
        <v>36094000</v>
      </c>
      <c r="DF45" s="230">
        <v>14</v>
      </c>
      <c r="DG45" s="231">
        <v>55486000</v>
      </c>
      <c r="DH45" s="4">
        <v>2</v>
      </c>
      <c r="DI45" s="5">
        <v>4898000</v>
      </c>
      <c r="DJ45" s="4">
        <v>3</v>
      </c>
      <c r="DK45" s="5">
        <v>14497000</v>
      </c>
      <c r="DL45" s="230">
        <v>5</v>
      </c>
      <c r="DM45" s="231">
        <v>19395000</v>
      </c>
      <c r="DN45" s="4">
        <v>12</v>
      </c>
      <c r="DO45" s="5">
        <v>28188000</v>
      </c>
      <c r="DP45" s="4">
        <v>7</v>
      </c>
      <c r="DQ45" s="5">
        <v>28893000</v>
      </c>
      <c r="DR45" s="230">
        <v>19</v>
      </c>
      <c r="DS45" s="231">
        <v>57081000</v>
      </c>
      <c r="DT45" s="4">
        <v>6</v>
      </c>
      <c r="DU45" s="5">
        <v>14094000</v>
      </c>
      <c r="DV45" s="4">
        <v>4</v>
      </c>
      <c r="DW45" s="5">
        <v>17596000</v>
      </c>
      <c r="DX45" s="230">
        <v>10</v>
      </c>
      <c r="DY45" s="231">
        <v>31690000</v>
      </c>
      <c r="DZ45" s="4">
        <v>3</v>
      </c>
      <c r="EA45" s="5">
        <v>6897000</v>
      </c>
      <c r="EB45" s="4">
        <v>6</v>
      </c>
      <c r="EC45" s="5">
        <v>25594000</v>
      </c>
      <c r="ED45" s="230">
        <v>9</v>
      </c>
      <c r="EE45" s="231">
        <v>32491000</v>
      </c>
      <c r="EF45" s="4">
        <v>11</v>
      </c>
      <c r="EG45" s="5">
        <v>26589000</v>
      </c>
      <c r="EH45" s="4">
        <v>2</v>
      </c>
      <c r="EI45" s="5">
        <v>14298000</v>
      </c>
      <c r="EJ45" s="230">
        <v>13</v>
      </c>
      <c r="EK45" s="231">
        <v>40887000</v>
      </c>
      <c r="EL45" s="4">
        <v>3</v>
      </c>
      <c r="EM45" s="5">
        <v>7497000</v>
      </c>
      <c r="EN45" s="4">
        <v>2</v>
      </c>
      <c r="EO45" s="5">
        <v>14298000</v>
      </c>
      <c r="EP45" s="230">
        <v>5</v>
      </c>
      <c r="EQ45" s="231">
        <v>21795000</v>
      </c>
      <c r="ER45" s="4">
        <v>7</v>
      </c>
      <c r="ES45" s="5">
        <v>16093000</v>
      </c>
      <c r="ET45" s="4">
        <v>3</v>
      </c>
      <c r="EU45" s="5">
        <v>21997000</v>
      </c>
      <c r="EV45" s="230">
        <v>10</v>
      </c>
      <c r="EW45" s="231">
        <v>38090000</v>
      </c>
      <c r="EX45" s="4">
        <v>3</v>
      </c>
      <c r="EY45" s="5">
        <v>7197000</v>
      </c>
      <c r="EZ45" s="4">
        <v>6</v>
      </c>
      <c r="FA45" s="5">
        <v>28394000</v>
      </c>
      <c r="FB45" s="230">
        <v>9</v>
      </c>
      <c r="FC45" s="231">
        <v>35591000</v>
      </c>
      <c r="FD45" s="4">
        <v>6</v>
      </c>
      <c r="FE45" s="5">
        <v>14294000</v>
      </c>
      <c r="FF45" s="4">
        <v>4</v>
      </c>
      <c r="FG45" s="5">
        <v>17896000</v>
      </c>
      <c r="FH45" s="230">
        <v>10</v>
      </c>
      <c r="FI45" s="231">
        <v>32190000</v>
      </c>
      <c r="FJ45" s="4">
        <v>11</v>
      </c>
      <c r="FK45" s="5">
        <v>26389000</v>
      </c>
      <c r="FL45" s="4">
        <v>4</v>
      </c>
      <c r="FM45" s="5">
        <v>17496000</v>
      </c>
      <c r="FN45" s="230">
        <v>15</v>
      </c>
      <c r="FO45" s="231">
        <v>43885000</v>
      </c>
      <c r="FP45" s="4">
        <v>318</v>
      </c>
      <c r="FQ45" s="6">
        <v>1051482000</v>
      </c>
    </row>
    <row r="46" spans="1:173" x14ac:dyDescent="0.2">
      <c r="A46" s="232"/>
      <c r="B46" s="2">
        <v>6010711</v>
      </c>
      <c r="C46" s="3" t="s">
        <v>151</v>
      </c>
      <c r="D46" s="4"/>
      <c r="E46" s="5"/>
      <c r="F46" s="4"/>
      <c r="G46" s="5"/>
      <c r="H46" s="230"/>
      <c r="I46" s="231"/>
      <c r="J46" s="4"/>
      <c r="K46" s="5"/>
      <c r="L46" s="4"/>
      <c r="M46" s="5"/>
      <c r="N46" s="230"/>
      <c r="O46" s="231"/>
      <c r="P46" s="4">
        <v>1</v>
      </c>
      <c r="Q46" s="5">
        <v>2099000</v>
      </c>
      <c r="R46" s="4"/>
      <c r="S46" s="5"/>
      <c r="T46" s="230">
        <v>1</v>
      </c>
      <c r="U46" s="231">
        <v>2099000</v>
      </c>
      <c r="V46" s="4"/>
      <c r="W46" s="5"/>
      <c r="X46" s="4">
        <v>1</v>
      </c>
      <c r="Y46" s="5">
        <v>3899000</v>
      </c>
      <c r="Z46" s="230">
        <v>1</v>
      </c>
      <c r="AA46" s="231">
        <v>3899000</v>
      </c>
      <c r="AB46" s="4">
        <v>1</v>
      </c>
      <c r="AC46" s="5">
        <v>2299000</v>
      </c>
      <c r="AD46" s="4">
        <v>1</v>
      </c>
      <c r="AE46" s="5">
        <v>7999000</v>
      </c>
      <c r="AF46" s="230">
        <v>2</v>
      </c>
      <c r="AG46" s="231">
        <v>10298000</v>
      </c>
      <c r="AH46" s="4"/>
      <c r="AI46" s="5"/>
      <c r="AJ46" s="4">
        <v>2</v>
      </c>
      <c r="AK46" s="5">
        <v>15898000</v>
      </c>
      <c r="AL46" s="230">
        <v>2</v>
      </c>
      <c r="AM46" s="231">
        <v>15898000</v>
      </c>
      <c r="AN46" s="4"/>
      <c r="AO46" s="5"/>
      <c r="AP46" s="4"/>
      <c r="AQ46" s="5"/>
      <c r="AR46" s="230"/>
      <c r="AS46" s="231"/>
      <c r="AT46" s="4"/>
      <c r="AU46" s="5"/>
      <c r="AV46" s="4"/>
      <c r="AW46" s="5"/>
      <c r="AX46" s="230"/>
      <c r="AY46" s="231"/>
      <c r="AZ46" s="4"/>
      <c r="BA46" s="5"/>
      <c r="BB46" s="4"/>
      <c r="BC46" s="5"/>
      <c r="BD46" s="230"/>
      <c r="BE46" s="231"/>
      <c r="BF46" s="4">
        <v>1</v>
      </c>
      <c r="BG46" s="5">
        <v>2999000</v>
      </c>
      <c r="BH46" s="4"/>
      <c r="BI46" s="5"/>
      <c r="BJ46" s="230">
        <v>1</v>
      </c>
      <c r="BK46" s="231">
        <v>2999000</v>
      </c>
      <c r="BL46" s="4">
        <v>1</v>
      </c>
      <c r="BM46" s="5">
        <v>2799000</v>
      </c>
      <c r="BN46" s="4"/>
      <c r="BO46" s="5"/>
      <c r="BP46" s="230">
        <v>1</v>
      </c>
      <c r="BQ46" s="231">
        <v>2799000</v>
      </c>
      <c r="BR46" s="4"/>
      <c r="BS46" s="5"/>
      <c r="BT46" s="4"/>
      <c r="BU46" s="5"/>
      <c r="BV46" s="230"/>
      <c r="BW46" s="231"/>
      <c r="BX46" s="4"/>
      <c r="BY46" s="5"/>
      <c r="BZ46" s="4">
        <v>1</v>
      </c>
      <c r="CA46" s="5">
        <v>7999000</v>
      </c>
      <c r="CB46" s="230">
        <v>1</v>
      </c>
      <c r="CC46" s="231">
        <v>7999000</v>
      </c>
      <c r="CD46" s="4"/>
      <c r="CE46" s="5"/>
      <c r="CF46" s="4"/>
      <c r="CG46" s="5"/>
      <c r="CH46" s="230"/>
      <c r="CI46" s="231"/>
      <c r="CJ46" s="4">
        <v>2</v>
      </c>
      <c r="CK46" s="5">
        <v>4598000</v>
      </c>
      <c r="CL46" s="4">
        <v>1</v>
      </c>
      <c r="CM46" s="5">
        <v>25999000</v>
      </c>
      <c r="CN46" s="230">
        <v>3</v>
      </c>
      <c r="CO46" s="231">
        <v>30597000</v>
      </c>
      <c r="CP46" s="4">
        <v>2</v>
      </c>
      <c r="CQ46" s="5">
        <v>4598000</v>
      </c>
      <c r="CR46" s="4"/>
      <c r="CS46" s="5"/>
      <c r="CT46" s="230">
        <v>2</v>
      </c>
      <c r="CU46" s="231">
        <v>4598000</v>
      </c>
      <c r="CV46" s="4">
        <v>1</v>
      </c>
      <c r="CW46" s="5">
        <v>2299000</v>
      </c>
      <c r="CX46" s="4"/>
      <c r="CY46" s="5"/>
      <c r="CZ46" s="230">
        <v>1</v>
      </c>
      <c r="DA46" s="231">
        <v>2299000</v>
      </c>
      <c r="DB46" s="4">
        <v>1</v>
      </c>
      <c r="DC46" s="5">
        <v>2299000</v>
      </c>
      <c r="DD46" s="4">
        <v>1</v>
      </c>
      <c r="DE46" s="5">
        <v>9999000</v>
      </c>
      <c r="DF46" s="230">
        <v>2</v>
      </c>
      <c r="DG46" s="231">
        <v>12298000</v>
      </c>
      <c r="DH46" s="4"/>
      <c r="DI46" s="5"/>
      <c r="DJ46" s="4"/>
      <c r="DK46" s="5"/>
      <c r="DL46" s="230"/>
      <c r="DM46" s="231"/>
      <c r="DN46" s="4"/>
      <c r="DO46" s="5"/>
      <c r="DP46" s="4">
        <v>2</v>
      </c>
      <c r="DQ46" s="5">
        <v>9198000</v>
      </c>
      <c r="DR46" s="230">
        <v>2</v>
      </c>
      <c r="DS46" s="231">
        <v>9198000</v>
      </c>
      <c r="DT46" s="4"/>
      <c r="DU46" s="5"/>
      <c r="DV46" s="4"/>
      <c r="DW46" s="5"/>
      <c r="DX46" s="230"/>
      <c r="DY46" s="231"/>
      <c r="DZ46" s="4"/>
      <c r="EA46" s="5"/>
      <c r="EB46" s="4">
        <v>1</v>
      </c>
      <c r="EC46" s="5">
        <v>4799000</v>
      </c>
      <c r="ED46" s="230">
        <v>1</v>
      </c>
      <c r="EE46" s="231">
        <v>4799000</v>
      </c>
      <c r="EF46" s="4"/>
      <c r="EG46" s="5"/>
      <c r="EH46" s="4">
        <v>1</v>
      </c>
      <c r="EI46" s="5">
        <v>3599000</v>
      </c>
      <c r="EJ46" s="230">
        <v>1</v>
      </c>
      <c r="EK46" s="231">
        <v>3599000</v>
      </c>
      <c r="EL46" s="4"/>
      <c r="EM46" s="5"/>
      <c r="EN46" s="4"/>
      <c r="EO46" s="5"/>
      <c r="EP46" s="230"/>
      <c r="EQ46" s="231"/>
      <c r="ER46" s="4"/>
      <c r="ES46" s="5"/>
      <c r="ET46" s="4"/>
      <c r="EU46" s="5"/>
      <c r="EV46" s="230"/>
      <c r="EW46" s="231"/>
      <c r="EX46" s="4"/>
      <c r="EY46" s="5"/>
      <c r="EZ46" s="4">
        <v>2</v>
      </c>
      <c r="FA46" s="5">
        <v>17998000</v>
      </c>
      <c r="FB46" s="230">
        <v>2</v>
      </c>
      <c r="FC46" s="231">
        <v>17998000</v>
      </c>
      <c r="FD46" s="4">
        <v>2</v>
      </c>
      <c r="FE46" s="5">
        <v>5298000</v>
      </c>
      <c r="FF46" s="4">
        <v>2</v>
      </c>
      <c r="FG46" s="5">
        <v>30298000</v>
      </c>
      <c r="FH46" s="230">
        <v>4</v>
      </c>
      <c r="FI46" s="231">
        <v>35596000</v>
      </c>
      <c r="FJ46" s="4"/>
      <c r="FK46" s="5"/>
      <c r="FL46" s="4"/>
      <c r="FM46" s="5"/>
      <c r="FN46" s="230"/>
      <c r="FO46" s="231"/>
      <c r="FP46" s="4">
        <v>27</v>
      </c>
      <c r="FQ46" s="6">
        <v>166973000</v>
      </c>
    </row>
    <row r="47" spans="1:173" x14ac:dyDescent="0.2">
      <c r="A47" s="232" t="s">
        <v>60</v>
      </c>
      <c r="B47" s="2">
        <v>6150702</v>
      </c>
      <c r="C47" s="3" t="s">
        <v>283</v>
      </c>
      <c r="D47" s="4"/>
      <c r="E47" s="5"/>
      <c r="F47" s="4">
        <v>1</v>
      </c>
      <c r="G47" s="5">
        <v>6899000</v>
      </c>
      <c r="H47" s="230">
        <v>1</v>
      </c>
      <c r="I47" s="231">
        <v>6899000</v>
      </c>
      <c r="J47" s="4"/>
      <c r="K47" s="5"/>
      <c r="L47" s="4"/>
      <c r="M47" s="5"/>
      <c r="N47" s="230"/>
      <c r="O47" s="231"/>
      <c r="P47" s="4"/>
      <c r="Q47" s="5"/>
      <c r="R47" s="4">
        <v>1</v>
      </c>
      <c r="S47" s="5">
        <v>5899000</v>
      </c>
      <c r="T47" s="230">
        <v>1</v>
      </c>
      <c r="U47" s="231">
        <v>5899000</v>
      </c>
      <c r="V47" s="4"/>
      <c r="W47" s="5"/>
      <c r="X47" s="4"/>
      <c r="Y47" s="5"/>
      <c r="Z47" s="230"/>
      <c r="AA47" s="231"/>
      <c r="AB47" s="4"/>
      <c r="AC47" s="5"/>
      <c r="AD47" s="4">
        <v>1</v>
      </c>
      <c r="AE47" s="5">
        <v>5899000</v>
      </c>
      <c r="AF47" s="230">
        <v>1</v>
      </c>
      <c r="AG47" s="231">
        <v>5899000</v>
      </c>
      <c r="AH47" s="4"/>
      <c r="AI47" s="5"/>
      <c r="AJ47" s="4"/>
      <c r="AK47" s="5"/>
      <c r="AL47" s="230"/>
      <c r="AM47" s="231"/>
      <c r="AN47" s="4"/>
      <c r="AO47" s="5"/>
      <c r="AP47" s="4"/>
      <c r="AQ47" s="5"/>
      <c r="AR47" s="230"/>
      <c r="AS47" s="231"/>
      <c r="AT47" s="4"/>
      <c r="AU47" s="5"/>
      <c r="AV47" s="4"/>
      <c r="AW47" s="5"/>
      <c r="AX47" s="230"/>
      <c r="AY47" s="231"/>
      <c r="AZ47" s="4"/>
      <c r="BA47" s="5"/>
      <c r="BB47" s="4"/>
      <c r="BC47" s="5"/>
      <c r="BD47" s="230"/>
      <c r="BE47" s="231"/>
      <c r="BF47" s="4"/>
      <c r="BG47" s="5"/>
      <c r="BH47" s="4"/>
      <c r="BI47" s="5"/>
      <c r="BJ47" s="230"/>
      <c r="BK47" s="231"/>
      <c r="BL47" s="4">
        <v>1</v>
      </c>
      <c r="BM47" s="5">
        <v>2799000</v>
      </c>
      <c r="BN47" s="4"/>
      <c r="BO47" s="5"/>
      <c r="BP47" s="230">
        <v>1</v>
      </c>
      <c r="BQ47" s="231">
        <v>2799000</v>
      </c>
      <c r="BR47" s="4"/>
      <c r="BS47" s="5"/>
      <c r="BT47" s="4">
        <v>1</v>
      </c>
      <c r="BU47" s="5">
        <v>3599000</v>
      </c>
      <c r="BV47" s="230">
        <v>1</v>
      </c>
      <c r="BW47" s="231">
        <v>3599000</v>
      </c>
      <c r="BX47" s="4"/>
      <c r="BY47" s="5"/>
      <c r="BZ47" s="4"/>
      <c r="CA47" s="5"/>
      <c r="CB47" s="230"/>
      <c r="CC47" s="231"/>
      <c r="CD47" s="4"/>
      <c r="CE47" s="5"/>
      <c r="CF47" s="4"/>
      <c r="CG47" s="5"/>
      <c r="CH47" s="230"/>
      <c r="CI47" s="231"/>
      <c r="CJ47" s="4"/>
      <c r="CK47" s="5"/>
      <c r="CL47" s="4"/>
      <c r="CM47" s="5"/>
      <c r="CN47" s="230"/>
      <c r="CO47" s="231"/>
      <c r="CP47" s="4"/>
      <c r="CQ47" s="5"/>
      <c r="CR47" s="4">
        <v>1</v>
      </c>
      <c r="CS47" s="5">
        <v>4299000</v>
      </c>
      <c r="CT47" s="230">
        <v>1</v>
      </c>
      <c r="CU47" s="231">
        <v>4299000</v>
      </c>
      <c r="CV47" s="4"/>
      <c r="CW47" s="5"/>
      <c r="CX47" s="4"/>
      <c r="CY47" s="5"/>
      <c r="CZ47" s="230"/>
      <c r="DA47" s="231"/>
      <c r="DB47" s="4"/>
      <c r="DC47" s="5"/>
      <c r="DD47" s="4">
        <v>1</v>
      </c>
      <c r="DE47" s="5">
        <v>5899000</v>
      </c>
      <c r="DF47" s="230">
        <v>1</v>
      </c>
      <c r="DG47" s="231">
        <v>5899000</v>
      </c>
      <c r="DH47" s="4"/>
      <c r="DI47" s="5"/>
      <c r="DJ47" s="4">
        <v>1</v>
      </c>
      <c r="DK47" s="5">
        <v>9999000</v>
      </c>
      <c r="DL47" s="230">
        <v>1</v>
      </c>
      <c r="DM47" s="231">
        <v>9999000</v>
      </c>
      <c r="DN47" s="4"/>
      <c r="DO47" s="5"/>
      <c r="DP47" s="4"/>
      <c r="DQ47" s="5"/>
      <c r="DR47" s="230"/>
      <c r="DS47" s="231"/>
      <c r="DT47" s="4"/>
      <c r="DU47" s="5"/>
      <c r="DV47" s="4"/>
      <c r="DW47" s="5"/>
      <c r="DX47" s="230"/>
      <c r="DY47" s="231"/>
      <c r="DZ47" s="4"/>
      <c r="EA47" s="5"/>
      <c r="EB47" s="4">
        <v>1</v>
      </c>
      <c r="EC47" s="5">
        <v>11999000</v>
      </c>
      <c r="ED47" s="230">
        <v>1</v>
      </c>
      <c r="EE47" s="231">
        <v>11999000</v>
      </c>
      <c r="EF47" s="4"/>
      <c r="EG47" s="5"/>
      <c r="EH47" s="4"/>
      <c r="EI47" s="5"/>
      <c r="EJ47" s="230"/>
      <c r="EK47" s="231"/>
      <c r="EL47" s="4"/>
      <c r="EM47" s="5"/>
      <c r="EN47" s="4"/>
      <c r="EO47" s="5"/>
      <c r="EP47" s="230"/>
      <c r="EQ47" s="231"/>
      <c r="ER47" s="4"/>
      <c r="ES47" s="5"/>
      <c r="ET47" s="4"/>
      <c r="EU47" s="5"/>
      <c r="EV47" s="230"/>
      <c r="EW47" s="231"/>
      <c r="EX47" s="4"/>
      <c r="EY47" s="5"/>
      <c r="EZ47" s="4">
        <v>1</v>
      </c>
      <c r="FA47" s="5">
        <v>3299000</v>
      </c>
      <c r="FB47" s="230">
        <v>1</v>
      </c>
      <c r="FC47" s="231">
        <v>3299000</v>
      </c>
      <c r="FD47" s="4"/>
      <c r="FE47" s="5"/>
      <c r="FF47" s="4"/>
      <c r="FG47" s="5"/>
      <c r="FH47" s="230"/>
      <c r="FI47" s="231"/>
      <c r="FJ47" s="4"/>
      <c r="FK47" s="5"/>
      <c r="FL47" s="4">
        <v>1</v>
      </c>
      <c r="FM47" s="5">
        <v>4299000</v>
      </c>
      <c r="FN47" s="230">
        <v>1</v>
      </c>
      <c r="FO47" s="231">
        <v>4299000</v>
      </c>
      <c r="FP47" s="4">
        <v>11</v>
      </c>
      <c r="FQ47" s="6">
        <v>64889000</v>
      </c>
    </row>
    <row r="48" spans="1:173" x14ac:dyDescent="0.2">
      <c r="A48" s="232" t="s">
        <v>197</v>
      </c>
      <c r="B48" s="2">
        <v>6100702</v>
      </c>
      <c r="C48" s="3" t="s">
        <v>340</v>
      </c>
      <c r="D48" s="4"/>
      <c r="E48" s="5"/>
      <c r="F48" s="4"/>
      <c r="G48" s="5"/>
      <c r="H48" s="230"/>
      <c r="I48" s="231"/>
      <c r="J48" s="4"/>
      <c r="K48" s="5"/>
      <c r="L48" s="4"/>
      <c r="M48" s="5"/>
      <c r="N48" s="230"/>
      <c r="O48" s="231"/>
      <c r="P48" s="4"/>
      <c r="Q48" s="5"/>
      <c r="R48" s="4">
        <v>1</v>
      </c>
      <c r="S48" s="5">
        <v>9999000</v>
      </c>
      <c r="T48" s="230">
        <v>1</v>
      </c>
      <c r="U48" s="231">
        <v>9999000</v>
      </c>
      <c r="V48" s="4"/>
      <c r="W48" s="5"/>
      <c r="X48" s="4"/>
      <c r="Y48" s="5"/>
      <c r="Z48" s="230"/>
      <c r="AA48" s="231"/>
      <c r="AB48" s="4"/>
      <c r="AC48" s="5"/>
      <c r="AD48" s="4"/>
      <c r="AE48" s="5"/>
      <c r="AF48" s="230"/>
      <c r="AG48" s="231"/>
      <c r="AH48" s="4"/>
      <c r="AI48" s="5"/>
      <c r="AJ48" s="4">
        <v>2</v>
      </c>
      <c r="AK48" s="5">
        <v>9898000</v>
      </c>
      <c r="AL48" s="230">
        <v>2</v>
      </c>
      <c r="AM48" s="231">
        <v>9898000</v>
      </c>
      <c r="AN48" s="4">
        <v>1</v>
      </c>
      <c r="AO48" s="5">
        <v>2299000</v>
      </c>
      <c r="AP48" s="4">
        <v>2</v>
      </c>
      <c r="AQ48" s="5">
        <v>16998000</v>
      </c>
      <c r="AR48" s="230">
        <v>3</v>
      </c>
      <c r="AS48" s="231">
        <v>19297000</v>
      </c>
      <c r="AT48" s="4">
        <v>2</v>
      </c>
      <c r="AU48" s="5">
        <v>4698000</v>
      </c>
      <c r="AV48" s="4"/>
      <c r="AW48" s="5"/>
      <c r="AX48" s="230">
        <v>2</v>
      </c>
      <c r="AY48" s="231">
        <v>4698000</v>
      </c>
      <c r="AZ48" s="4"/>
      <c r="BA48" s="5"/>
      <c r="BB48" s="4">
        <v>1</v>
      </c>
      <c r="BC48" s="5">
        <v>6299000</v>
      </c>
      <c r="BD48" s="230">
        <v>1</v>
      </c>
      <c r="BE48" s="231">
        <v>6299000</v>
      </c>
      <c r="BF48" s="4">
        <v>1</v>
      </c>
      <c r="BG48" s="5">
        <v>2099000</v>
      </c>
      <c r="BH48" s="4"/>
      <c r="BI48" s="5"/>
      <c r="BJ48" s="230">
        <v>1</v>
      </c>
      <c r="BK48" s="231">
        <v>2099000</v>
      </c>
      <c r="BL48" s="4"/>
      <c r="BM48" s="5"/>
      <c r="BN48" s="4"/>
      <c r="BO48" s="5"/>
      <c r="BP48" s="230"/>
      <c r="BQ48" s="231"/>
      <c r="BR48" s="4">
        <v>2</v>
      </c>
      <c r="BS48" s="5">
        <v>4698000</v>
      </c>
      <c r="BT48" s="4"/>
      <c r="BU48" s="5"/>
      <c r="BV48" s="230">
        <v>2</v>
      </c>
      <c r="BW48" s="231">
        <v>4698000</v>
      </c>
      <c r="BX48" s="4">
        <v>1</v>
      </c>
      <c r="BY48" s="5">
        <v>2399000</v>
      </c>
      <c r="BZ48" s="4"/>
      <c r="CA48" s="5"/>
      <c r="CB48" s="230">
        <v>1</v>
      </c>
      <c r="CC48" s="231">
        <v>2399000</v>
      </c>
      <c r="CD48" s="4"/>
      <c r="CE48" s="5"/>
      <c r="CF48" s="4"/>
      <c r="CG48" s="5"/>
      <c r="CH48" s="230"/>
      <c r="CI48" s="231"/>
      <c r="CJ48" s="4"/>
      <c r="CK48" s="5"/>
      <c r="CL48" s="4"/>
      <c r="CM48" s="5"/>
      <c r="CN48" s="230"/>
      <c r="CO48" s="231"/>
      <c r="CP48" s="4"/>
      <c r="CQ48" s="5"/>
      <c r="CR48" s="4"/>
      <c r="CS48" s="5"/>
      <c r="CT48" s="230"/>
      <c r="CU48" s="231"/>
      <c r="CV48" s="4"/>
      <c r="CW48" s="5"/>
      <c r="CX48" s="4">
        <v>1</v>
      </c>
      <c r="CY48" s="5">
        <v>5499000</v>
      </c>
      <c r="CZ48" s="230">
        <v>1</v>
      </c>
      <c r="DA48" s="231">
        <v>5499000</v>
      </c>
      <c r="DB48" s="4">
        <v>1</v>
      </c>
      <c r="DC48" s="5">
        <v>2299000</v>
      </c>
      <c r="DD48" s="4">
        <v>1</v>
      </c>
      <c r="DE48" s="5">
        <v>6999000</v>
      </c>
      <c r="DF48" s="230">
        <v>2</v>
      </c>
      <c r="DG48" s="231">
        <v>9298000</v>
      </c>
      <c r="DH48" s="4"/>
      <c r="DI48" s="5"/>
      <c r="DJ48" s="4">
        <v>1</v>
      </c>
      <c r="DK48" s="5">
        <v>3899000</v>
      </c>
      <c r="DL48" s="230">
        <v>1</v>
      </c>
      <c r="DM48" s="231">
        <v>3899000</v>
      </c>
      <c r="DN48" s="4"/>
      <c r="DO48" s="5"/>
      <c r="DP48" s="4">
        <v>1</v>
      </c>
      <c r="DQ48" s="5">
        <v>3599000</v>
      </c>
      <c r="DR48" s="230">
        <v>1</v>
      </c>
      <c r="DS48" s="231">
        <v>3599000</v>
      </c>
      <c r="DT48" s="4"/>
      <c r="DU48" s="5"/>
      <c r="DV48" s="4"/>
      <c r="DW48" s="5"/>
      <c r="DX48" s="230"/>
      <c r="DY48" s="231"/>
      <c r="DZ48" s="4"/>
      <c r="EA48" s="5"/>
      <c r="EB48" s="4">
        <v>1</v>
      </c>
      <c r="EC48" s="5">
        <v>7699000</v>
      </c>
      <c r="ED48" s="230">
        <v>1</v>
      </c>
      <c r="EE48" s="231">
        <v>7699000</v>
      </c>
      <c r="EF48" s="4">
        <v>1</v>
      </c>
      <c r="EG48" s="5">
        <v>2599000</v>
      </c>
      <c r="EH48" s="4">
        <v>1</v>
      </c>
      <c r="EI48" s="5">
        <v>11999000</v>
      </c>
      <c r="EJ48" s="230">
        <v>2</v>
      </c>
      <c r="EK48" s="231">
        <v>14598000</v>
      </c>
      <c r="EL48" s="4"/>
      <c r="EM48" s="5"/>
      <c r="EN48" s="4"/>
      <c r="EO48" s="5"/>
      <c r="EP48" s="230"/>
      <c r="EQ48" s="231"/>
      <c r="ER48" s="4"/>
      <c r="ES48" s="5"/>
      <c r="ET48" s="4"/>
      <c r="EU48" s="5"/>
      <c r="EV48" s="230"/>
      <c r="EW48" s="231"/>
      <c r="EX48" s="4"/>
      <c r="EY48" s="5"/>
      <c r="EZ48" s="4"/>
      <c r="FA48" s="5"/>
      <c r="FB48" s="230"/>
      <c r="FC48" s="231"/>
      <c r="FD48" s="4"/>
      <c r="FE48" s="5"/>
      <c r="FF48" s="4">
        <v>2</v>
      </c>
      <c r="FG48" s="5">
        <v>11298000</v>
      </c>
      <c r="FH48" s="230">
        <v>2</v>
      </c>
      <c r="FI48" s="231">
        <v>11298000</v>
      </c>
      <c r="FJ48" s="4"/>
      <c r="FK48" s="5"/>
      <c r="FL48" s="4"/>
      <c r="FM48" s="5"/>
      <c r="FN48" s="230"/>
      <c r="FO48" s="231"/>
      <c r="FP48" s="4">
        <v>23</v>
      </c>
      <c r="FQ48" s="6">
        <v>115277000</v>
      </c>
    </row>
    <row r="49" spans="1:173" x14ac:dyDescent="0.2">
      <c r="A49" s="232" t="s">
        <v>374</v>
      </c>
      <c r="B49" s="2">
        <v>6130703</v>
      </c>
      <c r="C49" s="3" t="s">
        <v>365</v>
      </c>
      <c r="D49" s="4"/>
      <c r="E49" s="5"/>
      <c r="F49" s="4"/>
      <c r="G49" s="5"/>
      <c r="H49" s="230"/>
      <c r="I49" s="231"/>
      <c r="J49" s="4"/>
      <c r="K49" s="5"/>
      <c r="L49" s="4"/>
      <c r="M49" s="5"/>
      <c r="N49" s="230"/>
      <c r="O49" s="231"/>
      <c r="P49" s="4"/>
      <c r="Q49" s="5"/>
      <c r="R49" s="4"/>
      <c r="S49" s="5"/>
      <c r="T49" s="230"/>
      <c r="U49" s="231"/>
      <c r="V49" s="4"/>
      <c r="W49" s="5"/>
      <c r="X49" s="4"/>
      <c r="Y49" s="5"/>
      <c r="Z49" s="230"/>
      <c r="AA49" s="231"/>
      <c r="AB49" s="4"/>
      <c r="AC49" s="5"/>
      <c r="AD49" s="4"/>
      <c r="AE49" s="5"/>
      <c r="AF49" s="230"/>
      <c r="AG49" s="231"/>
      <c r="AH49" s="4"/>
      <c r="AI49" s="5"/>
      <c r="AJ49" s="4"/>
      <c r="AK49" s="5"/>
      <c r="AL49" s="230"/>
      <c r="AM49" s="231"/>
      <c r="AN49" s="4"/>
      <c r="AO49" s="5"/>
      <c r="AP49" s="4"/>
      <c r="AQ49" s="5"/>
      <c r="AR49" s="230"/>
      <c r="AS49" s="231"/>
      <c r="AT49" s="4"/>
      <c r="AU49" s="5"/>
      <c r="AV49" s="4"/>
      <c r="AW49" s="5"/>
      <c r="AX49" s="230"/>
      <c r="AY49" s="231"/>
      <c r="AZ49" s="4"/>
      <c r="BA49" s="5"/>
      <c r="BB49" s="4"/>
      <c r="BC49" s="5"/>
      <c r="BD49" s="230"/>
      <c r="BE49" s="231"/>
      <c r="BF49" s="4"/>
      <c r="BG49" s="5"/>
      <c r="BH49" s="4"/>
      <c r="BI49" s="5"/>
      <c r="BJ49" s="230"/>
      <c r="BK49" s="231"/>
      <c r="BL49" s="4"/>
      <c r="BM49" s="5"/>
      <c r="BN49" s="4"/>
      <c r="BO49" s="5"/>
      <c r="BP49" s="230"/>
      <c r="BQ49" s="231"/>
      <c r="BR49" s="4">
        <v>1</v>
      </c>
      <c r="BS49" s="5">
        <v>2299000</v>
      </c>
      <c r="BT49" s="4"/>
      <c r="BU49" s="5"/>
      <c r="BV49" s="230">
        <v>1</v>
      </c>
      <c r="BW49" s="231">
        <v>2299000</v>
      </c>
      <c r="BX49" s="4"/>
      <c r="BY49" s="5"/>
      <c r="BZ49" s="4"/>
      <c r="CA49" s="5"/>
      <c r="CB49" s="230"/>
      <c r="CC49" s="231"/>
      <c r="CD49" s="4"/>
      <c r="CE49" s="5"/>
      <c r="CF49" s="4"/>
      <c r="CG49" s="5"/>
      <c r="CH49" s="230"/>
      <c r="CI49" s="231"/>
      <c r="CJ49" s="4"/>
      <c r="CK49" s="5"/>
      <c r="CL49" s="4"/>
      <c r="CM49" s="5"/>
      <c r="CN49" s="230"/>
      <c r="CO49" s="231"/>
      <c r="CP49" s="4"/>
      <c r="CQ49" s="5"/>
      <c r="CR49" s="4"/>
      <c r="CS49" s="5"/>
      <c r="CT49" s="230"/>
      <c r="CU49" s="231"/>
      <c r="CV49" s="4"/>
      <c r="CW49" s="5"/>
      <c r="CX49" s="4"/>
      <c r="CY49" s="5"/>
      <c r="CZ49" s="230"/>
      <c r="DA49" s="231"/>
      <c r="DB49" s="4">
        <v>1</v>
      </c>
      <c r="DC49" s="5">
        <v>2599000</v>
      </c>
      <c r="DD49" s="4"/>
      <c r="DE49" s="5"/>
      <c r="DF49" s="230">
        <v>1</v>
      </c>
      <c r="DG49" s="231">
        <v>2599000</v>
      </c>
      <c r="DH49" s="4"/>
      <c r="DI49" s="5"/>
      <c r="DJ49" s="4"/>
      <c r="DK49" s="5"/>
      <c r="DL49" s="230"/>
      <c r="DM49" s="231"/>
      <c r="DN49" s="4"/>
      <c r="DO49" s="5"/>
      <c r="DP49" s="4"/>
      <c r="DQ49" s="5"/>
      <c r="DR49" s="230"/>
      <c r="DS49" s="231"/>
      <c r="DT49" s="4"/>
      <c r="DU49" s="5"/>
      <c r="DV49" s="4"/>
      <c r="DW49" s="5"/>
      <c r="DX49" s="230"/>
      <c r="DY49" s="231"/>
      <c r="DZ49" s="4">
        <v>1</v>
      </c>
      <c r="EA49" s="5">
        <v>2299000</v>
      </c>
      <c r="EB49" s="4">
        <v>1</v>
      </c>
      <c r="EC49" s="5">
        <v>7999000</v>
      </c>
      <c r="ED49" s="230">
        <v>2</v>
      </c>
      <c r="EE49" s="231">
        <v>10298000</v>
      </c>
      <c r="EF49" s="4"/>
      <c r="EG49" s="5"/>
      <c r="EH49" s="4">
        <v>1</v>
      </c>
      <c r="EI49" s="5">
        <v>3299000</v>
      </c>
      <c r="EJ49" s="230">
        <v>1</v>
      </c>
      <c r="EK49" s="231">
        <v>3299000</v>
      </c>
      <c r="EL49" s="4"/>
      <c r="EM49" s="5"/>
      <c r="EN49" s="4"/>
      <c r="EO49" s="5"/>
      <c r="EP49" s="230"/>
      <c r="EQ49" s="231"/>
      <c r="ER49" s="4">
        <v>1</v>
      </c>
      <c r="ES49" s="5">
        <v>2799000</v>
      </c>
      <c r="ET49" s="4"/>
      <c r="EU49" s="5"/>
      <c r="EV49" s="230">
        <v>1</v>
      </c>
      <c r="EW49" s="231">
        <v>2799000</v>
      </c>
      <c r="EX49" s="4">
        <v>2</v>
      </c>
      <c r="EY49" s="5">
        <v>4898000</v>
      </c>
      <c r="EZ49" s="4"/>
      <c r="FA49" s="5"/>
      <c r="FB49" s="230">
        <v>2</v>
      </c>
      <c r="FC49" s="231">
        <v>4898000</v>
      </c>
      <c r="FD49" s="4"/>
      <c r="FE49" s="5"/>
      <c r="FF49" s="4"/>
      <c r="FG49" s="5"/>
      <c r="FH49" s="230"/>
      <c r="FI49" s="231"/>
      <c r="FJ49" s="4"/>
      <c r="FK49" s="5"/>
      <c r="FL49" s="4">
        <v>1</v>
      </c>
      <c r="FM49" s="5">
        <v>3299000</v>
      </c>
      <c r="FN49" s="230">
        <v>1</v>
      </c>
      <c r="FO49" s="231">
        <v>3299000</v>
      </c>
      <c r="FP49" s="4">
        <v>9</v>
      </c>
      <c r="FQ49" s="6">
        <v>29491000</v>
      </c>
    </row>
    <row r="50" spans="1:173" x14ac:dyDescent="0.2">
      <c r="A50" s="233" t="s">
        <v>331</v>
      </c>
      <c r="B50" s="234"/>
      <c r="C50" s="234"/>
      <c r="D50" s="235">
        <v>45</v>
      </c>
      <c r="E50" s="236">
        <v>111655000</v>
      </c>
      <c r="F50" s="235">
        <v>26</v>
      </c>
      <c r="G50" s="236">
        <v>164874000</v>
      </c>
      <c r="H50" s="234">
        <v>71</v>
      </c>
      <c r="I50" s="236">
        <v>276529000</v>
      </c>
      <c r="J50" s="235">
        <v>61</v>
      </c>
      <c r="K50" s="236">
        <v>150039000</v>
      </c>
      <c r="L50" s="235">
        <v>32</v>
      </c>
      <c r="M50" s="236">
        <v>176768000</v>
      </c>
      <c r="N50" s="234">
        <v>93</v>
      </c>
      <c r="O50" s="236">
        <v>326807000</v>
      </c>
      <c r="P50" s="235">
        <v>60</v>
      </c>
      <c r="Q50" s="236">
        <v>149340000</v>
      </c>
      <c r="R50" s="235">
        <v>33</v>
      </c>
      <c r="S50" s="236">
        <v>212967000</v>
      </c>
      <c r="T50" s="234">
        <v>93</v>
      </c>
      <c r="U50" s="236">
        <v>362307000</v>
      </c>
      <c r="V50" s="235">
        <v>57</v>
      </c>
      <c r="W50" s="236">
        <v>140543000</v>
      </c>
      <c r="X50" s="235">
        <v>28</v>
      </c>
      <c r="Y50" s="236">
        <v>198772000</v>
      </c>
      <c r="Z50" s="234">
        <v>85</v>
      </c>
      <c r="AA50" s="236">
        <v>339315000</v>
      </c>
      <c r="AB50" s="235">
        <v>93</v>
      </c>
      <c r="AC50" s="236">
        <v>227907000</v>
      </c>
      <c r="AD50" s="235">
        <v>81</v>
      </c>
      <c r="AE50" s="236">
        <v>530719000</v>
      </c>
      <c r="AF50" s="234">
        <v>174</v>
      </c>
      <c r="AG50" s="236">
        <v>758626000</v>
      </c>
      <c r="AH50" s="235">
        <v>82</v>
      </c>
      <c r="AI50" s="236">
        <v>195718000</v>
      </c>
      <c r="AJ50" s="235">
        <v>57</v>
      </c>
      <c r="AK50" s="236">
        <v>342943000</v>
      </c>
      <c r="AL50" s="234">
        <v>139</v>
      </c>
      <c r="AM50" s="236">
        <v>538661000</v>
      </c>
      <c r="AN50" s="235">
        <v>61</v>
      </c>
      <c r="AO50" s="236">
        <v>146639000</v>
      </c>
      <c r="AP50" s="235">
        <v>36</v>
      </c>
      <c r="AQ50" s="236">
        <v>229264000</v>
      </c>
      <c r="AR50" s="234">
        <v>97</v>
      </c>
      <c r="AS50" s="236">
        <v>375903000</v>
      </c>
      <c r="AT50" s="235">
        <v>48</v>
      </c>
      <c r="AU50" s="236">
        <v>115552000</v>
      </c>
      <c r="AV50" s="235">
        <v>36</v>
      </c>
      <c r="AW50" s="236">
        <v>205464000</v>
      </c>
      <c r="AX50" s="234">
        <v>84</v>
      </c>
      <c r="AY50" s="236">
        <v>321016000</v>
      </c>
      <c r="AZ50" s="235">
        <v>48</v>
      </c>
      <c r="BA50" s="236">
        <v>114952000</v>
      </c>
      <c r="BB50" s="235">
        <v>36</v>
      </c>
      <c r="BC50" s="236">
        <v>203364000</v>
      </c>
      <c r="BD50" s="234">
        <v>84</v>
      </c>
      <c r="BE50" s="236">
        <v>318316000</v>
      </c>
      <c r="BF50" s="235">
        <v>54</v>
      </c>
      <c r="BG50" s="236">
        <v>126446000</v>
      </c>
      <c r="BH50" s="235">
        <v>22</v>
      </c>
      <c r="BI50" s="236">
        <v>128578000</v>
      </c>
      <c r="BJ50" s="234">
        <v>76</v>
      </c>
      <c r="BK50" s="236">
        <v>255024000</v>
      </c>
      <c r="BL50" s="235">
        <v>51</v>
      </c>
      <c r="BM50" s="236">
        <v>121149000</v>
      </c>
      <c r="BN50" s="235">
        <v>32</v>
      </c>
      <c r="BO50" s="236">
        <v>196268000</v>
      </c>
      <c r="BP50" s="234">
        <v>83</v>
      </c>
      <c r="BQ50" s="236">
        <v>317417000</v>
      </c>
      <c r="BR50" s="235">
        <v>104</v>
      </c>
      <c r="BS50" s="236">
        <v>251596000</v>
      </c>
      <c r="BT50" s="235">
        <v>68</v>
      </c>
      <c r="BU50" s="236">
        <v>429832000</v>
      </c>
      <c r="BV50" s="234">
        <v>172</v>
      </c>
      <c r="BW50" s="236">
        <v>681428000</v>
      </c>
      <c r="BX50" s="235">
        <v>95</v>
      </c>
      <c r="BY50" s="236">
        <v>230705000</v>
      </c>
      <c r="BZ50" s="235">
        <v>61</v>
      </c>
      <c r="CA50" s="236">
        <v>383339000</v>
      </c>
      <c r="CB50" s="234">
        <v>156</v>
      </c>
      <c r="CC50" s="236">
        <v>614044000</v>
      </c>
      <c r="CD50" s="235">
        <v>36</v>
      </c>
      <c r="CE50" s="236">
        <v>87964000</v>
      </c>
      <c r="CF50" s="235">
        <v>39</v>
      </c>
      <c r="CG50" s="236">
        <v>210261000</v>
      </c>
      <c r="CH50" s="234">
        <v>75</v>
      </c>
      <c r="CI50" s="236">
        <v>298225000</v>
      </c>
      <c r="CJ50" s="235">
        <v>41</v>
      </c>
      <c r="CK50" s="236">
        <v>98159000</v>
      </c>
      <c r="CL50" s="235">
        <v>35</v>
      </c>
      <c r="CM50" s="236">
        <v>224665000</v>
      </c>
      <c r="CN50" s="234">
        <v>76</v>
      </c>
      <c r="CO50" s="236">
        <v>322824000</v>
      </c>
      <c r="CP50" s="235">
        <v>62</v>
      </c>
      <c r="CQ50" s="236">
        <v>146738000</v>
      </c>
      <c r="CR50" s="235">
        <v>47</v>
      </c>
      <c r="CS50" s="236">
        <v>227753000</v>
      </c>
      <c r="CT50" s="234">
        <v>109</v>
      </c>
      <c r="CU50" s="236">
        <v>374491000</v>
      </c>
      <c r="CV50" s="235">
        <v>23</v>
      </c>
      <c r="CW50" s="236">
        <v>56177000</v>
      </c>
      <c r="CX50" s="235">
        <v>43</v>
      </c>
      <c r="CY50" s="236">
        <v>274157000</v>
      </c>
      <c r="CZ50" s="234">
        <v>66</v>
      </c>
      <c r="DA50" s="236">
        <v>330334000</v>
      </c>
      <c r="DB50" s="235">
        <v>57</v>
      </c>
      <c r="DC50" s="236">
        <v>139143000</v>
      </c>
      <c r="DD50" s="235">
        <v>79</v>
      </c>
      <c r="DE50" s="236">
        <v>471321000</v>
      </c>
      <c r="DF50" s="234">
        <v>136</v>
      </c>
      <c r="DG50" s="236">
        <v>610464000</v>
      </c>
      <c r="DH50" s="235">
        <v>28</v>
      </c>
      <c r="DI50" s="236">
        <v>68672000</v>
      </c>
      <c r="DJ50" s="235">
        <v>48</v>
      </c>
      <c r="DK50" s="236">
        <v>272952000</v>
      </c>
      <c r="DL50" s="234">
        <v>76</v>
      </c>
      <c r="DM50" s="236">
        <v>341624000</v>
      </c>
      <c r="DN50" s="235">
        <v>64</v>
      </c>
      <c r="DO50" s="236">
        <v>155936000</v>
      </c>
      <c r="DP50" s="235">
        <v>90</v>
      </c>
      <c r="DQ50" s="236">
        <v>463710000</v>
      </c>
      <c r="DR50" s="234">
        <v>154</v>
      </c>
      <c r="DS50" s="236">
        <v>619646000</v>
      </c>
      <c r="DT50" s="235">
        <v>27</v>
      </c>
      <c r="DU50" s="236">
        <v>65973000</v>
      </c>
      <c r="DV50" s="235">
        <v>43</v>
      </c>
      <c r="DW50" s="236">
        <v>222957000</v>
      </c>
      <c r="DX50" s="234">
        <v>70</v>
      </c>
      <c r="DY50" s="236">
        <v>288930000</v>
      </c>
      <c r="DZ50" s="235">
        <v>29</v>
      </c>
      <c r="EA50" s="236">
        <v>70971000</v>
      </c>
      <c r="EB50" s="235">
        <v>36</v>
      </c>
      <c r="EC50" s="236">
        <v>197864000</v>
      </c>
      <c r="ED50" s="234">
        <v>65</v>
      </c>
      <c r="EE50" s="236">
        <v>268835000</v>
      </c>
      <c r="EF50" s="235">
        <v>36</v>
      </c>
      <c r="EG50" s="236">
        <v>87264000</v>
      </c>
      <c r="EH50" s="235">
        <v>34</v>
      </c>
      <c r="EI50" s="236">
        <v>197766000</v>
      </c>
      <c r="EJ50" s="234">
        <v>70</v>
      </c>
      <c r="EK50" s="236">
        <v>285030000</v>
      </c>
      <c r="EL50" s="235">
        <v>26</v>
      </c>
      <c r="EM50" s="236">
        <v>64274000</v>
      </c>
      <c r="EN50" s="235">
        <v>32</v>
      </c>
      <c r="EO50" s="236">
        <v>187768000</v>
      </c>
      <c r="EP50" s="234">
        <v>58</v>
      </c>
      <c r="EQ50" s="236">
        <v>252042000</v>
      </c>
      <c r="ER50" s="235">
        <v>33</v>
      </c>
      <c r="ES50" s="236">
        <v>79767000</v>
      </c>
      <c r="ET50" s="235">
        <v>42</v>
      </c>
      <c r="EU50" s="236">
        <v>247558000</v>
      </c>
      <c r="EV50" s="234">
        <v>75</v>
      </c>
      <c r="EW50" s="236">
        <v>327325000</v>
      </c>
      <c r="EX50" s="235">
        <v>48</v>
      </c>
      <c r="EY50" s="236">
        <v>115552000</v>
      </c>
      <c r="EZ50" s="235">
        <v>72</v>
      </c>
      <c r="FA50" s="236">
        <v>406628000</v>
      </c>
      <c r="FB50" s="234">
        <v>120</v>
      </c>
      <c r="FC50" s="236">
        <v>522180000</v>
      </c>
      <c r="FD50" s="235">
        <v>57</v>
      </c>
      <c r="FE50" s="236">
        <v>138943000</v>
      </c>
      <c r="FF50" s="235">
        <v>83</v>
      </c>
      <c r="FG50" s="236">
        <v>499817000</v>
      </c>
      <c r="FH50" s="234">
        <v>140</v>
      </c>
      <c r="FI50" s="236">
        <v>638760000</v>
      </c>
      <c r="FJ50" s="235">
        <v>35</v>
      </c>
      <c r="FK50" s="236">
        <v>84665000</v>
      </c>
      <c r="FL50" s="235">
        <v>61</v>
      </c>
      <c r="FM50" s="236">
        <v>410739000</v>
      </c>
      <c r="FN50" s="234">
        <v>96</v>
      </c>
      <c r="FO50" s="236">
        <v>495404000</v>
      </c>
      <c r="FP50" s="235">
        <v>2793</v>
      </c>
      <c r="FQ50" s="237">
        <v>11461507000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</vt:lpstr>
      <vt:lpstr>SALES VALUE PER TYPE</vt:lpstr>
      <vt:lpstr>Promotor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michaelfumar</dc:creator>
  <cp:lastModifiedBy>michaelfumar</cp:lastModifiedBy>
  <dcterms:created xsi:type="dcterms:W3CDTF">2026-08-06T22:28:00Z</dcterms:created>
  <dcterms:modified xsi:type="dcterms:W3CDTF">2026-09-29T02:25:44Z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A1233A920CE837C6D136756A0025220A_42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