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962FB674-AE13-664B-9B4D-CD11BC0C6D81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34" i="2" l="1"/>
  <c r="CP34" i="2"/>
  <c r="CO34" i="2"/>
  <c r="CM34" i="2"/>
  <c r="CN34" i="2" s="1"/>
  <c r="CL34" i="2"/>
  <c r="CK34" i="2"/>
  <c r="CJ34" i="2"/>
  <c r="CI34" i="2"/>
  <c r="CG34" i="2"/>
  <c r="CF34" i="2"/>
  <c r="CH34" i="2" s="1"/>
  <c r="CE34" i="2"/>
  <c r="CB34" i="2"/>
  <c r="CC34" i="2" s="1"/>
  <c r="CA34" i="2"/>
  <c r="BZ34" i="2"/>
  <c r="BY34" i="2"/>
  <c r="BX34" i="2"/>
  <c r="BW34" i="2"/>
  <c r="BU34" i="2"/>
  <c r="BT34" i="2"/>
  <c r="BV34" i="2" s="1"/>
  <c r="BS34" i="2"/>
  <c r="BP34" i="2"/>
  <c r="BO34" i="2"/>
  <c r="BN34" i="2"/>
  <c r="BM34" i="2"/>
  <c r="BL34" i="2"/>
  <c r="BK34" i="2"/>
  <c r="BI34" i="2"/>
  <c r="BH34" i="2"/>
  <c r="BJ34" i="2" s="1"/>
  <c r="BG34" i="2"/>
  <c r="BD34" i="2"/>
  <c r="BE34" i="2" s="1"/>
  <c r="BC34" i="2"/>
  <c r="BB34" i="2"/>
  <c r="BA34" i="2"/>
  <c r="AZ34" i="2"/>
  <c r="AW34" i="2"/>
  <c r="AV34" i="2"/>
  <c r="AU34" i="2"/>
  <c r="AS34" i="2"/>
  <c r="AT34" i="2" s="1"/>
  <c r="AR34" i="2"/>
  <c r="AQ34" i="2"/>
  <c r="AP34" i="2"/>
  <c r="AO34" i="2"/>
  <c r="AN34" i="2"/>
  <c r="AL34" i="2"/>
  <c r="AK34" i="2"/>
  <c r="AI34" i="2"/>
  <c r="AJ34" i="2" s="1"/>
  <c r="AH34" i="2"/>
  <c r="AE34" i="2"/>
  <c r="AG34" i="2" s="1"/>
  <c r="AD34" i="2"/>
  <c r="AC34" i="2"/>
  <c r="AA34" i="2"/>
  <c r="Z34" i="2"/>
  <c r="AB34" i="2" s="1"/>
  <c r="W34" i="2"/>
  <c r="Y34" i="2" s="1"/>
  <c r="V34" i="2"/>
  <c r="T34" i="2"/>
  <c r="U34" i="2" s="1"/>
  <c r="S34" i="2"/>
  <c r="Q34" i="2"/>
  <c r="R34" i="2" s="1"/>
  <c r="P34" i="2"/>
  <c r="M34" i="2"/>
  <c r="L34" i="2"/>
  <c r="K34" i="2"/>
  <c r="I34" i="2"/>
  <c r="H34" i="2"/>
  <c r="J34" i="2" s="1"/>
  <c r="F34" i="2"/>
  <c r="G34" i="2" s="1"/>
  <c r="E34" i="2"/>
  <c r="D34" i="2"/>
  <c r="C34" i="2"/>
  <c r="B34" i="2"/>
  <c r="CR34" i="2" s="1"/>
  <c r="CP33" i="2"/>
  <c r="CO33" i="2"/>
  <c r="CN33" i="2"/>
  <c r="CM33" i="2"/>
  <c r="CL33" i="2"/>
  <c r="CJ33" i="2"/>
  <c r="CK33" i="2" s="1"/>
  <c r="CI33" i="2"/>
  <c r="CG33" i="2"/>
  <c r="CF33" i="2"/>
  <c r="CH33" i="2" s="1"/>
  <c r="CE33" i="2"/>
  <c r="CB33" i="2"/>
  <c r="CD33" i="2" s="1"/>
  <c r="CA33" i="2"/>
  <c r="CC33" i="2" s="1"/>
  <c r="BZ33" i="2"/>
  <c r="BX33" i="2"/>
  <c r="BY33" i="2" s="1"/>
  <c r="BW33" i="2"/>
  <c r="BT33" i="2"/>
  <c r="BU33" i="2" s="1"/>
  <c r="BS33" i="2"/>
  <c r="BP33" i="2"/>
  <c r="BR33" i="2" s="1"/>
  <c r="BO33" i="2"/>
  <c r="BN33" i="2"/>
  <c r="BL33" i="2"/>
  <c r="BK33" i="2"/>
  <c r="BJ33" i="2"/>
  <c r="BI33" i="2"/>
  <c r="BH33" i="2"/>
  <c r="BG33" i="2"/>
  <c r="BD33" i="2"/>
  <c r="BF33" i="2" s="1"/>
  <c r="BC33" i="2"/>
  <c r="BB33" i="2"/>
  <c r="BA33" i="2"/>
  <c r="AZ33" i="2"/>
  <c r="AX33" i="2"/>
  <c r="AW33" i="2"/>
  <c r="AY33" i="2" s="1"/>
  <c r="AV33" i="2"/>
  <c r="AS33" i="2"/>
  <c r="AR33" i="2"/>
  <c r="AQ33" i="2"/>
  <c r="AP33" i="2"/>
  <c r="AO33" i="2"/>
  <c r="AN33" i="2"/>
  <c r="AL33" i="2"/>
  <c r="AK33" i="2"/>
  <c r="AM33" i="2" s="1"/>
  <c r="AJ33" i="2"/>
  <c r="AI33" i="2"/>
  <c r="AH33" i="2"/>
  <c r="AE33" i="2"/>
  <c r="AF33" i="2" s="1"/>
  <c r="AD33" i="2"/>
  <c r="AA33" i="2"/>
  <c r="Z33" i="2"/>
  <c r="Y33" i="2"/>
  <c r="X33" i="2"/>
  <c r="W33" i="2"/>
  <c r="V33" i="2"/>
  <c r="T33" i="2"/>
  <c r="U33" i="2" s="1"/>
  <c r="S33" i="2"/>
  <c r="R33" i="2"/>
  <c r="Q33" i="2"/>
  <c r="P33" i="2"/>
  <c r="O33" i="2"/>
  <c r="N33" i="2"/>
  <c r="M33" i="2"/>
  <c r="L33" i="2"/>
  <c r="I33" i="2"/>
  <c r="H33" i="2"/>
  <c r="F33" i="2"/>
  <c r="G33" i="2" s="1"/>
  <c r="E33" i="2"/>
  <c r="C33" i="2"/>
  <c r="D33" i="2" s="1"/>
  <c r="B33" i="2"/>
  <c r="CR33" i="2" s="1"/>
  <c r="CP32" i="2"/>
  <c r="CQ32" i="2" s="1"/>
  <c r="CO32" i="2"/>
  <c r="CM32" i="2"/>
  <c r="CN32" i="2" s="1"/>
  <c r="CL32" i="2"/>
  <c r="CJ32" i="2"/>
  <c r="CI32" i="2"/>
  <c r="CH32" i="2"/>
  <c r="CG32" i="2"/>
  <c r="CF32" i="2"/>
  <c r="CE32" i="2"/>
  <c r="CD32" i="2"/>
  <c r="CC32" i="2"/>
  <c r="CB32" i="2"/>
  <c r="CA32" i="2"/>
  <c r="BX32" i="2"/>
  <c r="BW32" i="2"/>
  <c r="BV32" i="2"/>
  <c r="BU32" i="2"/>
  <c r="BT32" i="2"/>
  <c r="BS32" i="2"/>
  <c r="BR32" i="2"/>
  <c r="BQ32" i="2"/>
  <c r="BP32" i="2"/>
  <c r="BO32" i="2"/>
  <c r="BL32" i="2"/>
  <c r="BK32" i="2"/>
  <c r="BJ32" i="2"/>
  <c r="BI32" i="2"/>
  <c r="BH32" i="2"/>
  <c r="BG32" i="2"/>
  <c r="BD32" i="2"/>
  <c r="BE32" i="2" s="1"/>
  <c r="BC32" i="2"/>
  <c r="BB32" i="2"/>
  <c r="BA32" i="2"/>
  <c r="AZ32" i="2"/>
  <c r="AW32" i="2"/>
  <c r="AY32" i="2" s="1"/>
  <c r="AV32" i="2"/>
  <c r="AT32" i="2"/>
  <c r="AS32" i="2"/>
  <c r="AU32" i="2" s="1"/>
  <c r="AR32" i="2"/>
  <c r="AQ32" i="2"/>
  <c r="AO32" i="2"/>
  <c r="AN32" i="2"/>
  <c r="AP32" i="2" s="1"/>
  <c r="AM32" i="2"/>
  <c r="AL32" i="2"/>
  <c r="AK32" i="2"/>
  <c r="AI32" i="2"/>
  <c r="AH32" i="2"/>
  <c r="AJ32" i="2" s="1"/>
  <c r="AG32" i="2"/>
  <c r="AF32" i="2"/>
  <c r="AE32" i="2"/>
  <c r="AD32" i="2"/>
  <c r="AA32" i="2"/>
  <c r="AC32" i="2" s="1"/>
  <c r="Z32" i="2"/>
  <c r="Y32" i="2"/>
  <c r="W32" i="2"/>
  <c r="V32" i="2"/>
  <c r="X32" i="2" s="1"/>
  <c r="T32" i="2"/>
  <c r="U32" i="2" s="1"/>
  <c r="S32" i="2"/>
  <c r="Q32" i="2"/>
  <c r="R32" i="2" s="1"/>
  <c r="P32" i="2"/>
  <c r="M32" i="2"/>
  <c r="O32" i="2" s="1"/>
  <c r="L32" i="2"/>
  <c r="J32" i="2"/>
  <c r="I32" i="2"/>
  <c r="K32" i="2" s="1"/>
  <c r="H32" i="2"/>
  <c r="G32" i="2"/>
  <c r="F32" i="2"/>
  <c r="E32" i="2"/>
  <c r="D32" i="2"/>
  <c r="C32" i="2"/>
  <c r="B32" i="2"/>
  <c r="CP31" i="2"/>
  <c r="CO31" i="2"/>
  <c r="CQ31" i="2" s="1"/>
  <c r="CN31" i="2"/>
  <c r="CM31" i="2"/>
  <c r="CL31" i="2"/>
  <c r="CJ31" i="2"/>
  <c r="CI31" i="2"/>
  <c r="CK31" i="2" s="1"/>
  <c r="CH31" i="2"/>
  <c r="CF31" i="2"/>
  <c r="CE31" i="2"/>
  <c r="CB31" i="2"/>
  <c r="CD31" i="2" s="1"/>
  <c r="CA31" i="2"/>
  <c r="BX31" i="2"/>
  <c r="BZ31" i="2" s="1"/>
  <c r="BW31" i="2"/>
  <c r="BV31" i="2"/>
  <c r="BT31" i="2"/>
  <c r="BU31" i="2" s="1"/>
  <c r="BS31" i="2"/>
  <c r="BP31" i="2"/>
  <c r="BR31" i="2" s="1"/>
  <c r="BO31" i="2"/>
  <c r="BM31" i="2"/>
  <c r="BL31" i="2"/>
  <c r="BN31" i="2" s="1"/>
  <c r="BK31" i="2"/>
  <c r="BJ31" i="2"/>
  <c r="BH31" i="2"/>
  <c r="BI31" i="2" s="1"/>
  <c r="BG31" i="2"/>
  <c r="BF31" i="2"/>
  <c r="BE31" i="2"/>
  <c r="BD31" i="2"/>
  <c r="BC31" i="2"/>
  <c r="BA31" i="2"/>
  <c r="BB31" i="2" s="1"/>
  <c r="AZ31" i="2"/>
  <c r="AY31" i="2"/>
  <c r="AX31" i="2"/>
  <c r="AW31" i="2"/>
  <c r="AV31" i="2"/>
  <c r="AS31" i="2"/>
  <c r="AU31" i="2" s="1"/>
  <c r="AR31" i="2"/>
  <c r="AO31" i="2"/>
  <c r="AN31" i="2"/>
  <c r="AM31" i="2"/>
  <c r="AL31" i="2"/>
  <c r="AK31" i="2"/>
  <c r="AI31" i="2"/>
  <c r="AJ31" i="2" s="1"/>
  <c r="AH31" i="2"/>
  <c r="AG31" i="2"/>
  <c r="AF31" i="2"/>
  <c r="AE31" i="2"/>
  <c r="AD31" i="2"/>
  <c r="AA31" i="2"/>
  <c r="AB31" i="2" s="1"/>
  <c r="Z31" i="2"/>
  <c r="W31" i="2"/>
  <c r="V31" i="2"/>
  <c r="U31" i="2"/>
  <c r="T31" i="2"/>
  <c r="S31" i="2"/>
  <c r="Q31" i="2"/>
  <c r="R31" i="2" s="1"/>
  <c r="P31" i="2"/>
  <c r="O31" i="2"/>
  <c r="N31" i="2"/>
  <c r="M31" i="2"/>
  <c r="L31" i="2"/>
  <c r="I31" i="2"/>
  <c r="K31" i="2" s="1"/>
  <c r="H31" i="2"/>
  <c r="G31" i="2"/>
  <c r="F31" i="2"/>
  <c r="E31" i="2"/>
  <c r="C31" i="2"/>
  <c r="CS31" i="2" s="1"/>
  <c r="B31" i="2"/>
  <c r="CP30" i="2"/>
  <c r="CQ30" i="2" s="1"/>
  <c r="CO30" i="2"/>
  <c r="CM30" i="2"/>
  <c r="CL30" i="2"/>
  <c r="CN30" i="2" s="1"/>
  <c r="CJ30" i="2"/>
  <c r="CK30" i="2" s="1"/>
  <c r="CI30" i="2"/>
  <c r="CF30" i="2"/>
  <c r="CE30" i="2"/>
  <c r="CD30" i="2"/>
  <c r="CC30" i="2"/>
  <c r="CB30" i="2"/>
  <c r="CA30" i="2"/>
  <c r="BZ30" i="2"/>
  <c r="BY30" i="2"/>
  <c r="BX30" i="2"/>
  <c r="BW30" i="2"/>
  <c r="BT30" i="2"/>
  <c r="BS30" i="2"/>
  <c r="BR30" i="2"/>
  <c r="BQ30" i="2"/>
  <c r="BP30" i="2"/>
  <c r="BO30" i="2"/>
  <c r="BM30" i="2"/>
  <c r="BL30" i="2"/>
  <c r="BN30" i="2" s="1"/>
  <c r="BK30" i="2"/>
  <c r="BH30" i="2"/>
  <c r="BG30" i="2"/>
  <c r="BF30" i="2"/>
  <c r="BE30" i="2"/>
  <c r="BD30" i="2"/>
  <c r="BC30" i="2"/>
  <c r="BB30" i="2"/>
  <c r="BA30" i="2"/>
  <c r="AZ30" i="2"/>
  <c r="AY30" i="2"/>
  <c r="AW30" i="2"/>
  <c r="AX30" i="2" s="1"/>
  <c r="AV30" i="2"/>
  <c r="AS30" i="2"/>
  <c r="AT30" i="2" s="1"/>
  <c r="AR30" i="2"/>
  <c r="AO30" i="2"/>
  <c r="AQ30" i="2" s="1"/>
  <c r="AN30" i="2"/>
  <c r="AM30" i="2"/>
  <c r="AL30" i="2"/>
  <c r="AK30" i="2"/>
  <c r="AI30" i="2"/>
  <c r="AJ30" i="2" s="1"/>
  <c r="AH30" i="2"/>
  <c r="AG30" i="2"/>
  <c r="AE30" i="2"/>
  <c r="AF30" i="2" s="1"/>
  <c r="AD30" i="2"/>
  <c r="AC30" i="2"/>
  <c r="AB30" i="2"/>
  <c r="AA30" i="2"/>
  <c r="Z30" i="2"/>
  <c r="W30" i="2"/>
  <c r="Y30" i="2" s="1"/>
  <c r="V30" i="2"/>
  <c r="U30" i="2"/>
  <c r="T30" i="2"/>
  <c r="S30" i="2"/>
  <c r="Q30" i="2"/>
  <c r="R30" i="2" s="1"/>
  <c r="P30" i="2"/>
  <c r="O30" i="2"/>
  <c r="M30" i="2"/>
  <c r="N30" i="2" s="1"/>
  <c r="L30" i="2"/>
  <c r="CR30" i="2" s="1"/>
  <c r="CT30" i="2" s="1"/>
  <c r="J30" i="2"/>
  <c r="I30" i="2"/>
  <c r="K30" i="2" s="1"/>
  <c r="H30" i="2"/>
  <c r="F30" i="2"/>
  <c r="G30" i="2" s="1"/>
  <c r="E30" i="2"/>
  <c r="C30" i="2"/>
  <c r="CS30" i="2" s="1"/>
  <c r="B30" i="2"/>
  <c r="CP29" i="2"/>
  <c r="CQ29" i="2" s="1"/>
  <c r="CO29" i="2"/>
  <c r="CM29" i="2"/>
  <c r="CL29" i="2"/>
  <c r="CK29" i="2"/>
  <c r="CJ29" i="2"/>
  <c r="CI29" i="2"/>
  <c r="CF29" i="2"/>
  <c r="CH29" i="2" s="1"/>
  <c r="CE29" i="2"/>
  <c r="CG29" i="2" s="1"/>
  <c r="CD29" i="2"/>
  <c r="CB29" i="2"/>
  <c r="CA29" i="2"/>
  <c r="CC29" i="2" s="1"/>
  <c r="BX29" i="2"/>
  <c r="BZ29" i="2" s="1"/>
  <c r="BW29" i="2"/>
  <c r="BT29" i="2"/>
  <c r="BV29" i="2" s="1"/>
  <c r="BS29" i="2"/>
  <c r="BR29" i="2"/>
  <c r="BQ29" i="2"/>
  <c r="BP29" i="2"/>
  <c r="BO29" i="2"/>
  <c r="BM29" i="2"/>
  <c r="BL29" i="2"/>
  <c r="BN29" i="2" s="1"/>
  <c r="BK29" i="2"/>
  <c r="BI29" i="2"/>
  <c r="BH29" i="2"/>
  <c r="BJ29" i="2" s="1"/>
  <c r="BG29" i="2"/>
  <c r="BF29" i="2"/>
  <c r="BD29" i="2"/>
  <c r="BC29" i="2"/>
  <c r="BE29" i="2" s="1"/>
  <c r="BB29" i="2"/>
  <c r="BA29" i="2"/>
  <c r="AZ29" i="2"/>
  <c r="AW29" i="2"/>
  <c r="AV29" i="2"/>
  <c r="AU29" i="2"/>
  <c r="AT29" i="2"/>
  <c r="AS29" i="2"/>
  <c r="AR29" i="2"/>
  <c r="AO29" i="2"/>
  <c r="AQ29" i="2" s="1"/>
  <c r="AN29" i="2"/>
  <c r="AL29" i="2"/>
  <c r="AK29" i="2"/>
  <c r="AM29" i="2" s="1"/>
  <c r="AJ29" i="2"/>
  <c r="AI29" i="2"/>
  <c r="AH29" i="2"/>
  <c r="AE29" i="2"/>
  <c r="AD29" i="2"/>
  <c r="AC29" i="2"/>
  <c r="AB29" i="2"/>
  <c r="AA29" i="2"/>
  <c r="Z29" i="2"/>
  <c r="W29" i="2"/>
  <c r="X29" i="2" s="1"/>
  <c r="V29" i="2"/>
  <c r="T29" i="2"/>
  <c r="S29" i="2"/>
  <c r="U29" i="2" s="1"/>
  <c r="R29" i="2"/>
  <c r="Q29" i="2"/>
  <c r="P29" i="2"/>
  <c r="M29" i="2"/>
  <c r="CS29" i="2" s="1"/>
  <c r="L29" i="2"/>
  <c r="CR29" i="2" s="1"/>
  <c r="CT29" i="2" s="1"/>
  <c r="K29" i="2"/>
  <c r="J29" i="2"/>
  <c r="I29" i="2"/>
  <c r="H29" i="2"/>
  <c r="G29" i="2"/>
  <c r="F29" i="2"/>
  <c r="E29" i="2"/>
  <c r="D29" i="2"/>
  <c r="C29" i="2"/>
  <c r="B29" i="2"/>
  <c r="CQ28" i="2"/>
  <c r="CP28" i="2"/>
  <c r="CO28" i="2"/>
  <c r="CM28" i="2"/>
  <c r="CN28" i="2" s="1"/>
  <c r="CL28" i="2"/>
  <c r="CK28" i="2"/>
  <c r="CJ28" i="2"/>
  <c r="CI28" i="2"/>
  <c r="CF28" i="2"/>
  <c r="CH28" i="2" s="1"/>
  <c r="CE28" i="2"/>
  <c r="CB28" i="2"/>
  <c r="CA28" i="2"/>
  <c r="BZ28" i="2"/>
  <c r="BY28" i="2"/>
  <c r="BX28" i="2"/>
  <c r="BW28" i="2"/>
  <c r="BT28" i="2"/>
  <c r="BV28" i="2" s="1"/>
  <c r="BS28" i="2"/>
  <c r="BP28" i="2"/>
  <c r="BO28" i="2"/>
  <c r="BN28" i="2"/>
  <c r="BM28" i="2"/>
  <c r="BL28" i="2"/>
  <c r="BK28" i="2"/>
  <c r="BJ28" i="2"/>
  <c r="BI28" i="2"/>
  <c r="BH28" i="2"/>
  <c r="BG28" i="2"/>
  <c r="BD28" i="2"/>
  <c r="BC28" i="2"/>
  <c r="BB28" i="2"/>
  <c r="BA28" i="2"/>
  <c r="AZ28" i="2"/>
  <c r="AW28" i="2"/>
  <c r="AY28" i="2" s="1"/>
  <c r="AV28" i="2"/>
  <c r="AU28" i="2"/>
  <c r="AT28" i="2"/>
  <c r="AS28" i="2"/>
  <c r="AR28" i="2"/>
  <c r="AO28" i="2"/>
  <c r="AQ28" i="2" s="1"/>
  <c r="AN28" i="2"/>
  <c r="AL28" i="2"/>
  <c r="AK28" i="2"/>
  <c r="AI28" i="2"/>
  <c r="AJ28" i="2" s="1"/>
  <c r="AH28" i="2"/>
  <c r="AF28" i="2"/>
  <c r="AE28" i="2"/>
  <c r="AG28" i="2" s="1"/>
  <c r="AD28" i="2"/>
  <c r="AC28" i="2"/>
  <c r="AA28" i="2"/>
  <c r="Z28" i="2"/>
  <c r="AB28" i="2" s="1"/>
  <c r="W28" i="2"/>
  <c r="X28" i="2" s="1"/>
  <c r="V28" i="2"/>
  <c r="T28" i="2"/>
  <c r="U28" i="2" s="1"/>
  <c r="S28" i="2"/>
  <c r="R28" i="2"/>
  <c r="Q28" i="2"/>
  <c r="P28" i="2"/>
  <c r="M28" i="2"/>
  <c r="O28" i="2" s="1"/>
  <c r="L28" i="2"/>
  <c r="CR28" i="2" s="1"/>
  <c r="K28" i="2"/>
  <c r="I28" i="2"/>
  <c r="H28" i="2"/>
  <c r="J28" i="2" s="1"/>
  <c r="F28" i="2"/>
  <c r="G28" i="2" s="1"/>
  <c r="E28" i="2"/>
  <c r="D28" i="2"/>
  <c r="C28" i="2"/>
  <c r="B28" i="2"/>
  <c r="CP27" i="2"/>
  <c r="CO27" i="2"/>
  <c r="CQ27" i="2" s="1"/>
  <c r="CM27" i="2"/>
  <c r="CN27" i="2" s="1"/>
  <c r="CL27" i="2"/>
  <c r="CJ27" i="2"/>
  <c r="CK27" i="2" s="1"/>
  <c r="CI27" i="2"/>
  <c r="CF27" i="2"/>
  <c r="CH27" i="2" s="1"/>
  <c r="CE27" i="2"/>
  <c r="CC27" i="2"/>
  <c r="CB27" i="2"/>
  <c r="CD27" i="2" s="1"/>
  <c r="CA27" i="2"/>
  <c r="BZ27" i="2"/>
  <c r="BX27" i="2"/>
  <c r="BW27" i="2"/>
  <c r="BV27" i="2"/>
  <c r="BU27" i="2"/>
  <c r="BT27" i="2"/>
  <c r="BS27" i="2"/>
  <c r="BP27" i="2"/>
  <c r="BR27" i="2" s="1"/>
  <c r="BO27" i="2"/>
  <c r="BN27" i="2"/>
  <c r="BL27" i="2"/>
  <c r="BK27" i="2"/>
  <c r="BH27" i="2"/>
  <c r="BJ27" i="2" s="1"/>
  <c r="BG27" i="2"/>
  <c r="BD27" i="2"/>
  <c r="BF27" i="2" s="1"/>
  <c r="BC27" i="2"/>
  <c r="BB27" i="2"/>
  <c r="BA27" i="2"/>
  <c r="AZ27" i="2"/>
  <c r="AW27" i="2"/>
  <c r="AY27" i="2" s="1"/>
  <c r="AV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A27" i="2"/>
  <c r="Z27" i="2"/>
  <c r="Y27" i="2"/>
  <c r="X27" i="2"/>
  <c r="W27" i="2"/>
  <c r="V27" i="2"/>
  <c r="T27" i="2"/>
  <c r="U27" i="2" s="1"/>
  <c r="S27" i="2"/>
  <c r="CR27" i="2" s="1"/>
  <c r="R27" i="2"/>
  <c r="Q27" i="2"/>
  <c r="P27" i="2"/>
  <c r="M27" i="2"/>
  <c r="O27" i="2" s="1"/>
  <c r="L27" i="2"/>
  <c r="I27" i="2"/>
  <c r="H27" i="2"/>
  <c r="F27" i="2"/>
  <c r="G27" i="2" s="1"/>
  <c r="E27" i="2"/>
  <c r="C27" i="2"/>
  <c r="D27" i="2" s="1"/>
  <c r="B27" i="2"/>
  <c r="CP26" i="2"/>
  <c r="CO26" i="2"/>
  <c r="CN26" i="2"/>
  <c r="CM26" i="2"/>
  <c r="CL26" i="2"/>
  <c r="CJ26" i="2"/>
  <c r="CI26" i="2"/>
  <c r="CH26" i="2"/>
  <c r="CG26" i="2"/>
  <c r="CF26" i="2"/>
  <c r="CE26" i="2"/>
  <c r="CB26" i="2"/>
  <c r="CA26" i="2"/>
  <c r="BX26" i="2"/>
  <c r="BW26" i="2"/>
  <c r="BV26" i="2"/>
  <c r="BU26" i="2"/>
  <c r="BT26" i="2"/>
  <c r="BS26" i="2"/>
  <c r="BP26" i="2"/>
  <c r="BR26" i="2" s="1"/>
  <c r="BO26" i="2"/>
  <c r="BL26" i="2"/>
  <c r="BK26" i="2"/>
  <c r="BJ26" i="2"/>
  <c r="BI26" i="2"/>
  <c r="BH26" i="2"/>
  <c r="BG26" i="2"/>
  <c r="BF26" i="2"/>
  <c r="BD26" i="2"/>
  <c r="BC26" i="2"/>
  <c r="BE26" i="2" s="1"/>
  <c r="BA26" i="2"/>
  <c r="BB26" i="2" s="1"/>
  <c r="AZ26" i="2"/>
  <c r="AY26" i="2"/>
  <c r="AW26" i="2"/>
  <c r="AX26" i="2" s="1"/>
  <c r="AV26" i="2"/>
  <c r="AS26" i="2"/>
  <c r="AR26" i="2"/>
  <c r="AQ26" i="2"/>
  <c r="AO26" i="2"/>
  <c r="AN26" i="2"/>
  <c r="AL26" i="2"/>
  <c r="AK26" i="2"/>
  <c r="AI26" i="2"/>
  <c r="AH26" i="2"/>
  <c r="AE26" i="2"/>
  <c r="AD26" i="2"/>
  <c r="AA26" i="2"/>
  <c r="AC26" i="2" s="1"/>
  <c r="Z26" i="2"/>
  <c r="Y26" i="2"/>
  <c r="W26" i="2"/>
  <c r="V26" i="2"/>
  <c r="T26" i="2"/>
  <c r="U26" i="2" s="1"/>
  <c r="S26" i="2"/>
  <c r="Q26" i="2"/>
  <c r="R26" i="2" s="1"/>
  <c r="P26" i="2"/>
  <c r="O26" i="2"/>
  <c r="M26" i="2"/>
  <c r="N26" i="2" s="1"/>
  <c r="L26" i="2"/>
  <c r="I26" i="2"/>
  <c r="H26" i="2"/>
  <c r="G26" i="2"/>
  <c r="F26" i="2"/>
  <c r="E26" i="2"/>
  <c r="C26" i="2"/>
  <c r="B26" i="2"/>
  <c r="CP25" i="2"/>
  <c r="CQ25" i="2" s="1"/>
  <c r="CO25" i="2"/>
  <c r="CN25" i="2"/>
  <c r="CM25" i="2"/>
  <c r="CL25" i="2"/>
  <c r="CJ25" i="2"/>
  <c r="CK25" i="2" s="1"/>
  <c r="CI25" i="2"/>
  <c r="CH25" i="2"/>
  <c r="CF25" i="2"/>
  <c r="CG25" i="2" s="1"/>
  <c r="CE25" i="2"/>
  <c r="CB25" i="2"/>
  <c r="CD25" i="2" s="1"/>
  <c r="CA25" i="2"/>
  <c r="BZ25" i="2"/>
  <c r="BX25" i="2"/>
  <c r="BY25" i="2" s="1"/>
  <c r="BW25" i="2"/>
  <c r="BT25" i="2"/>
  <c r="BS25" i="2"/>
  <c r="BP25" i="2"/>
  <c r="BQ25" i="2" s="1"/>
  <c r="BO25" i="2"/>
  <c r="BN25" i="2"/>
  <c r="BM25" i="2"/>
  <c r="BL25" i="2"/>
  <c r="BK25" i="2"/>
  <c r="BH25" i="2"/>
  <c r="BG25" i="2"/>
  <c r="BF25" i="2"/>
  <c r="BD25" i="2"/>
  <c r="BE25" i="2" s="1"/>
  <c r="BC25" i="2"/>
  <c r="BA25" i="2"/>
  <c r="BB25" i="2" s="1"/>
  <c r="AZ25" i="2"/>
  <c r="AW25" i="2"/>
  <c r="AX25" i="2" s="1"/>
  <c r="AV25" i="2"/>
  <c r="AU25" i="2"/>
  <c r="AT25" i="2"/>
  <c r="AS25" i="2"/>
  <c r="AR25" i="2"/>
  <c r="AO25" i="2"/>
  <c r="AN25" i="2"/>
  <c r="AL25" i="2"/>
  <c r="AM25" i="2" s="1"/>
  <c r="AK25" i="2"/>
  <c r="AI25" i="2"/>
  <c r="AH25" i="2"/>
  <c r="AE25" i="2"/>
  <c r="AF25" i="2" s="1"/>
  <c r="AD25" i="2"/>
  <c r="AC25" i="2"/>
  <c r="AB25" i="2"/>
  <c r="AA25" i="2"/>
  <c r="Z25" i="2"/>
  <c r="X25" i="2"/>
  <c r="W25" i="2"/>
  <c r="Y25" i="2" s="1"/>
  <c r="V25" i="2"/>
  <c r="T25" i="2"/>
  <c r="U25" i="2" s="1"/>
  <c r="S25" i="2"/>
  <c r="Q25" i="2"/>
  <c r="R25" i="2" s="1"/>
  <c r="P25" i="2"/>
  <c r="M25" i="2"/>
  <c r="N25" i="2" s="1"/>
  <c r="L25" i="2"/>
  <c r="K25" i="2"/>
  <c r="J25" i="2"/>
  <c r="I25" i="2"/>
  <c r="H25" i="2"/>
  <c r="F25" i="2"/>
  <c r="E25" i="2"/>
  <c r="D25" i="2"/>
  <c r="C25" i="2"/>
  <c r="B25" i="2"/>
  <c r="CQ24" i="2"/>
  <c r="CP24" i="2"/>
  <c r="CO24" i="2"/>
  <c r="CM24" i="2"/>
  <c r="CN24" i="2" s="1"/>
  <c r="CL24" i="2"/>
  <c r="CK24" i="2"/>
  <c r="CJ24" i="2"/>
  <c r="CI24" i="2"/>
  <c r="CF24" i="2"/>
  <c r="CH24" i="2" s="1"/>
  <c r="CE24" i="2"/>
  <c r="CB24" i="2"/>
  <c r="CA24" i="2"/>
  <c r="BZ24" i="2"/>
  <c r="BY24" i="2"/>
  <c r="BX24" i="2"/>
  <c r="BW24" i="2"/>
  <c r="BU24" i="2"/>
  <c r="BT24" i="2"/>
  <c r="BV24" i="2" s="1"/>
  <c r="BS24" i="2"/>
  <c r="BP24" i="2"/>
  <c r="BO24" i="2"/>
  <c r="BN24" i="2"/>
  <c r="BM24" i="2"/>
  <c r="BL24" i="2"/>
  <c r="BK24" i="2"/>
  <c r="BJ24" i="2"/>
  <c r="BI24" i="2"/>
  <c r="BH24" i="2"/>
  <c r="BG24" i="2"/>
  <c r="BD24" i="2"/>
  <c r="BC24" i="2"/>
  <c r="BB24" i="2"/>
  <c r="BA24" i="2"/>
  <c r="AZ24" i="2"/>
  <c r="AX24" i="2"/>
  <c r="AW24" i="2"/>
  <c r="AY24" i="2" s="1"/>
  <c r="AV24" i="2"/>
  <c r="AU24" i="2"/>
  <c r="AS24" i="2"/>
  <c r="AT24" i="2" s="1"/>
  <c r="AR24" i="2"/>
  <c r="AO24" i="2"/>
  <c r="AQ24" i="2" s="1"/>
  <c r="AN24" i="2"/>
  <c r="AL24" i="2"/>
  <c r="AM24" i="2" s="1"/>
  <c r="AK24" i="2"/>
  <c r="AI24" i="2"/>
  <c r="AJ24" i="2" s="1"/>
  <c r="AH24" i="2"/>
  <c r="AF24" i="2"/>
  <c r="AE24" i="2"/>
  <c r="AG24" i="2" s="1"/>
  <c r="AD24" i="2"/>
  <c r="AC24" i="2"/>
  <c r="AA24" i="2"/>
  <c r="Z24" i="2"/>
  <c r="Y24" i="2"/>
  <c r="X24" i="2"/>
  <c r="W24" i="2"/>
  <c r="V24" i="2"/>
  <c r="T24" i="2"/>
  <c r="U24" i="2" s="1"/>
  <c r="S24" i="2"/>
  <c r="R24" i="2"/>
  <c r="Q24" i="2"/>
  <c r="P24" i="2"/>
  <c r="M24" i="2"/>
  <c r="O24" i="2" s="1"/>
  <c r="L24" i="2"/>
  <c r="K24" i="2"/>
  <c r="I24" i="2"/>
  <c r="J24" i="2" s="1"/>
  <c r="H24" i="2"/>
  <c r="F24" i="2"/>
  <c r="G24" i="2" s="1"/>
  <c r="E24" i="2"/>
  <c r="C24" i="2"/>
  <c r="D24" i="2" s="1"/>
  <c r="B24" i="2"/>
  <c r="CR24" i="2" s="1"/>
  <c r="CP23" i="2"/>
  <c r="CQ23" i="2" s="1"/>
  <c r="CO23" i="2"/>
  <c r="CM23" i="2"/>
  <c r="CL23" i="2"/>
  <c r="CN23" i="2" s="1"/>
  <c r="CJ23" i="2"/>
  <c r="CI23" i="2"/>
  <c r="CH23" i="2"/>
  <c r="CG23" i="2"/>
  <c r="CF23" i="2"/>
  <c r="CE23" i="2"/>
  <c r="CB23" i="2"/>
  <c r="CD23" i="2" s="1"/>
  <c r="CA23" i="2"/>
  <c r="BZ23" i="2"/>
  <c r="BX23" i="2"/>
  <c r="BW23" i="2"/>
  <c r="BU23" i="2"/>
  <c r="BT23" i="2"/>
  <c r="BV23" i="2" s="1"/>
  <c r="BS23" i="2"/>
  <c r="BP23" i="2"/>
  <c r="BR23" i="2" s="1"/>
  <c r="BO23" i="2"/>
  <c r="BN23" i="2"/>
  <c r="BL23" i="2"/>
  <c r="BM23" i="2" s="1"/>
  <c r="BK23" i="2"/>
  <c r="BH23" i="2"/>
  <c r="BJ23" i="2" s="1"/>
  <c r="BG23" i="2"/>
  <c r="BE23" i="2"/>
  <c r="BD23" i="2"/>
  <c r="BF23" i="2" s="1"/>
  <c r="BC23" i="2"/>
  <c r="BB23" i="2"/>
  <c r="BA23" i="2"/>
  <c r="AZ23" i="2"/>
  <c r="AY23" i="2"/>
  <c r="AW23" i="2"/>
  <c r="AV23" i="2"/>
  <c r="AX23" i="2" s="1"/>
  <c r="AS23" i="2"/>
  <c r="AR23" i="2"/>
  <c r="AQ23" i="2"/>
  <c r="AP23" i="2"/>
  <c r="AO23" i="2"/>
  <c r="AN23" i="2"/>
  <c r="AL23" i="2"/>
  <c r="AM23" i="2" s="1"/>
  <c r="AK23" i="2"/>
  <c r="AJ23" i="2"/>
  <c r="AI23" i="2"/>
  <c r="AH23" i="2"/>
  <c r="AF23" i="2"/>
  <c r="AE23" i="2"/>
  <c r="AG23" i="2" s="1"/>
  <c r="AD23" i="2"/>
  <c r="AA23" i="2"/>
  <c r="Z23" i="2"/>
  <c r="Y23" i="2"/>
  <c r="X23" i="2"/>
  <c r="W23" i="2"/>
  <c r="V23" i="2"/>
  <c r="T23" i="2"/>
  <c r="U23" i="2" s="1"/>
  <c r="S23" i="2"/>
  <c r="R23" i="2"/>
  <c r="Q23" i="2"/>
  <c r="P23" i="2"/>
  <c r="M23" i="2"/>
  <c r="O23" i="2" s="1"/>
  <c r="L23" i="2"/>
  <c r="I23" i="2"/>
  <c r="H23" i="2"/>
  <c r="F23" i="2"/>
  <c r="G23" i="2" s="1"/>
  <c r="E23" i="2"/>
  <c r="C23" i="2"/>
  <c r="D23" i="2" s="1"/>
  <c r="B23" i="2"/>
  <c r="CR23" i="2" s="1"/>
  <c r="CP22" i="2"/>
  <c r="CO22" i="2"/>
  <c r="CN22" i="2"/>
  <c r="CM22" i="2"/>
  <c r="CL22" i="2"/>
  <c r="CJ22" i="2"/>
  <c r="CI22" i="2"/>
  <c r="CH22" i="2"/>
  <c r="CG22" i="2"/>
  <c r="CF22" i="2"/>
  <c r="CE22" i="2"/>
  <c r="CB22" i="2"/>
  <c r="CD22" i="2" s="1"/>
  <c r="CA22" i="2"/>
  <c r="BX22" i="2"/>
  <c r="BW22" i="2"/>
  <c r="BV22" i="2"/>
  <c r="BU22" i="2"/>
  <c r="BT22" i="2"/>
  <c r="BS22" i="2"/>
  <c r="BR22" i="2"/>
  <c r="BP22" i="2"/>
  <c r="BO22" i="2"/>
  <c r="BQ22" i="2" s="1"/>
  <c r="BL22" i="2"/>
  <c r="BK22" i="2"/>
  <c r="BJ22" i="2"/>
  <c r="BI22" i="2"/>
  <c r="BH22" i="2"/>
  <c r="BG22" i="2"/>
  <c r="BE22" i="2"/>
  <c r="BD22" i="2"/>
  <c r="BF22" i="2" s="1"/>
  <c r="BC22" i="2"/>
  <c r="BA22" i="2"/>
  <c r="BB22" i="2" s="1"/>
  <c r="AZ22" i="2"/>
  <c r="AW22" i="2"/>
  <c r="AY22" i="2" s="1"/>
  <c r="AV22" i="2"/>
  <c r="AS22" i="2"/>
  <c r="AU22" i="2" s="1"/>
  <c r="AR22" i="2"/>
  <c r="AQ22" i="2"/>
  <c r="AO22" i="2"/>
  <c r="AP22" i="2" s="1"/>
  <c r="AN22" i="2"/>
  <c r="AL22" i="2"/>
  <c r="AM22" i="2" s="1"/>
  <c r="AK22" i="2"/>
  <c r="AI22" i="2"/>
  <c r="AH22" i="2"/>
  <c r="AE22" i="2"/>
  <c r="AF22" i="2" s="1"/>
  <c r="AD22" i="2"/>
  <c r="AA22" i="2"/>
  <c r="AC22" i="2" s="1"/>
  <c r="Z22" i="2"/>
  <c r="Y22" i="2"/>
  <c r="W22" i="2"/>
  <c r="X22" i="2" s="1"/>
  <c r="V22" i="2"/>
  <c r="T22" i="2"/>
  <c r="U22" i="2" s="1"/>
  <c r="S22" i="2"/>
  <c r="Q22" i="2"/>
  <c r="R22" i="2" s="1"/>
  <c r="P22" i="2"/>
  <c r="M22" i="2"/>
  <c r="O22" i="2" s="1"/>
  <c r="L22" i="2"/>
  <c r="I22" i="2"/>
  <c r="K22" i="2" s="1"/>
  <c r="H22" i="2"/>
  <c r="G22" i="2"/>
  <c r="F22" i="2"/>
  <c r="E22" i="2"/>
  <c r="C22" i="2"/>
  <c r="CS22" i="2" s="1"/>
  <c r="B22" i="2"/>
  <c r="CR22" i="2" s="1"/>
  <c r="CQ21" i="2"/>
  <c r="CP21" i="2"/>
  <c r="CO21" i="2"/>
  <c r="CN21" i="2"/>
  <c r="CM21" i="2"/>
  <c r="CL21" i="2"/>
  <c r="CK21" i="2"/>
  <c r="CJ21" i="2"/>
  <c r="CI21" i="2"/>
  <c r="CH21" i="2"/>
  <c r="CF21" i="2"/>
  <c r="CG21" i="2" s="1"/>
  <c r="CE21" i="2"/>
  <c r="CD21" i="2"/>
  <c r="CC21" i="2"/>
  <c r="CB21" i="2"/>
  <c r="CA21" i="2"/>
  <c r="BX21" i="2"/>
  <c r="BZ21" i="2" s="1"/>
  <c r="BW21" i="2"/>
  <c r="BY21" i="2" s="1"/>
  <c r="BV21" i="2"/>
  <c r="BT21" i="2"/>
  <c r="BU21" i="2" s="1"/>
  <c r="BS21" i="2"/>
  <c r="BP21" i="2"/>
  <c r="BR21" i="2" s="1"/>
  <c r="BO21" i="2"/>
  <c r="BL21" i="2"/>
  <c r="BN21" i="2" s="1"/>
  <c r="BK21" i="2"/>
  <c r="BJ21" i="2"/>
  <c r="BH21" i="2"/>
  <c r="BI21" i="2" s="1"/>
  <c r="BG21" i="2"/>
  <c r="BE21" i="2"/>
  <c r="BD21" i="2"/>
  <c r="BF21" i="2" s="1"/>
  <c r="BC21" i="2"/>
  <c r="BA21" i="2"/>
  <c r="BB21" i="2" s="1"/>
  <c r="AZ21" i="2"/>
  <c r="AY21" i="2"/>
  <c r="AX21" i="2"/>
  <c r="AW21" i="2"/>
  <c r="AV21" i="2"/>
  <c r="AU21" i="2"/>
  <c r="AT21" i="2"/>
  <c r="AS21" i="2"/>
  <c r="AR21" i="2"/>
  <c r="AO21" i="2"/>
  <c r="AN21" i="2"/>
  <c r="AM21" i="2"/>
  <c r="AL21" i="2"/>
  <c r="AK21" i="2"/>
  <c r="AI21" i="2"/>
  <c r="AJ21" i="2" s="1"/>
  <c r="AH21" i="2"/>
  <c r="AG21" i="2"/>
  <c r="AF21" i="2"/>
  <c r="AE21" i="2"/>
  <c r="AD21" i="2"/>
  <c r="AC21" i="2"/>
  <c r="AA21" i="2"/>
  <c r="Z21" i="2"/>
  <c r="AB21" i="2" s="1"/>
  <c r="W21" i="2"/>
  <c r="V21" i="2"/>
  <c r="U21" i="2"/>
  <c r="T21" i="2"/>
  <c r="S21" i="2"/>
  <c r="Q21" i="2"/>
  <c r="R21" i="2" s="1"/>
  <c r="P21" i="2"/>
  <c r="O21" i="2"/>
  <c r="N21" i="2"/>
  <c r="M21" i="2"/>
  <c r="L21" i="2"/>
  <c r="K21" i="2"/>
  <c r="J21" i="2"/>
  <c r="I21" i="2"/>
  <c r="H21" i="2"/>
  <c r="F21" i="2"/>
  <c r="G21" i="2" s="1"/>
  <c r="E21" i="2"/>
  <c r="D21" i="2"/>
  <c r="C21" i="2"/>
  <c r="B21" i="2"/>
  <c r="CP20" i="2"/>
  <c r="CO20" i="2"/>
  <c r="CQ20" i="2" s="1"/>
  <c r="CM20" i="2"/>
  <c r="CN20" i="2" s="1"/>
  <c r="CL20" i="2"/>
  <c r="CJ20" i="2"/>
  <c r="CK20" i="2" s="1"/>
  <c r="CI20" i="2"/>
  <c r="CF20" i="2"/>
  <c r="CE20" i="2"/>
  <c r="CD20" i="2"/>
  <c r="CC20" i="2"/>
  <c r="CB20" i="2"/>
  <c r="CA20" i="2"/>
  <c r="BZ20" i="2"/>
  <c r="BX20" i="2"/>
  <c r="BW20" i="2"/>
  <c r="BY20" i="2" s="1"/>
  <c r="BT20" i="2"/>
  <c r="BS20" i="2"/>
  <c r="BR20" i="2"/>
  <c r="BQ20" i="2"/>
  <c r="BP20" i="2"/>
  <c r="BO20" i="2"/>
  <c r="BL20" i="2"/>
  <c r="BN20" i="2" s="1"/>
  <c r="BK20" i="2"/>
  <c r="BH20" i="2"/>
  <c r="BG20" i="2"/>
  <c r="BF20" i="2"/>
  <c r="BE20" i="2"/>
  <c r="BD20" i="2"/>
  <c r="BC20" i="2"/>
  <c r="BA20" i="2"/>
  <c r="BB20" i="2" s="1"/>
  <c r="AZ20" i="2"/>
  <c r="AY20" i="2"/>
  <c r="AW20" i="2"/>
  <c r="AX20" i="2" s="1"/>
  <c r="AV20" i="2"/>
  <c r="AS20" i="2"/>
  <c r="AU20" i="2" s="1"/>
  <c r="AR20" i="2"/>
  <c r="AP20" i="2"/>
  <c r="AO20" i="2"/>
  <c r="AQ20" i="2" s="1"/>
  <c r="AN20" i="2"/>
  <c r="AM20" i="2"/>
  <c r="AL20" i="2"/>
  <c r="AK20" i="2"/>
  <c r="AJ20" i="2"/>
  <c r="AI20" i="2"/>
  <c r="AH20" i="2"/>
  <c r="AG20" i="2"/>
  <c r="AE20" i="2"/>
  <c r="AF20" i="2" s="1"/>
  <c r="AD20" i="2"/>
  <c r="AC20" i="2"/>
  <c r="AB20" i="2"/>
  <c r="AA20" i="2"/>
  <c r="Z20" i="2"/>
  <c r="W20" i="2"/>
  <c r="Y20" i="2" s="1"/>
  <c r="V20" i="2"/>
  <c r="X20" i="2" s="1"/>
  <c r="U20" i="2"/>
  <c r="T20" i="2"/>
  <c r="S20" i="2"/>
  <c r="R20" i="2"/>
  <c r="Q20" i="2"/>
  <c r="P20" i="2"/>
  <c r="O20" i="2"/>
  <c r="M20" i="2"/>
  <c r="N20" i="2" s="1"/>
  <c r="L20" i="2"/>
  <c r="CR20" i="2" s="1"/>
  <c r="I20" i="2"/>
  <c r="K20" i="2" s="1"/>
  <c r="H20" i="2"/>
  <c r="F20" i="2"/>
  <c r="G20" i="2" s="1"/>
  <c r="E20" i="2"/>
  <c r="C20" i="2"/>
  <c r="B20" i="2"/>
  <c r="CQ19" i="2"/>
  <c r="CP19" i="2"/>
  <c r="CO19" i="2"/>
  <c r="CM19" i="2"/>
  <c r="CN19" i="2" s="1"/>
  <c r="CL19" i="2"/>
  <c r="CJ19" i="2"/>
  <c r="CK19" i="2" s="1"/>
  <c r="CI19" i="2"/>
  <c r="CF19" i="2"/>
  <c r="CH19" i="2" s="1"/>
  <c r="CE19" i="2"/>
  <c r="CD19" i="2"/>
  <c r="CB19" i="2"/>
  <c r="CC19" i="2" s="1"/>
  <c r="CA19" i="2"/>
  <c r="BZ19" i="2"/>
  <c r="BY19" i="2"/>
  <c r="BX19" i="2"/>
  <c r="BW19" i="2"/>
  <c r="BU19" i="2"/>
  <c r="BT19" i="2"/>
  <c r="BV19" i="2" s="1"/>
  <c r="BS19" i="2"/>
  <c r="BR19" i="2"/>
  <c r="BP19" i="2"/>
  <c r="BQ19" i="2" s="1"/>
  <c r="BO19" i="2"/>
  <c r="BN19" i="2"/>
  <c r="BL19" i="2"/>
  <c r="BM19" i="2" s="1"/>
  <c r="BK19" i="2"/>
  <c r="BI19" i="2"/>
  <c r="BH19" i="2"/>
  <c r="BJ19" i="2" s="1"/>
  <c r="BG19" i="2"/>
  <c r="BF19" i="2"/>
  <c r="BD19" i="2"/>
  <c r="BC19" i="2"/>
  <c r="BB19" i="2"/>
  <c r="BA19" i="2"/>
  <c r="AZ19" i="2"/>
  <c r="AW19" i="2"/>
  <c r="AV19" i="2"/>
  <c r="AU19" i="2"/>
  <c r="AT19" i="2"/>
  <c r="AS19" i="2"/>
  <c r="AR19" i="2"/>
  <c r="AO19" i="2"/>
  <c r="AQ19" i="2" s="1"/>
  <c r="AN19" i="2"/>
  <c r="AL19" i="2"/>
  <c r="AM19" i="2" s="1"/>
  <c r="AK19" i="2"/>
  <c r="AI19" i="2"/>
  <c r="AJ19" i="2" s="1"/>
  <c r="AH19" i="2"/>
  <c r="AE19" i="2"/>
  <c r="AD19" i="2"/>
  <c r="AC19" i="2"/>
  <c r="AB19" i="2"/>
  <c r="AA19" i="2"/>
  <c r="Z19" i="2"/>
  <c r="W19" i="2"/>
  <c r="X19" i="2" s="1"/>
  <c r="V19" i="2"/>
  <c r="T19" i="2"/>
  <c r="U19" i="2" s="1"/>
  <c r="S19" i="2"/>
  <c r="R19" i="2"/>
  <c r="Q19" i="2"/>
  <c r="P19" i="2"/>
  <c r="M19" i="2"/>
  <c r="CS19" i="2" s="1"/>
  <c r="L19" i="2"/>
  <c r="CR19" i="2" s="1"/>
  <c r="CT19" i="2" s="1"/>
  <c r="K19" i="2"/>
  <c r="J19" i="2"/>
  <c r="I19" i="2"/>
  <c r="H19" i="2"/>
  <c r="F19" i="2"/>
  <c r="G19" i="2" s="1"/>
  <c r="E19" i="2"/>
  <c r="D19" i="2"/>
  <c r="C19" i="2"/>
  <c r="B19" i="2"/>
  <c r="CQ18" i="2"/>
  <c r="CP18" i="2"/>
  <c r="CO18" i="2"/>
  <c r="CM18" i="2"/>
  <c r="CN18" i="2" s="1"/>
  <c r="CL18" i="2"/>
  <c r="CJ18" i="2"/>
  <c r="CI18" i="2"/>
  <c r="CK18" i="2" s="1"/>
  <c r="CF18" i="2"/>
  <c r="CH18" i="2" s="1"/>
  <c r="CE18" i="2"/>
  <c r="CB18" i="2"/>
  <c r="CD18" i="2" s="1"/>
  <c r="CA18" i="2"/>
  <c r="BZ18" i="2"/>
  <c r="BY18" i="2"/>
  <c r="BX18" i="2"/>
  <c r="BW18" i="2"/>
  <c r="BT18" i="2"/>
  <c r="BV18" i="2" s="1"/>
  <c r="BS18" i="2"/>
  <c r="BP18" i="2"/>
  <c r="BR18" i="2" s="1"/>
  <c r="BO18" i="2"/>
  <c r="BQ18" i="2" s="1"/>
  <c r="BN18" i="2"/>
  <c r="BM18" i="2"/>
  <c r="BL18" i="2"/>
  <c r="BK18" i="2"/>
  <c r="BI18" i="2"/>
  <c r="BH18" i="2"/>
  <c r="BJ18" i="2" s="1"/>
  <c r="BG18" i="2"/>
  <c r="BE18" i="2"/>
  <c r="BD18" i="2"/>
  <c r="BF18" i="2" s="1"/>
  <c r="BC18" i="2"/>
  <c r="BB18" i="2"/>
  <c r="BA18" i="2"/>
  <c r="AZ18" i="2"/>
  <c r="AY18" i="2"/>
  <c r="AW18" i="2"/>
  <c r="AX18" i="2" s="1"/>
  <c r="AV18" i="2"/>
  <c r="AS18" i="2"/>
  <c r="AR18" i="2"/>
  <c r="AO18" i="2"/>
  <c r="AP18" i="2" s="1"/>
  <c r="AN18" i="2"/>
  <c r="AL18" i="2"/>
  <c r="AM18" i="2" s="1"/>
  <c r="AK18" i="2"/>
  <c r="AI18" i="2"/>
  <c r="AJ18" i="2" s="1"/>
  <c r="AH18" i="2"/>
  <c r="AG18" i="2"/>
  <c r="AF18" i="2"/>
  <c r="AE18" i="2"/>
  <c r="AD18" i="2"/>
  <c r="AC18" i="2"/>
  <c r="AA18" i="2"/>
  <c r="Z18" i="2"/>
  <c r="Y18" i="2"/>
  <c r="W18" i="2"/>
  <c r="X18" i="2" s="1"/>
  <c r="V18" i="2"/>
  <c r="T18" i="2"/>
  <c r="U18" i="2" s="1"/>
  <c r="S18" i="2"/>
  <c r="Q18" i="2"/>
  <c r="R18" i="2" s="1"/>
  <c r="P18" i="2"/>
  <c r="M18" i="2"/>
  <c r="O18" i="2" s="1"/>
  <c r="L18" i="2"/>
  <c r="I18" i="2"/>
  <c r="J18" i="2" s="1"/>
  <c r="H18" i="2"/>
  <c r="F18" i="2"/>
  <c r="G18" i="2" s="1"/>
  <c r="E18" i="2"/>
  <c r="C18" i="2"/>
  <c r="D18" i="2" s="1"/>
  <c r="B18" i="2"/>
  <c r="CR18" i="2" s="1"/>
  <c r="CP17" i="2"/>
  <c r="CQ17" i="2" s="1"/>
  <c r="CO17" i="2"/>
  <c r="CN17" i="2"/>
  <c r="CM17" i="2"/>
  <c r="CL17" i="2"/>
  <c r="CJ17" i="2"/>
  <c r="CK17" i="2" s="1"/>
  <c r="CI17" i="2"/>
  <c r="CF17" i="2"/>
  <c r="CH17" i="2" s="1"/>
  <c r="CE17" i="2"/>
  <c r="CD17" i="2"/>
  <c r="CB17" i="2"/>
  <c r="CC17" i="2" s="1"/>
  <c r="CA17" i="2"/>
  <c r="BX17" i="2"/>
  <c r="BW17" i="2"/>
  <c r="BT17" i="2"/>
  <c r="BU17" i="2" s="1"/>
  <c r="BS17" i="2"/>
  <c r="BR17" i="2"/>
  <c r="BQ17" i="2"/>
  <c r="BP17" i="2"/>
  <c r="BO17" i="2"/>
  <c r="BN17" i="2"/>
  <c r="BL17" i="2"/>
  <c r="BK17" i="2"/>
  <c r="BJ17" i="2"/>
  <c r="BH17" i="2"/>
  <c r="BI17" i="2" s="1"/>
  <c r="BG17" i="2"/>
  <c r="BD17" i="2"/>
  <c r="BF17" i="2" s="1"/>
  <c r="BC17" i="2"/>
  <c r="BA17" i="2"/>
  <c r="BB17" i="2" s="1"/>
  <c r="AZ17" i="2"/>
  <c r="AY17" i="2"/>
  <c r="AX17" i="2"/>
  <c r="AW17" i="2"/>
  <c r="AV17" i="2"/>
  <c r="AU17" i="2"/>
  <c r="AS17" i="2"/>
  <c r="AT17" i="2" s="1"/>
  <c r="AR17" i="2"/>
  <c r="AO17" i="2"/>
  <c r="AP17" i="2" s="1"/>
  <c r="AN17" i="2"/>
  <c r="AL17" i="2"/>
  <c r="AM17" i="2" s="1"/>
  <c r="AK17" i="2"/>
  <c r="AI17" i="2"/>
  <c r="AJ17" i="2" s="1"/>
  <c r="AH17" i="2"/>
  <c r="AG17" i="2"/>
  <c r="AF17" i="2"/>
  <c r="AE17" i="2"/>
  <c r="AD17" i="2"/>
  <c r="AC17" i="2"/>
  <c r="AA17" i="2"/>
  <c r="AB17" i="2" s="1"/>
  <c r="Z17" i="2"/>
  <c r="W17" i="2"/>
  <c r="X17" i="2" s="1"/>
  <c r="V17" i="2"/>
  <c r="T17" i="2"/>
  <c r="U17" i="2" s="1"/>
  <c r="S17" i="2"/>
  <c r="Q17" i="2"/>
  <c r="R17" i="2" s="1"/>
  <c r="P17" i="2"/>
  <c r="O17" i="2"/>
  <c r="N17" i="2"/>
  <c r="M17" i="2"/>
  <c r="L17" i="2"/>
  <c r="K17" i="2"/>
  <c r="J17" i="2"/>
  <c r="I17" i="2"/>
  <c r="H17" i="2"/>
  <c r="F17" i="2"/>
  <c r="G17" i="2" s="1"/>
  <c r="E17" i="2"/>
  <c r="C17" i="2"/>
  <c r="D17" i="2" s="1"/>
  <c r="B17" i="2"/>
  <c r="CR17" i="2" s="1"/>
  <c r="CP16" i="2"/>
  <c r="CQ16" i="2" s="1"/>
  <c r="CO16" i="2"/>
  <c r="CM16" i="2"/>
  <c r="CN16" i="2" s="1"/>
  <c r="CL16" i="2"/>
  <c r="CJ16" i="2"/>
  <c r="CK16" i="2" s="1"/>
  <c r="CI16" i="2"/>
  <c r="CF16" i="2"/>
  <c r="CG16" i="2" s="1"/>
  <c r="CE16" i="2"/>
  <c r="CD16" i="2"/>
  <c r="CC16" i="2"/>
  <c r="CB16" i="2"/>
  <c r="CA16" i="2"/>
  <c r="BZ16" i="2"/>
  <c r="BX16" i="2"/>
  <c r="BY16" i="2" s="1"/>
  <c r="BW16" i="2"/>
  <c r="BT16" i="2"/>
  <c r="BU16" i="2" s="1"/>
  <c r="BS16" i="2"/>
  <c r="BR16" i="2"/>
  <c r="BQ16" i="2"/>
  <c r="BP16" i="2"/>
  <c r="BO16" i="2"/>
  <c r="BN16" i="2"/>
  <c r="BL16" i="2"/>
  <c r="BM16" i="2" s="1"/>
  <c r="BK16" i="2"/>
  <c r="BH16" i="2"/>
  <c r="BI16" i="2" s="1"/>
  <c r="BG16" i="2"/>
  <c r="BF16" i="2"/>
  <c r="BE16" i="2"/>
  <c r="BD16" i="2"/>
  <c r="BC16" i="2"/>
  <c r="BB16" i="2"/>
  <c r="BA16" i="2"/>
  <c r="AZ16" i="2"/>
  <c r="AY16" i="2"/>
  <c r="AW16" i="2"/>
  <c r="AX16" i="2" s="1"/>
  <c r="AV16" i="2"/>
  <c r="AS16" i="2"/>
  <c r="AU16" i="2" s="1"/>
  <c r="AR16" i="2"/>
  <c r="AO16" i="2"/>
  <c r="AQ16" i="2" s="1"/>
  <c r="AN16" i="2"/>
  <c r="AP16" i="2" s="1"/>
  <c r="AM16" i="2"/>
  <c r="AL16" i="2"/>
  <c r="AK16" i="2"/>
  <c r="AI16" i="2"/>
  <c r="AH16" i="2"/>
  <c r="AJ16" i="2" s="1"/>
  <c r="AG16" i="2"/>
  <c r="AE16" i="2"/>
  <c r="AF16" i="2" s="1"/>
  <c r="AD16" i="2"/>
  <c r="AA16" i="2"/>
  <c r="AC16" i="2" s="1"/>
  <c r="Z16" i="2"/>
  <c r="W16" i="2"/>
  <c r="Y16" i="2" s="1"/>
  <c r="V16" i="2"/>
  <c r="U16" i="2"/>
  <c r="T16" i="2"/>
  <c r="S16" i="2"/>
  <c r="Q16" i="2"/>
  <c r="R16" i="2" s="1"/>
  <c r="P16" i="2"/>
  <c r="O16" i="2"/>
  <c r="M16" i="2"/>
  <c r="N16" i="2" s="1"/>
  <c r="L16" i="2"/>
  <c r="CR16" i="2" s="1"/>
  <c r="I16" i="2"/>
  <c r="K16" i="2" s="1"/>
  <c r="H16" i="2"/>
  <c r="F16" i="2"/>
  <c r="G16" i="2" s="1"/>
  <c r="E16" i="2"/>
  <c r="C16" i="2"/>
  <c r="CS16" i="2" s="1"/>
  <c r="B16" i="2"/>
  <c r="CP15" i="2"/>
  <c r="CQ15" i="2" s="1"/>
  <c r="CO15" i="2"/>
  <c r="CM15" i="2"/>
  <c r="CN15" i="2" s="1"/>
  <c r="CL15" i="2"/>
  <c r="CJ15" i="2"/>
  <c r="CK15" i="2" s="1"/>
  <c r="CI15" i="2"/>
  <c r="CF15" i="2"/>
  <c r="CH15" i="2" s="1"/>
  <c r="CE15" i="2"/>
  <c r="CD15" i="2"/>
  <c r="CB15" i="2"/>
  <c r="CC15" i="2" s="1"/>
  <c r="CA15" i="2"/>
  <c r="BX15" i="2"/>
  <c r="BZ15" i="2" s="1"/>
  <c r="BW15" i="2"/>
  <c r="BT15" i="2"/>
  <c r="BV15" i="2" s="1"/>
  <c r="BS15" i="2"/>
  <c r="BR15" i="2"/>
  <c r="BP15" i="2"/>
  <c r="BQ15" i="2" s="1"/>
  <c r="BO15" i="2"/>
  <c r="BL15" i="2"/>
  <c r="BN15" i="2" s="1"/>
  <c r="BK15" i="2"/>
  <c r="BH15" i="2"/>
  <c r="BJ15" i="2" s="1"/>
  <c r="BG15" i="2"/>
  <c r="BF15" i="2"/>
  <c r="BD15" i="2"/>
  <c r="BE15" i="2" s="1"/>
  <c r="BC15" i="2"/>
  <c r="BA15" i="2"/>
  <c r="BB15" i="2" s="1"/>
  <c r="AZ15" i="2"/>
  <c r="AW15" i="2"/>
  <c r="AX15" i="2" s="1"/>
  <c r="AV15" i="2"/>
  <c r="AU15" i="2"/>
  <c r="AT15" i="2"/>
  <c r="AS15" i="2"/>
  <c r="AR15" i="2"/>
  <c r="AO15" i="2"/>
  <c r="AP15" i="2" s="1"/>
  <c r="AN15" i="2"/>
  <c r="AL15" i="2"/>
  <c r="AM15" i="2" s="1"/>
  <c r="AK15" i="2"/>
  <c r="AI15" i="2"/>
  <c r="AJ15" i="2" s="1"/>
  <c r="AH15" i="2"/>
  <c r="AE15" i="2"/>
  <c r="AF15" i="2" s="1"/>
  <c r="AD15" i="2"/>
  <c r="AC15" i="2"/>
  <c r="AB15" i="2"/>
  <c r="AA15" i="2"/>
  <c r="Z15" i="2"/>
  <c r="W15" i="2"/>
  <c r="Y15" i="2" s="1"/>
  <c r="V15" i="2"/>
  <c r="T15" i="2"/>
  <c r="U15" i="2" s="1"/>
  <c r="S15" i="2"/>
  <c r="Q15" i="2"/>
  <c r="R15" i="2" s="1"/>
  <c r="P15" i="2"/>
  <c r="M15" i="2"/>
  <c r="N15" i="2" s="1"/>
  <c r="L15" i="2"/>
  <c r="CR15" i="2" s="1"/>
  <c r="K15" i="2"/>
  <c r="J15" i="2"/>
  <c r="I15" i="2"/>
  <c r="H15" i="2"/>
  <c r="F15" i="2"/>
  <c r="G15" i="2" s="1"/>
  <c r="E15" i="2"/>
  <c r="D15" i="2"/>
  <c r="C15" i="2"/>
  <c r="B15" i="2"/>
  <c r="CQ14" i="2"/>
  <c r="CP14" i="2"/>
  <c r="CO14" i="2"/>
  <c r="CM14" i="2"/>
  <c r="CN14" i="2" s="1"/>
  <c r="CL14" i="2"/>
  <c r="CK14" i="2"/>
  <c r="CJ14" i="2"/>
  <c r="CI14" i="2"/>
  <c r="CF14" i="2"/>
  <c r="CG14" i="2" s="1"/>
  <c r="CE14" i="2"/>
  <c r="CB14" i="2"/>
  <c r="CC14" i="2" s="1"/>
  <c r="CA14" i="2"/>
  <c r="BZ14" i="2"/>
  <c r="BY14" i="2"/>
  <c r="BX14" i="2"/>
  <c r="BW14" i="2"/>
  <c r="BT14" i="2"/>
  <c r="BV14" i="2" s="1"/>
  <c r="BS14" i="2"/>
  <c r="BP14" i="2"/>
  <c r="BQ14" i="2" s="1"/>
  <c r="BO14" i="2"/>
  <c r="BN14" i="2"/>
  <c r="BM14" i="2"/>
  <c r="BL14" i="2"/>
  <c r="BK14" i="2"/>
  <c r="BH14" i="2"/>
  <c r="BJ14" i="2" s="1"/>
  <c r="BG14" i="2"/>
  <c r="BD14" i="2"/>
  <c r="BE14" i="2" s="1"/>
  <c r="BC14" i="2"/>
  <c r="BA14" i="2"/>
  <c r="BB14" i="2" s="1"/>
  <c r="AZ14" i="2"/>
  <c r="AW14" i="2"/>
  <c r="AY14" i="2" s="1"/>
  <c r="AV14" i="2"/>
  <c r="AU14" i="2"/>
  <c r="AS14" i="2"/>
  <c r="AT14" i="2" s="1"/>
  <c r="AR14" i="2"/>
  <c r="AO14" i="2"/>
  <c r="AQ14" i="2" s="1"/>
  <c r="AN14" i="2"/>
  <c r="AL14" i="2"/>
  <c r="AM14" i="2" s="1"/>
  <c r="AK14" i="2"/>
  <c r="AI14" i="2"/>
  <c r="AJ14" i="2" s="1"/>
  <c r="AH14" i="2"/>
  <c r="AE14" i="2"/>
  <c r="AG14" i="2" s="1"/>
  <c r="AD14" i="2"/>
  <c r="AC14" i="2"/>
  <c r="AA14" i="2"/>
  <c r="AB14" i="2" s="1"/>
  <c r="Z14" i="2"/>
  <c r="W14" i="2"/>
  <c r="Y14" i="2" s="1"/>
  <c r="V14" i="2"/>
  <c r="T14" i="2"/>
  <c r="U14" i="2" s="1"/>
  <c r="S14" i="2"/>
  <c r="Q14" i="2"/>
  <c r="R14" i="2" s="1"/>
  <c r="P14" i="2"/>
  <c r="M14" i="2"/>
  <c r="O14" i="2" s="1"/>
  <c r="L14" i="2"/>
  <c r="CR14" i="2" s="1"/>
  <c r="K14" i="2"/>
  <c r="I14" i="2"/>
  <c r="J14" i="2" s="1"/>
  <c r="H14" i="2"/>
  <c r="G14" i="2"/>
  <c r="F14" i="2"/>
  <c r="E14" i="2"/>
  <c r="C14" i="2"/>
  <c r="D14" i="2" s="1"/>
  <c r="B14" i="2"/>
  <c r="CP13" i="2"/>
  <c r="CQ13" i="2" s="1"/>
  <c r="CO13" i="2"/>
  <c r="CM13" i="2"/>
  <c r="CN13" i="2" s="1"/>
  <c r="CL13" i="2"/>
  <c r="CJ13" i="2"/>
  <c r="CK13" i="2" s="1"/>
  <c r="CI13" i="2"/>
  <c r="CF13" i="2"/>
  <c r="CH13" i="2" s="1"/>
  <c r="CE13" i="2"/>
  <c r="CB13" i="2"/>
  <c r="CD13" i="2" s="1"/>
  <c r="CA13" i="2"/>
  <c r="BZ13" i="2"/>
  <c r="BX13" i="2"/>
  <c r="BY13" i="2" s="1"/>
  <c r="BW13" i="2"/>
  <c r="BT13" i="2"/>
  <c r="BV13" i="2" s="1"/>
  <c r="BS13" i="2"/>
  <c r="BP13" i="2"/>
  <c r="BR13" i="2" s="1"/>
  <c r="BO13" i="2"/>
  <c r="BN13" i="2"/>
  <c r="BL13" i="2"/>
  <c r="BM13" i="2" s="1"/>
  <c r="BK13" i="2"/>
  <c r="BH13" i="2"/>
  <c r="BJ13" i="2" s="1"/>
  <c r="BG13" i="2"/>
  <c r="BD13" i="2"/>
  <c r="BF13" i="2" s="1"/>
  <c r="BC13" i="2"/>
  <c r="BB13" i="2"/>
  <c r="BA13" i="2"/>
  <c r="AZ13" i="2"/>
  <c r="AW13" i="2"/>
  <c r="AY13" i="2" s="1"/>
  <c r="AV13" i="2"/>
  <c r="AS13" i="2"/>
  <c r="AT13" i="2" s="1"/>
  <c r="AR13" i="2"/>
  <c r="AQ13" i="2"/>
  <c r="AP13" i="2"/>
  <c r="AO13" i="2"/>
  <c r="AN13" i="2"/>
  <c r="AL13" i="2"/>
  <c r="AM13" i="2" s="1"/>
  <c r="AK13" i="2"/>
  <c r="AJ13" i="2"/>
  <c r="AI13" i="2"/>
  <c r="AH13" i="2"/>
  <c r="AE13" i="2"/>
  <c r="AG13" i="2" s="1"/>
  <c r="AD13" i="2"/>
  <c r="AA13" i="2"/>
  <c r="AB13" i="2" s="1"/>
  <c r="Z13" i="2"/>
  <c r="Y13" i="2"/>
  <c r="X13" i="2"/>
  <c r="W13" i="2"/>
  <c r="V13" i="2"/>
  <c r="T13" i="2"/>
  <c r="U13" i="2" s="1"/>
  <c r="S13" i="2"/>
  <c r="R13" i="2"/>
  <c r="Q13" i="2"/>
  <c r="P13" i="2"/>
  <c r="M13" i="2"/>
  <c r="O13" i="2" s="1"/>
  <c r="L13" i="2"/>
  <c r="CR13" i="2" s="1"/>
  <c r="I13" i="2"/>
  <c r="J13" i="2" s="1"/>
  <c r="H13" i="2"/>
  <c r="F13" i="2"/>
  <c r="G13" i="2" s="1"/>
  <c r="E13" i="2"/>
  <c r="C13" i="2"/>
  <c r="D13" i="2" s="1"/>
  <c r="B13" i="2"/>
  <c r="CP12" i="2"/>
  <c r="CQ12" i="2" s="1"/>
  <c r="CO12" i="2"/>
  <c r="CM12" i="2"/>
  <c r="CN12" i="2" s="1"/>
  <c r="CL12" i="2"/>
  <c r="CJ12" i="2"/>
  <c r="CK12" i="2" s="1"/>
  <c r="CI12" i="2"/>
  <c r="CH12" i="2"/>
  <c r="CG12" i="2"/>
  <c r="CF12" i="2"/>
  <c r="CE12" i="2"/>
  <c r="CB12" i="2"/>
  <c r="CD12" i="2" s="1"/>
  <c r="CA12" i="2"/>
  <c r="BX12" i="2"/>
  <c r="BY12" i="2" s="1"/>
  <c r="BW12" i="2"/>
  <c r="BV12" i="2"/>
  <c r="BU12" i="2"/>
  <c r="BT12" i="2"/>
  <c r="BS12" i="2"/>
  <c r="BP12" i="2"/>
  <c r="BR12" i="2" s="1"/>
  <c r="BO12" i="2"/>
  <c r="BL12" i="2"/>
  <c r="BM12" i="2" s="1"/>
  <c r="BK12" i="2"/>
  <c r="BJ12" i="2"/>
  <c r="BI12" i="2"/>
  <c r="BH12" i="2"/>
  <c r="BG12" i="2"/>
  <c r="BD12" i="2"/>
  <c r="BE12" i="2" s="1"/>
  <c r="BC12" i="2"/>
  <c r="BA12" i="2"/>
  <c r="BB12" i="2" s="1"/>
  <c r="AZ12" i="2"/>
  <c r="AW12" i="2"/>
  <c r="AV12" i="2"/>
  <c r="AS12" i="2"/>
  <c r="AU12" i="2" s="1"/>
  <c r="AR12" i="2"/>
  <c r="AQ12" i="2"/>
  <c r="AO12" i="2"/>
  <c r="AP12" i="2" s="1"/>
  <c r="AN12" i="2"/>
  <c r="AL12" i="2"/>
  <c r="AK12" i="2"/>
  <c r="AI12" i="2"/>
  <c r="AJ12" i="2" s="1"/>
  <c r="AH12" i="2"/>
  <c r="AF12" i="2"/>
  <c r="AE12" i="2"/>
  <c r="AG12" i="2" s="1"/>
  <c r="AD12" i="2"/>
  <c r="AA12" i="2"/>
  <c r="AC12" i="2" s="1"/>
  <c r="Z12" i="2"/>
  <c r="Y12" i="2"/>
  <c r="W12" i="2"/>
  <c r="X12" i="2" s="1"/>
  <c r="V12" i="2"/>
  <c r="T12" i="2"/>
  <c r="U12" i="2" s="1"/>
  <c r="S12" i="2"/>
  <c r="Q12" i="2"/>
  <c r="R12" i="2" s="1"/>
  <c r="P12" i="2"/>
  <c r="N12" i="2"/>
  <c r="M12" i="2"/>
  <c r="O12" i="2" s="1"/>
  <c r="L12" i="2"/>
  <c r="I12" i="2"/>
  <c r="K12" i="2" s="1"/>
  <c r="H12" i="2"/>
  <c r="G12" i="2"/>
  <c r="F12" i="2"/>
  <c r="E12" i="2"/>
  <c r="C12" i="2"/>
  <c r="D12" i="2" s="1"/>
  <c r="B12" i="2"/>
  <c r="CR12" i="2" s="1"/>
  <c r="CP11" i="2"/>
  <c r="CQ11" i="2" s="1"/>
  <c r="CO11" i="2"/>
  <c r="CN11" i="2"/>
  <c r="CM11" i="2"/>
  <c r="CL11" i="2"/>
  <c r="CJ11" i="2"/>
  <c r="CI11" i="2"/>
  <c r="CH11" i="2"/>
  <c r="CF11" i="2"/>
  <c r="CG11" i="2" s="1"/>
  <c r="CE11" i="2"/>
  <c r="CC11" i="2"/>
  <c r="CB11" i="2"/>
  <c r="CD11" i="2" s="1"/>
  <c r="CA11" i="2"/>
  <c r="BX11" i="2"/>
  <c r="BZ11" i="2" s="1"/>
  <c r="BW11" i="2"/>
  <c r="BV11" i="2"/>
  <c r="BT11" i="2"/>
  <c r="BU11" i="2" s="1"/>
  <c r="BS11" i="2"/>
  <c r="BQ11" i="2"/>
  <c r="BP11" i="2"/>
  <c r="BR11" i="2" s="1"/>
  <c r="BO11" i="2"/>
  <c r="BL11" i="2"/>
  <c r="BN11" i="2" s="1"/>
  <c r="BK11" i="2"/>
  <c r="BJ11" i="2"/>
  <c r="BH11" i="2"/>
  <c r="BI11" i="2" s="1"/>
  <c r="BG11" i="2"/>
  <c r="BD11" i="2"/>
  <c r="BF11" i="2" s="1"/>
  <c r="BC11" i="2"/>
  <c r="BA11" i="2"/>
  <c r="BB11" i="2" s="1"/>
  <c r="AZ11" i="2"/>
  <c r="AY11" i="2"/>
  <c r="AX11" i="2"/>
  <c r="AW11" i="2"/>
  <c r="AV11" i="2"/>
  <c r="AS11" i="2"/>
  <c r="AR11" i="2"/>
  <c r="AO11" i="2"/>
  <c r="AP11" i="2" s="1"/>
  <c r="AN11" i="2"/>
  <c r="AL11" i="2"/>
  <c r="AM11" i="2" s="1"/>
  <c r="AK11" i="2"/>
  <c r="AI11" i="2"/>
  <c r="AJ11" i="2" s="1"/>
  <c r="AH11" i="2"/>
  <c r="AG11" i="2"/>
  <c r="AF11" i="2"/>
  <c r="AE11" i="2"/>
  <c r="AD11" i="2"/>
  <c r="AA11" i="2"/>
  <c r="Z11" i="2"/>
  <c r="W11" i="2"/>
  <c r="X11" i="2" s="1"/>
  <c r="V11" i="2"/>
  <c r="U11" i="2"/>
  <c r="T11" i="2"/>
  <c r="S11" i="2"/>
  <c r="Q11" i="2"/>
  <c r="R11" i="2" s="1"/>
  <c r="P11" i="2"/>
  <c r="O11" i="2"/>
  <c r="N11" i="2"/>
  <c r="M11" i="2"/>
  <c r="L11" i="2"/>
  <c r="I11" i="2"/>
  <c r="H11" i="2"/>
  <c r="F11" i="2"/>
  <c r="G11" i="2" s="1"/>
  <c r="E11" i="2"/>
  <c r="C11" i="2"/>
  <c r="B11" i="2"/>
  <c r="CR11" i="2" s="1"/>
  <c r="CP10" i="2"/>
  <c r="CQ10" i="2" s="1"/>
  <c r="CO10" i="2"/>
  <c r="CM10" i="2"/>
  <c r="CN10" i="2" s="1"/>
  <c r="CL10" i="2"/>
  <c r="CJ10" i="2"/>
  <c r="CI10" i="2"/>
  <c r="CF10" i="2"/>
  <c r="CG10" i="2" s="1"/>
  <c r="CE10" i="2"/>
  <c r="CD10" i="2"/>
  <c r="CC10" i="2"/>
  <c r="CB10" i="2"/>
  <c r="CA10" i="2"/>
  <c r="BX10" i="2"/>
  <c r="BW10" i="2"/>
  <c r="BT10" i="2"/>
  <c r="BU10" i="2" s="1"/>
  <c r="BS10" i="2"/>
  <c r="BR10" i="2"/>
  <c r="BQ10" i="2"/>
  <c r="BP10" i="2"/>
  <c r="BO10" i="2"/>
  <c r="BL10" i="2"/>
  <c r="BK10" i="2"/>
  <c r="BH10" i="2"/>
  <c r="BI10" i="2" s="1"/>
  <c r="BG10" i="2"/>
  <c r="BF10" i="2"/>
  <c r="BE10" i="2"/>
  <c r="BD10" i="2"/>
  <c r="BC10" i="2"/>
  <c r="BA10" i="2"/>
  <c r="BB10" i="2" s="1"/>
  <c r="AZ10" i="2"/>
  <c r="AY10" i="2"/>
  <c r="AW10" i="2"/>
  <c r="AX10" i="2" s="1"/>
  <c r="AV10" i="2"/>
  <c r="AS10" i="2"/>
  <c r="AU10" i="2" s="1"/>
  <c r="AR10" i="2"/>
  <c r="AO10" i="2"/>
  <c r="AQ10" i="2" s="1"/>
  <c r="AN10" i="2"/>
  <c r="AM10" i="2"/>
  <c r="AL10" i="2"/>
  <c r="AK10" i="2"/>
  <c r="AI10" i="2"/>
  <c r="AJ10" i="2" s="1"/>
  <c r="AH10" i="2"/>
  <c r="AG10" i="2"/>
  <c r="AE10" i="2"/>
  <c r="AF10" i="2" s="1"/>
  <c r="AD10" i="2"/>
  <c r="AB10" i="2"/>
  <c r="AA10" i="2"/>
  <c r="AC10" i="2" s="1"/>
  <c r="Z10" i="2"/>
  <c r="W10" i="2"/>
  <c r="Y10" i="2" s="1"/>
  <c r="V10" i="2"/>
  <c r="U10" i="2"/>
  <c r="T10" i="2"/>
  <c r="S10" i="2"/>
  <c r="Q10" i="2"/>
  <c r="R10" i="2" s="1"/>
  <c r="P10" i="2"/>
  <c r="O10" i="2"/>
  <c r="M10" i="2"/>
  <c r="N10" i="2" s="1"/>
  <c r="L10" i="2"/>
  <c r="CR10" i="2" s="1"/>
  <c r="J10" i="2"/>
  <c r="I10" i="2"/>
  <c r="K10" i="2" s="1"/>
  <c r="H10" i="2"/>
  <c r="F10" i="2"/>
  <c r="G10" i="2" s="1"/>
  <c r="E10" i="2"/>
  <c r="D10" i="2"/>
  <c r="C10" i="2"/>
  <c r="B10" i="2"/>
  <c r="CP9" i="2"/>
  <c r="CQ9" i="2" s="1"/>
  <c r="CO9" i="2"/>
  <c r="CM9" i="2"/>
  <c r="CN9" i="2" s="1"/>
  <c r="CL9" i="2"/>
  <c r="CK9" i="2"/>
  <c r="CJ9" i="2"/>
  <c r="CI9" i="2"/>
  <c r="CF9" i="2"/>
  <c r="CH9" i="2" s="1"/>
  <c r="CE9" i="2"/>
  <c r="CD9" i="2"/>
  <c r="CB9" i="2"/>
  <c r="CC9" i="2" s="1"/>
  <c r="CA9" i="2"/>
  <c r="BX9" i="2"/>
  <c r="BZ9" i="2" s="1"/>
  <c r="BW9" i="2"/>
  <c r="BT9" i="2"/>
  <c r="BV9" i="2" s="1"/>
  <c r="BS9" i="2"/>
  <c r="BR9" i="2"/>
  <c r="BP9" i="2"/>
  <c r="BQ9" i="2" s="1"/>
  <c r="BO9" i="2"/>
  <c r="BM9" i="2"/>
  <c r="BL9" i="2"/>
  <c r="BN9" i="2" s="1"/>
  <c r="BK9" i="2"/>
  <c r="BH9" i="2"/>
  <c r="BJ9" i="2" s="1"/>
  <c r="BG9" i="2"/>
  <c r="BF9" i="2"/>
  <c r="BD9" i="2"/>
  <c r="BE9" i="2" s="1"/>
  <c r="BC9" i="2"/>
  <c r="BA9" i="2"/>
  <c r="BB9" i="2" s="1"/>
  <c r="AZ9" i="2"/>
  <c r="AW9" i="2"/>
  <c r="AX9" i="2" s="1"/>
  <c r="AV9" i="2"/>
  <c r="AU9" i="2"/>
  <c r="AT9" i="2"/>
  <c r="AS9" i="2"/>
  <c r="AR9" i="2"/>
  <c r="AO9" i="2"/>
  <c r="AN9" i="2"/>
  <c r="AL9" i="2"/>
  <c r="AM9" i="2" s="1"/>
  <c r="AK9" i="2"/>
  <c r="AI9" i="2"/>
  <c r="AJ9" i="2" s="1"/>
  <c r="AH9" i="2"/>
  <c r="AE9" i="2"/>
  <c r="AF9" i="2" s="1"/>
  <c r="AD9" i="2"/>
  <c r="AC9" i="2"/>
  <c r="AB9" i="2"/>
  <c r="AA9" i="2"/>
  <c r="Z9" i="2"/>
  <c r="W9" i="2"/>
  <c r="V9" i="2"/>
  <c r="T9" i="2"/>
  <c r="U9" i="2" s="1"/>
  <c r="S9" i="2"/>
  <c r="Q9" i="2"/>
  <c r="R9" i="2" s="1"/>
  <c r="P9" i="2"/>
  <c r="M9" i="2"/>
  <c r="N9" i="2" s="1"/>
  <c r="L9" i="2"/>
  <c r="K9" i="2"/>
  <c r="J9" i="2"/>
  <c r="I9" i="2"/>
  <c r="H9" i="2"/>
  <c r="F9" i="2"/>
  <c r="G9" i="2" s="1"/>
  <c r="E9" i="2"/>
  <c r="D9" i="2"/>
  <c r="C9" i="2"/>
  <c r="B9" i="2"/>
  <c r="CQ8" i="2"/>
  <c r="CP8" i="2"/>
  <c r="CO8" i="2"/>
  <c r="CM8" i="2"/>
  <c r="CN8" i="2" s="1"/>
  <c r="CL8" i="2"/>
  <c r="CK8" i="2"/>
  <c r="CJ8" i="2"/>
  <c r="CI8" i="2"/>
  <c r="CF8" i="2"/>
  <c r="CE8" i="2"/>
  <c r="CB8" i="2"/>
  <c r="CC8" i="2" s="1"/>
  <c r="CA8" i="2"/>
  <c r="BZ8" i="2"/>
  <c r="BY8" i="2"/>
  <c r="BX8" i="2"/>
  <c r="BW8" i="2"/>
  <c r="BT8" i="2"/>
  <c r="BS8" i="2"/>
  <c r="BP8" i="2"/>
  <c r="BR8" i="2" s="1"/>
  <c r="BO8" i="2"/>
  <c r="BN8" i="2"/>
  <c r="BM8" i="2"/>
  <c r="BL8" i="2"/>
  <c r="BK8" i="2"/>
  <c r="BH8" i="2"/>
  <c r="BG8" i="2"/>
  <c r="BD8" i="2"/>
  <c r="BF8" i="2" s="1"/>
  <c r="BC8" i="2"/>
  <c r="BB8" i="2"/>
  <c r="BA8" i="2"/>
  <c r="AZ8" i="2"/>
  <c r="AW8" i="2"/>
  <c r="AV8" i="2"/>
  <c r="AU8" i="2"/>
  <c r="AS8" i="2"/>
  <c r="AT8" i="2" s="1"/>
  <c r="AR8" i="2"/>
  <c r="AO8" i="2"/>
  <c r="AQ8" i="2" s="1"/>
  <c r="AN8" i="2"/>
  <c r="AL8" i="2"/>
  <c r="AM8" i="2" s="1"/>
  <c r="AK8" i="2"/>
  <c r="AI8" i="2"/>
  <c r="AJ8" i="2" s="1"/>
  <c r="AH8" i="2"/>
  <c r="AE8" i="2"/>
  <c r="AG8" i="2" s="1"/>
  <c r="AD8" i="2"/>
  <c r="AC8" i="2"/>
  <c r="AA8" i="2"/>
  <c r="AB8" i="2" s="1"/>
  <c r="Z8" i="2"/>
  <c r="W8" i="2"/>
  <c r="Y8" i="2" s="1"/>
  <c r="V8" i="2"/>
  <c r="T8" i="2"/>
  <c r="U8" i="2" s="1"/>
  <c r="S8" i="2"/>
  <c r="Q8" i="2"/>
  <c r="R8" i="2" s="1"/>
  <c r="P8" i="2"/>
  <c r="M8" i="2"/>
  <c r="L8" i="2"/>
  <c r="CR8" i="2" s="1"/>
  <c r="K8" i="2"/>
  <c r="I8" i="2"/>
  <c r="J8" i="2" s="1"/>
  <c r="H8" i="2"/>
  <c r="F8" i="2"/>
  <c r="G8" i="2" s="1"/>
  <c r="E8" i="2"/>
  <c r="C8" i="2"/>
  <c r="D8" i="2" s="1"/>
  <c r="B8" i="2"/>
  <c r="CP7" i="2"/>
  <c r="CO7" i="2"/>
  <c r="CM7" i="2"/>
  <c r="CL7" i="2"/>
  <c r="CJ7" i="2"/>
  <c r="CK7" i="2" s="1"/>
  <c r="CI7" i="2"/>
  <c r="CF7" i="2"/>
  <c r="CS7" i="2" s="1"/>
  <c r="CE7" i="2"/>
  <c r="CB7" i="2"/>
  <c r="CD7" i="2" s="1"/>
  <c r="CA7" i="2"/>
  <c r="CA35" i="2" s="1"/>
  <c r="BZ7" i="2"/>
  <c r="BX7" i="2"/>
  <c r="BW7" i="2"/>
  <c r="BU7" i="2"/>
  <c r="BT7" i="2"/>
  <c r="BS7" i="2"/>
  <c r="BP7" i="2"/>
  <c r="BR7" i="2" s="1"/>
  <c r="BO7" i="2"/>
  <c r="BO35" i="2" s="1"/>
  <c r="BN7" i="2"/>
  <c r="BL7" i="2"/>
  <c r="BK7" i="2"/>
  <c r="BH7" i="2"/>
  <c r="BI7" i="2" s="1"/>
  <c r="BG7" i="2"/>
  <c r="BD7" i="2"/>
  <c r="BC7" i="2"/>
  <c r="BC35" i="2" s="1"/>
  <c r="BB7" i="2"/>
  <c r="BA7" i="2"/>
  <c r="AZ7" i="2"/>
  <c r="AW7" i="2"/>
  <c r="AV7" i="2"/>
  <c r="AV35" i="2" s="1"/>
  <c r="AS7" i="2"/>
  <c r="AR7" i="2"/>
  <c r="AQ7" i="2"/>
  <c r="AP7" i="2"/>
  <c r="AO7" i="2"/>
  <c r="AN7" i="2"/>
  <c r="AL7" i="2"/>
  <c r="AK7" i="2"/>
  <c r="AJ7" i="2"/>
  <c r="AI7" i="2"/>
  <c r="AH7" i="2"/>
  <c r="AE7" i="2"/>
  <c r="AD7" i="2"/>
  <c r="AA7" i="2"/>
  <c r="AC7" i="2" s="1"/>
  <c r="Z7" i="2"/>
  <c r="Y7" i="2"/>
  <c r="X7" i="2"/>
  <c r="W7" i="2"/>
  <c r="V7" i="2"/>
  <c r="T7" i="2"/>
  <c r="U7" i="2" s="1"/>
  <c r="S7" i="2"/>
  <c r="S35" i="2" s="1"/>
  <c r="R7" i="2"/>
  <c r="Q7" i="2"/>
  <c r="P7" i="2"/>
  <c r="M7" i="2"/>
  <c r="L7" i="2"/>
  <c r="I7" i="2"/>
  <c r="H7" i="2"/>
  <c r="F7" i="2"/>
  <c r="F35" i="2" s="1"/>
  <c r="E7" i="2"/>
  <c r="C7" i="2"/>
  <c r="D7" i="2" s="1"/>
  <c r="B7" i="2"/>
  <c r="B3" i="2"/>
  <c r="AR35" i="3"/>
  <c r="AS35" i="3" s="1"/>
  <c r="AQ35" i="3"/>
  <c r="AO35" i="3"/>
  <c r="AP35" i="3" s="1"/>
  <c r="AN35" i="3"/>
  <c r="AL35" i="3"/>
  <c r="AK35" i="3"/>
  <c r="AM35" i="3" s="1"/>
  <c r="AJ35" i="3"/>
  <c r="AI35" i="3"/>
  <c r="AG35" i="3"/>
  <c r="AH35" i="3" s="1"/>
  <c r="AF35" i="3"/>
  <c r="AE35" i="3"/>
  <c r="AC35" i="3"/>
  <c r="AD35" i="3" s="1"/>
  <c r="AB35" i="3"/>
  <c r="Z35" i="3"/>
  <c r="Y35" i="3"/>
  <c r="AA35" i="3" s="1"/>
  <c r="X35" i="3"/>
  <c r="U35" i="3"/>
  <c r="W35" i="3" s="1"/>
  <c r="T35" i="3"/>
  <c r="R35" i="3"/>
  <c r="S35" i="3" s="1"/>
  <c r="Q35" i="3"/>
  <c r="O35" i="3"/>
  <c r="P35" i="3" s="1"/>
  <c r="N35" i="3"/>
  <c r="L35" i="3"/>
  <c r="M35" i="3" s="1"/>
  <c r="K35" i="3"/>
  <c r="I35" i="3"/>
  <c r="J35" i="3" s="1"/>
  <c r="H35" i="3"/>
  <c r="F35" i="3"/>
  <c r="G35" i="3" s="1"/>
  <c r="E35" i="3"/>
  <c r="C35" i="3"/>
  <c r="AU35" i="3" s="1"/>
  <c r="B35" i="3"/>
  <c r="AT35" i="3" s="1"/>
  <c r="AV35" i="3" s="1"/>
  <c r="AR34" i="3"/>
  <c r="AS34" i="3" s="1"/>
  <c r="AQ34" i="3"/>
  <c r="AO34" i="3"/>
  <c r="AP34" i="3" s="1"/>
  <c r="AN34" i="3"/>
  <c r="AL34" i="3"/>
  <c r="AK34" i="3"/>
  <c r="AM34" i="3" s="1"/>
  <c r="AJ34" i="3"/>
  <c r="AI34" i="3"/>
  <c r="AH34" i="3"/>
  <c r="AG34" i="3"/>
  <c r="AF34" i="3"/>
  <c r="AE34" i="3"/>
  <c r="AC34" i="3"/>
  <c r="AD34" i="3" s="1"/>
  <c r="AB34" i="3"/>
  <c r="Z34" i="3"/>
  <c r="Y34" i="3"/>
  <c r="AA34" i="3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AU34" i="3" s="1"/>
  <c r="E34" i="3"/>
  <c r="D34" i="3"/>
  <c r="C34" i="3"/>
  <c r="B34" i="3"/>
  <c r="AT34" i="3" s="1"/>
  <c r="AV34" i="3" s="1"/>
  <c r="AR33" i="3"/>
  <c r="AQ33" i="3"/>
  <c r="AS33" i="3" s="1"/>
  <c r="AP33" i="3"/>
  <c r="AO33" i="3"/>
  <c r="AN33" i="3"/>
  <c r="AK33" i="3"/>
  <c r="AM33" i="3" s="1"/>
  <c r="AJ33" i="3"/>
  <c r="AI33" i="3"/>
  <c r="AH33" i="3"/>
  <c r="AG33" i="3"/>
  <c r="AF33" i="3"/>
  <c r="AE33" i="3"/>
  <c r="AD33" i="3"/>
  <c r="AC33" i="3"/>
  <c r="AB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AU33" i="3" s="1"/>
  <c r="E33" i="3"/>
  <c r="AT33" i="3" s="1"/>
  <c r="AV33" i="3" s="1"/>
  <c r="D33" i="3"/>
  <c r="C33" i="3"/>
  <c r="B33" i="3"/>
  <c r="AS32" i="3"/>
  <c r="AR32" i="3"/>
  <c r="AQ32" i="3"/>
  <c r="AP32" i="3"/>
  <c r="AO32" i="3"/>
  <c r="AN32" i="3"/>
  <c r="AM32" i="3"/>
  <c r="AL32" i="3"/>
  <c r="AK32" i="3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S32" i="3"/>
  <c r="R32" i="3"/>
  <c r="Q32" i="3"/>
  <c r="O32" i="3"/>
  <c r="P32" i="3" s="1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R31" i="3"/>
  <c r="AS31" i="3" s="1"/>
  <c r="AQ31" i="3"/>
  <c r="AP31" i="3"/>
  <c r="AO31" i="3"/>
  <c r="AN31" i="3"/>
  <c r="AL31" i="3"/>
  <c r="AK31" i="3"/>
  <c r="AM31" i="3" s="1"/>
  <c r="AJ31" i="3"/>
  <c r="AI31" i="3"/>
  <c r="AH31" i="3"/>
  <c r="AG31" i="3"/>
  <c r="AF31" i="3"/>
  <c r="AD31" i="3"/>
  <c r="AC31" i="3"/>
  <c r="AE31" i="3" s="1"/>
  <c r="AB31" i="3"/>
  <c r="Z31" i="3"/>
  <c r="Y31" i="3"/>
  <c r="AA31" i="3" s="1"/>
  <c r="X31" i="3"/>
  <c r="W31" i="3"/>
  <c r="V31" i="3"/>
  <c r="U31" i="3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D31" i="3"/>
  <c r="C31" i="3"/>
  <c r="B31" i="3"/>
  <c r="AT31" i="3" s="1"/>
  <c r="AS30" i="3"/>
  <c r="AR30" i="3"/>
  <c r="AQ30" i="3"/>
  <c r="AO30" i="3"/>
  <c r="AP30" i="3" s="1"/>
  <c r="AN30" i="3"/>
  <c r="AK30" i="3"/>
  <c r="AM30" i="3" s="1"/>
  <c r="AJ30" i="3"/>
  <c r="AI30" i="3"/>
  <c r="AH30" i="3"/>
  <c r="AG30" i="3"/>
  <c r="AF30" i="3"/>
  <c r="AC30" i="3"/>
  <c r="AD30" i="3" s="1"/>
  <c r="AB30" i="3"/>
  <c r="Y30" i="3"/>
  <c r="AA30" i="3" s="1"/>
  <c r="X30" i="3"/>
  <c r="W30" i="3"/>
  <c r="V30" i="3"/>
  <c r="U30" i="3"/>
  <c r="T30" i="3"/>
  <c r="R30" i="3"/>
  <c r="Q30" i="3"/>
  <c r="S30" i="3" s="1"/>
  <c r="P30" i="3"/>
  <c r="O30" i="3"/>
  <c r="N30" i="3"/>
  <c r="L30" i="3"/>
  <c r="K30" i="3"/>
  <c r="M30" i="3" s="1"/>
  <c r="J30" i="3"/>
  <c r="I30" i="3"/>
  <c r="H30" i="3"/>
  <c r="G30" i="3"/>
  <c r="F30" i="3"/>
  <c r="E30" i="3"/>
  <c r="AT30" i="3" s="1"/>
  <c r="D30" i="3"/>
  <c r="C30" i="3"/>
  <c r="B30" i="3"/>
  <c r="AS29" i="3"/>
  <c r="AR29" i="3"/>
  <c r="AQ29" i="3"/>
  <c r="AP29" i="3"/>
  <c r="AO29" i="3"/>
  <c r="AN29" i="3"/>
  <c r="AM29" i="3"/>
  <c r="AL29" i="3"/>
  <c r="AK29" i="3"/>
  <c r="AJ29" i="3"/>
  <c r="AH29" i="3"/>
  <c r="AG29" i="3"/>
  <c r="AI29" i="3" s="1"/>
  <c r="AF29" i="3"/>
  <c r="AD29" i="3"/>
  <c r="AC29" i="3"/>
  <c r="AE29" i="3" s="1"/>
  <c r="AB29" i="3"/>
  <c r="AT29" i="3" s="1"/>
  <c r="AV29" i="3" s="1"/>
  <c r="AA29" i="3"/>
  <c r="Z29" i="3"/>
  <c r="Y29" i="3"/>
  <c r="X29" i="3"/>
  <c r="V29" i="3"/>
  <c r="U29" i="3"/>
  <c r="W29" i="3" s="1"/>
  <c r="T29" i="3"/>
  <c r="R29" i="3"/>
  <c r="S29" i="3" s="1"/>
  <c r="Q29" i="3"/>
  <c r="P29" i="3"/>
  <c r="O29" i="3"/>
  <c r="N29" i="3"/>
  <c r="L29" i="3"/>
  <c r="M29" i="3" s="1"/>
  <c r="K29" i="3"/>
  <c r="J29" i="3"/>
  <c r="I29" i="3"/>
  <c r="H29" i="3"/>
  <c r="F29" i="3"/>
  <c r="G29" i="3" s="1"/>
  <c r="E29" i="3"/>
  <c r="D29" i="3"/>
  <c r="C29" i="3"/>
  <c r="AU29" i="3" s="1"/>
  <c r="B29" i="3"/>
  <c r="AS28" i="3"/>
  <c r="AR28" i="3"/>
  <c r="AQ28" i="3"/>
  <c r="AO28" i="3"/>
  <c r="AP28" i="3" s="1"/>
  <c r="AN28" i="3"/>
  <c r="AM28" i="3"/>
  <c r="AK28" i="3"/>
  <c r="AL28" i="3" s="1"/>
  <c r="AJ28" i="3"/>
  <c r="AG28" i="3"/>
  <c r="AH28" i="3" s="1"/>
  <c r="AF28" i="3"/>
  <c r="AC28" i="3"/>
  <c r="AE28" i="3" s="1"/>
  <c r="AB28" i="3"/>
  <c r="AA28" i="3"/>
  <c r="Y28" i="3"/>
  <c r="Z28" i="3" s="1"/>
  <c r="X28" i="3"/>
  <c r="U28" i="3"/>
  <c r="V28" i="3" s="1"/>
  <c r="T28" i="3"/>
  <c r="S28" i="3"/>
  <c r="R28" i="3"/>
  <c r="Q28" i="3"/>
  <c r="O28" i="3"/>
  <c r="P28" i="3" s="1"/>
  <c r="N28" i="3"/>
  <c r="L28" i="3"/>
  <c r="K28" i="3"/>
  <c r="M28" i="3" s="1"/>
  <c r="I28" i="3"/>
  <c r="J28" i="3" s="1"/>
  <c r="H28" i="3"/>
  <c r="G28" i="3"/>
  <c r="F28" i="3"/>
  <c r="E28" i="3"/>
  <c r="C28" i="3"/>
  <c r="D28" i="3" s="1"/>
  <c r="B28" i="3"/>
  <c r="AT28" i="3" s="1"/>
  <c r="AR27" i="3"/>
  <c r="AS27" i="3" s="1"/>
  <c r="AQ27" i="3"/>
  <c r="AP27" i="3"/>
  <c r="AO27" i="3"/>
  <c r="AN27" i="3"/>
  <c r="AL27" i="3"/>
  <c r="AK27" i="3"/>
  <c r="AM27" i="3" s="1"/>
  <c r="AJ27" i="3"/>
  <c r="AH27" i="3"/>
  <c r="AG27" i="3"/>
  <c r="AI27" i="3" s="1"/>
  <c r="AF27" i="3"/>
  <c r="AE27" i="3"/>
  <c r="AD27" i="3"/>
  <c r="AC27" i="3"/>
  <c r="AB27" i="3"/>
  <c r="Z27" i="3"/>
  <c r="Y27" i="3"/>
  <c r="AA27" i="3" s="1"/>
  <c r="X27" i="3"/>
  <c r="V27" i="3"/>
  <c r="U27" i="3"/>
  <c r="W27" i="3" s="1"/>
  <c r="T27" i="3"/>
  <c r="S27" i="3"/>
  <c r="R27" i="3"/>
  <c r="Q27" i="3"/>
  <c r="P27" i="3"/>
  <c r="O27" i="3"/>
  <c r="N27" i="3"/>
  <c r="M27" i="3"/>
  <c r="L27" i="3"/>
  <c r="K27" i="3"/>
  <c r="I27" i="3"/>
  <c r="H27" i="3"/>
  <c r="J27" i="3" s="1"/>
  <c r="G27" i="3"/>
  <c r="F27" i="3"/>
  <c r="E27" i="3"/>
  <c r="D27" i="3"/>
  <c r="C27" i="3"/>
  <c r="AU27" i="3" s="1"/>
  <c r="B27" i="3"/>
  <c r="AT27" i="3" s="1"/>
  <c r="AV27" i="3" s="1"/>
  <c r="AR26" i="3"/>
  <c r="AQ26" i="3"/>
  <c r="AS26" i="3" s="1"/>
  <c r="AP26" i="3"/>
  <c r="AO26" i="3"/>
  <c r="AN26" i="3"/>
  <c r="AK26" i="3"/>
  <c r="AL26" i="3" s="1"/>
  <c r="AJ26" i="3"/>
  <c r="AG26" i="3"/>
  <c r="AI26" i="3" s="1"/>
  <c r="AF26" i="3"/>
  <c r="AE26" i="3"/>
  <c r="AD26" i="3"/>
  <c r="AC26" i="3"/>
  <c r="AB26" i="3"/>
  <c r="Y26" i="3"/>
  <c r="Z26" i="3" s="1"/>
  <c r="X26" i="3"/>
  <c r="U26" i="3"/>
  <c r="W26" i="3" s="1"/>
  <c r="T26" i="3"/>
  <c r="S26" i="3"/>
  <c r="R26" i="3"/>
  <c r="Q26" i="3"/>
  <c r="O26" i="3"/>
  <c r="P26" i="3" s="1"/>
  <c r="N26" i="3"/>
  <c r="M26" i="3"/>
  <c r="L26" i="3"/>
  <c r="K26" i="3"/>
  <c r="I26" i="3"/>
  <c r="J26" i="3" s="1"/>
  <c r="H26" i="3"/>
  <c r="G26" i="3"/>
  <c r="F26" i="3"/>
  <c r="E26" i="3"/>
  <c r="C26" i="3"/>
  <c r="AU26" i="3" s="1"/>
  <c r="B26" i="3"/>
  <c r="AT26" i="3" s="1"/>
  <c r="AR25" i="3"/>
  <c r="AS25" i="3" s="1"/>
  <c r="AQ25" i="3"/>
  <c r="AP25" i="3"/>
  <c r="AO25" i="3"/>
  <c r="AN25" i="3"/>
  <c r="AL25" i="3"/>
  <c r="AK25" i="3"/>
  <c r="AM25" i="3" s="1"/>
  <c r="AJ25" i="3"/>
  <c r="AI25" i="3"/>
  <c r="AH25" i="3"/>
  <c r="AG25" i="3"/>
  <c r="AF25" i="3"/>
  <c r="AD25" i="3"/>
  <c r="AC25" i="3"/>
  <c r="AE25" i="3" s="1"/>
  <c r="AB25" i="3"/>
  <c r="Z25" i="3"/>
  <c r="Y25" i="3"/>
  <c r="AA25" i="3" s="1"/>
  <c r="X25" i="3"/>
  <c r="W25" i="3"/>
  <c r="V25" i="3"/>
  <c r="U25" i="3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G25" i="3" s="1"/>
  <c r="E25" i="3"/>
  <c r="D25" i="3"/>
  <c r="C25" i="3"/>
  <c r="B25" i="3"/>
  <c r="AT25" i="3" s="1"/>
  <c r="AS24" i="3"/>
  <c r="AR24" i="3"/>
  <c r="AQ24" i="3"/>
  <c r="AO24" i="3"/>
  <c r="AP24" i="3" s="1"/>
  <c r="AN24" i="3"/>
  <c r="AK24" i="3"/>
  <c r="AM24" i="3" s="1"/>
  <c r="AJ24" i="3"/>
  <c r="AI24" i="3"/>
  <c r="AH24" i="3"/>
  <c r="AG24" i="3"/>
  <c r="AF24" i="3"/>
  <c r="AC24" i="3"/>
  <c r="AD24" i="3" s="1"/>
  <c r="AB24" i="3"/>
  <c r="Y24" i="3"/>
  <c r="AA24" i="3" s="1"/>
  <c r="X24" i="3"/>
  <c r="W24" i="3"/>
  <c r="V24" i="3"/>
  <c r="U24" i="3"/>
  <c r="T24" i="3"/>
  <c r="S24" i="3"/>
  <c r="R24" i="3"/>
  <c r="Q24" i="3"/>
  <c r="P24" i="3"/>
  <c r="O24" i="3"/>
  <c r="N24" i="3"/>
  <c r="L24" i="3"/>
  <c r="K24" i="3"/>
  <c r="M24" i="3" s="1"/>
  <c r="J24" i="3"/>
  <c r="I24" i="3"/>
  <c r="H24" i="3"/>
  <c r="G24" i="3"/>
  <c r="F24" i="3"/>
  <c r="E24" i="3"/>
  <c r="AT24" i="3" s="1"/>
  <c r="D24" i="3"/>
  <c r="C24" i="3"/>
  <c r="B24" i="3"/>
  <c r="AS23" i="3"/>
  <c r="AR23" i="3"/>
  <c r="AQ23" i="3"/>
  <c r="AO23" i="3"/>
  <c r="AN23" i="3"/>
  <c r="AP23" i="3" s="1"/>
  <c r="AM23" i="3"/>
  <c r="AL23" i="3"/>
  <c r="AK23" i="3"/>
  <c r="AJ23" i="3"/>
  <c r="AH23" i="3"/>
  <c r="AG23" i="3"/>
  <c r="AI23" i="3" s="1"/>
  <c r="AF23" i="3"/>
  <c r="AD23" i="3"/>
  <c r="AC23" i="3"/>
  <c r="AE23" i="3" s="1"/>
  <c r="AB23" i="3"/>
  <c r="AT23" i="3" s="1"/>
  <c r="AV23" i="3" s="1"/>
  <c r="AA23" i="3"/>
  <c r="Z23" i="3"/>
  <c r="Y23" i="3"/>
  <c r="X23" i="3"/>
  <c r="V23" i="3"/>
  <c r="U23" i="3"/>
  <c r="W23" i="3" s="1"/>
  <c r="T23" i="3"/>
  <c r="R23" i="3"/>
  <c r="S23" i="3" s="1"/>
  <c r="Q23" i="3"/>
  <c r="P23" i="3"/>
  <c r="O23" i="3"/>
  <c r="N23" i="3"/>
  <c r="L23" i="3"/>
  <c r="M23" i="3" s="1"/>
  <c r="K23" i="3"/>
  <c r="J23" i="3"/>
  <c r="I23" i="3"/>
  <c r="H23" i="3"/>
  <c r="F23" i="3"/>
  <c r="G23" i="3" s="1"/>
  <c r="E23" i="3"/>
  <c r="D23" i="3"/>
  <c r="C23" i="3"/>
  <c r="AU23" i="3" s="1"/>
  <c r="B23" i="3"/>
  <c r="AS22" i="3"/>
  <c r="AR22" i="3"/>
  <c r="AQ22" i="3"/>
  <c r="AO22" i="3"/>
  <c r="AP22" i="3" s="1"/>
  <c r="AN22" i="3"/>
  <c r="AM22" i="3"/>
  <c r="AK22" i="3"/>
  <c r="AL22" i="3" s="1"/>
  <c r="AJ22" i="3"/>
  <c r="AG22" i="3"/>
  <c r="AH22" i="3" s="1"/>
  <c r="AF22" i="3"/>
  <c r="AC22" i="3"/>
  <c r="AE22" i="3" s="1"/>
  <c r="AB22" i="3"/>
  <c r="AA22" i="3"/>
  <c r="Y22" i="3"/>
  <c r="Z22" i="3" s="1"/>
  <c r="X22" i="3"/>
  <c r="U22" i="3"/>
  <c r="V22" i="3" s="1"/>
  <c r="T22" i="3"/>
  <c r="S22" i="3"/>
  <c r="R22" i="3"/>
  <c r="Q22" i="3"/>
  <c r="O22" i="3"/>
  <c r="P22" i="3" s="1"/>
  <c r="N22" i="3"/>
  <c r="L22" i="3"/>
  <c r="K22" i="3"/>
  <c r="M22" i="3" s="1"/>
  <c r="I22" i="3"/>
  <c r="J22" i="3" s="1"/>
  <c r="H22" i="3"/>
  <c r="G22" i="3"/>
  <c r="F22" i="3"/>
  <c r="E22" i="3"/>
  <c r="C22" i="3"/>
  <c r="D22" i="3" s="1"/>
  <c r="B22" i="3"/>
  <c r="AT22" i="3" s="1"/>
  <c r="AR21" i="3"/>
  <c r="AS21" i="3" s="1"/>
  <c r="AQ21" i="3"/>
  <c r="AP21" i="3"/>
  <c r="AO21" i="3"/>
  <c r="AN21" i="3"/>
  <c r="AL21" i="3"/>
  <c r="AK21" i="3"/>
  <c r="AM21" i="3" s="1"/>
  <c r="AJ21" i="3"/>
  <c r="AG21" i="3"/>
  <c r="AI21" i="3" s="1"/>
  <c r="AF21" i="3"/>
  <c r="AH21" i="3" s="1"/>
  <c r="AE21" i="3"/>
  <c r="AD21" i="3"/>
  <c r="AC21" i="3"/>
  <c r="AB21" i="3"/>
  <c r="Z21" i="3"/>
  <c r="Y21" i="3"/>
  <c r="AA21" i="3" s="1"/>
  <c r="X21" i="3"/>
  <c r="V21" i="3"/>
  <c r="U21" i="3"/>
  <c r="W21" i="3" s="1"/>
  <c r="T21" i="3"/>
  <c r="S21" i="3"/>
  <c r="R21" i="3"/>
  <c r="Q21" i="3"/>
  <c r="O21" i="3"/>
  <c r="N21" i="3"/>
  <c r="P21" i="3" s="1"/>
  <c r="M21" i="3"/>
  <c r="L21" i="3"/>
  <c r="K21" i="3"/>
  <c r="I21" i="3"/>
  <c r="H21" i="3"/>
  <c r="J21" i="3" s="1"/>
  <c r="G21" i="3"/>
  <c r="F21" i="3"/>
  <c r="E21" i="3"/>
  <c r="D21" i="3"/>
  <c r="C21" i="3"/>
  <c r="AU21" i="3" s="1"/>
  <c r="B21" i="3"/>
  <c r="AT21" i="3" s="1"/>
  <c r="AV21" i="3" s="1"/>
  <c r="AR20" i="3"/>
  <c r="AS20" i="3" s="1"/>
  <c r="AQ20" i="3"/>
  <c r="AO20" i="3"/>
  <c r="AP20" i="3" s="1"/>
  <c r="AN20" i="3"/>
  <c r="AL20" i="3"/>
  <c r="AK20" i="3"/>
  <c r="AM20" i="3" s="1"/>
  <c r="AJ20" i="3"/>
  <c r="AG20" i="3"/>
  <c r="AI20" i="3" s="1"/>
  <c r="AF20" i="3"/>
  <c r="AC20" i="3"/>
  <c r="AE20" i="3" s="1"/>
  <c r="AB20" i="3"/>
  <c r="AA20" i="3"/>
  <c r="Z20" i="3"/>
  <c r="Y20" i="3"/>
  <c r="X20" i="3"/>
  <c r="U20" i="3"/>
  <c r="W20" i="3" s="1"/>
  <c r="T20" i="3"/>
  <c r="R20" i="3"/>
  <c r="S20" i="3" s="1"/>
  <c r="Q20" i="3"/>
  <c r="O20" i="3"/>
  <c r="P20" i="3" s="1"/>
  <c r="N20" i="3"/>
  <c r="L20" i="3"/>
  <c r="M20" i="3" s="1"/>
  <c r="K20" i="3"/>
  <c r="I20" i="3"/>
  <c r="J20" i="3" s="1"/>
  <c r="H20" i="3"/>
  <c r="F20" i="3"/>
  <c r="G20" i="3" s="1"/>
  <c r="E20" i="3"/>
  <c r="C20" i="3"/>
  <c r="AU20" i="3" s="1"/>
  <c r="B20" i="3"/>
  <c r="AR19" i="3"/>
  <c r="AS19" i="3" s="1"/>
  <c r="AQ19" i="3"/>
  <c r="AO19" i="3"/>
  <c r="AP19" i="3" s="1"/>
  <c r="AN19" i="3"/>
  <c r="AK19" i="3"/>
  <c r="AJ19" i="3"/>
  <c r="AI19" i="3"/>
  <c r="AH19" i="3"/>
  <c r="AG19" i="3"/>
  <c r="AF19" i="3"/>
  <c r="AE19" i="3"/>
  <c r="AC19" i="3"/>
  <c r="AD19" i="3" s="1"/>
  <c r="AB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I19" i="3"/>
  <c r="H19" i="3"/>
  <c r="J19" i="3" s="1"/>
  <c r="G19" i="3"/>
  <c r="F19" i="3"/>
  <c r="E19" i="3"/>
  <c r="D19" i="3"/>
  <c r="C19" i="3"/>
  <c r="B19" i="3"/>
  <c r="AS18" i="3"/>
  <c r="AR18" i="3"/>
  <c r="AQ18" i="3"/>
  <c r="AP18" i="3"/>
  <c r="AO18" i="3"/>
  <c r="AN18" i="3"/>
  <c r="AT18" i="3" s="1"/>
  <c r="AM18" i="3"/>
  <c r="AK18" i="3"/>
  <c r="AL18" i="3" s="1"/>
  <c r="AJ18" i="3"/>
  <c r="AG18" i="3"/>
  <c r="AI18" i="3" s="1"/>
  <c r="AF18" i="3"/>
  <c r="AE18" i="3"/>
  <c r="AD18" i="3"/>
  <c r="AC18" i="3"/>
  <c r="AB18" i="3"/>
  <c r="Y18" i="3"/>
  <c r="Z18" i="3" s="1"/>
  <c r="X18" i="3"/>
  <c r="U18" i="3"/>
  <c r="W18" i="3" s="1"/>
  <c r="T18" i="3"/>
  <c r="R18" i="3"/>
  <c r="S18" i="3" s="1"/>
  <c r="Q18" i="3"/>
  <c r="O18" i="3"/>
  <c r="P18" i="3" s="1"/>
  <c r="N18" i="3"/>
  <c r="L18" i="3"/>
  <c r="M18" i="3" s="1"/>
  <c r="K18" i="3"/>
  <c r="I18" i="3"/>
  <c r="J18" i="3" s="1"/>
  <c r="H18" i="3"/>
  <c r="F18" i="3"/>
  <c r="G18" i="3" s="1"/>
  <c r="E18" i="3"/>
  <c r="C18" i="3"/>
  <c r="B18" i="3"/>
  <c r="AS17" i="3"/>
  <c r="AR17" i="3"/>
  <c r="AQ17" i="3"/>
  <c r="AO17" i="3"/>
  <c r="AP17" i="3" s="1"/>
  <c r="AN17" i="3"/>
  <c r="AM17" i="3"/>
  <c r="AL17" i="3"/>
  <c r="AK17" i="3"/>
  <c r="AJ17" i="3"/>
  <c r="AG17" i="3"/>
  <c r="AH17" i="3" s="1"/>
  <c r="AF17" i="3"/>
  <c r="AC17" i="3"/>
  <c r="AE17" i="3" s="1"/>
  <c r="AB17" i="3"/>
  <c r="AA17" i="3"/>
  <c r="Z17" i="3"/>
  <c r="Y17" i="3"/>
  <c r="X17" i="3"/>
  <c r="W17" i="3"/>
  <c r="U17" i="3"/>
  <c r="V17" i="3" s="1"/>
  <c r="T17" i="3"/>
  <c r="R17" i="3"/>
  <c r="S17" i="3" s="1"/>
  <c r="Q17" i="3"/>
  <c r="O17" i="3"/>
  <c r="N17" i="3"/>
  <c r="L17" i="3"/>
  <c r="M17" i="3" s="1"/>
  <c r="K17" i="3"/>
  <c r="I17" i="3"/>
  <c r="J17" i="3" s="1"/>
  <c r="H17" i="3"/>
  <c r="F17" i="3"/>
  <c r="G17" i="3" s="1"/>
  <c r="E17" i="3"/>
  <c r="C17" i="3"/>
  <c r="D17" i="3" s="1"/>
  <c r="B17" i="3"/>
  <c r="AU16" i="3"/>
  <c r="AR16" i="3"/>
  <c r="AS16" i="3" s="1"/>
  <c r="AQ16" i="3"/>
  <c r="AO16" i="3"/>
  <c r="AP16" i="3" s="1"/>
  <c r="AN16" i="3"/>
  <c r="AL16" i="3"/>
  <c r="AK16" i="3"/>
  <c r="AM16" i="3" s="1"/>
  <c r="AJ16" i="3"/>
  <c r="AI16" i="3"/>
  <c r="AG16" i="3"/>
  <c r="AF16" i="3"/>
  <c r="AH16" i="3" s="1"/>
  <c r="AE16" i="3"/>
  <c r="AC16" i="3"/>
  <c r="AD16" i="3" s="1"/>
  <c r="AB16" i="3"/>
  <c r="Y16" i="3"/>
  <c r="AA16" i="3" s="1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AT16" i="3" s="1"/>
  <c r="AV16" i="3" s="1"/>
  <c r="D16" i="3"/>
  <c r="C16" i="3"/>
  <c r="B16" i="3"/>
  <c r="AS15" i="3"/>
  <c r="AR15" i="3"/>
  <c r="AQ15" i="3"/>
  <c r="AP15" i="3"/>
  <c r="AO15" i="3"/>
  <c r="AN15" i="3"/>
  <c r="AM15" i="3"/>
  <c r="AK15" i="3"/>
  <c r="AL15" i="3" s="1"/>
  <c r="AJ15" i="3"/>
  <c r="AG15" i="3"/>
  <c r="AI15" i="3" s="1"/>
  <c r="AF15" i="3"/>
  <c r="AE15" i="3"/>
  <c r="AD15" i="3"/>
  <c r="AC15" i="3"/>
  <c r="AB15" i="3"/>
  <c r="Y15" i="3"/>
  <c r="Z15" i="3" s="1"/>
  <c r="X15" i="3"/>
  <c r="AT15" i="3" s="1"/>
  <c r="U15" i="3"/>
  <c r="W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G15" i="3" s="1"/>
  <c r="E15" i="3"/>
  <c r="C15" i="3"/>
  <c r="B15" i="3"/>
  <c r="AS14" i="3"/>
  <c r="AR14" i="3"/>
  <c r="AQ14" i="3"/>
  <c r="AO14" i="3"/>
  <c r="AP14" i="3" s="1"/>
  <c r="AN14" i="3"/>
  <c r="AM14" i="3"/>
  <c r="AL14" i="3"/>
  <c r="AK14" i="3"/>
  <c r="AJ14" i="3"/>
  <c r="AG14" i="3"/>
  <c r="AF14" i="3"/>
  <c r="AD14" i="3"/>
  <c r="AC14" i="3"/>
  <c r="AE14" i="3" s="1"/>
  <c r="AB14" i="3"/>
  <c r="AA14" i="3"/>
  <c r="Z14" i="3"/>
  <c r="Y14" i="3"/>
  <c r="X14" i="3"/>
  <c r="U14" i="3"/>
  <c r="V14" i="3" s="1"/>
  <c r="T14" i="3"/>
  <c r="S14" i="3"/>
  <c r="R14" i="3"/>
  <c r="Q14" i="3"/>
  <c r="O14" i="3"/>
  <c r="N14" i="3"/>
  <c r="L14" i="3"/>
  <c r="M14" i="3" s="1"/>
  <c r="K14" i="3"/>
  <c r="I14" i="3"/>
  <c r="J14" i="3" s="1"/>
  <c r="H14" i="3"/>
  <c r="F14" i="3"/>
  <c r="AU14" i="3" s="1"/>
  <c r="E14" i="3"/>
  <c r="C14" i="3"/>
  <c r="D14" i="3" s="1"/>
  <c r="B14" i="3"/>
  <c r="AR13" i="3"/>
  <c r="AS13" i="3" s="1"/>
  <c r="AQ13" i="3"/>
  <c r="AP13" i="3"/>
  <c r="AO13" i="3"/>
  <c r="AN13" i="3"/>
  <c r="AM13" i="3"/>
  <c r="AL13" i="3"/>
  <c r="AK13" i="3"/>
  <c r="AJ13" i="3"/>
  <c r="AG13" i="3"/>
  <c r="AI13" i="3" s="1"/>
  <c r="AF13" i="3"/>
  <c r="AE13" i="3"/>
  <c r="AD13" i="3"/>
  <c r="AC13" i="3"/>
  <c r="AB13" i="3"/>
  <c r="AA13" i="3"/>
  <c r="Z13" i="3"/>
  <c r="Y13" i="3"/>
  <c r="X13" i="3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AU13" i="3" s="1"/>
  <c r="B13" i="3"/>
  <c r="AT13" i="3" s="1"/>
  <c r="AR12" i="3"/>
  <c r="AS12" i="3" s="1"/>
  <c r="AQ12" i="3"/>
  <c r="AO12" i="3"/>
  <c r="AP12" i="3" s="1"/>
  <c r="AN12" i="3"/>
  <c r="AK12" i="3"/>
  <c r="AM12" i="3" s="1"/>
  <c r="AJ12" i="3"/>
  <c r="AI12" i="3"/>
  <c r="AG12" i="3"/>
  <c r="AH12" i="3" s="1"/>
  <c r="AF12" i="3"/>
  <c r="AE12" i="3"/>
  <c r="AC12" i="3"/>
  <c r="AD12" i="3" s="1"/>
  <c r="AB12" i="3"/>
  <c r="Y12" i="3"/>
  <c r="AA12" i="3" s="1"/>
  <c r="X12" i="3"/>
  <c r="W12" i="3"/>
  <c r="U12" i="3"/>
  <c r="V12" i="3" s="1"/>
  <c r="T12" i="3"/>
  <c r="S12" i="3"/>
  <c r="R12" i="3"/>
  <c r="Q12" i="3"/>
  <c r="O12" i="3"/>
  <c r="P12" i="3" s="1"/>
  <c r="N12" i="3"/>
  <c r="M12" i="3"/>
  <c r="L12" i="3"/>
  <c r="K12" i="3"/>
  <c r="I12" i="3"/>
  <c r="J12" i="3" s="1"/>
  <c r="H12" i="3"/>
  <c r="G12" i="3"/>
  <c r="F12" i="3"/>
  <c r="E12" i="3"/>
  <c r="C12" i="3"/>
  <c r="D12" i="3" s="1"/>
  <c r="B12" i="3"/>
  <c r="AT12" i="3" s="1"/>
  <c r="AR11" i="3"/>
  <c r="AS11" i="3" s="1"/>
  <c r="AQ11" i="3"/>
  <c r="AP11" i="3"/>
  <c r="AO11" i="3"/>
  <c r="AN11" i="3"/>
  <c r="AK11" i="3"/>
  <c r="AM11" i="3" s="1"/>
  <c r="AJ11" i="3"/>
  <c r="AI11" i="3"/>
  <c r="AH11" i="3"/>
  <c r="AG11" i="3"/>
  <c r="AF11" i="3"/>
  <c r="AE11" i="3"/>
  <c r="AD11" i="3"/>
  <c r="AC11" i="3"/>
  <c r="AB11" i="3"/>
  <c r="Y11" i="3"/>
  <c r="AA11" i="3" s="1"/>
  <c r="X11" i="3"/>
  <c r="AT11" i="3" s="1"/>
  <c r="W11" i="3"/>
  <c r="V11" i="3"/>
  <c r="U11" i="3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D11" i="3"/>
  <c r="C11" i="3"/>
  <c r="AU11" i="3" s="1"/>
  <c r="B11" i="3"/>
  <c r="AS10" i="3"/>
  <c r="AR10" i="3"/>
  <c r="AQ10" i="3"/>
  <c r="AO10" i="3"/>
  <c r="AP10" i="3" s="1"/>
  <c r="AN10" i="3"/>
  <c r="AM10" i="3"/>
  <c r="AK10" i="3"/>
  <c r="AL10" i="3" s="1"/>
  <c r="AJ10" i="3"/>
  <c r="AI10" i="3"/>
  <c r="AG10" i="3"/>
  <c r="AH10" i="3" s="1"/>
  <c r="AF10" i="3"/>
  <c r="AC10" i="3"/>
  <c r="AE10" i="3" s="1"/>
  <c r="AB10" i="3"/>
  <c r="AA10" i="3"/>
  <c r="Y10" i="3"/>
  <c r="Z10" i="3" s="1"/>
  <c r="X10" i="3"/>
  <c r="W10" i="3"/>
  <c r="U10" i="3"/>
  <c r="V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D10" i="3" s="1"/>
  <c r="B10" i="3"/>
  <c r="AT10" i="3" s="1"/>
  <c r="AR9" i="3"/>
  <c r="AS9" i="3" s="1"/>
  <c r="AQ9" i="3"/>
  <c r="AO9" i="3"/>
  <c r="AP9" i="3" s="1"/>
  <c r="AN9" i="3"/>
  <c r="AL9" i="3"/>
  <c r="AK9" i="3"/>
  <c r="AM9" i="3" s="1"/>
  <c r="AJ9" i="3"/>
  <c r="AI9" i="3"/>
  <c r="AH9" i="3"/>
  <c r="AG9" i="3"/>
  <c r="AF9" i="3"/>
  <c r="AC9" i="3"/>
  <c r="AE9" i="3" s="1"/>
  <c r="AB9" i="3"/>
  <c r="AT9" i="3" s="1"/>
  <c r="Z9" i="3"/>
  <c r="Y9" i="3"/>
  <c r="AA9" i="3" s="1"/>
  <c r="X9" i="3"/>
  <c r="W9" i="3"/>
  <c r="V9" i="3"/>
  <c r="U9" i="3"/>
  <c r="T9" i="3"/>
  <c r="R9" i="3"/>
  <c r="S9" i="3" s="1"/>
  <c r="Q9" i="3"/>
  <c r="P9" i="3"/>
  <c r="O9" i="3"/>
  <c r="N9" i="3"/>
  <c r="L9" i="3"/>
  <c r="M9" i="3" s="1"/>
  <c r="K9" i="3"/>
  <c r="J9" i="3"/>
  <c r="I9" i="3"/>
  <c r="H9" i="3"/>
  <c r="F9" i="3"/>
  <c r="G9" i="3" s="1"/>
  <c r="E9" i="3"/>
  <c r="D9" i="3"/>
  <c r="C9" i="3"/>
  <c r="B9" i="3"/>
  <c r="AS8" i="3"/>
  <c r="AR8" i="3"/>
  <c r="AQ8" i="3"/>
  <c r="AO8" i="3"/>
  <c r="AN8" i="3"/>
  <c r="AM8" i="3"/>
  <c r="AK8" i="3"/>
  <c r="AJ8" i="3"/>
  <c r="AG8" i="3"/>
  <c r="AG36" i="3" s="1"/>
  <c r="AF8" i="3"/>
  <c r="AE8" i="3"/>
  <c r="AC8" i="3"/>
  <c r="AB8" i="3"/>
  <c r="AA8" i="3"/>
  <c r="Y8" i="3"/>
  <c r="X8" i="3"/>
  <c r="U8" i="3"/>
  <c r="U36" i="3" s="1"/>
  <c r="V36" i="3" s="1"/>
  <c r="T8" i="3"/>
  <c r="S8" i="3"/>
  <c r="R8" i="3"/>
  <c r="Q8" i="3"/>
  <c r="O8" i="3"/>
  <c r="O36" i="3" s="1"/>
  <c r="N8" i="3"/>
  <c r="M8" i="3"/>
  <c r="L8" i="3"/>
  <c r="K8" i="3"/>
  <c r="I8" i="3"/>
  <c r="I36" i="3" s="1"/>
  <c r="H8" i="3"/>
  <c r="G8" i="3"/>
  <c r="F8" i="3"/>
  <c r="E8" i="3"/>
  <c r="C8" i="3"/>
  <c r="C36" i="3" s="1"/>
  <c r="D36" i="3" s="1"/>
  <c r="B8" i="3"/>
  <c r="B3" i="3"/>
  <c r="AW35" i="2" l="1"/>
  <c r="AX35" i="2" s="1"/>
  <c r="AX7" i="2"/>
  <c r="AY7" i="2"/>
  <c r="CH8" i="2"/>
  <c r="CG8" i="2"/>
  <c r="AT10" i="2"/>
  <c r="BI8" i="2"/>
  <c r="BJ8" i="2"/>
  <c r="AP9" i="2"/>
  <c r="AQ9" i="2"/>
  <c r="AQ35" i="2" s="1"/>
  <c r="M35" i="2"/>
  <c r="N35" i="2" s="1"/>
  <c r="O7" i="2"/>
  <c r="N7" i="2"/>
  <c r="AD35" i="2"/>
  <c r="CM35" i="2"/>
  <c r="CN7" i="2"/>
  <c r="BU8" i="2"/>
  <c r="BV8" i="2"/>
  <c r="BZ10" i="2"/>
  <c r="BZ35" i="2" s="1"/>
  <c r="BY10" i="2"/>
  <c r="K11" i="2"/>
  <c r="J11" i="2"/>
  <c r="CS12" i="2"/>
  <c r="CT16" i="2"/>
  <c r="CT17" i="2"/>
  <c r="G35" i="2"/>
  <c r="CF35" i="2"/>
  <c r="CG35" i="2" s="1"/>
  <c r="CH7" i="2"/>
  <c r="CS8" i="2"/>
  <c r="CT8" i="2" s="1"/>
  <c r="CS10" i="2"/>
  <c r="CT10" i="2" s="1"/>
  <c r="AC11" i="2"/>
  <c r="AB11" i="2"/>
  <c r="CK10" i="2"/>
  <c r="CS11" i="2"/>
  <c r="CT11" i="2" s="1"/>
  <c r="D11" i="2"/>
  <c r="AU11" i="2"/>
  <c r="AT11" i="2"/>
  <c r="CK11" i="2"/>
  <c r="CT12" i="2"/>
  <c r="X8" i="2"/>
  <c r="AX8" i="2"/>
  <c r="CR9" i="2"/>
  <c r="B35" i="2"/>
  <c r="AP8" i="2"/>
  <c r="AM12" i="2"/>
  <c r="CT24" i="2"/>
  <c r="AE35" i="2"/>
  <c r="AG7" i="2"/>
  <c r="AF7" i="2"/>
  <c r="G7" i="2"/>
  <c r="CG7" i="2"/>
  <c r="BH35" i="2"/>
  <c r="BJ7" i="2"/>
  <c r="CR7" i="2"/>
  <c r="Y9" i="2"/>
  <c r="Y35" i="2" s="1"/>
  <c r="X9" i="2"/>
  <c r="BY9" i="2"/>
  <c r="BN10" i="2"/>
  <c r="BM10" i="2"/>
  <c r="L35" i="2"/>
  <c r="AK35" i="2"/>
  <c r="BT35" i="2"/>
  <c r="BV7" i="2"/>
  <c r="CL35" i="2"/>
  <c r="BE11" i="2"/>
  <c r="AX12" i="2"/>
  <c r="AY12" i="2"/>
  <c r="CT22" i="2"/>
  <c r="H35" i="2"/>
  <c r="Z35" i="2"/>
  <c r="BD35" i="2"/>
  <c r="BE35" i="2" s="1"/>
  <c r="CC12" i="2"/>
  <c r="AF13" i="2"/>
  <c r="I35" i="2"/>
  <c r="AS35" i="2"/>
  <c r="BE7" i="2"/>
  <c r="BQ7" i="2"/>
  <c r="CI35" i="2"/>
  <c r="N8" i="2"/>
  <c r="BI9" i="2"/>
  <c r="BU9" i="2"/>
  <c r="X10" i="2"/>
  <c r="BY11" i="2"/>
  <c r="BF12" i="2"/>
  <c r="BQ13" i="2"/>
  <c r="CC13" i="2"/>
  <c r="AF14" i="2"/>
  <c r="CH14" i="2"/>
  <c r="AQ15" i="2"/>
  <c r="BI15" i="2"/>
  <c r="CG15" i="2"/>
  <c r="J7" i="2"/>
  <c r="V35" i="2"/>
  <c r="AB7" i="2"/>
  <c r="AN35" i="2"/>
  <c r="AT7" i="2"/>
  <c r="BL35" i="2"/>
  <c r="BX35" i="2"/>
  <c r="CP35" i="2"/>
  <c r="CQ35" i="2" s="1"/>
  <c r="O8" i="2"/>
  <c r="AY8" i="2"/>
  <c r="BE8" i="2"/>
  <c r="BQ8" i="2"/>
  <c r="E35" i="2"/>
  <c r="K7" i="2"/>
  <c r="Q35" i="2"/>
  <c r="R35" i="2" s="1"/>
  <c r="W35" i="2"/>
  <c r="X35" i="2" s="1"/>
  <c r="AI35" i="2"/>
  <c r="AO35" i="2"/>
  <c r="AU7" i="2"/>
  <c r="BA35" i="2"/>
  <c r="BB35" i="2" s="1"/>
  <c r="BG35" i="2"/>
  <c r="BM7" i="2"/>
  <c r="BS35" i="2"/>
  <c r="BY7" i="2"/>
  <c r="CE35" i="2"/>
  <c r="CQ7" i="2"/>
  <c r="CD8" i="2"/>
  <c r="CD35" i="2" s="1"/>
  <c r="O9" i="2"/>
  <c r="AG9" i="2"/>
  <c r="AY9" i="2"/>
  <c r="BJ10" i="2"/>
  <c r="BV10" i="2"/>
  <c r="CH10" i="2"/>
  <c r="Y11" i="2"/>
  <c r="AQ11" i="2"/>
  <c r="BN12" i="2"/>
  <c r="BZ12" i="2"/>
  <c r="K13" i="2"/>
  <c r="AC13" i="2"/>
  <c r="AC35" i="2" s="1"/>
  <c r="AU13" i="2"/>
  <c r="BF14" i="2"/>
  <c r="BR14" i="2"/>
  <c r="BR35" i="2" s="1"/>
  <c r="CD14" i="2"/>
  <c r="O15" i="2"/>
  <c r="AG15" i="2"/>
  <c r="AY15" i="2"/>
  <c r="BJ16" i="2"/>
  <c r="BV16" i="2"/>
  <c r="CH16" i="2"/>
  <c r="Y17" i="2"/>
  <c r="AQ17" i="2"/>
  <c r="BV17" i="2"/>
  <c r="AQ18" i="2"/>
  <c r="Y19" i="2"/>
  <c r="AF19" i="2"/>
  <c r="AG19" i="2"/>
  <c r="CS21" i="2"/>
  <c r="X21" i="2"/>
  <c r="Y21" i="2"/>
  <c r="AG22" i="2"/>
  <c r="CS24" i="2"/>
  <c r="CT27" i="2"/>
  <c r="CG20" i="2"/>
  <c r="CH20" i="2"/>
  <c r="BY22" i="2"/>
  <c r="BZ22" i="2"/>
  <c r="J23" i="2"/>
  <c r="K23" i="2"/>
  <c r="BQ24" i="2"/>
  <c r="BR24" i="2"/>
  <c r="AQ25" i="2"/>
  <c r="AP25" i="2"/>
  <c r="AU26" i="2"/>
  <c r="AT26" i="2"/>
  <c r="CD26" i="2"/>
  <c r="CC26" i="2"/>
  <c r="BI13" i="2"/>
  <c r="BU13" i="2"/>
  <c r="CG13" i="2"/>
  <c r="CS13" i="2"/>
  <c r="CT13" i="2" s="1"/>
  <c r="X14" i="2"/>
  <c r="AP14" i="2"/>
  <c r="BM15" i="2"/>
  <c r="BY15" i="2"/>
  <c r="D16" i="2"/>
  <c r="J16" i="2"/>
  <c r="AB16" i="2"/>
  <c r="AT16" i="2"/>
  <c r="BE17" i="2"/>
  <c r="BY17" i="2"/>
  <c r="CS17" i="2"/>
  <c r="N18" i="2"/>
  <c r="AT18" i="2"/>
  <c r="CG18" i="2"/>
  <c r="CS18" i="2"/>
  <c r="CT18" i="2" s="1"/>
  <c r="AP19" i="2"/>
  <c r="BE19" i="2"/>
  <c r="CG19" i="2"/>
  <c r="CS20" i="2"/>
  <c r="CT20" i="2" s="1"/>
  <c r="J20" i="2"/>
  <c r="BM20" i="2"/>
  <c r="BQ21" i="2"/>
  <c r="N22" i="2"/>
  <c r="AB22" i="2"/>
  <c r="AJ22" i="2"/>
  <c r="AX22" i="2"/>
  <c r="CG24" i="2"/>
  <c r="CR26" i="2"/>
  <c r="K26" i="2"/>
  <c r="J26" i="2"/>
  <c r="AM26" i="2"/>
  <c r="BP35" i="2"/>
  <c r="BQ35" i="2" s="1"/>
  <c r="BI14" i="2"/>
  <c r="BU14" i="2"/>
  <c r="CS14" i="2"/>
  <c r="CT14" i="2" s="1"/>
  <c r="X15" i="2"/>
  <c r="BM17" i="2"/>
  <c r="BZ17" i="2"/>
  <c r="AB18" i="2"/>
  <c r="AU18" i="2"/>
  <c r="BU18" i="2"/>
  <c r="N19" i="2"/>
  <c r="O19" i="2"/>
  <c r="AX19" i="2"/>
  <c r="AY19" i="2"/>
  <c r="D20" i="2"/>
  <c r="BU20" i="2"/>
  <c r="BV20" i="2"/>
  <c r="AP21" i="2"/>
  <c r="AQ21" i="2"/>
  <c r="BM22" i="2"/>
  <c r="BN22" i="2"/>
  <c r="AT23" i="2"/>
  <c r="AU23" i="2"/>
  <c r="CC23" i="2"/>
  <c r="CK23" i="2"/>
  <c r="AB24" i="2"/>
  <c r="AP24" i="2"/>
  <c r="BE24" i="2"/>
  <c r="BF24" i="2"/>
  <c r="AJ25" i="2"/>
  <c r="CS26" i="2"/>
  <c r="D26" i="2"/>
  <c r="BM26" i="2"/>
  <c r="BN26" i="2"/>
  <c r="BN35" i="2" s="1"/>
  <c r="AR35" i="2"/>
  <c r="N13" i="2"/>
  <c r="C35" i="2"/>
  <c r="D35" i="2" s="1"/>
  <c r="CO35" i="2"/>
  <c r="BM11" i="2"/>
  <c r="AB12" i="2"/>
  <c r="AX14" i="2"/>
  <c r="BU15" i="2"/>
  <c r="X16" i="2"/>
  <c r="CG17" i="2"/>
  <c r="AT20" i="2"/>
  <c r="CC22" i="2"/>
  <c r="CQ22" i="2"/>
  <c r="N23" i="2"/>
  <c r="BI23" i="2"/>
  <c r="CS23" i="2"/>
  <c r="CT23" i="2" s="1"/>
  <c r="N24" i="2"/>
  <c r="BU25" i="2"/>
  <c r="BV25" i="2"/>
  <c r="AG26" i="2"/>
  <c r="AF26" i="2"/>
  <c r="T35" i="2"/>
  <c r="U35" i="2" s="1"/>
  <c r="AL35" i="2"/>
  <c r="AM35" i="2" s="1"/>
  <c r="CB35" i="2"/>
  <c r="CC35" i="2" s="1"/>
  <c r="BQ12" i="2"/>
  <c r="AX13" i="2"/>
  <c r="AA35" i="2"/>
  <c r="AB35" i="2" s="1"/>
  <c r="AM7" i="2"/>
  <c r="BK35" i="2"/>
  <c r="BW35" i="2"/>
  <c r="CC7" i="2"/>
  <c r="AF8" i="2"/>
  <c r="CG9" i="2"/>
  <c r="CS9" i="2"/>
  <c r="CS35" i="2" s="1"/>
  <c r="AP10" i="2"/>
  <c r="J12" i="2"/>
  <c r="AT12" i="2"/>
  <c r="BE13" i="2"/>
  <c r="N14" i="2"/>
  <c r="CS15" i="2"/>
  <c r="CT15" i="2" s="1"/>
  <c r="P35" i="2"/>
  <c r="AH35" i="2"/>
  <c r="AZ35" i="2"/>
  <c r="BF7" i="2"/>
  <c r="CJ35" i="2"/>
  <c r="K18" i="2"/>
  <c r="CC18" i="2"/>
  <c r="BI20" i="2"/>
  <c r="BJ20" i="2"/>
  <c r="CR21" i="2"/>
  <c r="CT21" i="2" s="1"/>
  <c r="BM21" i="2"/>
  <c r="D22" i="2"/>
  <c r="J22" i="2"/>
  <c r="AT22" i="2"/>
  <c r="CK22" i="2"/>
  <c r="AB23" i="2"/>
  <c r="AC23" i="2"/>
  <c r="BQ23" i="2"/>
  <c r="BY23" i="2"/>
  <c r="CC24" i="2"/>
  <c r="G25" i="2"/>
  <c r="X26" i="2"/>
  <c r="CD24" i="2"/>
  <c r="CS25" i="2"/>
  <c r="O25" i="2"/>
  <c r="AG25" i="2"/>
  <c r="AY25" i="2"/>
  <c r="BR25" i="2"/>
  <c r="AB26" i="2"/>
  <c r="AJ26" i="2"/>
  <c r="Y28" i="2"/>
  <c r="Y29" i="2"/>
  <c r="AF29" i="2"/>
  <c r="AG29" i="2"/>
  <c r="AU30" i="2"/>
  <c r="BI30" i="2"/>
  <c r="BJ30" i="2"/>
  <c r="CR31" i="2"/>
  <c r="CT31" i="2" s="1"/>
  <c r="AC31" i="2"/>
  <c r="BF32" i="2"/>
  <c r="BM32" i="2"/>
  <c r="BN32" i="2"/>
  <c r="AG33" i="2"/>
  <c r="AT33" i="2"/>
  <c r="AU33" i="2"/>
  <c r="BV33" i="2"/>
  <c r="AT27" i="2"/>
  <c r="AU27" i="2"/>
  <c r="BQ28" i="2"/>
  <c r="BR28" i="2"/>
  <c r="CS33" i="2"/>
  <c r="CT33" i="2" s="1"/>
  <c r="O34" i="2"/>
  <c r="CS34" i="2"/>
  <c r="AY34" i="2"/>
  <c r="AX34" i="2"/>
  <c r="CQ26" i="2"/>
  <c r="N27" i="2"/>
  <c r="BI27" i="2"/>
  <c r="CS27" i="2"/>
  <c r="AP28" i="2"/>
  <c r="CG28" i="2"/>
  <c r="CS28" i="2"/>
  <c r="CT28" i="2" s="1"/>
  <c r="AP29" i="2"/>
  <c r="BY29" i="2"/>
  <c r="CN29" i="2"/>
  <c r="AP30" i="2"/>
  <c r="CG30" i="2"/>
  <c r="CH30" i="2"/>
  <c r="D31" i="2"/>
  <c r="J31" i="2"/>
  <c r="X31" i="2"/>
  <c r="Y31" i="2"/>
  <c r="AT31" i="2"/>
  <c r="CC31" i="2"/>
  <c r="CK32" i="2"/>
  <c r="CS32" i="2"/>
  <c r="AB33" i="2"/>
  <c r="AC33" i="2"/>
  <c r="BQ33" i="2"/>
  <c r="N34" i="2"/>
  <c r="BI25" i="2"/>
  <c r="CK26" i="2"/>
  <c r="AB27" i="2"/>
  <c r="AC27" i="2"/>
  <c r="BQ27" i="2"/>
  <c r="BY27" i="2"/>
  <c r="N28" i="2"/>
  <c r="BE28" i="2"/>
  <c r="BF28" i="2"/>
  <c r="N29" i="2"/>
  <c r="O29" i="2"/>
  <c r="AX29" i="2"/>
  <c r="AY29" i="2"/>
  <c r="CT34" i="2"/>
  <c r="BQ34" i="2"/>
  <c r="BJ25" i="2"/>
  <c r="CC25" i="2"/>
  <c r="BQ26" i="2"/>
  <c r="AX27" i="2"/>
  <c r="CG27" i="2"/>
  <c r="AX28" i="2"/>
  <c r="BU28" i="2"/>
  <c r="D30" i="2"/>
  <c r="X30" i="2"/>
  <c r="BU30" i="2"/>
  <c r="BV30" i="2"/>
  <c r="BQ31" i="2"/>
  <c r="N32" i="2"/>
  <c r="AB32" i="2"/>
  <c r="AX32" i="2"/>
  <c r="BY32" i="2"/>
  <c r="BZ32" i="2"/>
  <c r="J33" i="2"/>
  <c r="K33" i="2"/>
  <c r="BE33" i="2"/>
  <c r="BM33" i="2"/>
  <c r="X34" i="2"/>
  <c r="AM34" i="2"/>
  <c r="CR25" i="2"/>
  <c r="CT25" i="2" s="1"/>
  <c r="AP26" i="2"/>
  <c r="BY26" i="2"/>
  <c r="BZ26" i="2"/>
  <c r="J27" i="2"/>
  <c r="K27" i="2"/>
  <c r="BE27" i="2"/>
  <c r="BM27" i="2"/>
  <c r="AM28" i="2"/>
  <c r="CC28" i="2"/>
  <c r="CD28" i="2"/>
  <c r="BU29" i="2"/>
  <c r="AP31" i="2"/>
  <c r="AQ31" i="2"/>
  <c r="BY31" i="2"/>
  <c r="CG31" i="2"/>
  <c r="CR32" i="2"/>
  <c r="CQ33" i="2"/>
  <c r="AF34" i="2"/>
  <c r="BF34" i="2"/>
  <c r="BR34" i="2"/>
  <c r="CD34" i="2"/>
  <c r="AV10" i="3"/>
  <c r="AV11" i="3"/>
  <c r="AV13" i="3"/>
  <c r="AU12" i="3"/>
  <c r="AV12" i="3" s="1"/>
  <c r="AU15" i="3"/>
  <c r="AV15" i="3" s="1"/>
  <c r="P36" i="3"/>
  <c r="AU10" i="3"/>
  <c r="AB36" i="3"/>
  <c r="AH8" i="3"/>
  <c r="AU9" i="3"/>
  <c r="AV9" i="3" s="1"/>
  <c r="Y36" i="3"/>
  <c r="Z36" i="3" s="1"/>
  <c r="AE36" i="3"/>
  <c r="AK36" i="3"/>
  <c r="AQ36" i="3"/>
  <c r="AT14" i="3"/>
  <c r="AV14" i="3" s="1"/>
  <c r="AU18" i="3"/>
  <c r="AV18" i="3" s="1"/>
  <c r="AM19" i="3"/>
  <c r="AM36" i="3" s="1"/>
  <c r="AL19" i="3"/>
  <c r="B36" i="3"/>
  <c r="H36" i="3"/>
  <c r="J36" i="3" s="1"/>
  <c r="N36" i="3"/>
  <c r="T36" i="3"/>
  <c r="Z8" i="3"/>
  <c r="AF36" i="3"/>
  <c r="AL8" i="3"/>
  <c r="AR36" i="3"/>
  <c r="AS36" i="3" s="1"/>
  <c r="D15" i="3"/>
  <c r="V15" i="3"/>
  <c r="P17" i="3"/>
  <c r="AD17" i="3"/>
  <c r="D18" i="3"/>
  <c r="V18" i="3"/>
  <c r="AV26" i="3"/>
  <c r="AV32" i="3"/>
  <c r="AU19" i="3"/>
  <c r="AA19" i="3"/>
  <c r="Z19" i="3"/>
  <c r="AV24" i="3"/>
  <c r="Z12" i="3"/>
  <c r="Q36" i="3"/>
  <c r="W8" i="3"/>
  <c r="AI8" i="3"/>
  <c r="AU8" i="3"/>
  <c r="AD9" i="3"/>
  <c r="AL11" i="3"/>
  <c r="AH13" i="3"/>
  <c r="G14" i="3"/>
  <c r="AI17" i="3"/>
  <c r="AV22" i="3"/>
  <c r="AH36" i="3"/>
  <c r="D8" i="3"/>
  <c r="J8" i="3"/>
  <c r="P8" i="3"/>
  <c r="V8" i="3"/>
  <c r="AN36" i="3"/>
  <c r="AT8" i="3"/>
  <c r="AD10" i="3"/>
  <c r="AL12" i="3"/>
  <c r="AH14" i="3"/>
  <c r="AU17" i="3"/>
  <c r="E36" i="3"/>
  <c r="K36" i="3"/>
  <c r="AC36" i="3"/>
  <c r="AD36" i="3" s="1"/>
  <c r="AO36" i="3"/>
  <c r="Z11" i="3"/>
  <c r="D13" i="3"/>
  <c r="V13" i="3"/>
  <c r="AI14" i="3"/>
  <c r="AA15" i="3"/>
  <c r="AT17" i="3"/>
  <c r="AA18" i="3"/>
  <c r="F36" i="3"/>
  <c r="G36" i="3" s="1"/>
  <c r="L36" i="3"/>
  <c r="R36" i="3"/>
  <c r="S36" i="3" s="1"/>
  <c r="X36" i="3"/>
  <c r="AD8" i="3"/>
  <c r="AJ36" i="3"/>
  <c r="AP8" i="3"/>
  <c r="P14" i="3"/>
  <c r="W14" i="3"/>
  <c r="AH15" i="3"/>
  <c r="Z16" i="3"/>
  <c r="AH18" i="3"/>
  <c r="AT19" i="3"/>
  <c r="AV19" i="3" s="1"/>
  <c r="AT20" i="3"/>
  <c r="AV20" i="3" s="1"/>
  <c r="AV28" i="3"/>
  <c r="AV30" i="3"/>
  <c r="W22" i="3"/>
  <c r="AI22" i="3"/>
  <c r="AU22" i="3"/>
  <c r="AE24" i="3"/>
  <c r="AA26" i="3"/>
  <c r="AA36" i="3" s="1"/>
  <c r="AM26" i="3"/>
  <c r="W28" i="3"/>
  <c r="AI28" i="3"/>
  <c r="AU28" i="3"/>
  <c r="AE30" i="3"/>
  <c r="AA32" i="3"/>
  <c r="D20" i="3"/>
  <c r="V20" i="3"/>
  <c r="AH20" i="3"/>
  <c r="AD22" i="3"/>
  <c r="Z24" i="3"/>
  <c r="AL24" i="3"/>
  <c r="D26" i="3"/>
  <c r="V26" i="3"/>
  <c r="AH26" i="3"/>
  <c r="AD28" i="3"/>
  <c r="Z30" i="3"/>
  <c r="AL30" i="3"/>
  <c r="D32" i="3"/>
  <c r="AH32" i="3"/>
  <c r="AD20" i="3"/>
  <c r="AU25" i="3"/>
  <c r="AV25" i="3" s="1"/>
  <c r="AU31" i="3"/>
  <c r="AV31" i="3" s="1"/>
  <c r="AD32" i="3"/>
  <c r="AU24" i="3"/>
  <c r="AU30" i="3"/>
  <c r="Z33" i="3"/>
  <c r="AL33" i="3"/>
  <c r="D35" i="3"/>
  <c r="V35" i="3"/>
  <c r="CK35" i="2" l="1"/>
  <c r="CT26" i="2"/>
  <c r="AP35" i="2"/>
  <c r="BM35" i="2"/>
  <c r="BV35" i="2"/>
  <c r="BJ35" i="2"/>
  <c r="AF35" i="2"/>
  <c r="CT9" i="2"/>
  <c r="CH35" i="2"/>
  <c r="AY35" i="2"/>
  <c r="BF35" i="2"/>
  <c r="AJ35" i="2"/>
  <c r="BU35" i="2"/>
  <c r="BI35" i="2"/>
  <c r="CN35" i="2"/>
  <c r="K35" i="2"/>
  <c r="AT35" i="2"/>
  <c r="CR35" i="2"/>
  <c r="CT35" i="2" s="1"/>
  <c r="CT7" i="2"/>
  <c r="CT32" i="2"/>
  <c r="AU35" i="2"/>
  <c r="BY35" i="2"/>
  <c r="J35" i="2"/>
  <c r="AG35" i="2"/>
  <c r="O35" i="2"/>
  <c r="AT36" i="3"/>
  <c r="AV8" i="3"/>
  <c r="AU36" i="3"/>
  <c r="AI36" i="3"/>
  <c r="AL36" i="3"/>
  <c r="M36" i="3"/>
  <c r="W36" i="3"/>
  <c r="AV17" i="3"/>
  <c r="AP36" i="3"/>
  <c r="AV36" i="3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<sst xmlns="http://schemas.openxmlformats.org/spreadsheetml/2006/main" count="297" uniqueCount="82">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</sst>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1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24%20Stock%20dan%20DOS.xlsx" TargetMode="External"/><Relationship Id="rId1" Type="http://schemas.openxmlformats.org/officeDocument/2006/relationships/externalLinkPath" Target="2026-08-24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11</v>
          </cell>
          <cell r="D9">
            <v>18</v>
          </cell>
          <cell r="E9">
            <v>5</v>
          </cell>
          <cell r="F9">
            <v>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11</v>
          </cell>
          <cell r="X9">
            <v>16</v>
          </cell>
          <cell r="Y9">
            <v>14</v>
          </cell>
          <cell r="Z9">
            <v>13</v>
          </cell>
          <cell r="AA9">
            <v>28</v>
          </cell>
          <cell r="AB9">
            <v>24</v>
          </cell>
          <cell r="AC9">
            <v>30</v>
          </cell>
          <cell r="AD9">
            <v>27</v>
          </cell>
          <cell r="AE9">
            <v>22</v>
          </cell>
          <cell r="AF9">
            <v>9</v>
          </cell>
          <cell r="AG9">
            <v>28</v>
          </cell>
          <cell r="AH9">
            <v>11</v>
          </cell>
          <cell r="AI9">
            <v>149</v>
          </cell>
          <cell r="AJ9">
            <v>126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1</v>
          </cell>
          <cell r="AB10">
            <v>2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4</v>
          </cell>
          <cell r="AJ10">
            <v>5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2</v>
          </cell>
          <cell r="AD12">
            <v>2</v>
          </cell>
          <cell r="AG12">
            <v>0</v>
          </cell>
          <cell r="AH12">
            <v>1</v>
          </cell>
          <cell r="AI12">
            <v>4</v>
          </cell>
          <cell r="AJ12">
            <v>9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9</v>
          </cell>
          <cell r="AJ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8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4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1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2</v>
          </cell>
          <cell r="AH25">
            <v>0</v>
          </cell>
          <cell r="AI25">
            <v>8</v>
          </cell>
          <cell r="AJ25">
            <v>10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10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3</v>
          </cell>
          <cell r="AJ28">
            <v>2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7</v>
          </cell>
          <cell r="AJ29">
            <v>5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1</v>
          </cell>
          <cell r="D31">
            <v>2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8</v>
          </cell>
          <cell r="AJ31">
            <v>9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7</v>
          </cell>
          <cell r="AJ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2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8</v>
          </cell>
          <cell r="AJ41">
            <v>1</v>
          </cell>
        </row>
        <row r="42">
          <cell r="A42" t="str">
            <v>Grand Total</v>
          </cell>
          <cell r="C42">
            <v>11</v>
          </cell>
          <cell r="D42">
            <v>18</v>
          </cell>
          <cell r="E42">
            <v>5</v>
          </cell>
          <cell r="F42">
            <v>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11</v>
          </cell>
          <cell r="X42">
            <v>16</v>
          </cell>
          <cell r="Y42">
            <v>14</v>
          </cell>
          <cell r="Z42">
            <v>13</v>
          </cell>
          <cell r="AA42">
            <v>28</v>
          </cell>
          <cell r="AB42">
            <v>24</v>
          </cell>
          <cell r="AC42">
            <v>30</v>
          </cell>
          <cell r="AD42">
            <v>27</v>
          </cell>
          <cell r="AE42">
            <v>22</v>
          </cell>
          <cell r="AF42">
            <v>9</v>
          </cell>
          <cell r="AG42">
            <v>28</v>
          </cell>
          <cell r="AH42">
            <v>11</v>
          </cell>
          <cell r="AI42">
            <v>149</v>
          </cell>
          <cell r="AJ42">
            <v>126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11</v>
          </cell>
          <cell r="U9">
            <v>17</v>
          </cell>
          <cell r="V9">
            <v>16</v>
          </cell>
          <cell r="W9">
            <v>25</v>
          </cell>
          <cell r="X9">
            <v>5</v>
          </cell>
          <cell r="Y9">
            <v>27</v>
          </cell>
          <cell r="Z9">
            <v>4</v>
          </cell>
          <cell r="AA9">
            <v>16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15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8</v>
          </cell>
          <cell r="AW9">
            <v>14</v>
          </cell>
          <cell r="AX9">
            <v>6</v>
          </cell>
          <cell r="AY9">
            <v>9</v>
          </cell>
          <cell r="AZ9">
            <v>2</v>
          </cell>
          <cell r="BA9">
            <v>13</v>
          </cell>
          <cell r="BB9">
            <v>1</v>
          </cell>
          <cell r="BC9">
            <v>8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3</v>
          </cell>
          <cell r="BK9">
            <v>3</v>
          </cell>
          <cell r="BL9">
            <v>4</v>
          </cell>
          <cell r="BM9">
            <v>4</v>
          </cell>
          <cell r="BN9">
            <v>20</v>
          </cell>
          <cell r="BO9">
            <v>38</v>
          </cell>
          <cell r="BP9">
            <v>87</v>
          </cell>
          <cell r="BQ9">
            <v>209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14</v>
          </cell>
          <cell r="U10">
            <v>17</v>
          </cell>
          <cell r="V10">
            <v>17</v>
          </cell>
          <cell r="W10">
            <v>23</v>
          </cell>
          <cell r="X10">
            <v>4</v>
          </cell>
          <cell r="Y10">
            <v>31</v>
          </cell>
          <cell r="Z10">
            <v>6</v>
          </cell>
          <cell r="AA10">
            <v>15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22</v>
          </cell>
          <cell r="AX10">
            <v>5</v>
          </cell>
          <cell r="AY10">
            <v>8</v>
          </cell>
          <cell r="AZ10">
            <v>4</v>
          </cell>
          <cell r="BA10">
            <v>3</v>
          </cell>
          <cell r="BB10">
            <v>3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19</v>
          </cell>
          <cell r="BO10">
            <v>85</v>
          </cell>
          <cell r="BP10">
            <v>93</v>
          </cell>
          <cell r="BQ10">
            <v>224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8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</v>
          </cell>
          <cell r="U11">
            <v>28</v>
          </cell>
          <cell r="V11">
            <v>12</v>
          </cell>
          <cell r="W11">
            <v>50</v>
          </cell>
          <cell r="X11">
            <v>11</v>
          </cell>
          <cell r="Y11">
            <v>47</v>
          </cell>
          <cell r="Z11">
            <v>10</v>
          </cell>
          <cell r="AA11">
            <v>46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11</v>
          </cell>
          <cell r="AM11">
            <v>29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6</v>
          </cell>
          <cell r="AW11">
            <v>22</v>
          </cell>
          <cell r="AX11">
            <v>4</v>
          </cell>
          <cell r="AY11">
            <v>4</v>
          </cell>
          <cell r="AZ11">
            <v>2</v>
          </cell>
          <cell r="BA11">
            <v>3</v>
          </cell>
          <cell r="BB11">
            <v>5</v>
          </cell>
          <cell r="BC11">
            <v>6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2</v>
          </cell>
          <cell r="BM11">
            <v>3</v>
          </cell>
          <cell r="BN11">
            <v>60</v>
          </cell>
          <cell r="BO11">
            <v>233</v>
          </cell>
          <cell r="BP11">
            <v>145</v>
          </cell>
          <cell r="BQ11">
            <v>506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1</v>
          </cell>
          <cell r="BA12">
            <v>2</v>
          </cell>
          <cell r="BB12">
            <v>2</v>
          </cell>
          <cell r="BC12">
            <v>5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3</v>
          </cell>
          <cell r="BO12">
            <v>11</v>
          </cell>
          <cell r="BP12">
            <v>57</v>
          </cell>
          <cell r="BQ12">
            <v>55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2</v>
          </cell>
          <cell r="W13">
            <v>4</v>
          </cell>
          <cell r="X13">
            <v>4</v>
          </cell>
          <cell r="Y13">
            <v>5</v>
          </cell>
          <cell r="Z13">
            <v>2</v>
          </cell>
          <cell r="AA13">
            <v>3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4</v>
          </cell>
          <cell r="AM13">
            <v>2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3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1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3</v>
          </cell>
          <cell r="BO13">
            <v>3</v>
          </cell>
          <cell r="BP13">
            <v>46</v>
          </cell>
          <cell r="BQ13">
            <v>37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8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13</v>
          </cell>
          <cell r="V14">
            <v>2</v>
          </cell>
          <cell r="W14">
            <v>17</v>
          </cell>
          <cell r="X14">
            <v>2</v>
          </cell>
          <cell r="Y14">
            <v>15</v>
          </cell>
          <cell r="Z14">
            <v>1</v>
          </cell>
          <cell r="AA14">
            <v>4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5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8</v>
          </cell>
          <cell r="AX14">
            <v>2</v>
          </cell>
          <cell r="AY14">
            <v>5</v>
          </cell>
          <cell r="AZ14">
            <v>0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1</v>
          </cell>
          <cell r="BL14">
            <v>0</v>
          </cell>
          <cell r="BM14">
            <v>2</v>
          </cell>
          <cell r="BN14">
            <v>4</v>
          </cell>
          <cell r="BO14">
            <v>24</v>
          </cell>
          <cell r="BP14">
            <v>31</v>
          </cell>
          <cell r="BQ14">
            <v>115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8</v>
          </cell>
          <cell r="X15">
            <v>4</v>
          </cell>
          <cell r="Y15">
            <v>5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1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1</v>
          </cell>
          <cell r="AY15">
            <v>3</v>
          </cell>
          <cell r="AZ15">
            <v>2</v>
          </cell>
          <cell r="BA15">
            <v>1</v>
          </cell>
          <cell r="BB15">
            <v>7</v>
          </cell>
          <cell r="BC15">
            <v>8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5</v>
          </cell>
          <cell r="BO15">
            <v>4</v>
          </cell>
          <cell r="BP15">
            <v>58</v>
          </cell>
          <cell r="BQ15">
            <v>62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1</v>
          </cell>
          <cell r="U16">
            <v>4</v>
          </cell>
          <cell r="V16">
            <v>3</v>
          </cell>
          <cell r="W16">
            <v>1</v>
          </cell>
          <cell r="X16">
            <v>1</v>
          </cell>
          <cell r="Y16">
            <v>3</v>
          </cell>
          <cell r="Z16">
            <v>2</v>
          </cell>
          <cell r="AA16">
            <v>3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26</v>
          </cell>
          <cell r="BQ16">
            <v>28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4</v>
          </cell>
          <cell r="Y17">
            <v>2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1</v>
          </cell>
          <cell r="BO17">
            <v>2</v>
          </cell>
          <cell r="BP17">
            <v>32</v>
          </cell>
          <cell r="BQ17">
            <v>21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7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3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2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0</v>
          </cell>
          <cell r="BO18">
            <v>5</v>
          </cell>
          <cell r="BP18">
            <v>46</v>
          </cell>
          <cell r="BQ18">
            <v>28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1</v>
          </cell>
          <cell r="W20">
            <v>5</v>
          </cell>
          <cell r="X20">
            <v>3</v>
          </cell>
          <cell r="Y20">
            <v>15</v>
          </cell>
          <cell r="Z20">
            <v>3</v>
          </cell>
          <cell r="AA20">
            <v>5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5</v>
          </cell>
          <cell r="AX20">
            <v>2</v>
          </cell>
          <cell r="AY20">
            <v>1</v>
          </cell>
          <cell r="AZ20">
            <v>0</v>
          </cell>
          <cell r="BA20">
            <v>7</v>
          </cell>
          <cell r="BB20">
            <v>3</v>
          </cell>
          <cell r="BC20">
            <v>3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1</v>
          </cell>
          <cell r="BM20">
            <v>4</v>
          </cell>
          <cell r="BN20">
            <v>4</v>
          </cell>
          <cell r="BO20">
            <v>7</v>
          </cell>
          <cell r="BP20">
            <v>34</v>
          </cell>
          <cell r="BQ20">
            <v>76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2</v>
          </cell>
          <cell r="Y21">
            <v>1</v>
          </cell>
          <cell r="Z21">
            <v>0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1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34</v>
          </cell>
          <cell r="BQ21">
            <v>20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3</v>
          </cell>
          <cell r="U22">
            <v>1</v>
          </cell>
          <cell r="V22">
            <v>5</v>
          </cell>
          <cell r="W22">
            <v>2</v>
          </cell>
          <cell r="X22">
            <v>10</v>
          </cell>
          <cell r="Y22">
            <v>8</v>
          </cell>
          <cell r="Z22">
            <v>4</v>
          </cell>
          <cell r="AA22">
            <v>6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4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4</v>
          </cell>
          <cell r="BP22">
            <v>47</v>
          </cell>
          <cell r="BQ22">
            <v>40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3</v>
          </cell>
          <cell r="E24">
            <v>2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3</v>
          </cell>
          <cell r="AY24">
            <v>0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55</v>
          </cell>
          <cell r="BQ24">
            <v>27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1</v>
          </cell>
          <cell r="X25">
            <v>4</v>
          </cell>
          <cell r="Y25">
            <v>3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0</v>
          </cell>
          <cell r="BO25">
            <v>3</v>
          </cell>
          <cell r="BP25">
            <v>45</v>
          </cell>
          <cell r="BQ25">
            <v>17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0</v>
          </cell>
          <cell r="W26">
            <v>2</v>
          </cell>
          <cell r="X26">
            <v>2</v>
          </cell>
          <cell r="Y26">
            <v>1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13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6</v>
          </cell>
          <cell r="U27">
            <v>17</v>
          </cell>
          <cell r="V27">
            <v>8</v>
          </cell>
          <cell r="W27">
            <v>13</v>
          </cell>
          <cell r="X27">
            <v>5</v>
          </cell>
          <cell r="Y27">
            <v>30</v>
          </cell>
          <cell r="Z27">
            <v>9</v>
          </cell>
          <cell r="AA27">
            <v>15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3</v>
          </cell>
          <cell r="AM27">
            <v>2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4</v>
          </cell>
          <cell r="AW27">
            <v>4</v>
          </cell>
          <cell r="AX27">
            <v>4</v>
          </cell>
          <cell r="AY27">
            <v>5</v>
          </cell>
          <cell r="AZ27">
            <v>2</v>
          </cell>
          <cell r="BA27">
            <v>2</v>
          </cell>
          <cell r="BB27">
            <v>3</v>
          </cell>
          <cell r="BC27">
            <v>7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3</v>
          </cell>
          <cell r="BO27">
            <v>27</v>
          </cell>
          <cell r="BP27">
            <v>63</v>
          </cell>
          <cell r="BQ27">
            <v>144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8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5</v>
          </cell>
          <cell r="V28">
            <v>1</v>
          </cell>
          <cell r="W28">
            <v>6</v>
          </cell>
          <cell r="X28">
            <v>3</v>
          </cell>
          <cell r="Y28">
            <v>11</v>
          </cell>
          <cell r="Z28">
            <v>2</v>
          </cell>
          <cell r="AA28">
            <v>7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6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3</v>
          </cell>
          <cell r="AW28">
            <v>4</v>
          </cell>
          <cell r="AX28">
            <v>3</v>
          </cell>
          <cell r="AY28">
            <v>1</v>
          </cell>
          <cell r="AZ28">
            <v>1</v>
          </cell>
          <cell r="BA28">
            <v>3</v>
          </cell>
          <cell r="BB28">
            <v>3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4</v>
          </cell>
          <cell r="BO28">
            <v>17</v>
          </cell>
          <cell r="BP28">
            <v>36</v>
          </cell>
          <cell r="BQ28">
            <v>80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1</v>
          </cell>
          <cell r="X29">
            <v>2</v>
          </cell>
          <cell r="Y29">
            <v>3</v>
          </cell>
          <cell r="Z29">
            <v>2</v>
          </cell>
          <cell r="AA29">
            <v>2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2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2</v>
          </cell>
          <cell r="BB29">
            <v>1</v>
          </cell>
          <cell r="BC29">
            <v>1</v>
          </cell>
          <cell r="BD29">
            <v>0</v>
          </cell>
          <cell r="BE29">
            <v>2</v>
          </cell>
          <cell r="BJ29">
            <v>1</v>
          </cell>
          <cell r="BK29">
            <v>1</v>
          </cell>
          <cell r="BN29">
            <v>3</v>
          </cell>
          <cell r="BO29">
            <v>0</v>
          </cell>
          <cell r="BP29">
            <v>20</v>
          </cell>
          <cell r="BQ29">
            <v>17</v>
          </cell>
        </row>
        <row r="30">
          <cell r="A30" t="str">
            <v>6190701-VIVO STORE UG仓库</v>
          </cell>
          <cell r="D30">
            <v>2</v>
          </cell>
          <cell r="E30">
            <v>4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6</v>
          </cell>
          <cell r="U30">
            <v>13</v>
          </cell>
          <cell r="V30">
            <v>5</v>
          </cell>
          <cell r="W30">
            <v>14</v>
          </cell>
          <cell r="X30">
            <v>5</v>
          </cell>
          <cell r="Y30">
            <v>25</v>
          </cell>
          <cell r="Z30">
            <v>4</v>
          </cell>
          <cell r="AA30">
            <v>23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11</v>
          </cell>
          <cell r="AX30">
            <v>6</v>
          </cell>
          <cell r="AY30">
            <v>3</v>
          </cell>
          <cell r="AZ30">
            <v>3</v>
          </cell>
          <cell r="BA30">
            <v>7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2</v>
          </cell>
          <cell r="BO30">
            <v>21</v>
          </cell>
          <cell r="BP30">
            <v>47</v>
          </cell>
          <cell r="BQ30">
            <v>156</v>
          </cell>
        </row>
        <row r="31">
          <cell r="A31" t="str">
            <v>6190704-VIVO STORE 1 BEC仓库</v>
          </cell>
          <cell r="D31">
            <v>6</v>
          </cell>
          <cell r="E31">
            <v>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6</v>
          </cell>
          <cell r="U31">
            <v>19</v>
          </cell>
          <cell r="V31">
            <v>9</v>
          </cell>
          <cell r="W31">
            <v>19</v>
          </cell>
          <cell r="X31">
            <v>6</v>
          </cell>
          <cell r="Y31">
            <v>27</v>
          </cell>
          <cell r="Z31">
            <v>5</v>
          </cell>
          <cell r="AA31">
            <v>20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3</v>
          </cell>
          <cell r="AW31">
            <v>11</v>
          </cell>
          <cell r="AX31">
            <v>3</v>
          </cell>
          <cell r="AY31">
            <v>2</v>
          </cell>
          <cell r="AZ31">
            <v>2</v>
          </cell>
          <cell r="BA31">
            <v>11</v>
          </cell>
          <cell r="BB31">
            <v>5</v>
          </cell>
          <cell r="BC31">
            <v>7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4</v>
          </cell>
          <cell r="BO31">
            <v>36</v>
          </cell>
          <cell r="BP31">
            <v>61</v>
          </cell>
          <cell r="BQ31">
            <v>182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5</v>
          </cell>
          <cell r="U32">
            <v>4</v>
          </cell>
          <cell r="V32">
            <v>6</v>
          </cell>
          <cell r="W32">
            <v>12</v>
          </cell>
          <cell r="X32">
            <v>5</v>
          </cell>
          <cell r="Y32">
            <v>13</v>
          </cell>
          <cell r="Z32">
            <v>1</v>
          </cell>
          <cell r="AA32">
            <v>4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3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6</v>
          </cell>
          <cell r="AW32">
            <v>6</v>
          </cell>
          <cell r="AX32">
            <v>3</v>
          </cell>
          <cell r="AY32">
            <v>2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49</v>
          </cell>
          <cell r="BQ32">
            <v>61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8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8</v>
          </cell>
          <cell r="U33">
            <v>22</v>
          </cell>
          <cell r="V33">
            <v>9</v>
          </cell>
          <cell r="W33">
            <v>22</v>
          </cell>
          <cell r="X33">
            <v>7</v>
          </cell>
          <cell r="Y33">
            <v>49</v>
          </cell>
          <cell r="Z33">
            <v>6</v>
          </cell>
          <cell r="AA33">
            <v>22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5</v>
          </cell>
          <cell r="AM33">
            <v>11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5</v>
          </cell>
          <cell r="AW33">
            <v>12</v>
          </cell>
          <cell r="AX33">
            <v>3</v>
          </cell>
          <cell r="AY33">
            <v>4</v>
          </cell>
          <cell r="AZ33">
            <v>2</v>
          </cell>
          <cell r="BA33">
            <v>4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2</v>
          </cell>
          <cell r="BO33">
            <v>26</v>
          </cell>
          <cell r="BP33">
            <v>60</v>
          </cell>
          <cell r="BQ33">
            <v>208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3</v>
          </cell>
          <cell r="U34">
            <v>3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1</v>
          </cell>
          <cell r="BC34">
            <v>3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1</v>
          </cell>
          <cell r="BO34">
            <v>2</v>
          </cell>
          <cell r="BP34">
            <v>26</v>
          </cell>
          <cell r="BQ34">
            <v>26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4</v>
          </cell>
          <cell r="Y35">
            <v>10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1</v>
          </cell>
          <cell r="AY35">
            <v>0</v>
          </cell>
          <cell r="AZ35">
            <v>2</v>
          </cell>
          <cell r="BA35">
            <v>4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2</v>
          </cell>
          <cell r="BO35">
            <v>6</v>
          </cell>
          <cell r="BP35">
            <v>36</v>
          </cell>
          <cell r="BQ35">
            <v>42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5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Z36">
            <v>0</v>
          </cell>
          <cell r="BA36">
            <v>3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24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3</v>
          </cell>
          <cell r="R37">
            <v>0</v>
          </cell>
          <cell r="S37">
            <v>0</v>
          </cell>
          <cell r="T37">
            <v>4</v>
          </cell>
          <cell r="U37">
            <v>1</v>
          </cell>
          <cell r="V37">
            <v>6</v>
          </cell>
          <cell r="W37">
            <v>1</v>
          </cell>
          <cell r="X37">
            <v>3</v>
          </cell>
          <cell r="Y37">
            <v>5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  <cell r="AV37">
            <v>2</v>
          </cell>
          <cell r="AW37">
            <v>5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1</v>
          </cell>
          <cell r="BO37">
            <v>8</v>
          </cell>
          <cell r="BP37">
            <v>39</v>
          </cell>
          <cell r="BQ37">
            <v>39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3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14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1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2</v>
          </cell>
          <cell r="BK40">
            <v>2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27</v>
          </cell>
          <cell r="BQ40">
            <v>6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2</v>
          </cell>
          <cell r="X41">
            <v>0</v>
          </cell>
          <cell r="Y41">
            <v>4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13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5</v>
          </cell>
          <cell r="Y42">
            <v>8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56</v>
          </cell>
          <cell r="BQ42">
            <v>31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68</v>
          </cell>
          <cell r="E43">
            <v>79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34</v>
          </cell>
          <cell r="M43">
            <v>62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138</v>
          </cell>
          <cell r="U43">
            <v>205</v>
          </cell>
          <cell r="V43">
            <v>145</v>
          </cell>
          <cell r="W43">
            <v>238</v>
          </cell>
          <cell r="X43">
            <v>116</v>
          </cell>
          <cell r="Y43">
            <v>374</v>
          </cell>
          <cell r="Z43">
            <v>95</v>
          </cell>
          <cell r="AA43">
            <v>224</v>
          </cell>
          <cell r="AB43">
            <v>33</v>
          </cell>
          <cell r="AC43">
            <v>23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92</v>
          </cell>
          <cell r="AM43">
            <v>104</v>
          </cell>
          <cell r="AN43">
            <v>36</v>
          </cell>
          <cell r="AO43">
            <v>125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85</v>
          </cell>
          <cell r="AW43">
            <v>164</v>
          </cell>
          <cell r="AX43">
            <v>70</v>
          </cell>
          <cell r="AY43">
            <v>55</v>
          </cell>
          <cell r="AZ43">
            <v>43</v>
          </cell>
          <cell r="BA43">
            <v>73</v>
          </cell>
          <cell r="BB43">
            <v>79</v>
          </cell>
          <cell r="BC43">
            <v>72</v>
          </cell>
          <cell r="BD43">
            <v>3</v>
          </cell>
          <cell r="BE43">
            <v>27</v>
          </cell>
          <cell r="BF43">
            <v>17</v>
          </cell>
          <cell r="BG43">
            <v>4</v>
          </cell>
          <cell r="BH43">
            <v>27</v>
          </cell>
          <cell r="BI43">
            <v>18</v>
          </cell>
          <cell r="BJ43">
            <v>71</v>
          </cell>
          <cell r="BK43">
            <v>50</v>
          </cell>
          <cell r="BL43">
            <v>59</v>
          </cell>
          <cell r="BM43">
            <v>35</v>
          </cell>
          <cell r="BN43">
            <v>161</v>
          </cell>
          <cell r="BO43">
            <v>591</v>
          </cell>
          <cell r="BP43">
            <v>1379</v>
          </cell>
          <cell r="BQ43">
            <v>2538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B1" sqref="B1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24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7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33" t="s">
        <v>4</v>
      </c>
      <c r="B4" s="36" t="s">
        <v>5</v>
      </c>
      <c r="C4" s="37"/>
      <c r="D4" s="37"/>
      <c r="E4" s="37"/>
      <c r="F4" s="37"/>
      <c r="G4" s="38"/>
      <c r="H4" s="36" t="s">
        <v>6</v>
      </c>
      <c r="I4" s="37"/>
      <c r="J4" s="37"/>
      <c r="K4" s="37"/>
      <c r="L4" s="37"/>
      <c r="M4" s="38"/>
      <c r="N4" s="36" t="s">
        <v>7</v>
      </c>
      <c r="O4" s="37"/>
      <c r="P4" s="37"/>
      <c r="Q4" s="37"/>
      <c r="R4" s="37"/>
      <c r="S4" s="38"/>
      <c r="T4" s="36" t="s">
        <v>8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8"/>
      <c r="AF4" s="36" t="s">
        <v>9</v>
      </c>
      <c r="AG4" s="37"/>
      <c r="AH4" s="37"/>
      <c r="AI4" s="37"/>
      <c r="AJ4" s="37"/>
      <c r="AK4" s="37"/>
      <c r="AL4" s="37"/>
      <c r="AM4" s="38"/>
      <c r="AN4" s="36" t="s">
        <v>7</v>
      </c>
      <c r="AO4" s="37"/>
      <c r="AP4" s="37"/>
      <c r="AQ4" s="37"/>
      <c r="AR4" s="37"/>
      <c r="AS4" s="38"/>
      <c r="AT4" s="27" t="s">
        <v>79</v>
      </c>
      <c r="AU4" s="27" t="s">
        <v>80</v>
      </c>
      <c r="AV4" s="27" t="s">
        <v>81</v>
      </c>
    </row>
    <row r="5" spans="1:48" ht="16.75" customHeight="1" x14ac:dyDescent="0.2">
      <c r="A5" s="34"/>
      <c r="B5" s="39" t="s">
        <v>10</v>
      </c>
      <c r="C5" s="40"/>
      <c r="D5" s="40"/>
      <c r="E5" s="40"/>
      <c r="F5" s="40"/>
      <c r="G5" s="41"/>
      <c r="H5" s="39" t="s">
        <v>11</v>
      </c>
      <c r="I5" s="40"/>
      <c r="J5" s="40"/>
      <c r="K5" s="40"/>
      <c r="L5" s="40"/>
      <c r="M5" s="41"/>
      <c r="N5" s="39" t="s">
        <v>11</v>
      </c>
      <c r="O5" s="40"/>
      <c r="P5" s="40"/>
      <c r="Q5" s="40"/>
      <c r="R5" s="40"/>
      <c r="S5" s="41"/>
      <c r="T5" s="39" t="s">
        <v>12</v>
      </c>
      <c r="U5" s="40"/>
      <c r="V5" s="40"/>
      <c r="W5" s="40"/>
      <c r="X5" s="40"/>
      <c r="Y5" s="40"/>
      <c r="Z5" s="40"/>
      <c r="AA5" s="41"/>
      <c r="AB5" s="39" t="s">
        <v>13</v>
      </c>
      <c r="AC5" s="40"/>
      <c r="AD5" s="40"/>
      <c r="AE5" s="41"/>
      <c r="AF5" s="39" t="s">
        <v>14</v>
      </c>
      <c r="AG5" s="40"/>
      <c r="AH5" s="40"/>
      <c r="AI5" s="40"/>
      <c r="AJ5" s="40"/>
      <c r="AK5" s="40"/>
      <c r="AL5" s="40"/>
      <c r="AM5" s="41"/>
      <c r="AN5" s="39" t="s">
        <v>15</v>
      </c>
      <c r="AO5" s="40"/>
      <c r="AP5" s="40"/>
      <c r="AQ5" s="40"/>
      <c r="AR5" s="40"/>
      <c r="AS5" s="41"/>
      <c r="AT5" s="28"/>
      <c r="AU5" s="28"/>
      <c r="AV5" s="28"/>
    </row>
    <row r="6" spans="1:48" ht="16.75" customHeight="1" x14ac:dyDescent="0.2">
      <c r="A6" s="34"/>
      <c r="B6" s="30" t="s">
        <v>16</v>
      </c>
      <c r="C6" s="31"/>
      <c r="D6" s="32"/>
      <c r="E6" s="30" t="s">
        <v>17</v>
      </c>
      <c r="F6" s="31"/>
      <c r="G6" s="32"/>
      <c r="H6" s="30" t="s">
        <v>16</v>
      </c>
      <c r="I6" s="31"/>
      <c r="J6" s="32"/>
      <c r="K6" s="30" t="s">
        <v>18</v>
      </c>
      <c r="L6" s="31"/>
      <c r="M6" s="32"/>
      <c r="N6" s="30" t="s">
        <v>16</v>
      </c>
      <c r="O6" s="31"/>
      <c r="P6" s="32"/>
      <c r="Q6" s="30" t="s">
        <v>19</v>
      </c>
      <c r="R6" s="31"/>
      <c r="S6" s="32"/>
      <c r="T6" s="30" t="s">
        <v>20</v>
      </c>
      <c r="U6" s="31"/>
      <c r="V6" s="31"/>
      <c r="W6" s="32"/>
      <c r="X6" s="30" t="s">
        <v>21</v>
      </c>
      <c r="Y6" s="31"/>
      <c r="Z6" s="31"/>
      <c r="AA6" s="32"/>
      <c r="AB6" s="30" t="s">
        <v>21</v>
      </c>
      <c r="AC6" s="31"/>
      <c r="AD6" s="31"/>
      <c r="AE6" s="32"/>
      <c r="AF6" s="30" t="s">
        <v>16</v>
      </c>
      <c r="AG6" s="31"/>
      <c r="AH6" s="31"/>
      <c r="AI6" s="32"/>
      <c r="AJ6" s="30" t="s">
        <v>18</v>
      </c>
      <c r="AK6" s="31"/>
      <c r="AL6" s="31"/>
      <c r="AM6" s="32"/>
      <c r="AN6" s="30" t="s">
        <v>16</v>
      </c>
      <c r="AO6" s="31"/>
      <c r="AP6" s="32"/>
      <c r="AQ6" s="30" t="s">
        <v>19</v>
      </c>
      <c r="AR6" s="31"/>
      <c r="AS6" s="32"/>
      <c r="AT6" s="28"/>
      <c r="AU6" s="28"/>
      <c r="AV6" s="28"/>
    </row>
    <row r="7" spans="1:48" x14ac:dyDescent="0.2">
      <c r="A7" s="35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29"/>
      <c r="AU7" s="29"/>
      <c r="AV7" s="29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1</v>
      </c>
      <c r="O8" s="23">
        <f>IFERROR(INDEX([1]PV.iQOO!$A:$BL,MATCH($A8,[1]PV.iQOO!$B:$B,0),MATCH("IQOOZ11|8+256|BLACK|SALES",[1]PVKEYIQOO!$1:$1,0)),0)</f>
        <v>2</v>
      </c>
      <c r="P8" s="13">
        <f t="shared" ref="P8:P36" si="4">IF(OR(O8="",O8=0),"",ROUND(N8/O8*$B$2,1))</f>
        <v>12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24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24</v>
      </c>
      <c r="AT8" s="14">
        <f t="shared" ref="AT8:AU35" si="18">SUM(B8,E8,H8,K8,N8,Q8,T8,X8,AB8,AF8,AJ8,AN8,AQ8)</f>
        <v>4</v>
      </c>
      <c r="AU8" s="14">
        <f t="shared" si="18"/>
        <v>5</v>
      </c>
      <c r="AV8" s="14">
        <f t="shared" ref="AV8:AV36" si="19">IFERROR(AT8/(AU8/$B$2),1000)</f>
        <v>19.2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12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18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12</v>
      </c>
      <c r="N10" s="11">
        <f>IFERROR(INDEX([1]PV.iQOO!$A:$BL,MATCH($A10,[1]PV.iQOO!$B:$B,0),MATCH("IQOOZ11|8+256|BLACK|STOCK",[1]PVKEYIQOO!$1:$1,0)),0)</f>
        <v>1</v>
      </c>
      <c r="O10" s="23">
        <f>IFERROR(INDEX([1]PV.iQOO!$A:$BL,MATCH($A10,[1]PV.iQOO!$B:$B,0),MATCH("IQOOZ11|8+256|BLACK|SALES",[1]PVKEYIQOO!$1:$1,0)),0)</f>
        <v>2</v>
      </c>
      <c r="P10" s="13">
        <f t="shared" si="4"/>
        <v>12</v>
      </c>
      <c r="Q10" s="11">
        <f>IFERROR(INDEX([1]PV.iQOO!$A:$BL,MATCH($A10,[1]PV.iQOO!$B:$B,0),MATCH("IQOOZ11|8+256|BLUE|STOCK",[1]PVKEYIQOO!$1:$1,0)),0)</f>
        <v>2</v>
      </c>
      <c r="R10" s="23">
        <f>IFERROR(INDEX([1]PV.iQOO!$A:$BL,MATCH($A10,[1]PV.iQOO!$B:$B,0),MATCH("IQOOZ11|8+256|BLUE|SALES",[1]PVKEYIQOO!$1:$1,0)),0)</f>
        <v>2</v>
      </c>
      <c r="S10" s="13">
        <f t="shared" si="5"/>
        <v>24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4</v>
      </c>
      <c r="AU10" s="14">
        <f t="shared" si="18"/>
        <v>9</v>
      </c>
      <c r="AV10" s="14">
        <f t="shared" si="19"/>
        <v>10.666666666666666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2</v>
      </c>
      <c r="AG11" s="23">
        <f>IFERROR(INDEX([1]PV.iQOO!$A:$BL,MATCH($A11,[1]PV.iQOO!$B:$B,0),MATCH("IQOO15R|12+512|BLACK|SALES",[1]PVKEYIQOO!$1:$1,0)),0)</f>
        <v>0</v>
      </c>
      <c r="AH11" s="13" t="str">
        <f t="shared" si="12"/>
        <v/>
      </c>
      <c r="AI11" s="23">
        <f t="shared" si="13"/>
        <v>0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24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10</v>
      </c>
      <c r="AU11" s="14">
        <f t="shared" si="18"/>
        <v>2</v>
      </c>
      <c r="AV11" s="14">
        <f t="shared" si="19"/>
        <v>120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2</v>
      </c>
      <c r="O13" s="23">
        <f>IFERROR(INDEX([1]PV.iQOO!$A:$BL,MATCH($A13,[1]PV.iQOO!$B:$B,0),MATCH("IQOOZ11|8+256|BLACK|SALES",[1]PVKEYIQOO!$1:$1,0)),0)</f>
        <v>1</v>
      </c>
      <c r="P13" s="13">
        <f t="shared" si="4"/>
        <v>48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24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1.25</v>
      </c>
      <c r="AN13" s="11">
        <f>IFERROR(INDEX([1]PV.iQOO!$A:$BL,MATCH($A13,[1]PV.iQOO!$B:$B,0),MATCH("IQOOZ11|12+256|BLACK|STOCK",[1]PVKEYIQOO!$1:$1,0)),0)</f>
        <v>1</v>
      </c>
      <c r="AO13" s="23">
        <f>IFERROR(INDEX([1]PV.iQOO!$A:$BL,MATCH($A13,[1]PV.iQOO!$B:$B,0),MATCH("IQOOZ11|12+256|BLACK|SALES",[1]PVKEYIQOO!$1:$1,0)),0)</f>
        <v>0</v>
      </c>
      <c r="AP13" s="13" t="str">
        <f t="shared" si="16"/>
        <v/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9</v>
      </c>
      <c r="AU13" s="14">
        <f t="shared" si="18"/>
        <v>6</v>
      </c>
      <c r="AV13" s="14">
        <f t="shared" si="19"/>
        <v>36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1</v>
      </c>
      <c r="L14" s="23">
        <f>IFERROR(INDEX([1]PV.iQOO!$A:$BL,MATCH($A14,[1]PV.iQOO!$B:$B,0),MATCH("IQOOZ11X|8+256|SILVER|SALES",[1]PVKEYIQOO!$1:$1,0)),0)</f>
        <v>1</v>
      </c>
      <c r="M14" s="13">
        <f t="shared" si="3"/>
        <v>24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12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12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0.41666666666666663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0.41666666666666663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6</v>
      </c>
      <c r="AU14" s="14">
        <f t="shared" si="18"/>
        <v>8</v>
      </c>
      <c r="AV14" s="14">
        <f t="shared" si="19"/>
        <v>18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2</v>
      </c>
      <c r="L15" s="23">
        <f>IFERROR(INDEX([1]PV.iQOO!$A:$BL,MATCH($A15,[1]PV.iQOO!$B:$B,0),MATCH("IQOOZ11X|8+256|SILVER|SALES",[1]PVKEYIQOO!$1:$1,0)),0)</f>
        <v>1</v>
      </c>
      <c r="M15" s="13">
        <f t="shared" si="3"/>
        <v>48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24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4</v>
      </c>
      <c r="AU15" s="14">
        <f t="shared" si="18"/>
        <v>4</v>
      </c>
      <c r="AV15" s="14">
        <f t="shared" si="19"/>
        <v>24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0</v>
      </c>
      <c r="O16" s="23">
        <f>IFERROR(INDEX([1]PV.iQOO!$A:$BL,MATCH($A16,[1]PV.iQOO!$B:$B,0),MATCH("IQOOZ11|8+256|BLACK|SALES",[1]PVKEYIQOO!$1:$1,0)),0)</f>
        <v>1</v>
      </c>
      <c r="P16" s="13">
        <f t="shared" si="4"/>
        <v>0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24</v>
      </c>
      <c r="AI16" s="23">
        <f t="shared" si="13"/>
        <v>0.41666666666666663</v>
      </c>
      <c r="AJ16" s="11">
        <f>IFERROR(INDEX([1]PV.iQOO!$A:$BL,MATCH($A16,[1]PV.iQOO!$B:$B,0),MATCH("IQOO15R|12+512|SILVER|STOCK",[1]PVKEYIQOO!$1:$1,0)),0)</f>
        <v>1</v>
      </c>
      <c r="AK16" s="23">
        <f>IFERROR(INDEX([1]PV.iQOO!$A:$BL,MATCH($A16,[1]PV.iQOO!$B:$B,0),MATCH("IQOO15R|12+512|SILVER|SALES",[1]PVKEYIQOO!$1:$1,0)),0)</f>
        <v>0</v>
      </c>
      <c r="AL16" s="13" t="str">
        <f t="shared" si="14"/>
        <v/>
      </c>
      <c r="AM16" s="23">
        <f t="shared" si="15"/>
        <v>0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6</v>
      </c>
      <c r="AU16" s="14">
        <f t="shared" si="18"/>
        <v>2</v>
      </c>
      <c r="AV16" s="14">
        <f t="shared" si="19"/>
        <v>72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0.41666666666666663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24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1</v>
      </c>
      <c r="O18" s="23">
        <f>IFERROR(INDEX([1]PV.iQOO!$A:$BL,MATCH($A18,[1]PV.iQOO!$B:$B,0),MATCH("IQOOZ11|8+256|BLACK|SALES",[1]PVKEYIQOO!$1:$1,0)),0)</f>
        <v>0</v>
      </c>
      <c r="P18" s="13" t="str">
        <f t="shared" si="4"/>
        <v/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0.41666666666666663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3</v>
      </c>
      <c r="AU18" s="14">
        <f t="shared" si="18"/>
        <v>2</v>
      </c>
      <c r="AV18" s="14">
        <f t="shared" si="19"/>
        <v>36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12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1</v>
      </c>
      <c r="AK19" s="23">
        <f>IFERROR(INDEX([1]PV.iQOO!$A:$BL,MATCH($A19,[1]PV.iQOO!$B:$B,0),MATCH("IQOO15R|12+512|SILVER|SALES",[1]PVKEYIQOO!$1:$1,0)),0)</f>
        <v>0</v>
      </c>
      <c r="AL19" s="13" t="str">
        <f t="shared" si="14"/>
        <v/>
      </c>
      <c r="AM19" s="23">
        <f t="shared" si="15"/>
        <v>0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7</v>
      </c>
      <c r="AU19" s="14">
        <f t="shared" si="18"/>
        <v>5</v>
      </c>
      <c r="AV19" s="14">
        <f t="shared" si="19"/>
        <v>33.6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24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1</v>
      </c>
      <c r="AG21" s="23">
        <f>IFERROR(INDEX([1]PV.iQOO!$A:$BL,MATCH($A21,[1]PV.iQOO!$B:$B,0),MATCH("IQOO15R|12+512|BLACK|SALES",[1]PVKEYIQOO!$1:$1,0)),0)</f>
        <v>2</v>
      </c>
      <c r="AH21" s="13">
        <f t="shared" si="12"/>
        <v>12</v>
      </c>
      <c r="AI21" s="23">
        <f t="shared" si="13"/>
        <v>0.83333333333333326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3</v>
      </c>
      <c r="AO21" s="23">
        <f>IFERROR(INDEX([1]PV.iQOO!$A:$BL,MATCH($A21,[1]PV.iQOO!$B:$B,0),MATCH("IQOOZ11|12+256|BLACK|SALES",[1]PVKEYIQOO!$1:$1,0)),0)</f>
        <v>0</v>
      </c>
      <c r="AP21" s="13" t="str">
        <f t="shared" si="16"/>
        <v/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8</v>
      </c>
      <c r="AU21" s="14">
        <f t="shared" si="18"/>
        <v>9</v>
      </c>
      <c r="AV21" s="14">
        <f t="shared" si="19"/>
        <v>21.333333333333332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24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24</v>
      </c>
      <c r="N22" s="11">
        <f>IFERROR(INDEX([1]PV.iQOO!$A:$BL,MATCH($A22,[1]PV.iQOO!$B:$B,0),MATCH("IQOOZ11|8+256|BLACK|STOCK",[1]PVKEYIQOO!$1:$1,0)),0)</f>
        <v>1</v>
      </c>
      <c r="O22" s="23">
        <f>IFERROR(INDEX([1]PV.iQOO!$A:$BL,MATCH($A22,[1]PV.iQOO!$B:$B,0),MATCH("IQOOZ11|8+256|BLACK|SALES",[1]PVKEYIQOO!$1:$1,0)),0)</f>
        <v>0</v>
      </c>
      <c r="P22" s="13" t="str">
        <f t="shared" si="4"/>
        <v/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0.83333333333333326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24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24</v>
      </c>
      <c r="AT22" s="14">
        <f t="shared" si="18"/>
        <v>7</v>
      </c>
      <c r="AU22" s="14">
        <f t="shared" si="18"/>
        <v>6</v>
      </c>
      <c r="AV22" s="14">
        <f t="shared" si="19"/>
        <v>28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48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0.41666666666666663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24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24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0.83333333333333326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0.83333333333333326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12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1</v>
      </c>
      <c r="AK25" s="23">
        <f>IFERROR(INDEX([1]PV.iQOO!$A:$BL,MATCH($A25,[1]PV.iQOO!$B:$B,0),MATCH("IQOO15R|12+512|SILVER|SALES",[1]PVKEYIQOO!$1:$1,0)),0)</f>
        <v>0</v>
      </c>
      <c r="AL25" s="13" t="str">
        <f t="shared" si="14"/>
        <v/>
      </c>
      <c r="AM25" s="23">
        <f t="shared" si="15"/>
        <v>0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2</v>
      </c>
      <c r="AU25" s="14">
        <f t="shared" si="18"/>
        <v>2</v>
      </c>
      <c r="AV25" s="14">
        <f t="shared" si="19"/>
        <v>24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24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24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24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0.83333333333333326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24</v>
      </c>
      <c r="AT26" s="14">
        <f t="shared" si="18"/>
        <v>7</v>
      </c>
      <c r="AU26" s="14">
        <f t="shared" si="18"/>
        <v>6</v>
      </c>
      <c r="AV26" s="14">
        <f t="shared" si="19"/>
        <v>28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192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48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24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24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0.41666666666666663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24</v>
      </c>
      <c r="AT29" s="14">
        <f t="shared" si="18"/>
        <v>5</v>
      </c>
      <c r="AU29" s="14">
        <f t="shared" si="18"/>
        <v>4</v>
      </c>
      <c r="AV29" s="14">
        <f t="shared" si="19"/>
        <v>30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1</v>
      </c>
      <c r="O30" s="23">
        <f>IFERROR(INDEX([1]PV.iQOO!$A:$BL,MATCH($A30,[1]PV.iQOO!$B:$B,0),MATCH("IQOOZ11|8+256|BLACK|SALES",[1]PVKEYIQOO!$1:$1,0)),0)</f>
        <v>3</v>
      </c>
      <c r="P30" s="13">
        <f t="shared" si="4"/>
        <v>8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16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48</v>
      </c>
      <c r="AI30" s="23">
        <f t="shared" si="13"/>
        <v>0.41666666666666663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24</v>
      </c>
      <c r="AQ30" s="11">
        <f>IFERROR(INDEX([1]PV.iQOO!$A:$BL,MATCH($A30,[1]PV.iQOO!$B:$B,0),MATCH("IQOOZ11|12+256|BLUE|STOCK",[1]PVKEYIQOO!$1:$1,0)),0)</f>
        <v>2</v>
      </c>
      <c r="AR30" s="23">
        <f>IFERROR(INDEX([1]PV.iQOO!$A:$BL,MATCH($A30,[1]PV.iQOO!$B:$B,0),MATCH("IQOOZ11|12+256|BLUE|SALES",[1]PVKEYIQOO!$1:$1,0)),0)</f>
        <v>0</v>
      </c>
      <c r="AS30" s="13" t="str">
        <f t="shared" si="17"/>
        <v/>
      </c>
      <c r="AT30" s="14">
        <f t="shared" si="18"/>
        <v>8</v>
      </c>
      <c r="AU30" s="14">
        <f t="shared" si="18"/>
        <v>10</v>
      </c>
      <c r="AV30" s="14">
        <f t="shared" si="19"/>
        <v>19.2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1</v>
      </c>
      <c r="I32" s="23">
        <f>IFERROR(INDEX([1]PV.iQOO!$A:$BL,MATCH($A32,[1]PV.iQOO!$B:$B,0),MATCH("IQOOZ11X|8+256|BLACK|SALES",[1]PVKEYIQOO!$1:$1,0)),0)</f>
        <v>0</v>
      </c>
      <c r="J32" s="13" t="str">
        <f t="shared" si="2"/>
        <v/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2</v>
      </c>
      <c r="O32" s="23">
        <f>IFERROR(INDEX([1]PV.iQOO!$A:$BL,MATCH($A32,[1]PV.iQOO!$B:$B,0),MATCH("IQOOZ11|8+256|BLACK|SALES",[1]PVKEYIQOO!$1:$1,0)),0)</f>
        <v>0</v>
      </c>
      <c r="P32" s="13" t="str">
        <f t="shared" si="4"/>
        <v/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24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1</v>
      </c>
      <c r="AG32" s="23">
        <f>IFERROR(INDEX([1]PV.iQOO!$A:$BL,MATCH($A32,[1]PV.iQOO!$B:$B,0),MATCH("IQOO15R|12+512|BLACK|SALES",[1]PVKEYIQOO!$1:$1,0)),0)</f>
        <v>1</v>
      </c>
      <c r="AH32" s="13">
        <f t="shared" si="12"/>
        <v>24</v>
      </c>
      <c r="AI32" s="23">
        <f t="shared" si="13"/>
        <v>0.41666666666666663</v>
      </c>
      <c r="AJ32" s="11">
        <f>IFERROR(INDEX([1]PV.iQOO!$A:$BL,MATCH($A32,[1]PV.iQOO!$B:$B,0),MATCH("IQOO15R|12+512|SILVER|STOCK",[1]PVKEYIQOO!$1:$1,0)),0)</f>
        <v>1</v>
      </c>
      <c r="AK32" s="23">
        <f>IFERROR(INDEX([1]PV.iQOO!$A:$BL,MATCH($A32,[1]PV.iQOO!$B:$B,0),MATCH("IQOO15R|12+512|SILVER|SALES",[1]PVKEYIQOO!$1:$1,0)),0)</f>
        <v>0</v>
      </c>
      <c r="AL32" s="13" t="str">
        <f t="shared" si="14"/>
        <v/>
      </c>
      <c r="AM32" s="23">
        <f t="shared" si="15"/>
        <v>0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0</v>
      </c>
      <c r="AP32" s="13" t="str">
        <f t="shared" si="16"/>
        <v/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10</v>
      </c>
      <c r="AU32" s="14">
        <f t="shared" si="18"/>
        <v>3</v>
      </c>
      <c r="AV32" s="14">
        <f t="shared" si="19"/>
        <v>80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24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0.41666666666666663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24</v>
      </c>
      <c r="AI33" s="23">
        <f t="shared" si="13"/>
        <v>0.41666666666666663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24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24</v>
      </c>
      <c r="AT33" s="14">
        <f t="shared" si="18"/>
        <v>7</v>
      </c>
      <c r="AU33" s="14">
        <f t="shared" si="18"/>
        <v>5</v>
      </c>
      <c r="AV33" s="14">
        <f t="shared" si="19"/>
        <v>33.6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2</v>
      </c>
      <c r="R34" s="23">
        <f>IFERROR(INDEX([1]PV.iQOO!$A:$BL,MATCH($A34,[1]PV.iQOO!$B:$B,0),MATCH("IQOOZ11|8+256|BLUE|SALES",[1]PVKEYIQOO!$1:$1,0)),0)</f>
        <v>1</v>
      </c>
      <c r="S34" s="13">
        <f t="shared" si="5"/>
        <v>48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8</v>
      </c>
      <c r="AU34" s="14">
        <f t="shared" si="18"/>
        <v>1</v>
      </c>
      <c r="AV34" s="14">
        <f t="shared" si="19"/>
        <v>192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12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48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30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11</v>
      </c>
      <c r="I36" s="26">
        <f>SUM(I8:I35)</f>
        <v>15</v>
      </c>
      <c r="J36" s="13">
        <f t="shared" si="2"/>
        <v>17.600000000000001</v>
      </c>
      <c r="K36" s="16">
        <f>SUM(K8:K35)</f>
        <v>14</v>
      </c>
      <c r="L36" s="26">
        <f>SUM(L8:L35)</f>
        <v>13</v>
      </c>
      <c r="M36" s="13">
        <f t="shared" si="3"/>
        <v>25.8</v>
      </c>
      <c r="N36" s="16">
        <f>SUM(N8:N35)</f>
        <v>28</v>
      </c>
      <c r="O36" s="26">
        <f>SUM(O8:O35)</f>
        <v>24</v>
      </c>
      <c r="P36" s="13">
        <f t="shared" si="4"/>
        <v>28</v>
      </c>
      <c r="Q36" s="16">
        <f>SUM(Q8:Q35)</f>
        <v>30</v>
      </c>
      <c r="R36" s="26">
        <f>SUM(R8:R35)</f>
        <v>27</v>
      </c>
      <c r="S36" s="13">
        <f t="shared" si="5"/>
        <v>26.7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0.41666666666666663</v>
      </c>
      <c r="AF36" s="16">
        <f>SUM(AF8:AF35)</f>
        <v>11</v>
      </c>
      <c r="AG36" s="26">
        <f>SUM(AG8:AG35)</f>
        <v>16</v>
      </c>
      <c r="AH36" s="13">
        <f t="shared" si="12"/>
        <v>16.5</v>
      </c>
      <c r="AI36" s="26">
        <f>SUM(AI8:AI35)</f>
        <v>6.666666666666667</v>
      </c>
      <c r="AJ36" s="16">
        <f>SUM(AJ8:AJ35)</f>
        <v>5</v>
      </c>
      <c r="AK36" s="26">
        <f>SUM(AK8:AK35)</f>
        <v>7</v>
      </c>
      <c r="AL36" s="13">
        <f t="shared" si="14"/>
        <v>17.100000000000001</v>
      </c>
      <c r="AM36" s="26">
        <f>SUM(AM8:AM35)</f>
        <v>2.9166666666666661</v>
      </c>
      <c r="AN36" s="16">
        <f>SUM(AN8:AN35)</f>
        <v>22</v>
      </c>
      <c r="AO36" s="26">
        <f>SUM(AO8:AO35)</f>
        <v>8</v>
      </c>
      <c r="AP36" s="13">
        <f t="shared" si="16"/>
        <v>66</v>
      </c>
      <c r="AQ36" s="16">
        <f>SUM(AQ8:AQ35)</f>
        <v>28</v>
      </c>
      <c r="AR36" s="26">
        <f>SUM(AR8:AR35)</f>
        <v>10</v>
      </c>
      <c r="AS36" s="13">
        <f t="shared" si="17"/>
        <v>67.2</v>
      </c>
      <c r="AT36" s="14">
        <f>SUM(AT8:AT35)</f>
        <v>149</v>
      </c>
      <c r="AU36" s="14">
        <f>SUM(AU8:AU35)</f>
        <v>121</v>
      </c>
      <c r="AV36" s="14">
        <f t="shared" si="19"/>
        <v>29.553719008264462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zoomScale="113" zoomScaleNormal="113" workbookViewId="0">
      <pane xSplit="1" topLeftCell="B1" activePane="topRight" state="frozen"/>
      <selection pane="topRight" activeCell="B2" sqref="B2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24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7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44" t="s">
        <v>4</v>
      </c>
      <c r="B4" s="44" t="s">
        <v>55</v>
      </c>
      <c r="C4" s="43"/>
      <c r="D4" s="43"/>
      <c r="E4" s="44" t="s">
        <v>56</v>
      </c>
      <c r="F4" s="43"/>
      <c r="G4" s="43"/>
      <c r="H4" s="43"/>
      <c r="I4" s="43"/>
      <c r="J4" s="43"/>
      <c r="K4" s="43"/>
      <c r="L4" s="44" t="s">
        <v>57</v>
      </c>
      <c r="M4" s="43"/>
      <c r="N4" s="43"/>
      <c r="O4" s="43"/>
      <c r="P4" s="44" t="s">
        <v>58</v>
      </c>
      <c r="Q4" s="43"/>
      <c r="R4" s="43"/>
      <c r="S4" s="43"/>
      <c r="T4" s="43"/>
      <c r="U4" s="43"/>
      <c r="V4" s="44" t="s">
        <v>59</v>
      </c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8" t="s">
        <v>60</v>
      </c>
      <c r="AI4" s="49"/>
      <c r="AJ4" s="50"/>
      <c r="AK4" s="49" t="s">
        <v>61</v>
      </c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50"/>
      <c r="AZ4" s="44" t="s">
        <v>62</v>
      </c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4" t="s">
        <v>63</v>
      </c>
      <c r="BL4" s="43"/>
      <c r="BM4" s="43"/>
      <c r="BN4" s="43"/>
      <c r="BO4" s="43"/>
      <c r="BP4" s="43"/>
      <c r="BQ4" s="43"/>
      <c r="BR4" s="43"/>
      <c r="BS4" s="44" t="s">
        <v>64</v>
      </c>
      <c r="BT4" s="43"/>
      <c r="BU4" s="43"/>
      <c r="BV4" s="43"/>
      <c r="BW4" s="44" t="s">
        <v>65</v>
      </c>
      <c r="BX4" s="43"/>
      <c r="BY4" s="43"/>
      <c r="BZ4" s="43"/>
      <c r="CA4" s="44" t="s">
        <v>66</v>
      </c>
      <c r="CB4" s="43"/>
      <c r="CC4" s="43"/>
      <c r="CD4" s="43"/>
      <c r="CE4" s="43"/>
      <c r="CF4" s="43"/>
      <c r="CG4" s="43"/>
      <c r="CH4" s="43"/>
      <c r="CI4" s="44" t="s">
        <v>67</v>
      </c>
      <c r="CJ4" s="43"/>
      <c r="CK4" s="43"/>
      <c r="CL4" s="44" t="s">
        <v>67</v>
      </c>
      <c r="CM4" s="43"/>
      <c r="CN4" s="43"/>
      <c r="CO4" s="44" t="s">
        <v>68</v>
      </c>
      <c r="CP4" s="43"/>
      <c r="CQ4" s="43"/>
      <c r="CR4" s="27" t="s">
        <v>69</v>
      </c>
      <c r="CS4" s="27" t="s">
        <v>70</v>
      </c>
      <c r="CT4" s="27" t="s">
        <v>71</v>
      </c>
    </row>
    <row r="5" spans="1:98" ht="15" customHeight="1" x14ac:dyDescent="0.2">
      <c r="A5" s="43"/>
      <c r="B5" s="42" t="s">
        <v>11</v>
      </c>
      <c r="C5" s="43"/>
      <c r="D5" s="43"/>
      <c r="E5" s="42" t="s">
        <v>13</v>
      </c>
      <c r="F5" s="43"/>
      <c r="G5" s="43"/>
      <c r="H5" s="42" t="s">
        <v>12</v>
      </c>
      <c r="I5" s="43"/>
      <c r="J5" s="43"/>
      <c r="K5" s="43"/>
      <c r="L5" s="42" t="s">
        <v>12</v>
      </c>
      <c r="M5" s="43"/>
      <c r="N5" s="43"/>
      <c r="O5" s="43"/>
      <c r="P5" s="42" t="s">
        <v>15</v>
      </c>
      <c r="Q5" s="43"/>
      <c r="R5" s="43"/>
      <c r="S5" s="42" t="s">
        <v>12</v>
      </c>
      <c r="T5" s="43"/>
      <c r="U5" s="43"/>
      <c r="V5" s="42" t="s">
        <v>72</v>
      </c>
      <c r="W5" s="43"/>
      <c r="X5" s="43"/>
      <c r="Y5" s="43"/>
      <c r="Z5" s="47" t="s">
        <v>73</v>
      </c>
      <c r="AA5" s="45"/>
      <c r="AB5" s="45"/>
      <c r="AC5" s="46"/>
      <c r="AD5" s="42" t="s">
        <v>74</v>
      </c>
      <c r="AE5" s="43"/>
      <c r="AF5" s="43"/>
      <c r="AG5" s="43"/>
      <c r="AH5" s="47" t="s">
        <v>72</v>
      </c>
      <c r="AI5" s="45"/>
      <c r="AJ5" s="46"/>
      <c r="AK5" s="45" t="s">
        <v>72</v>
      </c>
      <c r="AL5" s="45"/>
      <c r="AM5" s="46"/>
      <c r="AN5" s="42" t="s">
        <v>74</v>
      </c>
      <c r="AO5" s="43"/>
      <c r="AP5" s="43"/>
      <c r="AQ5" s="43"/>
      <c r="AR5" s="42" t="s">
        <v>75</v>
      </c>
      <c r="AS5" s="43"/>
      <c r="AT5" s="43"/>
      <c r="AU5" s="43"/>
      <c r="AV5" s="42" t="s">
        <v>11</v>
      </c>
      <c r="AW5" s="43"/>
      <c r="AX5" s="43"/>
      <c r="AY5" s="43"/>
      <c r="AZ5" s="42" t="s">
        <v>15</v>
      </c>
      <c r="BA5" s="43"/>
      <c r="BB5" s="43"/>
      <c r="BC5" s="42" t="s">
        <v>11</v>
      </c>
      <c r="BD5" s="43"/>
      <c r="BE5" s="43"/>
      <c r="BF5" s="43"/>
      <c r="BG5" s="42" t="s">
        <v>76</v>
      </c>
      <c r="BH5" s="43"/>
      <c r="BI5" s="43"/>
      <c r="BJ5" s="43"/>
      <c r="BK5" s="42" t="s">
        <v>11</v>
      </c>
      <c r="BL5" s="43"/>
      <c r="BM5" s="43"/>
      <c r="BN5" s="43"/>
      <c r="BO5" s="42" t="s">
        <v>15</v>
      </c>
      <c r="BP5" s="43"/>
      <c r="BQ5" s="43"/>
      <c r="BR5" s="43"/>
      <c r="BS5" s="42" t="s">
        <v>11</v>
      </c>
      <c r="BT5" s="43"/>
      <c r="BU5" s="43"/>
      <c r="BV5" s="43"/>
      <c r="BW5" s="42" t="s">
        <v>11</v>
      </c>
      <c r="BX5" s="43"/>
      <c r="BY5" s="43"/>
      <c r="BZ5" s="43"/>
      <c r="CA5" s="42" t="s">
        <v>72</v>
      </c>
      <c r="CB5" s="43"/>
      <c r="CC5" s="43"/>
      <c r="CD5" s="43"/>
      <c r="CE5" s="42" t="s">
        <v>73</v>
      </c>
      <c r="CF5" s="43"/>
      <c r="CG5" s="43"/>
      <c r="CH5" s="43"/>
      <c r="CI5" s="42" t="s">
        <v>74</v>
      </c>
      <c r="CJ5" s="43"/>
      <c r="CK5" s="43"/>
      <c r="CL5" s="42" t="s">
        <v>77</v>
      </c>
      <c r="CM5" s="43"/>
      <c r="CN5" s="43"/>
      <c r="CO5" s="42" t="s">
        <v>73</v>
      </c>
      <c r="CP5" s="43"/>
      <c r="CQ5" s="43"/>
      <c r="CR5" s="28"/>
      <c r="CS5" s="28"/>
      <c r="CT5" s="28"/>
    </row>
    <row r="6" spans="1:98" ht="24" x14ac:dyDescent="0.15">
      <c r="A6" s="43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29"/>
      <c r="CS6" s="29"/>
      <c r="CT6" s="29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24</v>
      </c>
      <c r="K7" s="12">
        <f t="shared" ref="K7:K34" si="3">(I7/$B$2)*10</f>
        <v>0.41666666666666663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5</v>
      </c>
      <c r="W7" s="12">
        <f>INDEX('[1]PV.STOCK TIAP GUDANG'!$A:$CV,MATCH($A7,'[1]PV.STOCK TIAP GUDANG'!$A:$A,0),MATCH("Y11D|4+128|SALES",[1]PVKEY!$1:$1,0))</f>
        <v>27</v>
      </c>
      <c r="X7" s="13">
        <f t="shared" ref="X7:X35" si="8">IF(OR(W7="",W7=0),"",ROUND(V7/W7*$B$2,1))</f>
        <v>4.4000000000000004</v>
      </c>
      <c r="Y7" s="12">
        <f t="shared" ref="Y7:Y34" si="9">(W7/$B$2)*5</f>
        <v>5.625</v>
      </c>
      <c r="Z7" s="11">
        <f>INDEX('[1]PV.STOCK TIAP GUDANG'!$A:$CV,MATCH($A7,'[1]PV.STOCK TIAP GUDANG'!$A:$A,0),MATCH("Y11D|4+64|STOCK",[1]PVKEY!$1:$1,0))</f>
        <v>4</v>
      </c>
      <c r="AA7" s="12">
        <f>INDEX('[1]PV.STOCK TIAP GUDANG'!$A:$CV,MATCH($A7,'[1]PV.STOCK TIAP GUDANG'!$A:$A,0),MATCH("Y11D|4+64|SALES",[1]PVKEY!$1:$1,0))</f>
        <v>16</v>
      </c>
      <c r="AB7" s="13">
        <f t="shared" ref="AB7:AB35" si="10">IF(OR(AA7="",AA7=0),"",ROUND(Z7/AA7*$B$2,1))</f>
        <v>6</v>
      </c>
      <c r="AC7" s="12">
        <f t="shared" ref="AC7:AC34" si="11">(AA7/$B$2)*5</f>
        <v>3.333333333333333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1.0416666666666667</v>
      </c>
      <c r="AH7" s="11">
        <f>INDEX('[1]PV.STOCK TIAP GUDANG'!$A:$CV,MATCH($A7,'[1]PV.STOCK TIAP GUDANG'!$A:$A,0),MATCH("Y31D|4+128|STOCK",[1]PVKEY!$1:$1,0))</f>
        <v>3</v>
      </c>
      <c r="AI7" s="12">
        <f>INDEX('[1]PV.STOCK TIAP GUDANG'!$A:$CV,MATCH($A7,'[1]PV.STOCK TIAP GUDANG'!$A:$A,0),MATCH("Y31D|4+128|SALES",[1]PVKEY!$1:$1,0))</f>
        <v>15</v>
      </c>
      <c r="AJ7" s="13">
        <f t="shared" ref="AJ7:AJ35" si="14">IF(OR(AI7="",AI7=0),"",ROUND(AH7/AI7*$B$2,1))</f>
        <v>4.8</v>
      </c>
      <c r="AK7" s="11">
        <f>INDEX('[1]PV.STOCK TIAP GUDANG'!$A:$CV,MATCH($A7,'[1]PV.STOCK TIAP GUDANG'!$A:$A,0),MATCH("Y31DPRO|4+128|STOCK",[1]PVKEY!$1:$1,0))</f>
        <v>0</v>
      </c>
      <c r="AL7" s="12">
        <f>INDEX('[1]PV.STOCK TIAP GUDANG'!$A:$CV,MATCH($A7,'[1]PV.STOCK TIAP GUDANG'!$A:$A,0),MATCH("Y31DPRO|4+128|SALES",[1]PVKEY!$1:$1,0))</f>
        <v>10</v>
      </c>
      <c r="AM7" s="13">
        <f t="shared" ref="AM7:AM35" si="15">IF(OR(AL7="",AL7=0),"",ROUND(AK7/AL7*$B$2,1))</f>
        <v>0</v>
      </c>
      <c r="AN7" s="11">
        <f>INDEX('[1]PV.STOCK TIAP GUDANG'!$A:$CV,MATCH($A7,'[1]PV.STOCK TIAP GUDANG'!$A:$A,0),MATCH("Y31DPRO|6+128|STOCK",[1]PVKEY!$1:$1,0))</f>
        <v>8</v>
      </c>
      <c r="AO7" s="12">
        <f>INDEX('[1]PV.STOCK TIAP GUDANG'!$A:$CV,MATCH($A7,'[1]PV.STOCK TIAP GUDANG'!$A:$A,0),MATCH("Y31DPRO|6+128|SALES",[1]PVKEY!$1:$1,0))</f>
        <v>14</v>
      </c>
      <c r="AP7" s="13">
        <f t="shared" ref="AP7:AP35" si="16">IF(OR(AO7="",AO7=0),"",ROUND(AN7/AO7*$B$2,1))</f>
        <v>13.7</v>
      </c>
      <c r="AQ7" s="12">
        <f t="shared" ref="AQ7:AQ34" si="17">(AO7/$B$2)*5</f>
        <v>2.916666666666667</v>
      </c>
      <c r="AR7" s="11">
        <f>INDEX('[1]PV.STOCK TIAP GUDANG'!$A:$CV,MATCH($A7,'[1]PV.STOCK TIAP GUDANG'!$A:$A,0),MATCH("Y31DPRO|8+128|STOCK",[1]PVKEY!$1:$1,0))</f>
        <v>6</v>
      </c>
      <c r="AS7" s="12">
        <f>INDEX('[1]PV.STOCK TIAP GUDANG'!$A:$CV,MATCH($A7,'[1]PV.STOCK TIAP GUDANG'!$A:$A,0),MATCH("Y31DPRO|8+128|SALES",[1]PVKEY!$1:$1,0))</f>
        <v>9</v>
      </c>
      <c r="AT7" s="13">
        <f t="shared" ref="AT7:AT35" si="18">IF(OR(AS7="",AS7=0),"",ROUND(AR7/AS7*$B$2,1))</f>
        <v>16</v>
      </c>
      <c r="AU7" s="12">
        <f t="shared" ref="AU7:AU34" si="19">(AS7/$B$2)*5</f>
        <v>1.875</v>
      </c>
      <c r="AV7" s="11">
        <f>INDEX('[1]PV.STOCK TIAP GUDANG'!$A:$CV,MATCH($A7,'[1]PV.STOCK TIAP GUDANG'!$A:$A,0),MATCH("Y31DPRO|8+256|STOCK",[1]PVKEY!$1:$1,0))</f>
        <v>2</v>
      </c>
      <c r="AW7" s="12">
        <f>INDEX('[1]PV.STOCK TIAP GUDANG'!$A:$CV,MATCH($A7,'[1]PV.STOCK TIAP GUDANG'!$A:$A,0),MATCH("Y31DPRO|8+256|SALES",[1]PVKEY!$1:$1,0))</f>
        <v>13</v>
      </c>
      <c r="AX7" s="13">
        <f t="shared" ref="AX7:AX35" si="20">IF(OR(AW7="",AW7=0),"",ROUND(AV7/AW7*$B$2,1))</f>
        <v>3.7</v>
      </c>
      <c r="AY7" s="12">
        <f t="shared" ref="AY7:AY34" si="21">(AW7/$B$2)*5</f>
        <v>2.708333333333333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0.66666666666666663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1</v>
      </c>
      <c r="BP7" s="12">
        <f>INDEX('[1]PV.STOCK TIAP GUDANG'!$A:$CV,MATCH($A7,'[1]PV.STOCK TIAP GUDANG'!$A:$A,0),MATCH("V70FE|12+256|SALES",[1]PVKEY!$1:$1,0))</f>
        <v>8</v>
      </c>
      <c r="BQ7" s="13">
        <f t="shared" ref="BQ7:BQ35" si="29">IF(OR(BP7="",BP7=0),"",ROUND(BO7/BP7*$B$2,1))</f>
        <v>3</v>
      </c>
      <c r="BR7" s="12">
        <f t="shared" ref="BR7:BR34" si="30">(BP7/$B$2)*8</f>
        <v>2.6666666666666665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2</v>
      </c>
      <c r="BY7" s="13">
        <f t="shared" ref="BY7:BY35" si="33">IF(OR(BX7="",BX7=0),"",ROUND(BW7/BX7*$B$2,1))</f>
        <v>24</v>
      </c>
      <c r="BZ7" s="12">
        <f t="shared" ref="BZ7:BZ34" si="34">(BX7/$B$2)*8</f>
        <v>0.66666666666666663</v>
      </c>
      <c r="CA7" s="11">
        <f>INDEX('[1]PV.STOCK TIAP GUDANG'!$A:$CV,MATCH($A7,'[1]PV.STOCK TIAP GUDANG'!$A:$A,0),MATCH("Y05|4+128|STOCK",[1]PVKEY!$1:$1,0))</f>
        <v>11</v>
      </c>
      <c r="CB7" s="12">
        <f>INDEX('[1]PV.STOCK TIAP GUDANG'!$A:$CV,MATCH($A7,'[1]PV.STOCK TIAP GUDANG'!$A:$A,0),MATCH("Y05|4+128|SALES",[1]PVKEY!$1:$1,0))</f>
        <v>17</v>
      </c>
      <c r="CC7" s="13">
        <f t="shared" ref="CC7:CC35" si="35">IF(OR(CB7="",CB7=0),"",ROUND(CA7/CB7*$B$2,1))</f>
        <v>15.5</v>
      </c>
      <c r="CD7" s="12">
        <f t="shared" ref="CD7:CD34" si="36">(CB7/$B$2)*5</f>
        <v>3.541666666666667</v>
      </c>
      <c r="CE7" s="11">
        <f>INDEX('[1]PV.STOCK TIAP GUDANG'!$A:$CV,MATCH($A7,'[1]PV.STOCK TIAP GUDANG'!$A:$A,0),MATCH("Y05|4+64|STOCK",[1]PVKEY!$1:$1,0))</f>
        <v>16</v>
      </c>
      <c r="CF7" s="12">
        <f>INDEX('[1]PV.STOCK TIAP GUDANG'!$A:$CV,MATCH($A7,'[1]PV.STOCK TIAP GUDANG'!$A:$A,0),MATCH("Y05|4+64|SALES",[1]PVKEY!$1:$1,0))</f>
        <v>25</v>
      </c>
      <c r="CG7" s="13">
        <f t="shared" ref="CG7:CG35" si="37">IF(OR(CF7="",CF7=0),"",ROUND(CE7/CF7*$B$2,1))</f>
        <v>15.4</v>
      </c>
      <c r="CH7" s="12">
        <f t="shared" ref="CH7:CH34" si="38">(CF7/$B$2)*7</f>
        <v>7.291666666666667</v>
      </c>
      <c r="CI7" s="11">
        <f>INDEX('[1]PV.STOCK TIAP GUDANG'!$A:$CV,MATCH($A7,'[1]PV.STOCK TIAP GUDANG'!$A:$A,0),MATCH("Y500|6+128|STOCK",[1]PVKEY!$1:$1,0))</f>
        <v>3</v>
      </c>
      <c r="CJ7" s="12">
        <f>INDEX('[1]PV.STOCK TIAP GUDANG'!$A:$CV,MATCH($A7,'[1]PV.STOCK TIAP GUDANG'!$A:$A,0),MATCH("Y500|6+128|SALES",[1]PVKEY!$1:$1,0))</f>
        <v>3</v>
      </c>
      <c r="CK7" s="13">
        <f t="shared" ref="CK7:CK35" si="39">IF(OR(CJ7="",CJ7=0),"",ROUND(CI7/CJ7*$B$2,1))</f>
        <v>24</v>
      </c>
      <c r="CL7" s="11">
        <f>INDEX('[1]PV.STOCK TIAP GUDANG'!$A:$CV,MATCH($A7,'[1]PV.STOCK TIAP GUDANG'!$A:$A,0),MATCH("Y500|6+256|STOCK",[1]PVKEY!$1:$1,0))</f>
        <v>4</v>
      </c>
      <c r="CM7" s="12">
        <f>INDEX('[1]PV.STOCK TIAP GUDANG'!$A:$CV,MATCH($A7,'[1]PV.STOCK TIAP GUDANG'!$A:$A,0),MATCH("Y500|6+256|SALES",[1]PVKEY!$1:$1,0))</f>
        <v>4</v>
      </c>
      <c r="CN7" s="13">
        <f t="shared" ref="CN7:CN35" si="40">IF(OR(CM7="",CM7=0),"",ROUND(CL7/CM7*$B$2,1))</f>
        <v>24</v>
      </c>
      <c r="CO7" s="11">
        <f>INDEX('[1]PV.STOCK TIAP GUDANG'!$A:$CV,MATCH($A7,'[1]PV.STOCK TIAP GUDANG'!$A:$A,0),MATCH("Y05E|4+64|STOCK",[1]PVKEY!$1:$1,0))</f>
        <v>20</v>
      </c>
      <c r="CP7" s="12">
        <f>INDEX('[1]PV.STOCK TIAP GUDANG'!$A:$CV,MATCH($A7,'[1]PV.STOCK TIAP GUDANG'!$A:$A,0),MATCH("Y05E|4+64|SALES",[1]PVKEY!$1:$1,0))</f>
        <v>38</v>
      </c>
      <c r="CQ7" s="13">
        <f t="shared" ref="CQ7:CQ35" si="41">IF(OR(CP7="",CP7=0),"",ROUND(CO7/CP7*$B$2,1))</f>
        <v>12.6</v>
      </c>
      <c r="CR7" s="14">
        <f t="shared" ref="CR7:CR34" si="42">SUM(B7,L7,P7,S7,AZ7,BK7,BO7,BS7,BW7,CA7,CE7,BC7,AN7,AR7,AV7,BG7,V7,E7,H7,AD7,Z7,AH7,AK7,CI7,CL7,CO7)</f>
        <v>87</v>
      </c>
      <c r="CS7" s="14">
        <f t="shared" ref="CS7:CS34" si="43">SUM(C7,M7,Q7,T7,BL7,BP7,BT7,BX7,CB7,CF7,BA7,BD7,AO7,AS7,AW7,BH7,W7,F7,I7,AE7,AA7,AI7,AL7,CJ7,CM7,CP7)</f>
        <v>209</v>
      </c>
      <c r="CT7" s="14">
        <f t="shared" ref="CT7:CT34" si="44">IFERROR(CR7/(CS7/$B$2),1000)</f>
        <v>9.9904306220095691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4</v>
      </c>
      <c r="W8" s="12">
        <f>INDEX('[1]PV.STOCK TIAP GUDANG'!$A:$CV,MATCH($A8,'[1]PV.STOCK TIAP GUDANG'!$A:$A,0),MATCH("Y11D|4+128|SALES",[1]PVKEY!$1:$1,0))</f>
        <v>31</v>
      </c>
      <c r="X8" s="13">
        <f t="shared" si="8"/>
        <v>3.1</v>
      </c>
      <c r="Y8" s="12">
        <f t="shared" si="9"/>
        <v>6.4583333333333339</v>
      </c>
      <c r="Z8" s="11">
        <f>INDEX('[1]PV.STOCK TIAP GUDANG'!$A:$CV,MATCH($A8,'[1]PV.STOCK TIAP GUDANG'!$A:$A,0),MATCH("Y11D|4+64|STOCK",[1]PVKEY!$1:$1,0))</f>
        <v>6</v>
      </c>
      <c r="AA8" s="12">
        <f>INDEX('[1]PV.STOCK TIAP GUDANG'!$A:$CV,MATCH($A8,'[1]PV.STOCK TIAP GUDANG'!$A:$A,0),MATCH("Y11D|4+64|SALES",[1]PVKEY!$1:$1,0))</f>
        <v>15</v>
      </c>
      <c r="AB8" s="13">
        <f t="shared" si="10"/>
        <v>9.6</v>
      </c>
      <c r="AC8" s="12">
        <f t="shared" si="11"/>
        <v>3.125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0.625</v>
      </c>
      <c r="AH8" s="11">
        <f>INDEX('[1]PV.STOCK TIAP GUDANG'!$A:$CV,MATCH($A8,'[1]PV.STOCK TIAP GUDANG'!$A:$A,0),MATCH("Y31D|4+128|STOCK",[1]PVKEY!$1:$1,0))</f>
        <v>8</v>
      </c>
      <c r="AI8" s="12">
        <f>INDEX('[1]PV.STOCK TIAP GUDANG'!$A:$CV,MATCH($A8,'[1]PV.STOCK TIAP GUDANG'!$A:$A,0),MATCH("Y31D|4+128|SALES",[1]PVKEY!$1:$1,0))</f>
        <v>0</v>
      </c>
      <c r="AJ8" s="13" t="str">
        <f t="shared" si="14"/>
        <v/>
      </c>
      <c r="AK8" s="11">
        <f>INDEX('[1]PV.STOCK TIAP GUDANG'!$A:$CV,MATCH($A8,'[1]PV.STOCK TIAP GUDANG'!$A:$A,0),MATCH("Y31DPRO|4+128|STOCK",[1]PVKEY!$1:$1,0))</f>
        <v>0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0</v>
      </c>
      <c r="AN8" s="11">
        <f>INDEX('[1]PV.STOCK TIAP GUDANG'!$A:$CV,MATCH($A8,'[1]PV.STOCK TIAP GUDANG'!$A:$A,0),MATCH("Y31DPRO|6+128|STOCK",[1]PVKEY!$1:$1,0))</f>
        <v>3</v>
      </c>
      <c r="AO8" s="12">
        <f>INDEX('[1]PV.STOCK TIAP GUDANG'!$A:$CV,MATCH($A8,'[1]PV.STOCK TIAP GUDANG'!$A:$A,0),MATCH("Y31DPRO|6+128|SALES",[1]PVKEY!$1:$1,0))</f>
        <v>22</v>
      </c>
      <c r="AP8" s="13">
        <f t="shared" si="16"/>
        <v>3.3</v>
      </c>
      <c r="AQ8" s="12">
        <f t="shared" si="17"/>
        <v>4.583333333333333</v>
      </c>
      <c r="AR8" s="11">
        <f>INDEX('[1]PV.STOCK TIAP GUDANG'!$A:$CV,MATCH($A8,'[1]PV.STOCK TIAP GUDANG'!$A:$A,0),MATCH("Y31DPRO|8+128|STOCK",[1]PVKEY!$1:$1,0))</f>
        <v>5</v>
      </c>
      <c r="AS8" s="12">
        <f>INDEX('[1]PV.STOCK TIAP GUDANG'!$A:$CV,MATCH($A8,'[1]PV.STOCK TIAP GUDANG'!$A:$A,0),MATCH("Y31DPRO|8+128|SALES",[1]PVKEY!$1:$1,0))</f>
        <v>8</v>
      </c>
      <c r="AT8" s="13">
        <f t="shared" si="18"/>
        <v>15</v>
      </c>
      <c r="AU8" s="12">
        <f t="shared" si="19"/>
        <v>1.6666666666666665</v>
      </c>
      <c r="AV8" s="11">
        <f>INDEX('[1]PV.STOCK TIAP GUDANG'!$A:$CV,MATCH($A8,'[1]PV.STOCK TIAP GUDANG'!$A:$A,0),MATCH("Y31DPRO|8+256|STOCK",[1]PVKEY!$1:$1,0))</f>
        <v>4</v>
      </c>
      <c r="AW8" s="12">
        <f>INDEX('[1]PV.STOCK TIAP GUDANG'!$A:$CV,MATCH($A8,'[1]PV.STOCK TIAP GUDANG'!$A:$A,0),MATCH("Y31DPRO|8+256|SALES",[1]PVKEY!$1:$1,0))</f>
        <v>3</v>
      </c>
      <c r="AX8" s="13">
        <f t="shared" si="20"/>
        <v>32</v>
      </c>
      <c r="AY8" s="12">
        <f t="shared" si="21"/>
        <v>0.625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1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3</v>
      </c>
      <c r="BP8" s="12">
        <f>INDEX('[1]PV.STOCK TIAP GUDANG'!$A:$CV,MATCH($A8,'[1]PV.STOCK TIAP GUDANG'!$A:$A,0),MATCH("V70FE|12+256|SALES",[1]PVKEY!$1:$1,0))</f>
        <v>2</v>
      </c>
      <c r="BQ8" s="13">
        <f t="shared" si="29"/>
        <v>36</v>
      </c>
      <c r="BR8" s="12">
        <f t="shared" si="30"/>
        <v>0.66666666666666663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2</v>
      </c>
      <c r="BX8" s="12">
        <f>INDEX('[1]PV.STOCK TIAP GUDANG'!$A:$CV,MATCH($A8,'[1]PV.STOCK TIAP GUDANG'!$A:$A,0),MATCH("V60LITE|8+256|SALES",[1]PVKEY!$1:$1,0))</f>
        <v>1</v>
      </c>
      <c r="BY8" s="13">
        <f t="shared" si="33"/>
        <v>48</v>
      </c>
      <c r="BZ8" s="12">
        <f t="shared" si="34"/>
        <v>0.33333333333333331</v>
      </c>
      <c r="CA8" s="11">
        <f>INDEX('[1]PV.STOCK TIAP GUDANG'!$A:$CV,MATCH($A8,'[1]PV.STOCK TIAP GUDANG'!$A:$A,0),MATCH("Y05|4+128|STOCK",[1]PVKEY!$1:$1,0))</f>
        <v>14</v>
      </c>
      <c r="CB8" s="12">
        <f>INDEX('[1]PV.STOCK TIAP GUDANG'!$A:$CV,MATCH($A8,'[1]PV.STOCK TIAP GUDANG'!$A:$A,0),MATCH("Y05|4+128|SALES",[1]PVKEY!$1:$1,0))</f>
        <v>17</v>
      </c>
      <c r="CC8" s="13">
        <f t="shared" si="35"/>
        <v>19.8</v>
      </c>
      <c r="CD8" s="12">
        <f t="shared" si="36"/>
        <v>3.541666666666667</v>
      </c>
      <c r="CE8" s="11">
        <f>INDEX('[1]PV.STOCK TIAP GUDANG'!$A:$CV,MATCH($A8,'[1]PV.STOCK TIAP GUDANG'!$A:$A,0),MATCH("Y05|4+64|STOCK",[1]PVKEY!$1:$1,0))</f>
        <v>17</v>
      </c>
      <c r="CF8" s="12">
        <f>INDEX('[1]PV.STOCK TIAP GUDANG'!$A:$CV,MATCH($A8,'[1]PV.STOCK TIAP GUDANG'!$A:$A,0),MATCH("Y05|4+64|SALES",[1]PVKEY!$1:$1,0))</f>
        <v>23</v>
      </c>
      <c r="CG8" s="13">
        <f t="shared" si="37"/>
        <v>17.7</v>
      </c>
      <c r="CH8" s="12">
        <f t="shared" si="38"/>
        <v>6.7083333333333339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18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96</v>
      </c>
      <c r="CO8" s="11">
        <f>INDEX('[1]PV.STOCK TIAP GUDANG'!$A:$CV,MATCH($A8,'[1]PV.STOCK TIAP GUDANG'!$A:$A,0),MATCH("Y05E|4+64|STOCK",[1]PVKEY!$1:$1,0))</f>
        <v>19</v>
      </c>
      <c r="CP8" s="12">
        <f>INDEX('[1]PV.STOCK TIAP GUDANG'!$A:$CV,MATCH($A8,'[1]PV.STOCK TIAP GUDANG'!$A:$A,0),MATCH("Y05E|4+64|SALES",[1]PVKEY!$1:$1,0))</f>
        <v>85</v>
      </c>
      <c r="CQ8" s="13">
        <f t="shared" si="41"/>
        <v>5.4</v>
      </c>
      <c r="CR8" s="14">
        <f t="shared" si="42"/>
        <v>93</v>
      </c>
      <c r="CS8" s="14">
        <f t="shared" si="43"/>
        <v>224</v>
      </c>
      <c r="CT8" s="14">
        <f t="shared" si="44"/>
        <v>9.9642857142857135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11</v>
      </c>
      <c r="W9" s="12">
        <f>INDEX('[1]PV.STOCK TIAP GUDANG'!$A:$CV,MATCH($A9,'[1]PV.STOCK TIAP GUDANG'!$A:$A,0),MATCH("Y11D|4+128|SALES",[1]PVKEY!$1:$1,0))</f>
        <v>47</v>
      </c>
      <c r="X9" s="13">
        <f t="shared" si="8"/>
        <v>5.6</v>
      </c>
      <c r="Y9" s="12">
        <f t="shared" si="9"/>
        <v>9.7916666666666661</v>
      </c>
      <c r="Z9" s="11">
        <f>INDEX('[1]PV.STOCK TIAP GUDANG'!$A:$CV,MATCH($A9,'[1]PV.STOCK TIAP GUDANG'!$A:$A,0),MATCH("Y11D|4+64|STOCK",[1]PVKEY!$1:$1,0))</f>
        <v>10</v>
      </c>
      <c r="AA9" s="12">
        <f>INDEX('[1]PV.STOCK TIAP GUDANG'!$A:$CV,MATCH($A9,'[1]PV.STOCK TIAP GUDANG'!$A:$A,0),MATCH("Y11D|4+64|SALES",[1]PVKEY!$1:$1,0))</f>
        <v>46</v>
      </c>
      <c r="AB9" s="13">
        <f t="shared" si="10"/>
        <v>5.2</v>
      </c>
      <c r="AC9" s="12">
        <f t="shared" si="11"/>
        <v>9.5833333333333339</v>
      </c>
      <c r="AD9" s="11">
        <f>INDEX('[1]PV.STOCK TIAP GUDANG'!$A:$CV,MATCH($A9,'[1]PV.STOCK TIAP GUDANG'!$A:$A,0),MATCH("Y11D|6+128|STOCK",[1]PVKEY!$1:$1,0))</f>
        <v>1</v>
      </c>
      <c r="AE9" s="12">
        <f>INDEX('[1]PV.STOCK TIAP GUDANG'!$A:$CV,MATCH($A9,'[1]PV.STOCK TIAP GUDANG'!$A:$A,0),MATCH("Y11D|6+128|SALES",[1]PVKEY!$1:$1,0))</f>
        <v>4</v>
      </c>
      <c r="AF9" s="13">
        <f t="shared" si="12"/>
        <v>6</v>
      </c>
      <c r="AG9" s="12">
        <f t="shared" si="13"/>
        <v>0.83333333333333326</v>
      </c>
      <c r="AH9" s="11">
        <f>INDEX('[1]PV.STOCK TIAP GUDANG'!$A:$CV,MATCH($A9,'[1]PV.STOCK TIAP GUDANG'!$A:$A,0),MATCH("Y31D|4+128|STOCK",[1]PVKEY!$1:$1,0))</f>
        <v>11</v>
      </c>
      <c r="AI9" s="12">
        <f>INDEX('[1]PV.STOCK TIAP GUDANG'!$A:$CV,MATCH($A9,'[1]PV.STOCK TIAP GUDANG'!$A:$A,0),MATCH("Y31D|4+128|SALES",[1]PVKEY!$1:$1,0))</f>
        <v>29</v>
      </c>
      <c r="AJ9" s="13">
        <f t="shared" si="14"/>
        <v>9.1</v>
      </c>
      <c r="AK9" s="11">
        <f>INDEX('[1]PV.STOCK TIAP GUDANG'!$A:$CV,MATCH($A9,'[1]PV.STOCK TIAP GUDANG'!$A:$A,0),MATCH("Y31DPRO|4+128|STOCK",[1]PVKEY!$1:$1,0))</f>
        <v>3</v>
      </c>
      <c r="AL9" s="12">
        <f>INDEX('[1]PV.STOCK TIAP GUDANG'!$A:$CV,MATCH($A9,'[1]PV.STOCK TIAP GUDANG'!$A:$A,0),MATCH("Y31DPRO|4+128|SALES",[1]PVKEY!$1:$1,0))</f>
        <v>15</v>
      </c>
      <c r="AM9" s="13">
        <f t="shared" si="15"/>
        <v>4.8</v>
      </c>
      <c r="AN9" s="11">
        <f>INDEX('[1]PV.STOCK TIAP GUDANG'!$A:$CV,MATCH($A9,'[1]PV.STOCK TIAP GUDANG'!$A:$A,0),MATCH("Y31DPRO|6+128|STOCK",[1]PVKEY!$1:$1,0))</f>
        <v>6</v>
      </c>
      <c r="AO9" s="12">
        <f>INDEX('[1]PV.STOCK TIAP GUDANG'!$A:$CV,MATCH($A9,'[1]PV.STOCK TIAP GUDANG'!$A:$A,0),MATCH("Y31DPRO|6+128|SALES",[1]PVKEY!$1:$1,0))</f>
        <v>22</v>
      </c>
      <c r="AP9" s="13">
        <f t="shared" si="16"/>
        <v>6.5</v>
      </c>
      <c r="AQ9" s="12">
        <f t="shared" si="17"/>
        <v>4.583333333333333</v>
      </c>
      <c r="AR9" s="11">
        <f>INDEX('[1]PV.STOCK TIAP GUDANG'!$A:$CV,MATCH($A9,'[1]PV.STOCK TIAP GUDANG'!$A:$A,0),MATCH("Y31DPRO|8+128|STOCK",[1]PVKEY!$1:$1,0))</f>
        <v>4</v>
      </c>
      <c r="AS9" s="12">
        <f>INDEX('[1]PV.STOCK TIAP GUDANG'!$A:$CV,MATCH($A9,'[1]PV.STOCK TIAP GUDANG'!$A:$A,0),MATCH("Y31DPRO|8+128|SALES",[1]PVKEY!$1:$1,0))</f>
        <v>4</v>
      </c>
      <c r="AT9" s="13">
        <f t="shared" si="18"/>
        <v>24</v>
      </c>
      <c r="AU9" s="12">
        <f t="shared" si="19"/>
        <v>0.83333333333333326</v>
      </c>
      <c r="AV9" s="11">
        <f>INDEX('[1]PV.STOCK TIAP GUDANG'!$A:$CV,MATCH($A9,'[1]PV.STOCK TIAP GUDANG'!$A:$A,0),MATCH("Y31DPRO|8+256|STOCK",[1]PVKEY!$1:$1,0))</f>
        <v>2</v>
      </c>
      <c r="AW9" s="12">
        <f>INDEX('[1]PV.STOCK TIAP GUDANG'!$A:$CV,MATCH($A9,'[1]PV.STOCK TIAP GUDANG'!$A:$A,0),MATCH("Y31DPRO|8+256|SALES",[1]PVKEY!$1:$1,0))</f>
        <v>3</v>
      </c>
      <c r="AX9" s="13">
        <f t="shared" si="20"/>
        <v>16</v>
      </c>
      <c r="AY9" s="12">
        <f t="shared" si="21"/>
        <v>0.625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0.66666666666666663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0.33333333333333331</v>
      </c>
      <c r="BO9" s="11">
        <f>INDEX('[1]PV.STOCK TIAP GUDANG'!$A:$CV,MATCH($A9,'[1]PV.STOCK TIAP GUDANG'!$A:$A,0),MATCH("V70FE|12+256|STOCK",[1]PVKEY!$1:$1,0))</f>
        <v>5</v>
      </c>
      <c r="BP9" s="12">
        <f>INDEX('[1]PV.STOCK TIAP GUDANG'!$A:$CV,MATCH($A9,'[1]PV.STOCK TIAP GUDANG'!$A:$A,0),MATCH("V70FE|12+256|SALES",[1]PVKEY!$1:$1,0))</f>
        <v>6</v>
      </c>
      <c r="BQ9" s="13">
        <f t="shared" si="29"/>
        <v>20</v>
      </c>
      <c r="BR9" s="12">
        <f t="shared" si="30"/>
        <v>2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2</v>
      </c>
      <c r="BX9" s="12">
        <f>INDEX('[1]PV.STOCK TIAP GUDANG'!$A:$CV,MATCH($A9,'[1]PV.STOCK TIAP GUDANG'!$A:$A,0),MATCH("V60LITE|8+256|SALES",[1]PVKEY!$1:$1,0))</f>
        <v>8</v>
      </c>
      <c r="BY9" s="13">
        <f t="shared" si="33"/>
        <v>6</v>
      </c>
      <c r="BZ9" s="12">
        <f t="shared" si="34"/>
        <v>2.6666666666666665</v>
      </c>
      <c r="CA9" s="11">
        <f>INDEX('[1]PV.STOCK TIAP GUDANG'!$A:$CV,MATCH($A9,'[1]PV.STOCK TIAP GUDANG'!$A:$A,0),MATCH("Y05|4+128|STOCK",[1]PVKEY!$1:$1,0))</f>
        <v>10</v>
      </c>
      <c r="CB9" s="12">
        <f>INDEX('[1]PV.STOCK TIAP GUDANG'!$A:$CV,MATCH($A9,'[1]PV.STOCK TIAP GUDANG'!$A:$A,0),MATCH("Y05|4+128|SALES",[1]PVKEY!$1:$1,0))</f>
        <v>28</v>
      </c>
      <c r="CC9" s="13">
        <f t="shared" si="35"/>
        <v>8.6</v>
      </c>
      <c r="CD9" s="12">
        <f t="shared" si="36"/>
        <v>5.8333333333333339</v>
      </c>
      <c r="CE9" s="11">
        <f>INDEX('[1]PV.STOCK TIAP GUDANG'!$A:$CV,MATCH($A9,'[1]PV.STOCK TIAP GUDANG'!$A:$A,0),MATCH("Y05|4+64|STOCK",[1]PVKEY!$1:$1,0))</f>
        <v>12</v>
      </c>
      <c r="CF9" s="12">
        <f>INDEX('[1]PV.STOCK TIAP GUDANG'!$A:$CV,MATCH($A9,'[1]PV.STOCK TIAP GUDANG'!$A:$A,0),MATCH("Y05|4+64|SALES",[1]PVKEY!$1:$1,0))</f>
        <v>50</v>
      </c>
      <c r="CG9" s="13">
        <f t="shared" si="37"/>
        <v>5.8</v>
      </c>
      <c r="CH9" s="12">
        <f t="shared" si="38"/>
        <v>14.583333333333334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19.2</v>
      </c>
      <c r="CL9" s="11">
        <f>INDEX('[1]PV.STOCK TIAP GUDANG'!$A:$CV,MATCH($A9,'[1]PV.STOCK TIAP GUDANG'!$A:$A,0),MATCH("Y500|6+256|STOCK",[1]PVKEY!$1:$1,0))</f>
        <v>2</v>
      </c>
      <c r="CM9" s="12">
        <f>INDEX('[1]PV.STOCK TIAP GUDANG'!$A:$CV,MATCH($A9,'[1]PV.STOCK TIAP GUDANG'!$A:$A,0),MATCH("Y500|6+256|SALES",[1]PVKEY!$1:$1,0))</f>
        <v>3</v>
      </c>
      <c r="CN9" s="13">
        <f t="shared" si="40"/>
        <v>16</v>
      </c>
      <c r="CO9" s="11">
        <f>INDEX('[1]PV.STOCK TIAP GUDANG'!$A:$CV,MATCH($A9,'[1]PV.STOCK TIAP GUDANG'!$A:$A,0),MATCH("Y05E|4+64|STOCK",[1]PVKEY!$1:$1,0))</f>
        <v>60</v>
      </c>
      <c r="CP9" s="12">
        <f>INDEX('[1]PV.STOCK TIAP GUDANG'!$A:$CV,MATCH($A9,'[1]PV.STOCK TIAP GUDANG'!$A:$A,0),MATCH("Y05E|4+64|SALES",[1]PVKEY!$1:$1,0))</f>
        <v>233</v>
      </c>
      <c r="CQ9" s="13">
        <f t="shared" si="41"/>
        <v>6.2</v>
      </c>
      <c r="CR9" s="14">
        <f t="shared" si="42"/>
        <v>145</v>
      </c>
      <c r="CS9" s="14">
        <f t="shared" si="43"/>
        <v>506</v>
      </c>
      <c r="CT9" s="14">
        <f t="shared" si="44"/>
        <v>6.8774703557312256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2</v>
      </c>
      <c r="I10" s="12">
        <f>INDEX('[1]PV.STOCK TIAP GUDANG'!$A:$CV,MATCH($A10,'[1]PV.STOCK TIAP GUDANG'!$A:$A,0),MATCH("X300ULTRA|16+512|SALES",[1]PVKEY!$1:$1,0))</f>
        <v>2</v>
      </c>
      <c r="J10" s="13">
        <f t="shared" si="2"/>
        <v>24</v>
      </c>
      <c r="K10" s="12">
        <f t="shared" si="3"/>
        <v>0.83333333333333326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4</v>
      </c>
      <c r="W10" s="12">
        <f>INDEX('[1]PV.STOCK TIAP GUDANG'!$A:$CV,MATCH($A10,'[1]PV.STOCK TIAP GUDANG'!$A:$A,0),MATCH("Y11D|4+128|SALES",[1]PVKEY!$1:$1,0))</f>
        <v>5</v>
      </c>
      <c r="X10" s="13">
        <f t="shared" si="8"/>
        <v>19.2</v>
      </c>
      <c r="Y10" s="12">
        <f t="shared" si="9"/>
        <v>1.0416666666666667</v>
      </c>
      <c r="Z10" s="11">
        <f>INDEX('[1]PV.STOCK TIAP GUDANG'!$A:$CV,MATCH($A10,'[1]PV.STOCK TIAP GUDANG'!$A:$A,0),MATCH("Y11D|4+64|STOCK",[1]PVKEY!$1:$1,0))</f>
        <v>5</v>
      </c>
      <c r="AA10" s="12">
        <f>INDEX('[1]PV.STOCK TIAP GUDANG'!$A:$CV,MATCH($A10,'[1]PV.STOCK TIAP GUDANG'!$A:$A,0),MATCH("Y11D|4+64|SALES",[1]PVKEY!$1:$1,0))</f>
        <v>3</v>
      </c>
      <c r="AB10" s="13">
        <f t="shared" si="10"/>
        <v>40</v>
      </c>
      <c r="AC10" s="12">
        <f t="shared" si="11"/>
        <v>0.625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5</v>
      </c>
      <c r="AI10" s="12">
        <f>INDEX('[1]PV.STOCK TIAP GUDANG'!$A:$CV,MATCH($A10,'[1]PV.STOCK TIAP GUDANG'!$A:$A,0),MATCH("Y31D|4+128|SALES",[1]PVKEY!$1:$1,0))</f>
        <v>0</v>
      </c>
      <c r="AJ10" s="13" t="str">
        <f t="shared" si="14"/>
        <v/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72</v>
      </c>
      <c r="AN10" s="11">
        <f>INDEX('[1]PV.STOCK TIAP GUDANG'!$A:$CV,MATCH($A10,'[1]PV.STOCK TIAP GUDANG'!$A:$A,0),MATCH("Y31DPRO|6+128|STOCK",[1]PVKEY!$1:$1,0))</f>
        <v>2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9.6</v>
      </c>
      <c r="AQ10" s="12">
        <f t="shared" si="17"/>
        <v>1.0416666666666667</v>
      </c>
      <c r="AR10" s="11">
        <f>INDEX('[1]PV.STOCK TIAP GUDANG'!$A:$CV,MATCH($A10,'[1]PV.STOCK TIAP GUDANG'!$A:$A,0),MATCH("Y31DPRO|8+128|STOCK",[1]PVKEY!$1:$1,0))</f>
        <v>2</v>
      </c>
      <c r="AS10" s="12">
        <f>INDEX('[1]PV.STOCK TIAP GUDANG'!$A:$CV,MATCH($A10,'[1]PV.STOCK TIAP GUDANG'!$A:$A,0),MATCH("Y31DPRO|8+128|SALES",[1]PVKEY!$1:$1,0))</f>
        <v>0</v>
      </c>
      <c r="AT10" s="13" t="str">
        <f t="shared" si="18"/>
        <v/>
      </c>
      <c r="AU10" s="12">
        <f t="shared" si="19"/>
        <v>0</v>
      </c>
      <c r="AV10" s="11">
        <f>INDEX('[1]PV.STOCK TIAP GUDANG'!$A:$CV,MATCH($A10,'[1]PV.STOCK TIAP GUDANG'!$A:$A,0),MATCH("Y31DPRO|8+256|STOCK",[1]PVKEY!$1:$1,0))</f>
        <v>1</v>
      </c>
      <c r="AW10" s="12">
        <f>INDEX('[1]PV.STOCK TIAP GUDANG'!$A:$CV,MATCH($A10,'[1]PV.STOCK TIAP GUDANG'!$A:$A,0),MATCH("Y31DPRO|8+256|SALES",[1]PVKEY!$1:$1,0))</f>
        <v>2</v>
      </c>
      <c r="AX10" s="13">
        <f t="shared" si="20"/>
        <v>12</v>
      </c>
      <c r="AY10" s="12">
        <f t="shared" si="21"/>
        <v>0.41666666666666663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1</v>
      </c>
      <c r="BD10" s="12">
        <f>INDEX('[1]PV.STOCK TIAP GUDANG'!$A:$CV,MATCH($A10,'[1]PV.STOCK TIAP GUDANG'!$A:$A,0),MATCH("V70|8+256|SALES",[1]PVKEY!$1:$1,0))</f>
        <v>2</v>
      </c>
      <c r="BE10" s="13">
        <f t="shared" si="23"/>
        <v>12</v>
      </c>
      <c r="BF10" s="12">
        <f t="shared" si="24"/>
        <v>0.66666666666666663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2</v>
      </c>
      <c r="BP10" s="12">
        <f>INDEX('[1]PV.STOCK TIAP GUDANG'!$A:$CV,MATCH($A10,'[1]PV.STOCK TIAP GUDANG'!$A:$A,0),MATCH("V70FE|12+256|SALES",[1]PVKEY!$1:$1,0))</f>
        <v>5</v>
      </c>
      <c r="BQ10" s="13">
        <f t="shared" si="29"/>
        <v>9.6</v>
      </c>
      <c r="BR10" s="12">
        <f t="shared" si="30"/>
        <v>1.6666666666666667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0.33333333333333331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24</v>
      </c>
      <c r="BZ10" s="12">
        <f t="shared" si="34"/>
        <v>2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12</v>
      </c>
      <c r="CD10" s="12">
        <f t="shared" si="36"/>
        <v>2.0833333333333335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144</v>
      </c>
      <c r="CH10" s="12">
        <f t="shared" si="38"/>
        <v>0.29166666666666663</v>
      </c>
      <c r="CI10" s="11">
        <f>INDEX('[1]PV.STOCK TIAP GUDANG'!$A:$CV,MATCH($A10,'[1]PV.STOCK TIAP GUDANG'!$A:$A,0),MATCH("Y500|6+128|STOCK",[1]PVKEY!$1:$1,0))</f>
        <v>2</v>
      </c>
      <c r="CJ10" s="12">
        <f>INDEX('[1]PV.STOCK TIAP GUDANG'!$A:$CV,MATCH($A10,'[1]PV.STOCK TIAP GUDANG'!$A:$A,0),MATCH("Y500|6+128|SALES",[1]PVKEY!$1:$1,0))</f>
        <v>1</v>
      </c>
      <c r="CK10" s="13">
        <f t="shared" si="39"/>
        <v>48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3</v>
      </c>
      <c r="CP10" s="12">
        <f>INDEX('[1]PV.STOCK TIAP GUDANG'!$A:$CV,MATCH($A10,'[1]PV.STOCK TIAP GUDANG'!$A:$A,0),MATCH("Y05E|4+64|SALES",[1]PVKEY!$1:$1,0))</f>
        <v>11</v>
      </c>
      <c r="CQ10" s="13">
        <f t="shared" si="41"/>
        <v>6.5</v>
      </c>
      <c r="CR10" s="14">
        <f t="shared" si="42"/>
        <v>57</v>
      </c>
      <c r="CS10" s="14">
        <f t="shared" si="43"/>
        <v>55</v>
      </c>
      <c r="CT10" s="14">
        <f t="shared" si="44"/>
        <v>24.872727272727275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2</v>
      </c>
      <c r="W11" s="12">
        <f>INDEX('[1]PV.STOCK TIAP GUDANG'!$A:$CV,MATCH($A11,'[1]PV.STOCK TIAP GUDANG'!$A:$A,0),MATCH("Y11D|4+128|SALES",[1]PVKEY!$1:$1,0))</f>
        <v>15</v>
      </c>
      <c r="X11" s="13">
        <f t="shared" si="8"/>
        <v>3.2</v>
      </c>
      <c r="Y11" s="12">
        <f t="shared" si="9"/>
        <v>3.125</v>
      </c>
      <c r="Z11" s="11">
        <f>INDEX('[1]PV.STOCK TIAP GUDANG'!$A:$CV,MATCH($A11,'[1]PV.STOCK TIAP GUDANG'!$A:$A,0),MATCH("Y11D|4+64|STOCK",[1]PVKEY!$1:$1,0))</f>
        <v>1</v>
      </c>
      <c r="AA11" s="12">
        <f>INDEX('[1]PV.STOCK TIAP GUDANG'!$A:$CV,MATCH($A11,'[1]PV.STOCK TIAP GUDANG'!$A:$A,0),MATCH("Y11D|4+64|SALES",[1]PVKEY!$1:$1,0))</f>
        <v>4</v>
      </c>
      <c r="AB11" s="13">
        <f t="shared" si="10"/>
        <v>6</v>
      </c>
      <c r="AC11" s="12">
        <f t="shared" si="11"/>
        <v>0.83333333333333326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5</v>
      </c>
      <c r="AI11" s="12">
        <f>INDEX('[1]PV.STOCK TIAP GUDANG'!$A:$CV,MATCH($A11,'[1]PV.STOCK TIAP GUDANG'!$A:$A,0),MATCH("Y31D|4+128|SALES",[1]PVKEY!$1:$1,0))</f>
        <v>8</v>
      </c>
      <c r="AJ11" s="13">
        <f t="shared" si="14"/>
        <v>15</v>
      </c>
      <c r="AK11" s="11">
        <f>INDEX('[1]PV.STOCK TIAP GUDANG'!$A:$CV,MATCH($A11,'[1]PV.STOCK TIAP GUDANG'!$A:$A,0),MATCH("Y31DPRO|4+128|STOCK",[1]PVKEY!$1:$1,0))</f>
        <v>1</v>
      </c>
      <c r="AL11" s="12">
        <f>INDEX('[1]PV.STOCK TIAP GUDANG'!$A:$CV,MATCH($A11,'[1]PV.STOCK TIAP GUDANG'!$A:$A,0),MATCH("Y31DPRO|4+128|SALES",[1]PVKEY!$1:$1,0))</f>
        <v>4</v>
      </c>
      <c r="AM11" s="13">
        <f t="shared" si="15"/>
        <v>6</v>
      </c>
      <c r="AN11" s="11">
        <f>INDEX('[1]PV.STOCK TIAP GUDANG'!$A:$CV,MATCH($A11,'[1]PV.STOCK TIAP GUDANG'!$A:$A,0),MATCH("Y31DPRO|6+128|STOCK",[1]PVKEY!$1:$1,0))</f>
        <v>2</v>
      </c>
      <c r="AO11" s="12">
        <f>INDEX('[1]PV.STOCK TIAP GUDANG'!$A:$CV,MATCH($A11,'[1]PV.STOCK TIAP GUDANG'!$A:$A,0),MATCH("Y31DPRO|6+128|SALES",[1]PVKEY!$1:$1,0))</f>
        <v>8</v>
      </c>
      <c r="AP11" s="13">
        <f t="shared" si="16"/>
        <v>6</v>
      </c>
      <c r="AQ11" s="12">
        <f t="shared" si="17"/>
        <v>1.6666666666666665</v>
      </c>
      <c r="AR11" s="11">
        <f>INDEX('[1]PV.STOCK TIAP GUDANG'!$A:$CV,MATCH($A11,'[1]PV.STOCK TIAP GUDANG'!$A:$A,0),MATCH("Y31DPRO|8+128|STOCK",[1]PVKEY!$1:$1,0))</f>
        <v>2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9.6</v>
      </c>
      <c r="AU11" s="12">
        <f t="shared" si="19"/>
        <v>1.0416666666666667</v>
      </c>
      <c r="AV11" s="11">
        <f>INDEX('[1]PV.STOCK TIAP GUDANG'!$A:$CV,MATCH($A11,'[1]PV.STOCK TIAP GUDANG'!$A:$A,0),MATCH("Y31DPRO|8+256|STOCK",[1]PVKEY!$1:$1,0))</f>
        <v>0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0</v>
      </c>
      <c r="AY11" s="12">
        <f t="shared" si="21"/>
        <v>0.625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0</v>
      </c>
      <c r="BE11" s="13" t="str">
        <f t="shared" si="23"/>
        <v/>
      </c>
      <c r="BF11" s="12">
        <f t="shared" si="24"/>
        <v>0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0.33333333333333331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24</v>
      </c>
      <c r="BR11" s="12">
        <f t="shared" si="30"/>
        <v>0.33333333333333331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0.33333333333333331</v>
      </c>
      <c r="BW11" s="11">
        <f>INDEX('[1]PV.STOCK TIAP GUDANG'!$A:$CV,MATCH($A11,'[1]PV.STOCK TIAP GUDANG'!$A:$A,0),MATCH("V60LITE|8+256|STOCK",[1]PVKEY!$1:$1,0))</f>
        <v>3</v>
      </c>
      <c r="BX11" s="12">
        <f>INDEX('[1]PV.STOCK TIAP GUDANG'!$A:$CV,MATCH($A11,'[1]PV.STOCK TIAP GUDANG'!$A:$A,0),MATCH("V60LITE|8+256|SALES",[1]PVKEY!$1:$1,0))</f>
        <v>8</v>
      </c>
      <c r="BY11" s="13">
        <f t="shared" si="33"/>
        <v>9</v>
      </c>
      <c r="BZ11" s="12">
        <f t="shared" si="34"/>
        <v>2.6666666666666665</v>
      </c>
      <c r="CA11" s="11">
        <f>INDEX('[1]PV.STOCK TIAP GUDANG'!$A:$CV,MATCH($A11,'[1]PV.STOCK TIAP GUDANG'!$A:$A,0),MATCH("Y05|4+128|STOCK",[1]PVKEY!$1:$1,0))</f>
        <v>6</v>
      </c>
      <c r="CB11" s="12">
        <f>INDEX('[1]PV.STOCK TIAP GUDANG'!$A:$CV,MATCH($A11,'[1]PV.STOCK TIAP GUDANG'!$A:$A,0),MATCH("Y05|4+128|SALES",[1]PVKEY!$1:$1,0))</f>
        <v>13</v>
      </c>
      <c r="CC11" s="13">
        <f t="shared" si="35"/>
        <v>11.1</v>
      </c>
      <c r="CD11" s="12">
        <f t="shared" si="36"/>
        <v>2.708333333333333</v>
      </c>
      <c r="CE11" s="11">
        <f>INDEX('[1]PV.STOCK TIAP GUDANG'!$A:$CV,MATCH($A11,'[1]PV.STOCK TIAP GUDANG'!$A:$A,0),MATCH("Y05|4+64|STOCK",[1]PVKEY!$1:$1,0))</f>
        <v>2</v>
      </c>
      <c r="CF11" s="12">
        <f>INDEX('[1]PV.STOCK TIAP GUDANG'!$A:$CV,MATCH($A11,'[1]PV.STOCK TIAP GUDANG'!$A:$A,0),MATCH("Y05|4+64|SALES",[1]PVKEY!$1:$1,0))</f>
        <v>17</v>
      </c>
      <c r="CG11" s="13">
        <f t="shared" si="37"/>
        <v>2.8</v>
      </c>
      <c r="CH11" s="12">
        <f t="shared" si="38"/>
        <v>4.9583333333333339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1</v>
      </c>
      <c r="CK11" s="13">
        <f t="shared" si="39"/>
        <v>48</v>
      </c>
      <c r="CL11" s="11">
        <f>INDEX('[1]PV.STOCK TIAP GUDANG'!$A:$CV,MATCH($A11,'[1]PV.STOCK TIAP GUDANG'!$A:$A,0),MATCH("Y500|6+256|STOCK",[1]PVKEY!$1:$1,0))</f>
        <v>0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0</v>
      </c>
      <c r="CO11" s="11">
        <f>INDEX('[1]PV.STOCK TIAP GUDANG'!$A:$CV,MATCH($A11,'[1]PV.STOCK TIAP GUDANG'!$A:$A,0),MATCH("Y05E|4+64|STOCK",[1]PVKEY!$1:$1,0))</f>
        <v>4</v>
      </c>
      <c r="CP11" s="12">
        <f>INDEX('[1]PV.STOCK TIAP GUDANG'!$A:$CV,MATCH($A11,'[1]PV.STOCK TIAP GUDANG'!$A:$A,0),MATCH("Y05E|4+64|SALES",[1]PVKEY!$1:$1,0))</f>
        <v>24</v>
      </c>
      <c r="CQ11" s="13">
        <f t="shared" si="41"/>
        <v>4</v>
      </c>
      <c r="CR11" s="14">
        <f t="shared" si="42"/>
        <v>31</v>
      </c>
      <c r="CS11" s="14">
        <f t="shared" si="43"/>
        <v>115</v>
      </c>
      <c r="CT11" s="14">
        <f t="shared" si="44"/>
        <v>6.4695652173913043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24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24</v>
      </c>
      <c r="K12" s="12">
        <f t="shared" si="3"/>
        <v>1.6666666666666665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4</v>
      </c>
      <c r="W12" s="12">
        <f>INDEX('[1]PV.STOCK TIAP GUDANG'!$A:$CV,MATCH($A12,'[1]PV.STOCK TIAP GUDANG'!$A:$A,0),MATCH("Y11D|4+128|SALES",[1]PVKEY!$1:$1,0))</f>
        <v>5</v>
      </c>
      <c r="X12" s="13">
        <f t="shared" si="8"/>
        <v>19.2</v>
      </c>
      <c r="Y12" s="12">
        <f t="shared" si="9"/>
        <v>1.0416666666666667</v>
      </c>
      <c r="Z12" s="11">
        <f>INDEX('[1]PV.STOCK TIAP GUDANG'!$A:$CV,MATCH($A12,'[1]PV.STOCK TIAP GUDANG'!$A:$A,0),MATCH("Y11D|4+64|STOCK",[1]PVKEY!$1:$1,0))</f>
        <v>4</v>
      </c>
      <c r="AA12" s="12">
        <f>INDEX('[1]PV.STOCK TIAP GUDANG'!$A:$CV,MATCH($A12,'[1]PV.STOCK TIAP GUDANG'!$A:$A,0),MATCH("Y11D|4+64|SALES",[1]PVKEY!$1:$1,0))</f>
        <v>8</v>
      </c>
      <c r="AB12" s="13">
        <f t="shared" si="10"/>
        <v>12</v>
      </c>
      <c r="AC12" s="12">
        <f t="shared" si="11"/>
        <v>1.6666666666666665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48</v>
      </c>
      <c r="AK12" s="11">
        <f>INDEX('[1]PV.STOCK TIAP GUDANG'!$A:$CV,MATCH($A12,'[1]PV.STOCK TIAP GUDANG'!$A:$A,0),MATCH("Y31DPRO|4+128|STOCK",[1]PVKEY!$1:$1,0))</f>
        <v>1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8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36</v>
      </c>
      <c r="AQ12" s="12">
        <f t="shared" si="17"/>
        <v>0.41666666666666663</v>
      </c>
      <c r="AR12" s="11">
        <f>INDEX('[1]PV.STOCK TIAP GUDANG'!$A:$CV,MATCH($A12,'[1]PV.STOCK TIAP GUDANG'!$A:$A,0),MATCH("Y31DPRO|8+128|STOCK",[1]PVKEY!$1:$1,0))</f>
        <v>1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8</v>
      </c>
      <c r="AU12" s="12">
        <f t="shared" si="19"/>
        <v>0.625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1</v>
      </c>
      <c r="AX12" s="13">
        <f t="shared" si="20"/>
        <v>48</v>
      </c>
      <c r="AY12" s="12">
        <f t="shared" si="21"/>
        <v>0.20833333333333331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0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0</v>
      </c>
      <c r="BF12" s="12">
        <f t="shared" si="24"/>
        <v>1.3333333333333333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0.66666666666666663</v>
      </c>
      <c r="BO12" s="11">
        <f>INDEX('[1]PV.STOCK TIAP GUDANG'!$A:$CV,MATCH($A12,'[1]PV.STOCK TIAP GUDANG'!$A:$A,0),MATCH("V70FE|12+256|STOCK",[1]PVKEY!$1:$1,0))</f>
        <v>7</v>
      </c>
      <c r="BP12" s="12">
        <f>INDEX('[1]PV.STOCK TIAP GUDANG'!$A:$CV,MATCH($A12,'[1]PV.STOCK TIAP GUDANG'!$A:$A,0),MATCH("V70FE|12+256|SALES",[1]PVKEY!$1:$1,0))</f>
        <v>8</v>
      </c>
      <c r="BQ12" s="13">
        <f t="shared" si="29"/>
        <v>21</v>
      </c>
      <c r="BR12" s="12">
        <f t="shared" si="30"/>
        <v>2.6666666666666665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30</v>
      </c>
      <c r="BZ12" s="12">
        <f t="shared" si="34"/>
        <v>1.3333333333333333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168</v>
      </c>
      <c r="CD12" s="12">
        <f t="shared" si="36"/>
        <v>0.20833333333333331</v>
      </c>
      <c r="CE12" s="11">
        <f>INDEX('[1]PV.STOCK TIAP GUDANG'!$A:$CV,MATCH($A12,'[1]PV.STOCK TIAP GUDANG'!$A:$A,0),MATCH("Y05|4+64|STOCK",[1]PVKEY!$1:$1,0))</f>
        <v>3</v>
      </c>
      <c r="CF12" s="12">
        <f>INDEX('[1]PV.STOCK TIAP GUDANG'!$A:$CV,MATCH($A12,'[1]PV.STOCK TIAP GUDANG'!$A:$A,0),MATCH("Y05|4+64|SALES",[1]PVKEY!$1:$1,0))</f>
        <v>8</v>
      </c>
      <c r="CG12" s="13">
        <f t="shared" si="37"/>
        <v>9</v>
      </c>
      <c r="CH12" s="12">
        <f t="shared" si="38"/>
        <v>2.333333333333333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24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5</v>
      </c>
      <c r="CP12" s="12">
        <f>INDEX('[1]PV.STOCK TIAP GUDANG'!$A:$CV,MATCH($A12,'[1]PV.STOCK TIAP GUDANG'!$A:$A,0),MATCH("Y05E|4+64|SALES",[1]PVKEY!$1:$1,0))</f>
        <v>4</v>
      </c>
      <c r="CQ12" s="13">
        <f t="shared" si="41"/>
        <v>30</v>
      </c>
      <c r="CR12" s="14">
        <f t="shared" si="42"/>
        <v>58</v>
      </c>
      <c r="CS12" s="14">
        <f t="shared" si="43"/>
        <v>62</v>
      </c>
      <c r="CT12" s="14">
        <f t="shared" si="44"/>
        <v>22.451612903225804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0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3</v>
      </c>
      <c r="W13" s="12">
        <f>INDEX('[1]PV.STOCK TIAP GUDANG'!$A:$CV,MATCH($A13,'[1]PV.STOCK TIAP GUDANG'!$A:$A,0),MATCH("Y11D|4+128|SALES",[1]PVKEY!$1:$1,0))</f>
        <v>7</v>
      </c>
      <c r="X13" s="13">
        <f t="shared" si="8"/>
        <v>10.3</v>
      </c>
      <c r="Y13" s="12">
        <f t="shared" si="9"/>
        <v>1.4583333333333335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96</v>
      </c>
      <c r="AK13" s="11">
        <f>INDEX('[1]PV.STOCK TIAP GUDANG'!$A:$CV,MATCH($A13,'[1]PV.STOCK TIAP GUDANG'!$A:$A,0),MATCH("Y31DPRO|4+128|STOCK",[1]PVKEY!$1:$1,0))</f>
        <v>3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72</v>
      </c>
      <c r="AN13" s="11">
        <f>INDEX('[1]PV.STOCK TIAP GUDANG'!$A:$CV,MATCH($A13,'[1]PV.STOCK TIAP GUDANG'!$A:$A,0),MATCH("Y31DPRO|6+128|STOCK",[1]PVKEY!$1:$1,0))</f>
        <v>5</v>
      </c>
      <c r="AO13" s="12">
        <f>INDEX('[1]PV.STOCK TIAP GUDANG'!$A:$CV,MATCH($A13,'[1]PV.STOCK TIAP GUDANG'!$A:$A,0),MATCH("Y31DPRO|6+128|SALES",[1]PVKEY!$1:$1,0))</f>
        <v>2</v>
      </c>
      <c r="AP13" s="13">
        <f t="shared" si="16"/>
        <v>60</v>
      </c>
      <c r="AQ13" s="12">
        <f t="shared" si="17"/>
        <v>0.41666666666666663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72</v>
      </c>
      <c r="AU13" s="12">
        <f t="shared" si="19"/>
        <v>0.20833333333333331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48</v>
      </c>
      <c r="AY13" s="12">
        <f t="shared" si="21"/>
        <v>0.20833333333333331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1.3333333333333333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0.66666666666666663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72</v>
      </c>
      <c r="BR13" s="12">
        <f t="shared" si="30"/>
        <v>0.33333333333333331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48</v>
      </c>
      <c r="BZ13" s="12">
        <f t="shared" si="34"/>
        <v>0.33333333333333331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120</v>
      </c>
      <c r="CD13" s="12">
        <f t="shared" si="36"/>
        <v>0.20833333333333331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144</v>
      </c>
      <c r="CH13" s="12">
        <f t="shared" si="38"/>
        <v>0.29166666666666663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0</v>
      </c>
      <c r="CN13" s="13" t="str">
        <f t="shared" si="40"/>
        <v/>
      </c>
      <c r="CO13" s="11">
        <f>INDEX('[1]PV.STOCK TIAP GUDANG'!$A:$CV,MATCH($A13,'[1]PV.STOCK TIAP GUDANG'!$A:$A,0),MATCH("Y05E|4+64|STOCK",[1]PVKEY!$1:$1,0))</f>
        <v>0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0</v>
      </c>
      <c r="CR13" s="14">
        <f t="shared" si="42"/>
        <v>46</v>
      </c>
      <c r="CS13" s="14">
        <f t="shared" si="43"/>
        <v>28</v>
      </c>
      <c r="CT13" s="14">
        <f t="shared" si="44"/>
        <v>39.428571428571423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5</v>
      </c>
      <c r="W14" s="12">
        <f>INDEX('[1]PV.STOCK TIAP GUDANG'!$A:$CV,MATCH($A14,'[1]PV.STOCK TIAP GUDANG'!$A:$A,0),MATCH("Y11D|4+128|SALES",[1]PVKEY!$1:$1,0))</f>
        <v>13</v>
      </c>
      <c r="X14" s="13">
        <f t="shared" si="8"/>
        <v>9.1999999999999993</v>
      </c>
      <c r="Y14" s="12">
        <f t="shared" si="9"/>
        <v>2.708333333333333</v>
      </c>
      <c r="Z14" s="11">
        <f>INDEX('[1]PV.STOCK TIAP GUDANG'!$A:$CV,MATCH($A14,'[1]PV.STOCK TIAP GUDANG'!$A:$A,0),MATCH("Y11D|4+64|STOCK",[1]PVKEY!$1:$1,0))</f>
        <v>1</v>
      </c>
      <c r="AA14" s="12">
        <f>INDEX('[1]PV.STOCK TIAP GUDANG'!$A:$CV,MATCH($A14,'[1]PV.STOCK TIAP GUDANG'!$A:$A,0),MATCH("Y11D|4+64|SALES",[1]PVKEY!$1:$1,0))</f>
        <v>4</v>
      </c>
      <c r="AB14" s="13">
        <f t="shared" si="10"/>
        <v>6</v>
      </c>
      <c r="AC14" s="12">
        <f t="shared" si="11"/>
        <v>0.83333333333333326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0.41666666666666663</v>
      </c>
      <c r="AH14" s="11">
        <f>INDEX('[1]PV.STOCK TIAP GUDANG'!$A:$CV,MATCH($A14,'[1]PV.STOCK TIAP GUDANG'!$A:$A,0),MATCH("Y31D|4+128|STOCK",[1]PVKEY!$1:$1,0))</f>
        <v>1</v>
      </c>
      <c r="AI14" s="12">
        <f>INDEX('[1]PV.STOCK TIAP GUDANG'!$A:$CV,MATCH($A14,'[1]PV.STOCK TIAP GUDANG'!$A:$A,0),MATCH("Y31D|4+128|SALES",[1]PVKEY!$1:$1,0))</f>
        <v>3</v>
      </c>
      <c r="AJ14" s="13">
        <f t="shared" si="14"/>
        <v>8</v>
      </c>
      <c r="AK14" s="11">
        <f>INDEX('[1]PV.STOCK TIAP GUDANG'!$A:$CV,MATCH($A14,'[1]PV.STOCK TIAP GUDANG'!$A:$A,0),MATCH("Y31DPRO|4+128|STOCK",[1]PVKEY!$1:$1,0))</f>
        <v>1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6</v>
      </c>
      <c r="AN14" s="11">
        <f>INDEX('[1]PV.STOCK TIAP GUDANG'!$A:$CV,MATCH($A14,'[1]PV.STOCK TIAP GUDANG'!$A:$A,0),MATCH("Y31DPRO|6+128|STOCK",[1]PVKEY!$1:$1,0))</f>
        <v>6</v>
      </c>
      <c r="AO14" s="12">
        <f>INDEX('[1]PV.STOCK TIAP GUDANG'!$A:$CV,MATCH($A14,'[1]PV.STOCK TIAP GUDANG'!$A:$A,0),MATCH("Y31DPRO|6+128|SALES",[1]PVKEY!$1:$1,0))</f>
        <v>6</v>
      </c>
      <c r="AP14" s="13">
        <f t="shared" si="16"/>
        <v>24</v>
      </c>
      <c r="AQ14" s="12">
        <f t="shared" si="17"/>
        <v>1.25</v>
      </c>
      <c r="AR14" s="11">
        <f>INDEX('[1]PV.STOCK TIAP GUDANG'!$A:$CV,MATCH($A14,'[1]PV.STOCK TIAP GUDANG'!$A:$A,0),MATCH("Y31DPRO|8+128|STOCK",[1]PVKEY!$1:$1,0))</f>
        <v>3</v>
      </c>
      <c r="AS14" s="12">
        <f>INDEX('[1]PV.STOCK TIAP GUDANG'!$A:$CV,MATCH($A14,'[1]PV.STOCK TIAP GUDANG'!$A:$A,0),MATCH("Y31DPRO|8+128|SALES",[1]PVKEY!$1:$1,0))</f>
        <v>2</v>
      </c>
      <c r="AT14" s="13">
        <f t="shared" si="18"/>
        <v>36</v>
      </c>
      <c r="AU14" s="12">
        <f t="shared" si="19"/>
        <v>0.41666666666666663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48</v>
      </c>
      <c r="AY14" s="12">
        <f t="shared" si="21"/>
        <v>0.20833333333333331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8</v>
      </c>
      <c r="BF14" s="12">
        <f t="shared" si="24"/>
        <v>1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4</v>
      </c>
      <c r="BP14" s="12">
        <f>INDEX('[1]PV.STOCK TIAP GUDANG'!$A:$CV,MATCH($A14,'[1]PV.STOCK TIAP GUDANG'!$A:$A,0),MATCH("V70FE|12+256|SALES",[1]PVKEY!$1:$1,0))</f>
        <v>0</v>
      </c>
      <c r="BQ14" s="13" t="str">
        <f t="shared" si="29"/>
        <v/>
      </c>
      <c r="BR14" s="12">
        <f t="shared" si="30"/>
        <v>0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0.33333333333333331</v>
      </c>
      <c r="BW14" s="11">
        <f>INDEX('[1]PV.STOCK TIAP GUDANG'!$A:$CV,MATCH($A14,'[1]PV.STOCK TIAP GUDANG'!$A:$A,0),MATCH("V60LITE|8+256|STOCK",[1]PVKEY!$1:$1,0))</f>
        <v>1</v>
      </c>
      <c r="BX14" s="12">
        <f>INDEX('[1]PV.STOCK TIAP GUDANG'!$A:$CV,MATCH($A14,'[1]PV.STOCK TIAP GUDANG'!$A:$A,0),MATCH("V60LITE|8+256|SALES",[1]PVKEY!$1:$1,0))</f>
        <v>1</v>
      </c>
      <c r="BY14" s="13">
        <f t="shared" si="33"/>
        <v>24</v>
      </c>
      <c r="BZ14" s="12">
        <f t="shared" si="34"/>
        <v>0.33333333333333331</v>
      </c>
      <c r="CA14" s="11">
        <f>INDEX('[1]PV.STOCK TIAP GUDANG'!$A:$CV,MATCH($A14,'[1]PV.STOCK TIAP GUDANG'!$A:$A,0),MATCH("Y05|4+128|STOCK",[1]PVKEY!$1:$1,0))</f>
        <v>5</v>
      </c>
      <c r="CB14" s="12">
        <f>INDEX('[1]PV.STOCK TIAP GUDANG'!$A:$CV,MATCH($A14,'[1]PV.STOCK TIAP GUDANG'!$A:$A,0),MATCH("Y05|4+128|SALES",[1]PVKEY!$1:$1,0))</f>
        <v>4</v>
      </c>
      <c r="CC14" s="13">
        <f t="shared" si="35"/>
        <v>30</v>
      </c>
      <c r="CD14" s="12">
        <f t="shared" si="36"/>
        <v>0.83333333333333326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12</v>
      </c>
      <c r="CH14" s="12">
        <f t="shared" si="38"/>
        <v>3.5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4</v>
      </c>
      <c r="CM14" s="12">
        <f>INDEX('[1]PV.STOCK TIAP GUDANG'!$A:$CV,MATCH($A14,'[1]PV.STOCK TIAP GUDANG'!$A:$A,0),MATCH("Y500|6+256|SALES",[1]PVKEY!$1:$1,0))</f>
        <v>2</v>
      </c>
      <c r="CN14" s="13">
        <f t="shared" si="40"/>
        <v>48</v>
      </c>
      <c r="CO14" s="11">
        <f>INDEX('[1]PV.STOCK TIAP GUDANG'!$A:$CV,MATCH($A14,'[1]PV.STOCK TIAP GUDANG'!$A:$A,0),MATCH("Y05E|4+64|STOCK",[1]PVKEY!$1:$1,0))</f>
        <v>4</v>
      </c>
      <c r="CP14" s="12">
        <f>INDEX('[1]PV.STOCK TIAP GUDANG'!$A:$CV,MATCH($A14,'[1]PV.STOCK TIAP GUDANG'!$A:$A,0),MATCH("Y05E|4+64|SALES",[1]PVKEY!$1:$1,0))</f>
        <v>3</v>
      </c>
      <c r="CQ14" s="13">
        <f t="shared" si="41"/>
        <v>32</v>
      </c>
      <c r="CR14" s="14">
        <f t="shared" si="42"/>
        <v>49</v>
      </c>
      <c r="CS14" s="14">
        <f t="shared" si="43"/>
        <v>61</v>
      </c>
      <c r="CT14" s="14">
        <f t="shared" si="44"/>
        <v>19.278688524590166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0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3</v>
      </c>
      <c r="W15" s="12">
        <f>INDEX('[1]PV.STOCK TIAP GUDANG'!$A:$CV,MATCH($A15,'[1]PV.STOCK TIAP GUDANG'!$A:$A,0),MATCH("Y11D|4+128|SALES",[1]PVKEY!$1:$1,0))</f>
        <v>15</v>
      </c>
      <c r="X15" s="13">
        <f t="shared" si="8"/>
        <v>4.8</v>
      </c>
      <c r="Y15" s="12">
        <f t="shared" si="9"/>
        <v>3.125</v>
      </c>
      <c r="Z15" s="11">
        <f>INDEX('[1]PV.STOCK TIAP GUDANG'!$A:$CV,MATCH($A15,'[1]PV.STOCK TIAP GUDANG'!$A:$A,0),MATCH("Y11D|4+64|STOCK",[1]PVKEY!$1:$1,0))</f>
        <v>3</v>
      </c>
      <c r="AA15" s="12">
        <f>INDEX('[1]PV.STOCK TIAP GUDANG'!$A:$CV,MATCH($A15,'[1]PV.STOCK TIAP GUDANG'!$A:$A,0),MATCH("Y11D|4+64|SALES",[1]PVKEY!$1:$1,0))</f>
        <v>5</v>
      </c>
      <c r="AB15" s="13">
        <f t="shared" si="10"/>
        <v>14.4</v>
      </c>
      <c r="AC15" s="12">
        <f t="shared" si="11"/>
        <v>1.0416666666666667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3</v>
      </c>
      <c r="AI15" s="12">
        <f>INDEX('[1]PV.STOCK TIAP GUDANG'!$A:$CV,MATCH($A15,'[1]PV.STOCK TIAP GUDANG'!$A:$A,0),MATCH("Y31D|4+128|SALES",[1]PVKEY!$1:$1,0))</f>
        <v>1</v>
      </c>
      <c r="AJ15" s="13">
        <f t="shared" si="14"/>
        <v>72</v>
      </c>
      <c r="AK15" s="11">
        <f>INDEX('[1]PV.STOCK TIAP GUDANG'!$A:$CV,MATCH($A15,'[1]PV.STOCK TIAP GUDANG'!$A:$A,0),MATCH("Y31DPRO|4+128|STOCK",[1]PVKEY!$1:$1,0))</f>
        <v>0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0</v>
      </c>
      <c r="AN15" s="11">
        <f>INDEX('[1]PV.STOCK TIAP GUDANG'!$A:$CV,MATCH($A15,'[1]PV.STOCK TIAP GUDANG'!$A:$A,0),MATCH("Y31DPRO|6+128|STOCK",[1]PVKEY!$1:$1,0))</f>
        <v>3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14.4</v>
      </c>
      <c r="AQ15" s="12">
        <f t="shared" si="17"/>
        <v>1.0416666666666667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1</v>
      </c>
      <c r="AT15" s="13">
        <f t="shared" si="18"/>
        <v>48</v>
      </c>
      <c r="AU15" s="12">
        <f t="shared" si="19"/>
        <v>0.20833333333333331</v>
      </c>
      <c r="AV15" s="11">
        <f>INDEX('[1]PV.STOCK TIAP GUDANG'!$A:$CV,MATCH($A15,'[1]PV.STOCK TIAP GUDANG'!$A:$A,0),MATCH("Y31DPRO|8+256|STOCK",[1]PVKEY!$1:$1,0))</f>
        <v>0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0</v>
      </c>
      <c r="AY15" s="12">
        <f t="shared" si="21"/>
        <v>1.4583333333333335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0.66666666666666663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0.33333333333333331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0.66666666666666663</v>
      </c>
      <c r="BO15" s="11">
        <f>INDEX('[1]PV.STOCK TIAP GUDANG'!$A:$CV,MATCH($A15,'[1]PV.STOCK TIAP GUDANG'!$A:$A,0),MATCH("V70FE|12+256|STOCK",[1]PVKEY!$1:$1,0))</f>
        <v>3</v>
      </c>
      <c r="BP15" s="12">
        <f>INDEX('[1]PV.STOCK TIAP GUDANG'!$A:$CV,MATCH($A15,'[1]PV.STOCK TIAP GUDANG'!$A:$A,0),MATCH("V70FE|12+256|SALES",[1]PVKEY!$1:$1,0))</f>
        <v>3</v>
      </c>
      <c r="BQ15" s="13">
        <f t="shared" si="29"/>
        <v>24</v>
      </c>
      <c r="BR15" s="12">
        <f t="shared" si="30"/>
        <v>1</v>
      </c>
      <c r="BS15" s="11">
        <f>INDEX('[1]PV.STOCK TIAP GUDANG'!$A:$CV,MATCH($A15,'[1]PV.STOCK TIAP GUDANG'!$A:$A,0),MATCH("V60LITE5G|8+256|STOCK",[1]PVKEY!$1:$1,0))</f>
        <v>1</v>
      </c>
      <c r="BT15" s="12">
        <f>INDEX('[1]PV.STOCK TIAP GUDANG'!$A:$CV,MATCH($A15,'[1]PV.STOCK TIAP GUDANG'!$A:$A,0),MATCH("V60LITE5G|8+256|SALES",[1]PVKEY!$1:$1,0))</f>
        <v>2</v>
      </c>
      <c r="BU15" s="13">
        <f t="shared" si="31"/>
        <v>12</v>
      </c>
      <c r="BV15" s="12">
        <f t="shared" si="32"/>
        <v>0.66666666666666663</v>
      </c>
      <c r="BW15" s="11">
        <f>INDEX('[1]PV.STOCK TIAP GUDANG'!$A:$CV,MATCH($A15,'[1]PV.STOCK TIAP GUDANG'!$A:$A,0),MATCH("V60LITE|8+256|STOCK",[1]PVKEY!$1:$1,0))</f>
        <v>2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13.7</v>
      </c>
      <c r="CD15" s="12">
        <f t="shared" si="36"/>
        <v>1.4583333333333335</v>
      </c>
      <c r="CE15" s="11">
        <f>INDEX('[1]PV.STOCK TIAP GUDANG'!$A:$CV,MATCH($A15,'[1]PV.STOCK TIAP GUDANG'!$A:$A,0),MATCH("Y05|4+64|STOCK",[1]PVKEY!$1:$1,0))</f>
        <v>1</v>
      </c>
      <c r="CF15" s="12">
        <f>INDEX('[1]PV.STOCK TIAP GUDANG'!$A:$CV,MATCH($A15,'[1]PV.STOCK TIAP GUDANG'!$A:$A,0),MATCH("Y05|4+64|SALES",[1]PVKEY!$1:$1,0))</f>
        <v>5</v>
      </c>
      <c r="CG15" s="13">
        <f t="shared" si="37"/>
        <v>4.8</v>
      </c>
      <c r="CH15" s="12">
        <f t="shared" si="38"/>
        <v>1.4583333333333335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32</v>
      </c>
      <c r="CL15" s="11">
        <f>INDEX('[1]PV.STOCK TIAP GUDANG'!$A:$CV,MATCH($A15,'[1]PV.STOCK TIAP GUDANG'!$A:$A,0),MATCH("Y500|6+256|STOCK",[1]PVKEY!$1:$1,0))</f>
        <v>1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6</v>
      </c>
      <c r="CO15" s="11">
        <f>INDEX('[1]PV.STOCK TIAP GUDANG'!$A:$CV,MATCH($A15,'[1]PV.STOCK TIAP GUDANG'!$A:$A,0),MATCH("Y05E|4+64|STOCK",[1]PVKEY!$1:$1,0))</f>
        <v>4</v>
      </c>
      <c r="CP15" s="12">
        <f>INDEX('[1]PV.STOCK TIAP GUDANG'!$A:$CV,MATCH($A15,'[1]PV.STOCK TIAP GUDANG'!$A:$A,0),MATCH("Y05E|4+64|SALES",[1]PVKEY!$1:$1,0))</f>
        <v>7</v>
      </c>
      <c r="CQ15" s="13">
        <f t="shared" si="41"/>
        <v>13.7</v>
      </c>
      <c r="CR15" s="14">
        <f t="shared" si="42"/>
        <v>34</v>
      </c>
      <c r="CS15" s="14">
        <f t="shared" si="43"/>
        <v>76</v>
      </c>
      <c r="CT15" s="14">
        <f t="shared" si="44"/>
        <v>10.736842105263158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3</v>
      </c>
      <c r="W16" s="12">
        <f>INDEX('[1]PV.STOCK TIAP GUDANG'!$A:$CV,MATCH($A16,'[1]PV.STOCK TIAP GUDANG'!$A:$A,0),MATCH("Y11D|4+128|SALES",[1]PVKEY!$1:$1,0))</f>
        <v>11</v>
      </c>
      <c r="X16" s="13">
        <f t="shared" si="8"/>
        <v>6.5</v>
      </c>
      <c r="Y16" s="12">
        <f t="shared" si="9"/>
        <v>2.2916666666666665</v>
      </c>
      <c r="Z16" s="11">
        <f>INDEX('[1]PV.STOCK TIAP GUDANG'!$A:$CV,MATCH($A16,'[1]PV.STOCK TIAP GUDANG'!$A:$A,0),MATCH("Y11D|4+64|STOCK",[1]PVKEY!$1:$1,0))</f>
        <v>2</v>
      </c>
      <c r="AA16" s="12">
        <f>INDEX('[1]PV.STOCK TIAP GUDANG'!$A:$CV,MATCH($A16,'[1]PV.STOCK TIAP GUDANG'!$A:$A,0),MATCH("Y11D|4+64|SALES",[1]PVKEY!$1:$1,0))</f>
        <v>7</v>
      </c>
      <c r="AB16" s="13">
        <f t="shared" si="10"/>
        <v>6.9</v>
      </c>
      <c r="AC16" s="12">
        <f t="shared" si="11"/>
        <v>1.4583333333333335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1</v>
      </c>
      <c r="AI16" s="12">
        <f>INDEX('[1]PV.STOCK TIAP GUDANG'!$A:$CV,MATCH($A16,'[1]PV.STOCK TIAP GUDANG'!$A:$A,0),MATCH("Y31D|4+128|SALES",[1]PVKEY!$1:$1,0))</f>
        <v>6</v>
      </c>
      <c r="AJ16" s="13">
        <f t="shared" si="14"/>
        <v>4</v>
      </c>
      <c r="AK16" s="11">
        <f>INDEX('[1]PV.STOCK TIAP GUDANG'!$A:$CV,MATCH($A16,'[1]PV.STOCK TIAP GUDANG'!$A:$A,0),MATCH("Y31DPRO|4+128|STOCK",[1]PVKEY!$1:$1,0))</f>
        <v>0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0</v>
      </c>
      <c r="AN16" s="11">
        <f>INDEX('[1]PV.STOCK TIAP GUDANG'!$A:$CV,MATCH($A16,'[1]PV.STOCK TIAP GUDANG'!$A:$A,0),MATCH("Y31DPRO|6+128|STOCK",[1]PVKEY!$1:$1,0))</f>
        <v>3</v>
      </c>
      <c r="AO16" s="12">
        <f>INDEX('[1]PV.STOCK TIAP GUDANG'!$A:$CV,MATCH($A16,'[1]PV.STOCK TIAP GUDANG'!$A:$A,0),MATCH("Y31DPRO|6+128|SALES",[1]PVKEY!$1:$1,0))</f>
        <v>4</v>
      </c>
      <c r="AP16" s="13">
        <f t="shared" si="16"/>
        <v>18</v>
      </c>
      <c r="AQ16" s="12">
        <f t="shared" si="17"/>
        <v>0.83333333333333326</v>
      </c>
      <c r="AR16" s="11">
        <f>INDEX('[1]PV.STOCK TIAP GUDANG'!$A:$CV,MATCH($A16,'[1]PV.STOCK TIAP GUDANG'!$A:$A,0),MATCH("Y31DPRO|8+128|STOCK",[1]PVKEY!$1:$1,0))</f>
        <v>3</v>
      </c>
      <c r="AS16" s="12">
        <f>INDEX('[1]PV.STOCK TIAP GUDANG'!$A:$CV,MATCH($A16,'[1]PV.STOCK TIAP GUDANG'!$A:$A,0),MATCH("Y31DPRO|8+128|SALES",[1]PVKEY!$1:$1,0))</f>
        <v>1</v>
      </c>
      <c r="AT16" s="13">
        <f t="shared" si="18"/>
        <v>72</v>
      </c>
      <c r="AU16" s="12">
        <f t="shared" si="19"/>
        <v>0.20833333333333331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3</v>
      </c>
      <c r="AX16" s="13">
        <f t="shared" si="20"/>
        <v>8</v>
      </c>
      <c r="AY16" s="12">
        <f t="shared" si="21"/>
        <v>0.625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0.66666666666666663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3</v>
      </c>
      <c r="BP16" s="12">
        <f>INDEX('[1]PV.STOCK TIAP GUDANG'!$A:$CV,MATCH($A16,'[1]PV.STOCK TIAP GUDANG'!$A:$A,0),MATCH("V70FE|12+256|SALES",[1]PVKEY!$1:$1,0))</f>
        <v>5</v>
      </c>
      <c r="BQ16" s="13">
        <f t="shared" si="29"/>
        <v>14.4</v>
      </c>
      <c r="BR16" s="12">
        <f t="shared" si="30"/>
        <v>1.6666666666666667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3</v>
      </c>
      <c r="BX16" s="12">
        <f>INDEX('[1]PV.STOCK TIAP GUDANG'!$A:$CV,MATCH($A16,'[1]PV.STOCK TIAP GUDANG'!$A:$A,0),MATCH("V60LITE|8+256|SALES",[1]PVKEY!$1:$1,0))</f>
        <v>8</v>
      </c>
      <c r="BY16" s="13">
        <f t="shared" si="33"/>
        <v>9</v>
      </c>
      <c r="BZ16" s="12">
        <f t="shared" si="34"/>
        <v>2.6666666666666665</v>
      </c>
      <c r="CA16" s="11">
        <f>INDEX('[1]PV.STOCK TIAP GUDANG'!$A:$CV,MATCH($A16,'[1]PV.STOCK TIAP GUDANG'!$A:$A,0),MATCH("Y05|4+128|STOCK",[1]PVKEY!$1:$1,0))</f>
        <v>3</v>
      </c>
      <c r="CB16" s="12">
        <f>INDEX('[1]PV.STOCK TIAP GUDANG'!$A:$CV,MATCH($A16,'[1]PV.STOCK TIAP GUDANG'!$A:$A,0),MATCH("Y05|4+128|SALES",[1]PVKEY!$1:$1,0))</f>
        <v>5</v>
      </c>
      <c r="CC16" s="13">
        <f t="shared" si="35"/>
        <v>14.4</v>
      </c>
      <c r="CD16" s="12">
        <f t="shared" si="36"/>
        <v>1.0416666666666667</v>
      </c>
      <c r="CE16" s="11">
        <f>INDEX('[1]PV.STOCK TIAP GUDANG'!$A:$CV,MATCH($A16,'[1]PV.STOCK TIAP GUDANG'!$A:$A,0),MATCH("Y05|4+64|STOCK",[1]PVKEY!$1:$1,0))</f>
        <v>1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4</v>
      </c>
      <c r="CH16" s="12">
        <f t="shared" si="38"/>
        <v>1.75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48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48</v>
      </c>
      <c r="CO16" s="11">
        <f>INDEX('[1]PV.STOCK TIAP GUDANG'!$A:$CV,MATCH($A16,'[1]PV.STOCK TIAP GUDANG'!$A:$A,0),MATCH("Y05E|4+64|STOCK",[1]PVKEY!$1:$1,0))</f>
        <v>4</v>
      </c>
      <c r="CP16" s="12">
        <f>INDEX('[1]PV.STOCK TIAP GUDANG'!$A:$CV,MATCH($A16,'[1]PV.STOCK TIAP GUDANG'!$A:$A,0),MATCH("Y05E|4+64|SALES",[1]PVKEY!$1:$1,0))</f>
        <v>17</v>
      </c>
      <c r="CQ16" s="13">
        <f t="shared" si="41"/>
        <v>5.6</v>
      </c>
      <c r="CR16" s="14">
        <f t="shared" si="42"/>
        <v>36</v>
      </c>
      <c r="CS16" s="14">
        <f t="shared" si="43"/>
        <v>80</v>
      </c>
      <c r="CT16" s="14">
        <f t="shared" si="44"/>
        <v>10.799999999999999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16</v>
      </c>
      <c r="Y17" s="12">
        <f t="shared" si="9"/>
        <v>0.625</v>
      </c>
      <c r="Z17" s="11">
        <f>INDEX('[1]PV.STOCK TIAP GUDANG'!$A:$CV,MATCH($A17,'[1]PV.STOCK TIAP GUDANG'!$A:$A,0),MATCH("Y11D|4+64|STOCK",[1]PVKEY!$1:$1,0))</f>
        <v>2</v>
      </c>
      <c r="AA17" s="12">
        <f>INDEX('[1]PV.STOCK TIAP GUDANG'!$A:$CV,MATCH($A17,'[1]PV.STOCK TIAP GUDANG'!$A:$A,0),MATCH("Y11D|4+64|SALES",[1]PVKEY!$1:$1,0))</f>
        <v>2</v>
      </c>
      <c r="AB17" s="13">
        <f t="shared" si="10"/>
        <v>24</v>
      </c>
      <c r="AC17" s="12">
        <f t="shared" si="11"/>
        <v>0.41666666666666663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1</v>
      </c>
      <c r="AI17" s="12">
        <f>INDEX('[1]PV.STOCK TIAP GUDANG'!$A:$CV,MATCH($A17,'[1]PV.STOCK TIAP GUDANG'!$A:$A,0),MATCH("Y31D|4+128|SALES",[1]PVKEY!$1:$1,0))</f>
        <v>2</v>
      </c>
      <c r="AJ17" s="13">
        <f t="shared" si="14"/>
        <v>12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3</v>
      </c>
      <c r="AO17" s="12">
        <f>INDEX('[1]PV.STOCK TIAP GUDANG'!$A:$CV,MATCH($A17,'[1]PV.STOCK TIAP GUDANG'!$A:$A,0),MATCH("Y31DPRO|6+128|SALES",[1]PVKEY!$1:$1,0))</f>
        <v>0</v>
      </c>
      <c r="AP17" s="13" t="str">
        <f t="shared" si="16"/>
        <v/>
      </c>
      <c r="AQ17" s="12">
        <f t="shared" si="17"/>
        <v>0</v>
      </c>
      <c r="AR17" s="11">
        <f>INDEX('[1]PV.STOCK TIAP GUDANG'!$A:$CV,MATCH($A17,'[1]PV.STOCK TIAP GUDANG'!$A:$A,0),MATCH("Y31DPRO|8+128|STOCK",[1]PVKEY!$1:$1,0))</f>
        <v>1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12</v>
      </c>
      <c r="AU17" s="12">
        <f t="shared" si="19"/>
        <v>0.41666666666666663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0.66666666666666663</v>
      </c>
      <c r="BO17" s="11">
        <f>INDEX('[1]PV.STOCK TIAP GUDANG'!$A:$CV,MATCH($A17,'[1]PV.STOCK TIAP GUDANG'!$A:$A,0),MATCH("V70FE|12+256|STOCK",[1]PVKEY!$1:$1,0))</f>
        <v>1</v>
      </c>
      <c r="BP17" s="12">
        <f>INDEX('[1]PV.STOCK TIAP GUDANG'!$A:$CV,MATCH($A17,'[1]PV.STOCK TIAP GUDANG'!$A:$A,0),MATCH("V70FE|12+256|SALES",[1]PVKEY!$1:$1,0))</f>
        <v>1</v>
      </c>
      <c r="BQ17" s="13">
        <f t="shared" si="29"/>
        <v>24</v>
      </c>
      <c r="BR17" s="12">
        <f t="shared" si="30"/>
        <v>0.33333333333333331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0.33333333333333331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36</v>
      </c>
      <c r="CD17" s="12">
        <f t="shared" si="36"/>
        <v>0.41666666666666663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1</v>
      </c>
      <c r="CG17" s="13">
        <f t="shared" si="37"/>
        <v>48</v>
      </c>
      <c r="CH17" s="12">
        <f t="shared" si="38"/>
        <v>0.29166666666666663</v>
      </c>
      <c r="CI17" s="11">
        <f>INDEX('[1]PV.STOCK TIAP GUDANG'!$A:$CV,MATCH($A17,'[1]PV.STOCK TIAP GUDANG'!$A:$A,0),MATCH("Y500|6+128|STOCK",[1]PVKEY!$1:$1,0))</f>
        <v>1</v>
      </c>
      <c r="CJ17" s="12">
        <f>INDEX('[1]PV.STOCK TIAP GUDANG'!$A:$CV,MATCH($A17,'[1]PV.STOCK TIAP GUDANG'!$A:$A,0),MATCH("Y500|6+128|SALES",[1]PVKEY!$1:$1,0))</f>
        <v>1</v>
      </c>
      <c r="CK17" s="13">
        <f t="shared" si="39"/>
        <v>24</v>
      </c>
      <c r="CL17" s="11">
        <f>INDEX('[1]PV.STOCK TIAP GUDANG'!$A:$CV,MATCH($A17,'[1]PV.STOCK TIAP GUDANG'!$A:$A,0),MATCH("Y500|6+256|STOCK",[1]PVKEY!$1:$1,0))</f>
        <v>0</v>
      </c>
      <c r="CM17" s="12">
        <f>INDEX('[1]PV.STOCK TIAP GUDANG'!$A:$CV,MATCH($A17,'[1]PV.STOCK TIAP GUDANG'!$A:$A,0),MATCH("Y500|6+256|SALES",[1]PVKEY!$1:$1,0))</f>
        <v>0</v>
      </c>
      <c r="CN17" s="13" t="str">
        <f t="shared" si="40"/>
        <v/>
      </c>
      <c r="CO17" s="11">
        <f>INDEX('[1]PV.STOCK TIAP GUDANG'!$A:$CV,MATCH($A17,'[1]PV.STOCK TIAP GUDANG'!$A:$A,0),MATCH("Y05E|4+64|STOCK",[1]PVKEY!$1:$1,0))</f>
        <v>3</v>
      </c>
      <c r="CP17" s="12">
        <f>INDEX('[1]PV.STOCK TIAP GUDANG'!$A:$CV,MATCH($A17,'[1]PV.STOCK TIAP GUDANG'!$A:$A,0),MATCH("Y05E|4+64|SALES",[1]PVKEY!$1:$1,0))</f>
        <v>0</v>
      </c>
      <c r="CQ17" s="13" t="str">
        <f t="shared" si="41"/>
        <v/>
      </c>
      <c r="CR17" s="14">
        <f t="shared" si="42"/>
        <v>20</v>
      </c>
      <c r="CS17" s="14">
        <f t="shared" si="43"/>
        <v>17</v>
      </c>
      <c r="CT17" s="14">
        <f t="shared" si="44"/>
        <v>28.235294117647058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5</v>
      </c>
      <c r="W18" s="12">
        <f>INDEX('[1]PV.STOCK TIAP GUDANG'!$A:$CV,MATCH($A18,'[1]PV.STOCK TIAP GUDANG'!$A:$A,0),MATCH("Y11D|4+128|SALES",[1]PVKEY!$1:$1,0))</f>
        <v>30</v>
      </c>
      <c r="X18" s="13">
        <f t="shared" si="8"/>
        <v>4</v>
      </c>
      <c r="Y18" s="12">
        <f t="shared" si="9"/>
        <v>6.25</v>
      </c>
      <c r="Z18" s="11">
        <f>INDEX('[1]PV.STOCK TIAP GUDANG'!$A:$CV,MATCH($A18,'[1]PV.STOCK TIAP GUDANG'!$A:$A,0),MATCH("Y11D|4+64|STOCK",[1]PVKEY!$1:$1,0))</f>
        <v>9</v>
      </c>
      <c r="AA18" s="12">
        <f>INDEX('[1]PV.STOCK TIAP GUDANG'!$A:$CV,MATCH($A18,'[1]PV.STOCK TIAP GUDANG'!$A:$A,0),MATCH("Y11D|4+64|SALES",[1]PVKEY!$1:$1,0))</f>
        <v>15</v>
      </c>
      <c r="AB18" s="13">
        <f t="shared" si="10"/>
        <v>14.4</v>
      </c>
      <c r="AC18" s="12">
        <f t="shared" si="11"/>
        <v>3.125</v>
      </c>
      <c r="AD18" s="11">
        <f>INDEX('[1]PV.STOCK TIAP GUDANG'!$A:$CV,MATCH($A18,'[1]PV.STOCK TIAP GUDANG'!$A:$A,0),MATCH("Y11D|6+128|STOCK",[1]PVKEY!$1:$1,0))</f>
        <v>3</v>
      </c>
      <c r="AE18" s="12">
        <f>INDEX('[1]PV.STOCK TIAP GUDANG'!$A:$CV,MATCH($A18,'[1]PV.STOCK TIAP GUDANG'!$A:$A,0),MATCH("Y11D|6+128|SALES",[1]PVKEY!$1:$1,0))</f>
        <v>0</v>
      </c>
      <c r="AF18" s="13" t="str">
        <f t="shared" si="12"/>
        <v/>
      </c>
      <c r="AG18" s="12">
        <f t="shared" si="13"/>
        <v>0</v>
      </c>
      <c r="AH18" s="11">
        <f>INDEX('[1]PV.STOCK TIAP GUDANG'!$A:$CV,MATCH($A18,'[1]PV.STOCK TIAP GUDANG'!$A:$A,0),MATCH("Y31D|4+128|STOCK",[1]PVKEY!$1:$1,0))</f>
        <v>3</v>
      </c>
      <c r="AI18" s="12">
        <f>INDEX('[1]PV.STOCK TIAP GUDANG'!$A:$CV,MATCH($A18,'[1]PV.STOCK TIAP GUDANG'!$A:$A,0),MATCH("Y31D|4+128|SALES",[1]PVKEY!$1:$1,0))</f>
        <v>2</v>
      </c>
      <c r="AJ18" s="13">
        <f t="shared" si="14"/>
        <v>36</v>
      </c>
      <c r="AK18" s="11">
        <f>INDEX('[1]PV.STOCK TIAP GUDANG'!$A:$CV,MATCH($A18,'[1]PV.STOCK TIAP GUDANG'!$A:$A,0),MATCH("Y31DPRO|4+128|STOCK",[1]PVKEY!$1:$1,0))</f>
        <v>0</v>
      </c>
      <c r="AL18" s="12">
        <f>INDEX('[1]PV.STOCK TIAP GUDANG'!$A:$CV,MATCH($A18,'[1]PV.STOCK TIAP GUDANG'!$A:$A,0),MATCH("Y31DPRO|4+128|SALES",[1]PVKEY!$1:$1,0))</f>
        <v>4</v>
      </c>
      <c r="AM18" s="13">
        <f t="shared" si="15"/>
        <v>0</v>
      </c>
      <c r="AN18" s="11">
        <f>INDEX('[1]PV.STOCK TIAP GUDANG'!$A:$CV,MATCH($A18,'[1]PV.STOCK TIAP GUDANG'!$A:$A,0),MATCH("Y31DPRO|6+128|STOCK",[1]PVKEY!$1:$1,0))</f>
        <v>4</v>
      </c>
      <c r="AO18" s="12">
        <f>INDEX('[1]PV.STOCK TIAP GUDANG'!$A:$CV,MATCH($A18,'[1]PV.STOCK TIAP GUDANG'!$A:$A,0),MATCH("Y31DPRO|6+128|SALES",[1]PVKEY!$1:$1,0))</f>
        <v>4</v>
      </c>
      <c r="AP18" s="13">
        <f t="shared" si="16"/>
        <v>24</v>
      </c>
      <c r="AQ18" s="12">
        <f t="shared" si="17"/>
        <v>0.83333333333333326</v>
      </c>
      <c r="AR18" s="11">
        <f>INDEX('[1]PV.STOCK TIAP GUDANG'!$A:$CV,MATCH($A18,'[1]PV.STOCK TIAP GUDANG'!$A:$A,0),MATCH("Y31DPRO|8+128|STOCK",[1]PVKEY!$1:$1,0))</f>
        <v>4</v>
      </c>
      <c r="AS18" s="12">
        <f>INDEX('[1]PV.STOCK TIAP GUDANG'!$A:$CV,MATCH($A18,'[1]PV.STOCK TIAP GUDANG'!$A:$A,0),MATCH("Y31DPRO|8+128|SALES",[1]PVKEY!$1:$1,0))</f>
        <v>5</v>
      </c>
      <c r="AT18" s="13">
        <f t="shared" si="18"/>
        <v>19.2</v>
      </c>
      <c r="AU18" s="12">
        <f t="shared" si="19"/>
        <v>1.0416666666666667</v>
      </c>
      <c r="AV18" s="11">
        <f>INDEX('[1]PV.STOCK TIAP GUDANG'!$A:$CV,MATCH($A18,'[1]PV.STOCK TIAP GUDANG'!$A:$A,0),MATCH("Y31DPRO|8+256|STOCK",[1]PVKEY!$1:$1,0))</f>
        <v>2</v>
      </c>
      <c r="AW18" s="12">
        <f>INDEX('[1]PV.STOCK TIAP GUDANG'!$A:$CV,MATCH($A18,'[1]PV.STOCK TIAP GUDANG'!$A:$A,0),MATCH("Y31DPRO|8+256|SALES",[1]PVKEY!$1:$1,0))</f>
        <v>2</v>
      </c>
      <c r="AX18" s="13">
        <f t="shared" si="20"/>
        <v>24</v>
      </c>
      <c r="AY18" s="12">
        <f t="shared" si="21"/>
        <v>0.41666666666666663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2</v>
      </c>
      <c r="BD18" s="12">
        <f>INDEX('[1]PV.STOCK TIAP GUDANG'!$A:$CV,MATCH($A18,'[1]PV.STOCK TIAP GUDANG'!$A:$A,0),MATCH("V70|8+256|SALES",[1]PVKEY!$1:$1,0))</f>
        <v>3</v>
      </c>
      <c r="BE18" s="13">
        <f t="shared" si="23"/>
        <v>16</v>
      </c>
      <c r="BF18" s="12">
        <f t="shared" si="24"/>
        <v>1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0.33333333333333331</v>
      </c>
      <c r="BO18" s="11">
        <f>INDEX('[1]PV.STOCK TIAP GUDANG'!$A:$CV,MATCH($A18,'[1]PV.STOCK TIAP GUDANG'!$A:$A,0),MATCH("V70FE|12+256|STOCK",[1]PVKEY!$1:$1,0))</f>
        <v>3</v>
      </c>
      <c r="BP18" s="12">
        <f>INDEX('[1]PV.STOCK TIAP GUDANG'!$A:$CV,MATCH($A18,'[1]PV.STOCK TIAP GUDANG'!$A:$A,0),MATCH("V70FE|12+256|SALES",[1]PVKEY!$1:$1,0))</f>
        <v>7</v>
      </c>
      <c r="BQ18" s="13">
        <f t="shared" si="29"/>
        <v>10.3</v>
      </c>
      <c r="BR18" s="12">
        <f t="shared" si="30"/>
        <v>2.3333333333333335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5</v>
      </c>
      <c r="BX18" s="12">
        <f>INDEX('[1]PV.STOCK TIAP GUDANG'!$A:$CV,MATCH($A18,'[1]PV.STOCK TIAP GUDANG'!$A:$A,0),MATCH("V60LITE|8+256|SALES",[1]PVKEY!$1:$1,0))</f>
        <v>8</v>
      </c>
      <c r="BY18" s="13">
        <f t="shared" si="33"/>
        <v>15</v>
      </c>
      <c r="BZ18" s="12">
        <f t="shared" si="34"/>
        <v>2.6666666666666665</v>
      </c>
      <c r="CA18" s="11">
        <f>INDEX('[1]PV.STOCK TIAP GUDANG'!$A:$CV,MATCH($A18,'[1]PV.STOCK TIAP GUDANG'!$A:$A,0),MATCH("Y05|4+128|STOCK",[1]PVKEY!$1:$1,0))</f>
        <v>6</v>
      </c>
      <c r="CB18" s="12">
        <f>INDEX('[1]PV.STOCK TIAP GUDANG'!$A:$CV,MATCH($A18,'[1]PV.STOCK TIAP GUDANG'!$A:$A,0),MATCH("Y05|4+128|SALES",[1]PVKEY!$1:$1,0))</f>
        <v>17</v>
      </c>
      <c r="CC18" s="13">
        <f t="shared" si="35"/>
        <v>8.5</v>
      </c>
      <c r="CD18" s="12">
        <f t="shared" si="36"/>
        <v>3.541666666666667</v>
      </c>
      <c r="CE18" s="11">
        <f>INDEX('[1]PV.STOCK TIAP GUDANG'!$A:$CV,MATCH($A18,'[1]PV.STOCK TIAP GUDANG'!$A:$A,0),MATCH("Y05|4+64|STOCK",[1]PVKEY!$1:$1,0))</f>
        <v>8</v>
      </c>
      <c r="CF18" s="12">
        <f>INDEX('[1]PV.STOCK TIAP GUDANG'!$A:$CV,MATCH($A18,'[1]PV.STOCK TIAP GUDANG'!$A:$A,0),MATCH("Y05|4+64|SALES",[1]PVKEY!$1:$1,0))</f>
        <v>13</v>
      </c>
      <c r="CG18" s="13">
        <f t="shared" si="37"/>
        <v>14.8</v>
      </c>
      <c r="CH18" s="12">
        <f t="shared" si="38"/>
        <v>3.7916666666666665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12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3</v>
      </c>
      <c r="CP18" s="12">
        <f>INDEX('[1]PV.STOCK TIAP GUDANG'!$A:$CV,MATCH($A18,'[1]PV.STOCK TIAP GUDANG'!$A:$A,0),MATCH("Y05E|4+64|SALES",[1]PVKEY!$1:$1,0))</f>
        <v>27</v>
      </c>
      <c r="CQ18" s="13">
        <f t="shared" si="41"/>
        <v>2.7</v>
      </c>
      <c r="CR18" s="14">
        <f t="shared" si="42"/>
        <v>63</v>
      </c>
      <c r="CS18" s="14">
        <f t="shared" si="43"/>
        <v>144</v>
      </c>
      <c r="CT18" s="14">
        <f t="shared" si="44"/>
        <v>10.5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2</v>
      </c>
      <c r="W19" s="12">
        <f>INDEX('[1]PV.STOCK TIAP GUDANG'!$A:$CV,MATCH($A19,'[1]PV.STOCK TIAP GUDANG'!$A:$A,0),MATCH("Y11D|4+128|SALES",[1]PVKEY!$1:$1,0))</f>
        <v>1</v>
      </c>
      <c r="X19" s="13">
        <f t="shared" si="8"/>
        <v>48</v>
      </c>
      <c r="Y19" s="12">
        <f t="shared" si="9"/>
        <v>0.20833333333333331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24</v>
      </c>
      <c r="AC19" s="12">
        <f t="shared" si="11"/>
        <v>0.41666666666666663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0.20833333333333331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48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48</v>
      </c>
      <c r="AQ19" s="12">
        <f t="shared" si="17"/>
        <v>0.20833333333333331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0.33333333333333331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0.33333333333333331</v>
      </c>
      <c r="BO19" s="11">
        <f>INDEX('[1]PV.STOCK TIAP GUDANG'!$A:$CV,MATCH($A19,'[1]PV.STOCK TIAP GUDANG'!$A:$A,0),MATCH("V70FE|12+256|STOCK",[1]PVKEY!$1:$1,0))</f>
        <v>3</v>
      </c>
      <c r="BP19" s="12">
        <f>INDEX('[1]PV.STOCK TIAP GUDANG'!$A:$CV,MATCH($A19,'[1]PV.STOCK TIAP GUDANG'!$A:$A,0),MATCH("V70FE|12+256|SALES",[1]PVKEY!$1:$1,0))</f>
        <v>0</v>
      </c>
      <c r="BQ19" s="13" t="str">
        <f t="shared" si="29"/>
        <v/>
      </c>
      <c r="BR19" s="12">
        <f t="shared" si="30"/>
        <v>0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48</v>
      </c>
      <c r="CD19" s="12">
        <f t="shared" si="36"/>
        <v>0.20833333333333331</v>
      </c>
      <c r="CE19" s="11">
        <f>INDEX('[1]PV.STOCK TIAP GUDANG'!$A:$CV,MATCH($A19,'[1]PV.STOCK TIAP GUDANG'!$A:$A,0),MATCH("Y05|4+64|STOCK",[1]PVKEY!$1:$1,0))</f>
        <v>0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0</v>
      </c>
      <c r="CH19" s="12">
        <f t="shared" si="38"/>
        <v>0.58333333333333326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24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1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24</v>
      </c>
      <c r="CR19" s="14">
        <f t="shared" si="42"/>
        <v>23</v>
      </c>
      <c r="CS19" s="14">
        <f t="shared" si="43"/>
        <v>13</v>
      </c>
      <c r="CT19" s="14">
        <f t="shared" si="44"/>
        <v>42.461538461538467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8</v>
      </c>
      <c r="K20" s="12">
        <f t="shared" si="3"/>
        <v>1.25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5</v>
      </c>
      <c r="W20" s="12">
        <f>INDEX('[1]PV.STOCK TIAP GUDANG'!$A:$CV,MATCH($A20,'[1]PV.STOCK TIAP GUDANG'!$A:$A,0),MATCH("Y11D|4+128|SALES",[1]PVKEY!$1:$1,0))</f>
        <v>25</v>
      </c>
      <c r="X20" s="13">
        <f t="shared" si="8"/>
        <v>4.8</v>
      </c>
      <c r="Y20" s="12">
        <f t="shared" si="9"/>
        <v>5.2083333333333339</v>
      </c>
      <c r="Z20" s="11">
        <f>INDEX('[1]PV.STOCK TIAP GUDANG'!$A:$CV,MATCH($A20,'[1]PV.STOCK TIAP GUDANG'!$A:$A,0),MATCH("Y11D|4+64|STOCK",[1]PVKEY!$1:$1,0))</f>
        <v>4</v>
      </c>
      <c r="AA20" s="12">
        <f>INDEX('[1]PV.STOCK TIAP GUDANG'!$A:$CV,MATCH($A20,'[1]PV.STOCK TIAP GUDANG'!$A:$A,0),MATCH("Y11D|4+64|SALES",[1]PVKEY!$1:$1,0))</f>
        <v>23</v>
      </c>
      <c r="AB20" s="13">
        <f t="shared" si="10"/>
        <v>4.2</v>
      </c>
      <c r="AC20" s="12">
        <f t="shared" si="11"/>
        <v>4.791666666666667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0.625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0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0</v>
      </c>
      <c r="AN20" s="11">
        <f>INDEX('[1]PV.STOCK TIAP GUDANG'!$A:$CV,MATCH($A20,'[1]PV.STOCK TIAP GUDANG'!$A:$A,0),MATCH("Y31DPRO|6+128|STOCK",[1]PVKEY!$1:$1,0))</f>
        <v>0</v>
      </c>
      <c r="AO20" s="12">
        <f>INDEX('[1]PV.STOCK TIAP GUDANG'!$A:$CV,MATCH($A20,'[1]PV.STOCK TIAP GUDANG'!$A:$A,0),MATCH("Y31DPRO|6+128|SALES",[1]PVKEY!$1:$1,0))</f>
        <v>11</v>
      </c>
      <c r="AP20" s="13">
        <f t="shared" si="16"/>
        <v>0</v>
      </c>
      <c r="AQ20" s="12">
        <f t="shared" si="17"/>
        <v>2.2916666666666665</v>
      </c>
      <c r="AR20" s="11">
        <f>INDEX('[1]PV.STOCK TIAP GUDANG'!$A:$CV,MATCH($A20,'[1]PV.STOCK TIAP GUDANG'!$A:$A,0),MATCH("Y31DPRO|8+128|STOCK",[1]PVKEY!$1:$1,0))</f>
        <v>6</v>
      </c>
      <c r="AS20" s="12">
        <f>INDEX('[1]PV.STOCK TIAP GUDANG'!$A:$CV,MATCH($A20,'[1]PV.STOCK TIAP GUDANG'!$A:$A,0),MATCH("Y31DPRO|8+128|SALES",[1]PVKEY!$1:$1,0))</f>
        <v>3</v>
      </c>
      <c r="AT20" s="13">
        <f t="shared" si="18"/>
        <v>48</v>
      </c>
      <c r="AU20" s="12">
        <f t="shared" si="19"/>
        <v>0.625</v>
      </c>
      <c r="AV20" s="11">
        <f>INDEX('[1]PV.STOCK TIAP GUDANG'!$A:$CV,MATCH($A20,'[1]PV.STOCK TIAP GUDANG'!$A:$A,0),MATCH("Y31DPRO|8+256|STOCK",[1]PVKEY!$1:$1,0))</f>
        <v>3</v>
      </c>
      <c r="AW20" s="12">
        <f>INDEX('[1]PV.STOCK TIAP GUDANG'!$A:$CV,MATCH($A20,'[1]PV.STOCK TIAP GUDANG'!$A:$A,0),MATCH("Y31DPRO|8+256|SALES",[1]PVKEY!$1:$1,0))</f>
        <v>7</v>
      </c>
      <c r="AX20" s="13">
        <f t="shared" si="20"/>
        <v>10.3</v>
      </c>
      <c r="AY20" s="12">
        <f t="shared" si="21"/>
        <v>1.4583333333333335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60</v>
      </c>
      <c r="BF20" s="12">
        <f t="shared" si="24"/>
        <v>0.66666666666666663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3</v>
      </c>
      <c r="BP20" s="12">
        <f>INDEX('[1]PV.STOCK TIAP GUDANG'!$A:$CV,MATCH($A20,'[1]PV.STOCK TIAP GUDANG'!$A:$A,0),MATCH("V70FE|12+256|SALES",[1]PVKEY!$1:$1,0))</f>
        <v>4</v>
      </c>
      <c r="BQ20" s="13">
        <f t="shared" si="29"/>
        <v>18</v>
      </c>
      <c r="BR20" s="12">
        <f t="shared" si="30"/>
        <v>1.3333333333333333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2</v>
      </c>
      <c r="BX20" s="12">
        <f>INDEX('[1]PV.STOCK TIAP GUDANG'!$A:$CV,MATCH($A20,'[1]PV.STOCK TIAP GUDANG'!$A:$A,0),MATCH("V60LITE|8+256|SALES",[1]PVKEY!$1:$1,0))</f>
        <v>4</v>
      </c>
      <c r="BY20" s="13">
        <f t="shared" si="33"/>
        <v>12</v>
      </c>
      <c r="BZ20" s="12">
        <f t="shared" si="34"/>
        <v>1.3333333333333333</v>
      </c>
      <c r="CA20" s="11">
        <f>INDEX('[1]PV.STOCK TIAP GUDANG'!$A:$CV,MATCH($A20,'[1]PV.STOCK TIAP GUDANG'!$A:$A,0),MATCH("Y05|4+128|STOCK",[1]PVKEY!$1:$1,0))</f>
        <v>6</v>
      </c>
      <c r="CB20" s="12">
        <f>INDEX('[1]PV.STOCK TIAP GUDANG'!$A:$CV,MATCH($A20,'[1]PV.STOCK TIAP GUDANG'!$A:$A,0),MATCH("Y05|4+128|SALES",[1]PVKEY!$1:$1,0))</f>
        <v>13</v>
      </c>
      <c r="CC20" s="13">
        <f t="shared" si="35"/>
        <v>11.1</v>
      </c>
      <c r="CD20" s="12">
        <f t="shared" si="36"/>
        <v>2.708333333333333</v>
      </c>
      <c r="CE20" s="11">
        <f>INDEX('[1]PV.STOCK TIAP GUDANG'!$A:$CV,MATCH($A20,'[1]PV.STOCK TIAP GUDANG'!$A:$A,0),MATCH("Y05|4+64|STOCK",[1]PVKEY!$1:$1,0))</f>
        <v>5</v>
      </c>
      <c r="CF20" s="12">
        <f>INDEX('[1]PV.STOCK TIAP GUDANG'!$A:$CV,MATCH($A20,'[1]PV.STOCK TIAP GUDANG'!$A:$A,0),MATCH("Y05|4+64|SALES",[1]PVKEY!$1:$1,0))</f>
        <v>14</v>
      </c>
      <c r="CG20" s="13">
        <f t="shared" si="37"/>
        <v>8.6</v>
      </c>
      <c r="CH20" s="12">
        <f t="shared" si="38"/>
        <v>4.0833333333333339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12</v>
      </c>
      <c r="CL20" s="11">
        <f>INDEX('[1]PV.STOCK TIAP GUDANG'!$A:$CV,MATCH($A20,'[1]PV.STOCK TIAP GUDANG'!$A:$A,0),MATCH("Y500|6+256|STOCK",[1]PVKEY!$1:$1,0))</f>
        <v>3</v>
      </c>
      <c r="CM20" s="12">
        <f>INDEX('[1]PV.STOCK TIAP GUDANG'!$A:$CV,MATCH($A20,'[1]PV.STOCK TIAP GUDANG'!$A:$A,0),MATCH("Y500|6+256|SALES",[1]PVKEY!$1:$1,0))</f>
        <v>1</v>
      </c>
      <c r="CN20" s="13">
        <f t="shared" si="40"/>
        <v>72</v>
      </c>
      <c r="CO20" s="11">
        <f>INDEX('[1]PV.STOCK TIAP GUDANG'!$A:$CV,MATCH($A20,'[1]PV.STOCK TIAP GUDANG'!$A:$A,0),MATCH("Y05E|4+64|STOCK",[1]PVKEY!$1:$1,0))</f>
        <v>2</v>
      </c>
      <c r="CP20" s="12">
        <f>INDEX('[1]PV.STOCK TIAP GUDANG'!$A:$CV,MATCH($A20,'[1]PV.STOCK TIAP GUDANG'!$A:$A,0),MATCH("Y05E|4+64|SALES",[1]PVKEY!$1:$1,0))</f>
        <v>21</v>
      </c>
      <c r="CQ20" s="13">
        <f t="shared" si="41"/>
        <v>2.2999999999999998</v>
      </c>
      <c r="CR20" s="14">
        <f t="shared" si="42"/>
        <v>47</v>
      </c>
      <c r="CS20" s="14">
        <f t="shared" si="43"/>
        <v>156</v>
      </c>
      <c r="CT20" s="14">
        <f t="shared" si="44"/>
        <v>7.2307692307692308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3</v>
      </c>
      <c r="I21" s="12">
        <f>INDEX('[1]PV.STOCK TIAP GUDANG'!$A:$CV,MATCH($A21,'[1]PV.STOCK TIAP GUDANG'!$A:$A,0),MATCH("X300ULTRA|16+512|SALES",[1]PVKEY!$1:$1,0))</f>
        <v>0</v>
      </c>
      <c r="J21" s="13" t="str">
        <f t="shared" si="2"/>
        <v/>
      </c>
      <c r="K21" s="12">
        <f t="shared" si="3"/>
        <v>0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2</v>
      </c>
      <c r="W21" s="12">
        <f>INDEX('[1]PV.STOCK TIAP GUDANG'!$A:$CV,MATCH($A21,'[1]PV.STOCK TIAP GUDANG'!$A:$A,0),MATCH("Y11D|4+128|SALES",[1]PVKEY!$1:$1,0))</f>
        <v>1</v>
      </c>
      <c r="X21" s="13">
        <f t="shared" si="8"/>
        <v>48</v>
      </c>
      <c r="Y21" s="12">
        <f t="shared" si="9"/>
        <v>0.20833333333333331</v>
      </c>
      <c r="Z21" s="11">
        <f>INDEX('[1]PV.STOCK TIAP GUDANG'!$A:$CV,MATCH($A21,'[1]PV.STOCK TIAP GUDANG'!$A:$A,0),MATCH("Y11D|4+64|STOCK",[1]PVKEY!$1:$1,0))</f>
        <v>0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0</v>
      </c>
      <c r="AC21" s="12">
        <f t="shared" si="11"/>
        <v>0.625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1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6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12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12</v>
      </c>
      <c r="AQ21" s="12">
        <f t="shared" si="17"/>
        <v>0.41666666666666663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24</v>
      </c>
      <c r="AY21" s="12">
        <f t="shared" si="21"/>
        <v>0.20833333333333331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3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72</v>
      </c>
      <c r="BF21" s="12">
        <f t="shared" si="24"/>
        <v>0.33333333333333331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0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3</v>
      </c>
      <c r="BP21" s="12">
        <f>INDEX('[1]PV.STOCK TIAP GUDANG'!$A:$CV,MATCH($A21,'[1]PV.STOCK TIAP GUDANG'!$A:$A,0),MATCH("V70FE|12+256|SALES",[1]PVKEY!$1:$1,0))</f>
        <v>0</v>
      </c>
      <c r="BQ21" s="13" t="str">
        <f t="shared" si="29"/>
        <v/>
      </c>
      <c r="BR21" s="12">
        <f t="shared" si="30"/>
        <v>0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36</v>
      </c>
      <c r="BZ21" s="12">
        <f t="shared" si="34"/>
        <v>0.66666666666666663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48</v>
      </c>
      <c r="CH21" s="12">
        <f t="shared" si="38"/>
        <v>0.29166666666666663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2</v>
      </c>
      <c r="CP21" s="12">
        <f>INDEX('[1]PV.STOCK TIAP GUDANG'!$A:$CV,MATCH($A21,'[1]PV.STOCK TIAP GUDANG'!$A:$A,0),MATCH("Y05E|4+64|SALES",[1]PVKEY!$1:$1,0))</f>
        <v>2</v>
      </c>
      <c r="CQ21" s="13">
        <f t="shared" si="41"/>
        <v>24</v>
      </c>
      <c r="CR21" s="14">
        <f t="shared" si="42"/>
        <v>34</v>
      </c>
      <c r="CS21" s="14">
        <f t="shared" si="43"/>
        <v>20</v>
      </c>
      <c r="CT21" s="14">
        <f t="shared" si="44"/>
        <v>40.799999999999997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0.41666666666666663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7</v>
      </c>
      <c r="W22" s="12">
        <f>INDEX('[1]PV.STOCK TIAP GUDANG'!$A:$CV,MATCH($A22,'[1]PV.STOCK TIAP GUDANG'!$A:$A,0),MATCH("Y11D|4+128|SALES",[1]PVKEY!$1:$1,0))</f>
        <v>49</v>
      </c>
      <c r="X22" s="13">
        <f t="shared" si="8"/>
        <v>3.4</v>
      </c>
      <c r="Y22" s="12">
        <f t="shared" si="9"/>
        <v>10.208333333333332</v>
      </c>
      <c r="Z22" s="11">
        <f>INDEX('[1]PV.STOCK TIAP GUDANG'!$A:$CV,MATCH($A22,'[1]PV.STOCK TIAP GUDANG'!$A:$A,0),MATCH("Y11D|4+64|STOCK",[1]PVKEY!$1:$1,0))</f>
        <v>6</v>
      </c>
      <c r="AA22" s="12">
        <f>INDEX('[1]PV.STOCK TIAP GUDANG'!$A:$CV,MATCH($A22,'[1]PV.STOCK TIAP GUDANG'!$A:$A,0),MATCH("Y11D|4+64|SALES",[1]PVKEY!$1:$1,0))</f>
        <v>22</v>
      </c>
      <c r="AB22" s="13">
        <f t="shared" si="10"/>
        <v>6.5</v>
      </c>
      <c r="AC22" s="12">
        <f t="shared" si="11"/>
        <v>4.583333333333333</v>
      </c>
      <c r="AD22" s="11">
        <f>INDEX('[1]PV.STOCK TIAP GUDANG'!$A:$CV,MATCH($A22,'[1]PV.STOCK TIAP GUDANG'!$A:$A,0),MATCH("Y11D|6+128|STOCK",[1]PVKEY!$1:$1,0))</f>
        <v>1</v>
      </c>
      <c r="AE22" s="12">
        <f>INDEX('[1]PV.STOCK TIAP GUDANG'!$A:$CV,MATCH($A22,'[1]PV.STOCK TIAP GUDANG'!$A:$A,0),MATCH("Y11D|6+128|SALES",[1]PVKEY!$1:$1,0))</f>
        <v>1</v>
      </c>
      <c r="AF22" s="13">
        <f t="shared" si="12"/>
        <v>24</v>
      </c>
      <c r="AG22" s="12">
        <f t="shared" si="13"/>
        <v>0.20833333333333331</v>
      </c>
      <c r="AH22" s="11">
        <f>INDEX('[1]PV.STOCK TIAP GUDANG'!$A:$CV,MATCH($A22,'[1]PV.STOCK TIAP GUDANG'!$A:$A,0),MATCH("Y31D|4+128|STOCK",[1]PVKEY!$1:$1,0))</f>
        <v>5</v>
      </c>
      <c r="AI22" s="12">
        <f>INDEX('[1]PV.STOCK TIAP GUDANG'!$A:$CV,MATCH($A22,'[1]PV.STOCK TIAP GUDANG'!$A:$A,0),MATCH("Y31D|4+128|SALES",[1]PVKEY!$1:$1,0))</f>
        <v>11</v>
      </c>
      <c r="AJ22" s="13">
        <f t="shared" si="14"/>
        <v>10.9</v>
      </c>
      <c r="AK22" s="11">
        <f>INDEX('[1]PV.STOCK TIAP GUDANG'!$A:$CV,MATCH($A22,'[1]PV.STOCK TIAP GUDANG'!$A:$A,0),MATCH("Y31DPRO|4+128|STOCK",[1]PVKEY!$1:$1,0))</f>
        <v>0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0</v>
      </c>
      <c r="AN22" s="11">
        <f>INDEX('[1]PV.STOCK TIAP GUDANG'!$A:$CV,MATCH($A22,'[1]PV.STOCK TIAP GUDANG'!$A:$A,0),MATCH("Y31DPRO|6+128|STOCK",[1]PVKEY!$1:$1,0))</f>
        <v>5</v>
      </c>
      <c r="AO22" s="12">
        <f>INDEX('[1]PV.STOCK TIAP GUDANG'!$A:$CV,MATCH($A22,'[1]PV.STOCK TIAP GUDANG'!$A:$A,0),MATCH("Y31DPRO|6+128|SALES",[1]PVKEY!$1:$1,0))</f>
        <v>12</v>
      </c>
      <c r="AP22" s="13">
        <f t="shared" si="16"/>
        <v>10</v>
      </c>
      <c r="AQ22" s="12">
        <f t="shared" si="17"/>
        <v>2.5</v>
      </c>
      <c r="AR22" s="11">
        <f>INDEX('[1]PV.STOCK TIAP GUDANG'!$A:$CV,MATCH($A22,'[1]PV.STOCK TIAP GUDANG'!$A:$A,0),MATCH("Y31DPRO|8+128|STOCK",[1]PVKEY!$1:$1,0))</f>
        <v>3</v>
      </c>
      <c r="AS22" s="12">
        <f>INDEX('[1]PV.STOCK TIAP GUDANG'!$A:$CV,MATCH($A22,'[1]PV.STOCK TIAP GUDANG'!$A:$A,0),MATCH("Y31DPRO|8+128|SALES",[1]PVKEY!$1:$1,0))</f>
        <v>4</v>
      </c>
      <c r="AT22" s="13">
        <f t="shared" si="18"/>
        <v>18</v>
      </c>
      <c r="AU22" s="12">
        <f t="shared" si="19"/>
        <v>0.83333333333333326</v>
      </c>
      <c r="AV22" s="11">
        <f>INDEX('[1]PV.STOCK TIAP GUDANG'!$A:$CV,MATCH($A22,'[1]PV.STOCK TIAP GUDANG'!$A:$A,0),MATCH("Y31DPRO|8+256|STOCK",[1]PVKEY!$1:$1,0))</f>
        <v>2</v>
      </c>
      <c r="AW22" s="12">
        <f>INDEX('[1]PV.STOCK TIAP GUDANG'!$A:$CV,MATCH($A22,'[1]PV.STOCK TIAP GUDANG'!$A:$A,0),MATCH("Y31DPRO|8+256|SALES",[1]PVKEY!$1:$1,0))</f>
        <v>4</v>
      </c>
      <c r="AX22" s="13">
        <f t="shared" si="20"/>
        <v>12</v>
      </c>
      <c r="AY22" s="12">
        <f t="shared" si="21"/>
        <v>0.83333333333333326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0.66666666666666663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0.33333333333333331</v>
      </c>
      <c r="BO22" s="11">
        <f>INDEX('[1]PV.STOCK TIAP GUDANG'!$A:$CV,MATCH($A22,'[1]PV.STOCK TIAP GUDANG'!$A:$A,0),MATCH("V70FE|12+256|STOCK",[1]PVKEY!$1:$1,0))</f>
        <v>2</v>
      </c>
      <c r="BP22" s="12">
        <f>INDEX('[1]PV.STOCK TIAP GUDANG'!$A:$CV,MATCH($A22,'[1]PV.STOCK TIAP GUDANG'!$A:$A,0),MATCH("V70FE|12+256|SALES",[1]PVKEY!$1:$1,0))</f>
        <v>6</v>
      </c>
      <c r="BQ22" s="13">
        <f t="shared" si="29"/>
        <v>8</v>
      </c>
      <c r="BR22" s="12">
        <f t="shared" si="30"/>
        <v>2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3</v>
      </c>
      <c r="BX22" s="12">
        <f>INDEX('[1]PV.STOCK TIAP GUDANG'!$A:$CV,MATCH($A22,'[1]PV.STOCK TIAP GUDANG'!$A:$A,0),MATCH("V60LITE|8+256|SALES",[1]PVKEY!$1:$1,0))</f>
        <v>8</v>
      </c>
      <c r="BY22" s="13">
        <f t="shared" si="33"/>
        <v>9</v>
      </c>
      <c r="BZ22" s="12">
        <f t="shared" si="34"/>
        <v>2.6666666666666665</v>
      </c>
      <c r="CA22" s="11">
        <f>INDEX('[1]PV.STOCK TIAP GUDANG'!$A:$CV,MATCH($A22,'[1]PV.STOCK TIAP GUDANG'!$A:$A,0),MATCH("Y05|4+128|STOCK",[1]PVKEY!$1:$1,0))</f>
        <v>8</v>
      </c>
      <c r="CB22" s="12">
        <f>INDEX('[1]PV.STOCK TIAP GUDANG'!$A:$CV,MATCH($A22,'[1]PV.STOCK TIAP GUDANG'!$A:$A,0),MATCH("Y05|4+128|SALES",[1]PVKEY!$1:$1,0))</f>
        <v>22</v>
      </c>
      <c r="CC22" s="13">
        <f t="shared" si="35"/>
        <v>8.6999999999999993</v>
      </c>
      <c r="CD22" s="12">
        <f t="shared" si="36"/>
        <v>4.583333333333333</v>
      </c>
      <c r="CE22" s="11">
        <f>INDEX('[1]PV.STOCK TIAP GUDANG'!$A:$CV,MATCH($A22,'[1]PV.STOCK TIAP GUDANG'!$A:$A,0),MATCH("Y05|4+64|STOCK",[1]PVKEY!$1:$1,0))</f>
        <v>9</v>
      </c>
      <c r="CF22" s="12">
        <f>INDEX('[1]PV.STOCK TIAP GUDANG'!$A:$CV,MATCH($A22,'[1]PV.STOCK TIAP GUDANG'!$A:$A,0),MATCH("Y05|4+64|SALES",[1]PVKEY!$1:$1,0))</f>
        <v>22</v>
      </c>
      <c r="CG22" s="13">
        <f t="shared" si="37"/>
        <v>9.8000000000000007</v>
      </c>
      <c r="CH22" s="12">
        <f t="shared" si="38"/>
        <v>6.4166666666666661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36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16</v>
      </c>
      <c r="CO22" s="11">
        <f>INDEX('[1]PV.STOCK TIAP GUDANG'!$A:$CV,MATCH($A22,'[1]PV.STOCK TIAP GUDANG'!$A:$A,0),MATCH("Y05E|4+64|STOCK",[1]PVKEY!$1:$1,0))</f>
        <v>2</v>
      </c>
      <c r="CP22" s="12">
        <f>INDEX('[1]PV.STOCK TIAP GUDANG'!$A:$CV,MATCH($A22,'[1]PV.STOCK TIAP GUDANG'!$A:$A,0),MATCH("Y05E|4+64|SALES",[1]PVKEY!$1:$1,0))</f>
        <v>26</v>
      </c>
      <c r="CQ22" s="13">
        <f t="shared" si="41"/>
        <v>1.8</v>
      </c>
      <c r="CR22" s="14">
        <f t="shared" si="42"/>
        <v>60</v>
      </c>
      <c r="CS22" s="14">
        <f t="shared" si="43"/>
        <v>208</v>
      </c>
      <c r="CT22" s="14">
        <f t="shared" si="44"/>
        <v>6.9230769230769234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24</v>
      </c>
      <c r="K23" s="12">
        <f t="shared" si="3"/>
        <v>0.41666666666666663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6</v>
      </c>
      <c r="W23" s="12">
        <f>INDEX('[1]PV.STOCK TIAP GUDANG'!$A:$CV,MATCH($A23,'[1]PV.STOCK TIAP GUDANG'!$A:$A,0),MATCH("Y11D|4+128|SALES",[1]PVKEY!$1:$1,0))</f>
        <v>27</v>
      </c>
      <c r="X23" s="13">
        <f t="shared" si="8"/>
        <v>5.3</v>
      </c>
      <c r="Y23" s="12">
        <f t="shared" si="9"/>
        <v>5.625</v>
      </c>
      <c r="Z23" s="11">
        <f>INDEX('[1]PV.STOCK TIAP GUDANG'!$A:$CV,MATCH($A23,'[1]PV.STOCK TIAP GUDANG'!$A:$A,0),MATCH("Y11D|4+64|STOCK",[1]PVKEY!$1:$1,0))</f>
        <v>5</v>
      </c>
      <c r="AA23" s="12">
        <f>INDEX('[1]PV.STOCK TIAP GUDANG'!$A:$CV,MATCH($A23,'[1]PV.STOCK TIAP GUDANG'!$A:$A,0),MATCH("Y11D|4+64|SALES",[1]PVKEY!$1:$1,0))</f>
        <v>20</v>
      </c>
      <c r="AB23" s="13">
        <f t="shared" si="10"/>
        <v>6</v>
      </c>
      <c r="AC23" s="12">
        <f t="shared" si="11"/>
        <v>4.166666666666667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24</v>
      </c>
      <c r="AG23" s="12">
        <f t="shared" si="13"/>
        <v>0.20833333333333331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30</v>
      </c>
      <c r="AK23" s="11">
        <f>INDEX('[1]PV.STOCK TIAP GUDANG'!$A:$CV,MATCH($A23,'[1]PV.STOCK TIAP GUDANG'!$A:$A,0),MATCH("Y31DPRO|4+128|STOCK",[1]PVKEY!$1:$1,0))</f>
        <v>0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0</v>
      </c>
      <c r="AN23" s="11">
        <f>INDEX('[1]PV.STOCK TIAP GUDANG'!$A:$CV,MATCH($A23,'[1]PV.STOCK TIAP GUDANG'!$A:$A,0),MATCH("Y31DPRO|6+128|STOCK",[1]PVKEY!$1:$1,0))</f>
        <v>3</v>
      </c>
      <c r="AO23" s="12">
        <f>INDEX('[1]PV.STOCK TIAP GUDANG'!$A:$CV,MATCH($A23,'[1]PV.STOCK TIAP GUDANG'!$A:$A,0),MATCH("Y31DPRO|6+128|SALES",[1]PVKEY!$1:$1,0))</f>
        <v>11</v>
      </c>
      <c r="AP23" s="13">
        <f t="shared" si="16"/>
        <v>6.5</v>
      </c>
      <c r="AQ23" s="12">
        <f t="shared" si="17"/>
        <v>2.2916666666666665</v>
      </c>
      <c r="AR23" s="11">
        <f>INDEX('[1]PV.STOCK TIAP GUDANG'!$A:$CV,MATCH($A23,'[1]PV.STOCK TIAP GUDANG'!$A:$A,0),MATCH("Y31DPRO|8+128|STOCK",[1]PVKEY!$1:$1,0))</f>
        <v>3</v>
      </c>
      <c r="AS23" s="12">
        <f>INDEX('[1]PV.STOCK TIAP GUDANG'!$A:$CV,MATCH($A23,'[1]PV.STOCK TIAP GUDANG'!$A:$A,0),MATCH("Y31DPRO|8+128|SALES",[1]PVKEY!$1:$1,0))</f>
        <v>2</v>
      </c>
      <c r="AT23" s="13">
        <f t="shared" si="18"/>
        <v>36</v>
      </c>
      <c r="AU23" s="12">
        <f t="shared" si="19"/>
        <v>0.41666666666666663</v>
      </c>
      <c r="AV23" s="11">
        <f>INDEX('[1]PV.STOCK TIAP GUDANG'!$A:$CV,MATCH($A23,'[1]PV.STOCK TIAP GUDANG'!$A:$A,0),MATCH("Y31DPRO|8+256|STOCK",[1]PVKEY!$1:$1,0))</f>
        <v>2</v>
      </c>
      <c r="AW23" s="12">
        <f>INDEX('[1]PV.STOCK TIAP GUDANG'!$A:$CV,MATCH($A23,'[1]PV.STOCK TIAP GUDANG'!$A:$A,0),MATCH("Y31DPRO|8+256|SALES",[1]PVKEY!$1:$1,0))</f>
        <v>11</v>
      </c>
      <c r="AX23" s="13">
        <f t="shared" si="20"/>
        <v>4.4000000000000004</v>
      </c>
      <c r="AY23" s="12">
        <f t="shared" si="21"/>
        <v>2.2916666666666665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1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4</v>
      </c>
      <c r="BF23" s="12">
        <f t="shared" si="24"/>
        <v>2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0.33333333333333331</v>
      </c>
      <c r="BO23" s="11">
        <f>INDEX('[1]PV.STOCK TIAP GUDANG'!$A:$CV,MATCH($A23,'[1]PV.STOCK TIAP GUDANG'!$A:$A,0),MATCH("V70FE|12+256|STOCK",[1]PVKEY!$1:$1,0))</f>
        <v>5</v>
      </c>
      <c r="BP23" s="12">
        <f>INDEX('[1]PV.STOCK TIAP GUDANG'!$A:$CV,MATCH($A23,'[1]PV.STOCK TIAP GUDANG'!$A:$A,0),MATCH("V70FE|12+256|SALES",[1]PVKEY!$1:$1,0))</f>
        <v>7</v>
      </c>
      <c r="BQ23" s="13">
        <f t="shared" si="29"/>
        <v>17.100000000000001</v>
      </c>
      <c r="BR23" s="12">
        <f t="shared" si="30"/>
        <v>2.3333333333333335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6</v>
      </c>
      <c r="BX23" s="12">
        <f>INDEX('[1]PV.STOCK TIAP GUDANG'!$A:$CV,MATCH($A23,'[1]PV.STOCK TIAP GUDANG'!$A:$A,0),MATCH("V60LITE|8+256|SALES",[1]PVKEY!$1:$1,0))</f>
        <v>6</v>
      </c>
      <c r="BY23" s="13">
        <f t="shared" si="33"/>
        <v>24</v>
      </c>
      <c r="BZ23" s="12">
        <f t="shared" si="34"/>
        <v>2</v>
      </c>
      <c r="CA23" s="11">
        <f>INDEX('[1]PV.STOCK TIAP GUDANG'!$A:$CV,MATCH($A23,'[1]PV.STOCK TIAP GUDANG'!$A:$A,0),MATCH("Y05|4+128|STOCK",[1]PVKEY!$1:$1,0))</f>
        <v>6</v>
      </c>
      <c r="CB23" s="12">
        <f>INDEX('[1]PV.STOCK TIAP GUDANG'!$A:$CV,MATCH($A23,'[1]PV.STOCK TIAP GUDANG'!$A:$A,0),MATCH("Y05|4+128|SALES",[1]PVKEY!$1:$1,0))</f>
        <v>19</v>
      </c>
      <c r="CC23" s="13">
        <f t="shared" si="35"/>
        <v>7.6</v>
      </c>
      <c r="CD23" s="12">
        <f t="shared" si="36"/>
        <v>3.958333333333333</v>
      </c>
      <c r="CE23" s="11">
        <f>INDEX('[1]PV.STOCK TIAP GUDANG'!$A:$CV,MATCH($A23,'[1]PV.STOCK TIAP GUDANG'!$A:$A,0),MATCH("Y05|4+64|STOCK",[1]PVKEY!$1:$1,0))</f>
        <v>9</v>
      </c>
      <c r="CF23" s="12">
        <f>INDEX('[1]PV.STOCK TIAP GUDANG'!$A:$CV,MATCH($A23,'[1]PV.STOCK TIAP GUDANG'!$A:$A,0),MATCH("Y05|4+64|SALES",[1]PVKEY!$1:$1,0))</f>
        <v>19</v>
      </c>
      <c r="CG23" s="13">
        <f t="shared" si="37"/>
        <v>11.4</v>
      </c>
      <c r="CH23" s="12">
        <f t="shared" si="38"/>
        <v>5.5416666666666661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24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48</v>
      </c>
      <c r="CO23" s="11">
        <f>INDEX('[1]PV.STOCK TIAP GUDANG'!$A:$CV,MATCH($A23,'[1]PV.STOCK TIAP GUDANG'!$A:$A,0),MATCH("Y05E|4+64|STOCK",[1]PVKEY!$1:$1,0))</f>
        <v>4</v>
      </c>
      <c r="CP23" s="12">
        <f>INDEX('[1]PV.STOCK TIAP GUDANG'!$A:$CV,MATCH($A23,'[1]PV.STOCK TIAP GUDANG'!$A:$A,0),MATCH("Y05E|4+64|SALES",[1]PVKEY!$1:$1,0))</f>
        <v>36</v>
      </c>
      <c r="CQ23" s="13">
        <f t="shared" si="41"/>
        <v>2.7</v>
      </c>
      <c r="CR23" s="14">
        <f t="shared" si="42"/>
        <v>61</v>
      </c>
      <c r="CS23" s="14">
        <f t="shared" si="43"/>
        <v>182</v>
      </c>
      <c r="CT23" s="14">
        <f t="shared" si="44"/>
        <v>8.0439560439560438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2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9.6</v>
      </c>
      <c r="Y24" s="12">
        <f t="shared" si="9"/>
        <v>1.0416666666666667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48</v>
      </c>
      <c r="AC24" s="12">
        <f t="shared" si="11"/>
        <v>0.20833333333333331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24</v>
      </c>
      <c r="AK24" s="11">
        <f>INDEX('[1]PV.STOCK TIAP GUDANG'!$A:$CV,MATCH($A24,'[1]PV.STOCK TIAP GUDANG'!$A:$A,0),MATCH("Y31DPRO|4+128|STOCK",[1]PVKEY!$1:$1,0))</f>
        <v>0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0</v>
      </c>
      <c r="AN24" s="11">
        <f>INDEX('[1]PV.STOCK TIAP GUDANG'!$A:$CV,MATCH($A24,'[1]PV.STOCK TIAP GUDANG'!$A:$A,0),MATCH("Y31DPRO|6+128|STOCK",[1]PVKEY!$1:$1,0))</f>
        <v>1</v>
      </c>
      <c r="AO24" s="12">
        <f>INDEX('[1]PV.STOCK TIAP GUDANG'!$A:$CV,MATCH($A24,'[1]PV.STOCK TIAP GUDANG'!$A:$A,0),MATCH("Y31DPRO|6+128|SALES",[1]PVKEY!$1:$1,0))</f>
        <v>1</v>
      </c>
      <c r="AP24" s="13">
        <f t="shared" si="16"/>
        <v>24</v>
      </c>
      <c r="AQ24" s="12">
        <f t="shared" si="17"/>
        <v>0.20833333333333331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0.66666666666666663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0.33333333333333331</v>
      </c>
      <c r="BO24" s="11">
        <f>INDEX('[1]PV.STOCK TIAP GUDANG'!$A:$CV,MATCH($A24,'[1]PV.STOCK TIAP GUDANG'!$A:$A,0),MATCH("V70FE|12+256|STOCK",[1]PVKEY!$1:$1,0))</f>
        <v>1</v>
      </c>
      <c r="BP24" s="12">
        <f>INDEX('[1]PV.STOCK TIAP GUDANG'!$A:$CV,MATCH($A24,'[1]PV.STOCK TIAP GUDANG'!$A:$A,0),MATCH("V70FE|12+256|SALES",[1]PVKEY!$1:$1,0))</f>
        <v>3</v>
      </c>
      <c r="BQ24" s="13">
        <f t="shared" si="29"/>
        <v>8</v>
      </c>
      <c r="BR24" s="12">
        <f t="shared" si="30"/>
        <v>1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1</v>
      </c>
      <c r="BX24" s="12">
        <f>INDEX('[1]PV.STOCK TIAP GUDANG'!$A:$CV,MATCH($A24,'[1]PV.STOCK TIAP GUDANG'!$A:$A,0),MATCH("V60LITE|8+256|SALES",[1]PVKEY!$1:$1,0))</f>
        <v>1</v>
      </c>
      <c r="BY24" s="13">
        <f t="shared" si="33"/>
        <v>24</v>
      </c>
      <c r="BZ24" s="12">
        <f t="shared" si="34"/>
        <v>0.33333333333333331</v>
      </c>
      <c r="CA24" s="11">
        <f>INDEX('[1]PV.STOCK TIAP GUDANG'!$A:$CV,MATCH($A24,'[1]PV.STOCK TIAP GUDANG'!$A:$A,0),MATCH("Y05|4+128|STOCK",[1]PVKEY!$1:$1,0))</f>
        <v>3</v>
      </c>
      <c r="CB24" s="12">
        <f>INDEX('[1]PV.STOCK TIAP GUDANG'!$A:$CV,MATCH($A24,'[1]PV.STOCK TIAP GUDANG'!$A:$A,0),MATCH("Y05|4+128|SALES",[1]PVKEY!$1:$1,0))</f>
        <v>3</v>
      </c>
      <c r="CC24" s="13">
        <f t="shared" si="35"/>
        <v>24</v>
      </c>
      <c r="CD24" s="12">
        <f t="shared" si="36"/>
        <v>0.625</v>
      </c>
      <c r="CE24" s="11">
        <f>INDEX('[1]PV.STOCK TIAP GUDANG'!$A:$CV,MATCH($A24,'[1]PV.STOCK TIAP GUDANG'!$A:$A,0),MATCH("Y05|4+64|STOCK",[1]PVKEY!$1:$1,0))</f>
        <v>5</v>
      </c>
      <c r="CF24" s="12">
        <f>INDEX('[1]PV.STOCK TIAP GUDANG'!$A:$CV,MATCH($A24,'[1]PV.STOCK TIAP GUDANG'!$A:$A,0),MATCH("Y05|4+64|SALES",[1]PVKEY!$1:$1,0))</f>
        <v>0</v>
      </c>
      <c r="CG24" s="13" t="str">
        <f t="shared" si="37"/>
        <v/>
      </c>
      <c r="CH24" s="12">
        <f t="shared" si="38"/>
        <v>0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24</v>
      </c>
      <c r="CL24" s="11">
        <f>INDEX('[1]PV.STOCK TIAP GUDANG'!$A:$CV,MATCH($A24,'[1]PV.STOCK TIAP GUDANG'!$A:$A,0),MATCH("Y500|6+256|STOCK",[1]PVKEY!$1:$1,0))</f>
        <v>1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24</v>
      </c>
      <c r="CO24" s="11">
        <f>INDEX('[1]PV.STOCK TIAP GUDANG'!$A:$CV,MATCH($A24,'[1]PV.STOCK TIAP GUDANG'!$A:$A,0),MATCH("Y05E|4+64|STOCK",[1]PVKEY!$1:$1,0))</f>
        <v>1</v>
      </c>
      <c r="CP24" s="12">
        <f>INDEX('[1]PV.STOCK TIAP GUDANG'!$A:$CV,MATCH($A24,'[1]PV.STOCK TIAP GUDANG'!$A:$A,0),MATCH("Y05E|4+64|SALES",[1]PVKEY!$1:$1,0))</f>
        <v>2</v>
      </c>
      <c r="CQ24" s="13">
        <f t="shared" si="41"/>
        <v>12</v>
      </c>
      <c r="CR24" s="14">
        <f t="shared" si="42"/>
        <v>26</v>
      </c>
      <c r="CS24" s="14">
        <f t="shared" si="43"/>
        <v>26</v>
      </c>
      <c r="CT24" s="14">
        <f t="shared" si="44"/>
        <v>24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24</v>
      </c>
      <c r="H25" s="11">
        <f>INDEX('[1]PV.STOCK TIAP GUDANG'!$A:$CV,MATCH($A25,'[1]PV.STOCK TIAP GUDANG'!$A:$A,0),MATCH("X300ULTRA|16+512|STOCK",[1]PVKEY!$1:$1,0))</f>
        <v>0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1</v>
      </c>
      <c r="W25" s="12">
        <f>INDEX('[1]PV.STOCK TIAP GUDANG'!$A:$CV,MATCH($A25,'[1]PV.STOCK TIAP GUDANG'!$A:$A,0),MATCH("Y11D|4+128|SALES",[1]PVKEY!$1:$1,0))</f>
        <v>3</v>
      </c>
      <c r="X25" s="13">
        <f t="shared" si="8"/>
        <v>8</v>
      </c>
      <c r="Y25" s="12">
        <f t="shared" si="9"/>
        <v>0.625</v>
      </c>
      <c r="Z25" s="11">
        <f>INDEX('[1]PV.STOCK TIAP GUDANG'!$A:$CV,MATCH($A25,'[1]PV.STOCK TIAP GUDANG'!$A:$A,0),MATCH("Y11D|4+64|STOCK",[1]PVKEY!$1:$1,0))</f>
        <v>2</v>
      </c>
      <c r="AA25" s="12">
        <f>INDEX('[1]PV.STOCK TIAP GUDANG'!$A:$CV,MATCH($A25,'[1]PV.STOCK TIAP GUDANG'!$A:$A,0),MATCH("Y11D|4+64|SALES",[1]PVKEY!$1:$1,0))</f>
        <v>3</v>
      </c>
      <c r="AB25" s="13">
        <f t="shared" si="10"/>
        <v>16</v>
      </c>
      <c r="AC25" s="12">
        <f t="shared" si="11"/>
        <v>0.625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0.20833333333333331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24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1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24</v>
      </c>
      <c r="AQ25" s="12">
        <f t="shared" si="17"/>
        <v>0.20833333333333331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1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1</v>
      </c>
      <c r="BD25" s="12">
        <f>INDEX('[1]PV.STOCK TIAP GUDANG'!$A:$CV,MATCH($A25,'[1]PV.STOCK TIAP GUDANG'!$A:$A,0),MATCH("V70|8+256|SALES",[1]PVKEY!$1:$1,0))</f>
        <v>1</v>
      </c>
      <c r="BE25" s="13">
        <f t="shared" si="23"/>
        <v>24</v>
      </c>
      <c r="BF25" s="12">
        <f t="shared" si="24"/>
        <v>0.33333333333333331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0.33333333333333331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0.33333333333333331</v>
      </c>
      <c r="BO25" s="11">
        <f>INDEX('[1]PV.STOCK TIAP GUDANG'!$A:$CV,MATCH($A25,'[1]PV.STOCK TIAP GUDANG'!$A:$A,0),MATCH("V70FE|12+256|STOCK",[1]PVKEY!$1:$1,0))</f>
        <v>1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1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1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6</v>
      </c>
      <c r="CD25" s="12">
        <f t="shared" si="36"/>
        <v>0.83333333333333326</v>
      </c>
      <c r="CE25" s="11">
        <f>INDEX('[1]PV.STOCK TIAP GUDANG'!$A:$CV,MATCH($A25,'[1]PV.STOCK TIAP GUDANG'!$A:$A,0),MATCH("Y05|4+64|STOCK",[1]PVKEY!$1:$1,0))</f>
        <v>3</v>
      </c>
      <c r="CF25" s="12">
        <f>INDEX('[1]PV.STOCK TIAP GUDANG'!$A:$CV,MATCH($A25,'[1]PV.STOCK TIAP GUDANG'!$A:$A,0),MATCH("Y05|4+64|SALES",[1]PVKEY!$1:$1,0))</f>
        <v>1</v>
      </c>
      <c r="CG25" s="13">
        <f t="shared" si="37"/>
        <v>72</v>
      </c>
      <c r="CH25" s="12">
        <f t="shared" si="38"/>
        <v>0.29166666666666663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48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48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10.3</v>
      </c>
      <c r="CR25" s="14">
        <f t="shared" si="42"/>
        <v>26</v>
      </c>
      <c r="CS25" s="14">
        <f t="shared" si="43"/>
        <v>28</v>
      </c>
      <c r="CT25" s="14">
        <f t="shared" si="44"/>
        <v>22.285714285714285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4</v>
      </c>
      <c r="W26" s="12">
        <f>INDEX('[1]PV.STOCK TIAP GUDANG'!$A:$CV,MATCH($A26,'[1]PV.STOCK TIAP GUDANG'!$A:$A,0),MATCH("Y11D|4+128|SALES",[1]PVKEY!$1:$1,0))</f>
        <v>10</v>
      </c>
      <c r="X26" s="13">
        <f t="shared" si="8"/>
        <v>9.6</v>
      </c>
      <c r="Y26" s="12">
        <f t="shared" si="9"/>
        <v>2.0833333333333335</v>
      </c>
      <c r="Z26" s="11">
        <f>INDEX('[1]PV.STOCK TIAP GUDANG'!$A:$CV,MATCH($A26,'[1]PV.STOCK TIAP GUDANG'!$A:$A,0),MATCH("Y11D|4+64|STOCK",[1]PVKEY!$1:$1,0))</f>
        <v>3</v>
      </c>
      <c r="AA26" s="12">
        <f>INDEX('[1]PV.STOCK TIAP GUDANG'!$A:$CV,MATCH($A26,'[1]PV.STOCK TIAP GUDANG'!$A:$A,0),MATCH("Y11D|4+64|SALES",[1]PVKEY!$1:$1,0))</f>
        <v>1</v>
      </c>
      <c r="AB26" s="13">
        <f t="shared" si="10"/>
        <v>72</v>
      </c>
      <c r="AC26" s="12">
        <f t="shared" si="11"/>
        <v>0.20833333333333331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12</v>
      </c>
      <c r="AK26" s="11">
        <f>INDEX('[1]PV.STOCK TIAP GUDANG'!$A:$CV,MATCH($A26,'[1]PV.STOCK TIAP GUDANG'!$A:$A,0),MATCH("Y31DPRO|4+128|STOCK",[1]PVKEY!$1:$1,0))</f>
        <v>2</v>
      </c>
      <c r="AL26" s="12">
        <f>INDEX('[1]PV.STOCK TIAP GUDANG'!$A:$CV,MATCH($A26,'[1]PV.STOCK TIAP GUDANG'!$A:$A,0),MATCH("Y31DPRO|4+128|SALES",[1]PVKEY!$1:$1,0))</f>
        <v>2</v>
      </c>
      <c r="AM26" s="13">
        <f t="shared" si="15"/>
        <v>24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16</v>
      </c>
      <c r="AQ26" s="12">
        <f t="shared" si="17"/>
        <v>0.625</v>
      </c>
      <c r="AR26" s="11">
        <f>INDEX('[1]PV.STOCK TIAP GUDANG'!$A:$CV,MATCH($A26,'[1]PV.STOCK TIAP GUDANG'!$A:$A,0),MATCH("Y31DPRO|8+128|STOCK",[1]PVKEY!$1:$1,0))</f>
        <v>1</v>
      </c>
      <c r="AS26" s="12">
        <f>INDEX('[1]PV.STOCK TIAP GUDANG'!$A:$CV,MATCH($A26,'[1]PV.STOCK TIAP GUDANG'!$A:$A,0),MATCH("Y31DPRO|8+128|SALES",[1]PVKEY!$1:$1,0))</f>
        <v>0</v>
      </c>
      <c r="AT26" s="13" t="str">
        <f t="shared" si="18"/>
        <v/>
      </c>
      <c r="AU26" s="12">
        <f t="shared" si="19"/>
        <v>0</v>
      </c>
      <c r="AV26" s="11">
        <f>INDEX('[1]PV.STOCK TIAP GUDANG'!$A:$CV,MATCH($A26,'[1]PV.STOCK TIAP GUDANG'!$A:$A,0),MATCH("Y31DPRO|8+256|STOCK",[1]PVKEY!$1:$1,0))</f>
        <v>2</v>
      </c>
      <c r="AW26" s="12">
        <f>INDEX('[1]PV.STOCK TIAP GUDANG'!$A:$CV,MATCH($A26,'[1]PV.STOCK TIAP GUDANG'!$A:$A,0),MATCH("Y31DPRO|8+256|SALES",[1]PVKEY!$1:$1,0))</f>
        <v>4</v>
      </c>
      <c r="AX26" s="13">
        <f t="shared" si="20"/>
        <v>12</v>
      </c>
      <c r="AY26" s="12">
        <f t="shared" si="21"/>
        <v>0.83333333333333326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24</v>
      </c>
      <c r="BF26" s="12">
        <f t="shared" si="24"/>
        <v>0.66666666666666663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0.33333333333333331</v>
      </c>
      <c r="BO26" s="11">
        <f>INDEX('[1]PV.STOCK TIAP GUDANG'!$A:$CV,MATCH($A26,'[1]PV.STOCK TIAP GUDANG'!$A:$A,0),MATCH("V70FE|12+256|STOCK",[1]PVKEY!$1:$1,0))</f>
        <v>2</v>
      </c>
      <c r="BP26" s="12">
        <f>INDEX('[1]PV.STOCK TIAP GUDANG'!$A:$CV,MATCH($A26,'[1]PV.STOCK TIAP GUDANG'!$A:$A,0),MATCH("V70FE|12+256|SALES",[1]PVKEY!$1:$1,0))</f>
        <v>1</v>
      </c>
      <c r="BQ26" s="13">
        <f t="shared" si="29"/>
        <v>48</v>
      </c>
      <c r="BR26" s="12">
        <f t="shared" si="30"/>
        <v>0.33333333333333331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12</v>
      </c>
      <c r="BV26" s="12">
        <f t="shared" si="32"/>
        <v>0.66666666666666663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24</v>
      </c>
      <c r="BZ26" s="12">
        <f t="shared" si="34"/>
        <v>0.33333333333333331</v>
      </c>
      <c r="CA26" s="11">
        <f>INDEX('[1]PV.STOCK TIAP GUDANG'!$A:$CV,MATCH($A26,'[1]PV.STOCK TIAP GUDANG'!$A:$A,0),MATCH("Y05|4+128|STOCK",[1]PVKEY!$1:$1,0))</f>
        <v>4</v>
      </c>
      <c r="CB26" s="12">
        <f>INDEX('[1]PV.STOCK TIAP GUDANG'!$A:$CV,MATCH($A26,'[1]PV.STOCK TIAP GUDANG'!$A:$A,0),MATCH("Y05|4+128|SALES",[1]PVKEY!$1:$1,0))</f>
        <v>2</v>
      </c>
      <c r="CC26" s="13">
        <f t="shared" si="35"/>
        <v>48</v>
      </c>
      <c r="CD26" s="12">
        <f t="shared" si="36"/>
        <v>0.41666666666666663</v>
      </c>
      <c r="CE26" s="11">
        <f>INDEX('[1]PV.STOCK TIAP GUDANG'!$A:$CV,MATCH($A26,'[1]PV.STOCK TIAP GUDANG'!$A:$A,0),MATCH("Y05|4+64|STOCK",[1]PVKEY!$1:$1,0))</f>
        <v>3</v>
      </c>
      <c r="CF26" s="12">
        <f>INDEX('[1]PV.STOCK TIAP GUDANG'!$A:$CV,MATCH($A26,'[1]PV.STOCK TIAP GUDANG'!$A:$A,0),MATCH("Y05|4+64|SALES",[1]PVKEY!$1:$1,0))</f>
        <v>3</v>
      </c>
      <c r="CG26" s="13">
        <f t="shared" si="37"/>
        <v>24</v>
      </c>
      <c r="CH26" s="12">
        <f t="shared" si="38"/>
        <v>0.875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24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24</v>
      </c>
      <c r="CO26" s="11">
        <f>INDEX('[1]PV.STOCK TIAP GUDANG'!$A:$CV,MATCH($A26,'[1]PV.STOCK TIAP GUDANG'!$A:$A,0),MATCH("Y05E|4+64|STOCK",[1]PVKEY!$1:$1,0))</f>
        <v>2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8</v>
      </c>
      <c r="CR26" s="14">
        <f t="shared" si="42"/>
        <v>36</v>
      </c>
      <c r="CS26" s="14">
        <f t="shared" si="43"/>
        <v>42</v>
      </c>
      <c r="CT26" s="14">
        <f t="shared" si="44"/>
        <v>20.571428571428573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10</v>
      </c>
      <c r="W27" s="12">
        <f>INDEX('[1]PV.STOCK TIAP GUDANG'!$A:$CV,MATCH($A27,'[1]PV.STOCK TIAP GUDANG'!$A:$A,0),MATCH("Y11D|4+128|SALES",[1]PVKEY!$1:$1,0))</f>
        <v>8</v>
      </c>
      <c r="X27" s="13">
        <f t="shared" si="8"/>
        <v>30</v>
      </c>
      <c r="Y27" s="12">
        <f t="shared" si="9"/>
        <v>1.6666666666666665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6</v>
      </c>
      <c r="AB27" s="13">
        <f t="shared" si="10"/>
        <v>16</v>
      </c>
      <c r="AC27" s="12">
        <f t="shared" si="11"/>
        <v>1.25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2</v>
      </c>
      <c r="AI27" s="12">
        <f>INDEX('[1]PV.STOCK TIAP GUDANG'!$A:$CV,MATCH($A27,'[1]PV.STOCK TIAP GUDANG'!$A:$A,0),MATCH("Y31D|4+128|SALES",[1]PVKEY!$1:$1,0))</f>
        <v>1</v>
      </c>
      <c r="AJ27" s="13">
        <f t="shared" si="14"/>
        <v>48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24</v>
      </c>
      <c r="AN27" s="11">
        <f>INDEX('[1]PV.STOCK TIAP GUDANG'!$A:$CV,MATCH($A27,'[1]PV.STOCK TIAP GUDANG'!$A:$A,0),MATCH("Y31DPRO|6+128|STOCK",[1]PVKEY!$1:$1,0))</f>
        <v>3</v>
      </c>
      <c r="AO27" s="12">
        <f>INDEX('[1]PV.STOCK TIAP GUDANG'!$A:$CV,MATCH($A27,'[1]PV.STOCK TIAP GUDANG'!$A:$A,0),MATCH("Y31DPRO|6+128|SALES",[1]PVKEY!$1:$1,0))</f>
        <v>4</v>
      </c>
      <c r="AP27" s="13">
        <f t="shared" si="16"/>
        <v>18</v>
      </c>
      <c r="AQ27" s="12">
        <f t="shared" si="17"/>
        <v>0.83333333333333326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12</v>
      </c>
      <c r="AU27" s="12">
        <f t="shared" si="19"/>
        <v>0.41666666666666663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12</v>
      </c>
      <c r="BF27" s="12">
        <f t="shared" si="24"/>
        <v>1.3333333333333333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0.66666666666666663</v>
      </c>
      <c r="BO27" s="11">
        <f>INDEX('[1]PV.STOCK TIAP GUDANG'!$A:$CV,MATCH($A27,'[1]PV.STOCK TIAP GUDANG'!$A:$A,0),MATCH("V70FE|12+256|STOCK",[1]PVKEY!$1:$1,0))</f>
        <v>2</v>
      </c>
      <c r="BP27" s="12">
        <f>INDEX('[1]PV.STOCK TIAP GUDANG'!$A:$CV,MATCH($A27,'[1]PV.STOCK TIAP GUDANG'!$A:$A,0),MATCH("V70FE|12+256|SALES",[1]PVKEY!$1:$1,0))</f>
        <v>0</v>
      </c>
      <c r="BQ27" s="13" t="str">
        <f t="shared" si="29"/>
        <v/>
      </c>
      <c r="BR27" s="12">
        <f t="shared" si="30"/>
        <v>0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16</v>
      </c>
      <c r="BZ27" s="12">
        <f t="shared" si="34"/>
        <v>1</v>
      </c>
      <c r="CA27" s="11">
        <f>INDEX('[1]PV.STOCK TIAP GUDANG'!$A:$CV,MATCH($A27,'[1]PV.STOCK TIAP GUDANG'!$A:$A,0),MATCH("Y05|4+128|STOCK",[1]PVKEY!$1:$1,0))</f>
        <v>3</v>
      </c>
      <c r="CB27" s="12">
        <f>INDEX('[1]PV.STOCK TIAP GUDANG'!$A:$CV,MATCH($A27,'[1]PV.STOCK TIAP GUDANG'!$A:$A,0),MATCH("Y05|4+128|SALES",[1]PVKEY!$1:$1,0))</f>
        <v>1</v>
      </c>
      <c r="CC27" s="13">
        <f t="shared" si="35"/>
        <v>72</v>
      </c>
      <c r="CD27" s="12">
        <f t="shared" si="36"/>
        <v>0.20833333333333331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60</v>
      </c>
      <c r="CH27" s="12">
        <f t="shared" si="38"/>
        <v>0.58333333333333326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24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4</v>
      </c>
      <c r="CQ27" s="13">
        <f t="shared" si="41"/>
        <v>18</v>
      </c>
      <c r="CR27" s="14">
        <f t="shared" si="42"/>
        <v>47</v>
      </c>
      <c r="CS27" s="14">
        <f t="shared" si="43"/>
        <v>40</v>
      </c>
      <c r="CT27" s="14">
        <f t="shared" si="44"/>
        <v>28.2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48</v>
      </c>
      <c r="K28" s="12">
        <f t="shared" si="3"/>
        <v>0.41666666666666663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4</v>
      </c>
      <c r="W28" s="12">
        <f>INDEX('[1]PV.STOCK TIAP GUDANG'!$A:$CV,MATCH($A28,'[1]PV.STOCK TIAP GUDANG'!$A:$A,0),MATCH("Y11D|4+128|SALES",[1]PVKEY!$1:$1,0))</f>
        <v>1</v>
      </c>
      <c r="X28" s="13">
        <f t="shared" si="8"/>
        <v>96</v>
      </c>
      <c r="Y28" s="12">
        <f t="shared" si="9"/>
        <v>0.20833333333333331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48</v>
      </c>
      <c r="AC28" s="12">
        <f t="shared" si="11"/>
        <v>0.41666666666666663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4</v>
      </c>
      <c r="AL28" s="12">
        <f>INDEX('[1]PV.STOCK TIAP GUDANG'!$A:$CV,MATCH($A28,'[1]PV.STOCK TIAP GUDANG'!$A:$A,0),MATCH("Y31DPRO|4+128|SALES",[1]PVKEY!$1:$1,0))</f>
        <v>3</v>
      </c>
      <c r="AM28" s="13">
        <f t="shared" si="15"/>
        <v>32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3</v>
      </c>
      <c r="AP28" s="13">
        <f t="shared" si="16"/>
        <v>24</v>
      </c>
      <c r="AQ28" s="12">
        <f t="shared" si="17"/>
        <v>0.625</v>
      </c>
      <c r="AR28" s="11">
        <f>INDEX('[1]PV.STOCK TIAP GUDANG'!$A:$CV,MATCH($A28,'[1]PV.STOCK TIAP GUDANG'!$A:$A,0),MATCH("Y31DPRO|8+128|STOCK",[1]PVKEY!$1:$1,0))</f>
        <v>3</v>
      </c>
      <c r="AS28" s="12">
        <f>INDEX('[1]PV.STOCK TIAP GUDANG'!$A:$CV,MATCH($A28,'[1]PV.STOCK TIAP GUDANG'!$A:$A,0),MATCH("Y31DPRO|8+128|SALES",[1]PVKEY!$1:$1,0))</f>
        <v>0</v>
      </c>
      <c r="AT28" s="13" t="str">
        <f t="shared" si="18"/>
        <v/>
      </c>
      <c r="AU28" s="12">
        <f t="shared" si="19"/>
        <v>0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72</v>
      </c>
      <c r="AY28" s="12">
        <f t="shared" si="21"/>
        <v>0.20833333333333331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3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36</v>
      </c>
      <c r="BF28" s="12">
        <f t="shared" si="24"/>
        <v>0.66666666666666663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0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0</v>
      </c>
      <c r="BN28" s="12">
        <f t="shared" si="28"/>
        <v>0.66666666666666663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72</v>
      </c>
      <c r="BR28" s="12">
        <f t="shared" si="30"/>
        <v>0.33333333333333331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0.33333333333333331</v>
      </c>
      <c r="BW28" s="11">
        <f>INDEX('[1]PV.STOCK TIAP GUDANG'!$A:$CV,MATCH($A28,'[1]PV.STOCK TIAP GUDANG'!$A:$A,0),MATCH("V60LITE|8+256|STOCK",[1]PVKEY!$1:$1,0))</f>
        <v>3</v>
      </c>
      <c r="BX28" s="12">
        <f>INDEX('[1]PV.STOCK TIAP GUDANG'!$A:$CV,MATCH($A28,'[1]PV.STOCK TIAP GUDANG'!$A:$A,0),MATCH("V60LITE|8+256|SALES",[1]PVKEY!$1:$1,0))</f>
        <v>2</v>
      </c>
      <c r="BY28" s="13">
        <f t="shared" si="33"/>
        <v>36</v>
      </c>
      <c r="BZ28" s="12">
        <f t="shared" si="34"/>
        <v>0.66666666666666663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36</v>
      </c>
      <c r="CD28" s="12">
        <f t="shared" si="36"/>
        <v>0.41666666666666663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96</v>
      </c>
      <c r="CH28" s="12">
        <f t="shared" si="38"/>
        <v>0.29166666666666663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2</v>
      </c>
      <c r="CP28" s="12">
        <f>INDEX('[1]PV.STOCK TIAP GUDANG'!$A:$CV,MATCH($A28,'[1]PV.STOCK TIAP GUDANG'!$A:$A,0),MATCH("Y05E|4+64|SALES",[1]PVKEY!$1:$1,0))</f>
        <v>5</v>
      </c>
      <c r="CQ28" s="13">
        <f t="shared" si="41"/>
        <v>9.6</v>
      </c>
      <c r="CR28" s="14">
        <f t="shared" si="42"/>
        <v>55</v>
      </c>
      <c r="CS28" s="14">
        <f t="shared" si="43"/>
        <v>27</v>
      </c>
      <c r="CT28" s="14">
        <f t="shared" si="44"/>
        <v>48.888888888888886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48</v>
      </c>
      <c r="K29" s="12">
        <f t="shared" si="3"/>
        <v>0.41666666666666663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4</v>
      </c>
      <c r="W29" s="12">
        <f>INDEX('[1]PV.STOCK TIAP GUDANG'!$A:$CV,MATCH($A29,'[1]PV.STOCK TIAP GUDANG'!$A:$A,0),MATCH("Y11D|4+128|SALES",[1]PVKEY!$1:$1,0))</f>
        <v>3</v>
      </c>
      <c r="X29" s="13">
        <f t="shared" si="8"/>
        <v>32</v>
      </c>
      <c r="Y29" s="12">
        <f t="shared" si="9"/>
        <v>0.625</v>
      </c>
      <c r="Z29" s="11">
        <f>INDEX('[1]PV.STOCK TIAP GUDANG'!$A:$CV,MATCH($A29,'[1]PV.STOCK TIAP GUDANG'!$A:$A,0),MATCH("Y11D|4+64|STOCK",[1]PVKEY!$1:$1,0))</f>
        <v>2</v>
      </c>
      <c r="AA29" s="12">
        <f>INDEX('[1]PV.STOCK TIAP GUDANG'!$A:$CV,MATCH($A29,'[1]PV.STOCK TIAP GUDANG'!$A:$A,0),MATCH("Y11D|4+64|SALES",[1]PVKEY!$1:$1,0))</f>
        <v>1</v>
      </c>
      <c r="AB29" s="13">
        <f t="shared" si="10"/>
        <v>48</v>
      </c>
      <c r="AC29" s="12">
        <f t="shared" si="11"/>
        <v>0.20833333333333331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72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3</v>
      </c>
      <c r="BD29" s="12">
        <f>INDEX('[1]PV.STOCK TIAP GUDANG'!$A:$CV,MATCH($A29,'[1]PV.STOCK TIAP GUDANG'!$A:$A,0),MATCH("V70|8+256|SALES",[1]PVKEY!$1:$1,0))</f>
        <v>2</v>
      </c>
      <c r="BE29" s="13">
        <f t="shared" si="23"/>
        <v>36</v>
      </c>
      <c r="BF29" s="12">
        <f t="shared" si="24"/>
        <v>0.66666666666666663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0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0</v>
      </c>
      <c r="BN29" s="12">
        <f t="shared" si="28"/>
        <v>0.33333333333333331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72</v>
      </c>
      <c r="CD29" s="12">
        <f t="shared" si="36"/>
        <v>0.20833333333333331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1</v>
      </c>
      <c r="CG29" s="13">
        <f t="shared" si="37"/>
        <v>48</v>
      </c>
      <c r="CH29" s="12">
        <f t="shared" si="38"/>
        <v>0.29166666666666663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24</v>
      </c>
      <c r="CO29" s="11">
        <f>INDEX('[1]PV.STOCK TIAP GUDANG'!$A:$CV,MATCH($A29,'[1]PV.STOCK TIAP GUDANG'!$A:$A,0),MATCH("Y05E|4+64|STOCK",[1]PVKEY!$1:$1,0))</f>
        <v>0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0</v>
      </c>
      <c r="CR29" s="14">
        <f t="shared" si="42"/>
        <v>45</v>
      </c>
      <c r="CS29" s="14">
        <f t="shared" si="43"/>
        <v>17</v>
      </c>
      <c r="CT29" s="14">
        <f t="shared" si="44"/>
        <v>63.529411764705877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72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1</v>
      </c>
      <c r="AO30" s="12">
        <f>INDEX('[1]PV.STOCK TIAP GUDANG'!$A:$CV,MATCH($A30,'[1]PV.STOCK TIAP GUDANG'!$A:$A,0),MATCH("Y31DPRO|6+128|SALES",[1]PVKEY!$1:$1,0))</f>
        <v>1</v>
      </c>
      <c r="AP30" s="13">
        <f t="shared" si="16"/>
        <v>24</v>
      </c>
      <c r="AQ30" s="12">
        <f t="shared" si="17"/>
        <v>0.20833333333333331</v>
      </c>
      <c r="AR30" s="11">
        <f>INDEX('[1]PV.STOCK TIAP GUDANG'!$A:$CV,MATCH($A30,'[1]PV.STOCK TIAP GUDANG'!$A:$A,0),MATCH("Y31DPRO|8+128|STOCK",[1]PVKEY!$1:$1,0))</f>
        <v>1</v>
      </c>
      <c r="AS30" s="12">
        <f>INDEX('[1]PV.STOCK TIAP GUDANG'!$A:$CV,MATCH($A30,'[1]PV.STOCK TIAP GUDANG'!$A:$A,0),MATCH("Y31DPRO|8+128|SALES",[1]PVKEY!$1:$1,0))</f>
        <v>0</v>
      </c>
      <c r="AT30" s="13" t="str">
        <f t="shared" si="18"/>
        <v/>
      </c>
      <c r="AU30" s="12">
        <f t="shared" si="19"/>
        <v>0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48</v>
      </c>
      <c r="CD30" s="12">
        <f t="shared" si="36"/>
        <v>0.20833333333333331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2</v>
      </c>
      <c r="CJ30" s="12">
        <f>INDEX('[1]PV.STOCK TIAP GUDANG'!$A:$CV,MATCH($A30,'[1]PV.STOCK TIAP GUDANG'!$A:$A,0),MATCH("Y500|6+128|SALES",[1]PVKEY!$1:$1,0))</f>
        <v>2</v>
      </c>
      <c r="CK30" s="13">
        <f t="shared" si="39"/>
        <v>24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48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27</v>
      </c>
      <c r="CS30" s="14">
        <f t="shared" si="43"/>
        <v>6</v>
      </c>
      <c r="CT30" s="14">
        <f t="shared" si="44"/>
        <v>108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3</v>
      </c>
      <c r="W31" s="12">
        <f>INDEX('[1]PV.STOCK TIAP GUDANG'!$A:$CV,MATCH($A31,'[1]PV.STOCK TIAP GUDANG'!$A:$A,0),MATCH("Y11D|4+128|SALES",[1]PVKEY!$1:$1,0))</f>
        <v>5</v>
      </c>
      <c r="X31" s="13">
        <f t="shared" si="8"/>
        <v>14.4</v>
      </c>
      <c r="Y31" s="12">
        <f t="shared" si="9"/>
        <v>1.0416666666666667</v>
      </c>
      <c r="Z31" s="11">
        <f>INDEX('[1]PV.STOCK TIAP GUDANG'!$A:$CV,MATCH($A31,'[1]PV.STOCK TIAP GUDANG'!$A:$A,0),MATCH("Y11D|4+64|STOCK",[1]PVKEY!$1:$1,0))</f>
        <v>3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36</v>
      </c>
      <c r="AC31" s="12">
        <f t="shared" si="11"/>
        <v>0.41666666666666663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48</v>
      </c>
      <c r="AG31" s="12">
        <f t="shared" si="13"/>
        <v>0.20833333333333331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72</v>
      </c>
      <c r="AK31" s="11">
        <f>INDEX('[1]PV.STOCK TIAP GUDANG'!$A:$CV,MATCH($A31,'[1]PV.STOCK TIAP GUDANG'!$A:$A,0),MATCH("Y31DPRO|4+128|STOCK",[1]PVKEY!$1:$1,0))</f>
        <v>1</v>
      </c>
      <c r="AL31" s="12">
        <f>INDEX('[1]PV.STOCK TIAP GUDANG'!$A:$CV,MATCH($A31,'[1]PV.STOCK TIAP GUDANG'!$A:$A,0),MATCH("Y31DPRO|4+128|SALES",[1]PVKEY!$1:$1,0))</f>
        <v>5</v>
      </c>
      <c r="AM31" s="13">
        <f t="shared" si="15"/>
        <v>4.8</v>
      </c>
      <c r="AN31" s="11">
        <f>INDEX('[1]PV.STOCK TIAP GUDANG'!$A:$CV,MATCH($A31,'[1]PV.STOCK TIAP GUDANG'!$A:$A,0),MATCH("Y31DPRO|6+128|STOCK",[1]PVKEY!$1:$1,0))</f>
        <v>2</v>
      </c>
      <c r="AO31" s="12">
        <f>INDEX('[1]PV.STOCK TIAP GUDANG'!$A:$CV,MATCH($A31,'[1]PV.STOCK TIAP GUDANG'!$A:$A,0),MATCH("Y31DPRO|6+128|SALES",[1]PVKEY!$1:$1,0))</f>
        <v>5</v>
      </c>
      <c r="AP31" s="13">
        <f t="shared" si="16"/>
        <v>9.6</v>
      </c>
      <c r="AQ31" s="12">
        <f t="shared" si="17"/>
        <v>1.0416666666666667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0</v>
      </c>
      <c r="AT31" s="13" t="str">
        <f t="shared" si="18"/>
        <v/>
      </c>
      <c r="AU31" s="12">
        <f t="shared" si="19"/>
        <v>0</v>
      </c>
      <c r="AV31" s="11">
        <f>INDEX('[1]PV.STOCK TIAP GUDANG'!$A:$CV,MATCH($A31,'[1]PV.STOCK TIAP GUDANG'!$A:$A,0),MATCH("Y31DPRO|8+256|STOCK",[1]PVKEY!$1:$1,0))</f>
        <v>2</v>
      </c>
      <c r="AW31" s="12">
        <f>INDEX('[1]PV.STOCK TIAP GUDANG'!$A:$CV,MATCH($A31,'[1]PV.STOCK TIAP GUDANG'!$A:$A,0),MATCH("Y31DPRO|8+256|SALES",[1]PVKEY!$1:$1,0))</f>
        <v>0</v>
      </c>
      <c r="AX31" s="13" t="str">
        <f t="shared" si="20"/>
        <v/>
      </c>
      <c r="AY31" s="12">
        <f t="shared" si="21"/>
        <v>0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1</v>
      </c>
      <c r="BD31" s="12">
        <f>INDEX('[1]PV.STOCK TIAP GUDANG'!$A:$CV,MATCH($A31,'[1]PV.STOCK TIAP GUDANG'!$A:$A,0),MATCH("V70|8+256|SALES",[1]PVKEY!$1:$1,0))</f>
        <v>3</v>
      </c>
      <c r="BE31" s="13">
        <f t="shared" si="23"/>
        <v>8</v>
      </c>
      <c r="BF31" s="12">
        <f t="shared" si="24"/>
        <v>1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0.33333333333333331</v>
      </c>
      <c r="BO31" s="11">
        <f>INDEX('[1]PV.STOCK TIAP GUDANG'!$A:$CV,MATCH($A31,'[1]PV.STOCK TIAP GUDANG'!$A:$A,0),MATCH("V70FE|12+256|STOCK",[1]PVKEY!$1:$1,0))</f>
        <v>3</v>
      </c>
      <c r="BP31" s="12">
        <f>INDEX('[1]PV.STOCK TIAP GUDANG'!$A:$CV,MATCH($A31,'[1]PV.STOCK TIAP GUDANG'!$A:$A,0),MATCH("V70FE|12+256|SALES",[1]PVKEY!$1:$1,0))</f>
        <v>2</v>
      </c>
      <c r="BQ31" s="13">
        <f t="shared" si="29"/>
        <v>36</v>
      </c>
      <c r="BR31" s="12">
        <f t="shared" si="30"/>
        <v>0.66666666666666663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1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12</v>
      </c>
      <c r="BZ31" s="12">
        <f t="shared" si="34"/>
        <v>0.66666666666666663</v>
      </c>
      <c r="CA31" s="11">
        <f>INDEX('[1]PV.STOCK TIAP GUDANG'!$A:$CV,MATCH($A31,'[1]PV.STOCK TIAP GUDANG'!$A:$A,0),MATCH("Y05|4+128|STOCK",[1]PVKEY!$1:$1,0))</f>
        <v>4</v>
      </c>
      <c r="CB31" s="12">
        <f>INDEX('[1]PV.STOCK TIAP GUDANG'!$A:$CV,MATCH($A31,'[1]PV.STOCK TIAP GUDANG'!$A:$A,0),MATCH("Y05|4+128|SALES",[1]PVKEY!$1:$1,0))</f>
        <v>1</v>
      </c>
      <c r="CC31" s="13">
        <f t="shared" si="35"/>
        <v>96</v>
      </c>
      <c r="CD31" s="12">
        <f t="shared" si="36"/>
        <v>0.20833333333333331</v>
      </c>
      <c r="CE31" s="11">
        <f>INDEX('[1]PV.STOCK TIAP GUDANG'!$A:$CV,MATCH($A31,'[1]PV.STOCK TIAP GUDANG'!$A:$A,0),MATCH("Y05|4+64|STOCK",[1]PVKEY!$1:$1,0))</f>
        <v>6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144</v>
      </c>
      <c r="CH31" s="12">
        <f t="shared" si="38"/>
        <v>0.29166666666666663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24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1</v>
      </c>
      <c r="CP31" s="12">
        <f>INDEX('[1]PV.STOCK TIAP GUDANG'!$A:$CV,MATCH($A31,'[1]PV.STOCK TIAP GUDANG'!$A:$A,0),MATCH("Y05E|4+64|SALES",[1]PVKEY!$1:$1,0))</f>
        <v>8</v>
      </c>
      <c r="CQ31" s="13">
        <f t="shared" si="41"/>
        <v>3</v>
      </c>
      <c r="CR31" s="14">
        <f t="shared" si="42"/>
        <v>39</v>
      </c>
      <c r="CS31" s="14">
        <f t="shared" si="43"/>
        <v>39</v>
      </c>
      <c r="CT31" s="14">
        <f t="shared" si="44"/>
        <v>24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48</v>
      </c>
      <c r="H32" s="11">
        <f>INDEX('[1]PV.STOCK TIAP GUDANG'!$A:$CV,MATCH($A32,'[1]PV.STOCK TIAP GUDANG'!$A:$A,0),MATCH("X300ULTRA|16+512|STOCK",[1]PVKEY!$1:$1,0))</f>
        <v>1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8</v>
      </c>
      <c r="K32" s="12">
        <f t="shared" si="3"/>
        <v>1.25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4</v>
      </c>
      <c r="W32" s="12">
        <f>INDEX('[1]PV.STOCK TIAP GUDANG'!$A:$CV,MATCH($A32,'[1]PV.STOCK TIAP GUDANG'!$A:$A,0),MATCH("Y11D|4+128|SALES",[1]PVKEY!$1:$1,0))</f>
        <v>5</v>
      </c>
      <c r="X32" s="13">
        <f t="shared" si="8"/>
        <v>19.2</v>
      </c>
      <c r="Y32" s="12">
        <f t="shared" si="9"/>
        <v>1.0416666666666667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3</v>
      </c>
      <c r="AB32" s="13">
        <f t="shared" si="10"/>
        <v>16</v>
      </c>
      <c r="AC32" s="12">
        <f t="shared" si="11"/>
        <v>0.625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4</v>
      </c>
      <c r="AI32" s="12">
        <f>INDEX('[1]PV.STOCK TIAP GUDANG'!$A:$CV,MATCH($A32,'[1]PV.STOCK TIAP GUDANG'!$A:$A,0),MATCH("Y31D|4+128|SALES",[1]PVKEY!$1:$1,0))</f>
        <v>2</v>
      </c>
      <c r="AJ32" s="13">
        <f t="shared" si="14"/>
        <v>48</v>
      </c>
      <c r="AK32" s="11">
        <f>INDEX('[1]PV.STOCK TIAP GUDANG'!$A:$CV,MATCH($A32,'[1]PV.STOCK TIAP GUDANG'!$A:$A,0),MATCH("Y31DPRO|4+128|STOCK",[1]PVKEY!$1:$1,0))</f>
        <v>0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0</v>
      </c>
      <c r="AN32" s="11">
        <f>INDEX('[1]PV.STOCK TIAP GUDANG'!$A:$CV,MATCH($A32,'[1]PV.STOCK TIAP GUDANG'!$A:$A,0),MATCH("Y31DPRO|6+128|STOCK",[1]PVKEY!$1:$1,0))</f>
        <v>3</v>
      </c>
      <c r="AO32" s="12">
        <f>INDEX('[1]PV.STOCK TIAP GUDANG'!$A:$CV,MATCH($A32,'[1]PV.STOCK TIAP GUDANG'!$A:$A,0),MATCH("Y31DPRO|6+128|SALES",[1]PVKEY!$1:$1,0))</f>
        <v>3</v>
      </c>
      <c r="AP32" s="13">
        <f t="shared" si="16"/>
        <v>24</v>
      </c>
      <c r="AQ32" s="12">
        <f t="shared" si="17"/>
        <v>0.625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12</v>
      </c>
      <c r="AY32" s="12">
        <f t="shared" si="21"/>
        <v>0.41666666666666663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48</v>
      </c>
      <c r="BF32" s="12">
        <f t="shared" si="24"/>
        <v>0.33333333333333331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0.33333333333333331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60</v>
      </c>
      <c r="CD32" s="12">
        <f t="shared" si="36"/>
        <v>0.41666666666666663</v>
      </c>
      <c r="CE32" s="11">
        <f>INDEX('[1]PV.STOCK TIAP GUDANG'!$A:$CV,MATCH($A32,'[1]PV.STOCK TIAP GUDANG'!$A:$A,0),MATCH("Y05|4+64|STOCK",[1]PVKEY!$1:$1,0))</f>
        <v>2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12</v>
      </c>
      <c r="CH32" s="12">
        <f t="shared" si="38"/>
        <v>1.1666666666666665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48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36</v>
      </c>
      <c r="CO32" s="11">
        <f>INDEX('[1]PV.STOCK TIAP GUDANG'!$A:$CV,MATCH($A32,'[1]PV.STOCK TIAP GUDANG'!$A:$A,0),MATCH("Y05E|4+64|STOCK",[1]PVKEY!$1:$1,0))</f>
        <v>3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24</v>
      </c>
      <c r="CR32" s="14">
        <f t="shared" si="42"/>
        <v>46</v>
      </c>
      <c r="CS32" s="14">
        <f t="shared" si="43"/>
        <v>37</v>
      </c>
      <c r="CT32" s="14">
        <f t="shared" si="44"/>
        <v>29.837837837837835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5</v>
      </c>
      <c r="W33" s="12">
        <f>INDEX('[1]PV.STOCK TIAP GUDANG'!$A:$CV,MATCH($A33,'[1]PV.STOCK TIAP GUDANG'!$A:$A,0),MATCH("Y11D|4+128|SALES",[1]PVKEY!$1:$1,0))</f>
        <v>8</v>
      </c>
      <c r="X33" s="13">
        <f t="shared" si="8"/>
        <v>15</v>
      </c>
      <c r="Y33" s="12">
        <f t="shared" si="9"/>
        <v>1.6666666666666665</v>
      </c>
      <c r="Z33" s="11">
        <f>INDEX('[1]PV.STOCK TIAP GUDANG'!$A:$CV,MATCH($A33,'[1]PV.STOCK TIAP GUDANG'!$A:$A,0),MATCH("Y11D|4+64|STOCK",[1]PVKEY!$1:$1,0))</f>
        <v>2</v>
      </c>
      <c r="AA33" s="12">
        <f>INDEX('[1]PV.STOCK TIAP GUDANG'!$A:$CV,MATCH($A33,'[1]PV.STOCK TIAP GUDANG'!$A:$A,0),MATCH("Y11D|4+64|SALES",[1]PVKEY!$1:$1,0))</f>
        <v>3</v>
      </c>
      <c r="AB33" s="13">
        <f t="shared" si="10"/>
        <v>16</v>
      </c>
      <c r="AC33" s="12">
        <f t="shared" si="11"/>
        <v>0.625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96</v>
      </c>
      <c r="AK33" s="11">
        <f>INDEX('[1]PV.STOCK TIAP GUDANG'!$A:$CV,MATCH($A33,'[1]PV.STOCK TIAP GUDANG'!$A:$A,0),MATCH("Y31DPRO|4+128|STOCK",[1]PVKEY!$1:$1,0))</f>
        <v>4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96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48</v>
      </c>
      <c r="AQ33" s="12">
        <f t="shared" si="17"/>
        <v>0.625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48</v>
      </c>
      <c r="AU33" s="12">
        <f t="shared" si="19"/>
        <v>0.20833333333333331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3</v>
      </c>
      <c r="BD33" s="12">
        <f>INDEX('[1]PV.STOCK TIAP GUDANG'!$A:$CV,MATCH($A33,'[1]PV.STOCK TIAP GUDANG'!$A:$A,0),MATCH("V70|8+256|SALES",[1]PVKEY!$1:$1,0))</f>
        <v>0</v>
      </c>
      <c r="BE33" s="13" t="str">
        <f t="shared" si="23"/>
        <v/>
      </c>
      <c r="BF33" s="12">
        <f t="shared" si="24"/>
        <v>0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0.66666666666666663</v>
      </c>
      <c r="BO33" s="11">
        <f>INDEX('[1]PV.STOCK TIAP GUDANG'!$A:$CV,MATCH($A33,'[1]PV.STOCK TIAP GUDANG'!$A:$A,0),MATCH("V70FE|12+256|STOCK",[1]PVKEY!$1:$1,0))</f>
        <v>5</v>
      </c>
      <c r="BP33" s="12">
        <f>INDEX('[1]PV.STOCK TIAP GUDANG'!$A:$CV,MATCH($A33,'[1]PV.STOCK TIAP GUDANG'!$A:$A,0),MATCH("V70FE|12+256|SALES",[1]PVKEY!$1:$1,0))</f>
        <v>0</v>
      </c>
      <c r="BQ33" s="13" t="str">
        <f t="shared" si="29"/>
        <v/>
      </c>
      <c r="BR33" s="12">
        <f t="shared" si="30"/>
        <v>0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4</v>
      </c>
      <c r="CB33" s="12">
        <f>INDEX('[1]PV.STOCK TIAP GUDANG'!$A:$CV,MATCH($A33,'[1]PV.STOCK TIAP GUDANG'!$A:$A,0),MATCH("Y05|4+128|SALES",[1]PVKEY!$1:$1,0))</f>
        <v>5</v>
      </c>
      <c r="CC33" s="13">
        <f t="shared" si="35"/>
        <v>19.2</v>
      </c>
      <c r="CD33" s="12">
        <f t="shared" si="36"/>
        <v>1.0416666666666667</v>
      </c>
      <c r="CE33" s="11">
        <f>INDEX('[1]PV.STOCK TIAP GUDANG'!$A:$CV,MATCH($A33,'[1]PV.STOCK TIAP GUDANG'!$A:$A,0),MATCH("Y05|4+64|STOCK",[1]PVKEY!$1:$1,0))</f>
        <v>5</v>
      </c>
      <c r="CF33" s="12">
        <f>INDEX('[1]PV.STOCK TIAP GUDANG'!$A:$CV,MATCH($A33,'[1]PV.STOCK TIAP GUDANG'!$A:$A,0),MATCH("Y05|4+64|SALES",[1]PVKEY!$1:$1,0))</f>
        <v>1</v>
      </c>
      <c r="CG33" s="13">
        <f t="shared" si="37"/>
        <v>120</v>
      </c>
      <c r="CH33" s="12">
        <f t="shared" si="38"/>
        <v>0.29166666666666663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36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96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24</v>
      </c>
      <c r="CR33" s="14">
        <f t="shared" si="42"/>
        <v>56</v>
      </c>
      <c r="CS33" s="14">
        <f t="shared" si="43"/>
        <v>31</v>
      </c>
      <c r="CT33" s="14">
        <f t="shared" si="44"/>
        <v>43.354838709677416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24</v>
      </c>
      <c r="K34" s="12">
        <f t="shared" si="3"/>
        <v>0.41666666666666663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4</v>
      </c>
      <c r="W34" s="12">
        <f>INDEX('[1]PV.STOCK TIAP GUDANG'!$A:$CV,MATCH($A34,'[1]PV.STOCK TIAP GUDANG'!$A:$A,0),MATCH("Y11D|4+128|SALES",[1]PVKEY!$1:$1,0))</f>
        <v>2</v>
      </c>
      <c r="X34" s="13">
        <f t="shared" si="8"/>
        <v>48</v>
      </c>
      <c r="Y34" s="12">
        <f t="shared" si="9"/>
        <v>0.41666666666666663</v>
      </c>
      <c r="Z34" s="11">
        <f>INDEX('[1]PV.STOCK TIAP GUDANG'!$A:$CV,MATCH($A34,'[1]PV.STOCK TIAP GUDANG'!$A:$A,0),MATCH("Y11D|4+64|STOCK",[1]PVKEY!$1:$1,0))</f>
        <v>2</v>
      </c>
      <c r="AA34" s="12">
        <f>INDEX('[1]PV.STOCK TIAP GUDANG'!$A:$CV,MATCH($A34,'[1]PV.STOCK TIAP GUDANG'!$A:$A,0),MATCH("Y11D|4+64|SALES",[1]PVKEY!$1:$1,0))</f>
        <v>1</v>
      </c>
      <c r="AB34" s="13">
        <f t="shared" si="10"/>
        <v>48</v>
      </c>
      <c r="AC34" s="12">
        <f t="shared" si="11"/>
        <v>0.20833333333333331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48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24</v>
      </c>
      <c r="AQ34" s="12">
        <f t="shared" si="17"/>
        <v>0.41666666666666663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8</v>
      </c>
      <c r="BF34" s="12">
        <f t="shared" si="24"/>
        <v>1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0.33333333333333331</v>
      </c>
      <c r="BO34" s="11">
        <f>INDEX('[1]PV.STOCK TIAP GUDANG'!$A:$CV,MATCH($A34,'[1]PV.STOCK TIAP GUDANG'!$A:$A,0),MATCH("V70FE|12+256|STOCK",[1]PVKEY!$1:$1,0))</f>
        <v>1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24</v>
      </c>
      <c r="BR34" s="12">
        <f t="shared" si="30"/>
        <v>0.33333333333333331</v>
      </c>
      <c r="BS34" s="11">
        <f>INDEX('[1]PV.STOCK TIAP GUDANG'!$A:$CV,MATCH($A34,'[1]PV.STOCK TIAP GUDANG'!$A:$A,0),MATCH("V60LITE5G|8+256|STOCK",[1]PVKEY!$1:$1,0))</f>
        <v>1</v>
      </c>
      <c r="BT34" s="12">
        <f>INDEX('[1]PV.STOCK TIAP GUDANG'!$A:$CV,MATCH($A34,'[1]PV.STOCK TIAP GUDANG'!$A:$A,0),MATCH("V60LITE5G|8+256|SALES",[1]PVKEY!$1:$1,0))</f>
        <v>1</v>
      </c>
      <c r="BU34" s="13">
        <f t="shared" si="31"/>
        <v>24</v>
      </c>
      <c r="BV34" s="12">
        <f t="shared" si="32"/>
        <v>0.33333333333333331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4</v>
      </c>
      <c r="CC34" s="13">
        <f t="shared" si="35"/>
        <v>12</v>
      </c>
      <c r="CD34" s="12">
        <f t="shared" si="36"/>
        <v>0.83333333333333326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72</v>
      </c>
      <c r="CH34" s="12">
        <f t="shared" si="38"/>
        <v>0.29166666666666663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48</v>
      </c>
      <c r="CO34" s="11">
        <f>INDEX('[1]PV.STOCK TIAP GUDANG'!$A:$CV,MATCH($A34,'[1]PV.STOCK TIAP GUDANG'!$A:$A,0),MATCH("Y05E|4+64|STOCK",[1]PVKEY!$1:$1,0))</f>
        <v>1</v>
      </c>
      <c r="CP34" s="12">
        <f>INDEX('[1]PV.STOCK TIAP GUDANG'!$A:$CV,MATCH($A34,'[1]PV.STOCK TIAP GUDANG'!$A:$A,0),MATCH("Y05E|4+64|SALES",[1]PVKEY!$1:$1,0))</f>
        <v>2</v>
      </c>
      <c r="CQ34" s="13">
        <f t="shared" si="41"/>
        <v>12</v>
      </c>
      <c r="CR34" s="14">
        <f t="shared" si="42"/>
        <v>32</v>
      </c>
      <c r="CS34" s="14">
        <f t="shared" si="43"/>
        <v>21</v>
      </c>
      <c r="CT34" s="14">
        <f t="shared" si="44"/>
        <v>36.571428571428569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102</v>
      </c>
      <c r="H35" s="16">
        <f>SUM(H7:H34)</f>
        <v>27</v>
      </c>
      <c r="I35" s="17">
        <f>SUM(I7:I34)</f>
        <v>18</v>
      </c>
      <c r="J35" s="13">
        <f t="shared" si="2"/>
        <v>36</v>
      </c>
      <c r="K35" s="17">
        <f>SUM(K7:K34)</f>
        <v>7.5000000000000009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24</v>
      </c>
      <c r="V35" s="16">
        <f>SUM(V7:V34)</f>
        <v>116</v>
      </c>
      <c r="W35" s="17">
        <f>SUM(W7:W34)</f>
        <v>362</v>
      </c>
      <c r="X35" s="13">
        <f t="shared" si="8"/>
        <v>7.7</v>
      </c>
      <c r="Y35" s="17">
        <f>SUM(Y7:Y34)</f>
        <v>75.416666666666686</v>
      </c>
      <c r="Z35" s="16">
        <f>SUM(Z7:Z34)</f>
        <v>95</v>
      </c>
      <c r="AA35" s="17">
        <f>SUM(AA7:AA34)</f>
        <v>218</v>
      </c>
      <c r="AB35" s="13">
        <f t="shared" si="10"/>
        <v>10.5</v>
      </c>
      <c r="AC35" s="17">
        <f>SUM(AC7:AC34)</f>
        <v>45.416666666666671</v>
      </c>
      <c r="AD35" s="16">
        <f>SUM(AD7:AD34)</f>
        <v>33</v>
      </c>
      <c r="AE35" s="17">
        <f>SUM(AE7:AE34)</f>
        <v>22</v>
      </c>
      <c r="AF35" s="13">
        <f t="shared" si="12"/>
        <v>36</v>
      </c>
      <c r="AG35" s="17">
        <f>SUM(AG7:AG34)</f>
        <v>4.583333333333333</v>
      </c>
      <c r="AH35" s="16">
        <f>SUM(AH7:AH34)</f>
        <v>92</v>
      </c>
      <c r="AI35" s="17">
        <f>SUM(AI7:AI34)</f>
        <v>100</v>
      </c>
      <c r="AJ35" s="13">
        <f t="shared" si="14"/>
        <v>22.1</v>
      </c>
      <c r="AK35" s="16">
        <f>SUM(AK7:AK34)</f>
        <v>36</v>
      </c>
      <c r="AL35" s="17">
        <f>SUM(AL7:AL34)</f>
        <v>118</v>
      </c>
      <c r="AM35" s="13">
        <f t="shared" si="15"/>
        <v>7.3</v>
      </c>
      <c r="AN35" s="16">
        <f>SUM(AN7:AN34)</f>
        <v>85</v>
      </c>
      <c r="AO35" s="17">
        <f>SUM(AO7:AO34)</f>
        <v>157</v>
      </c>
      <c r="AP35" s="13">
        <f t="shared" si="16"/>
        <v>13</v>
      </c>
      <c r="AQ35" s="17">
        <f>SUM(AQ7:AQ34)</f>
        <v>32.708333333333321</v>
      </c>
      <c r="AR35" s="16">
        <f>SUM(AR7:AR34)</f>
        <v>70</v>
      </c>
      <c r="AS35" s="17">
        <f>SUM(AS7:AS34)</f>
        <v>53</v>
      </c>
      <c r="AT35" s="13">
        <f t="shared" si="18"/>
        <v>31.7</v>
      </c>
      <c r="AU35" s="17">
        <f>SUM(AU7:AU34)</f>
        <v>11.041666666666666</v>
      </c>
      <c r="AV35" s="16">
        <f>SUM(AV7:AV34)</f>
        <v>43</v>
      </c>
      <c r="AW35" s="17">
        <f>SUM(AW7:AW34)</f>
        <v>69</v>
      </c>
      <c r="AX35" s="13">
        <f t="shared" si="20"/>
        <v>15</v>
      </c>
      <c r="AY35" s="17">
        <f>SUM(AY7:AY34)</f>
        <v>14.375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34</v>
      </c>
      <c r="BD35" s="17">
        <f>SUM(BD7:BD34)</f>
        <v>59</v>
      </c>
      <c r="BE35" s="13">
        <f t="shared" si="23"/>
        <v>13.8</v>
      </c>
      <c r="BF35" s="17">
        <f>SUM(BF7:BF34)</f>
        <v>19.666666666666668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0.66666666666666663</v>
      </c>
      <c r="BK35" s="16">
        <f>SUM(BK7:BK34)</f>
        <v>3</v>
      </c>
      <c r="BL35" s="17">
        <f>SUM(BL7:BL34)</f>
        <v>26</v>
      </c>
      <c r="BM35" s="13">
        <f t="shared" si="27"/>
        <v>2.8</v>
      </c>
      <c r="BN35" s="17">
        <f>SUM(BN7:BN34)</f>
        <v>8.6666666666666661</v>
      </c>
      <c r="BO35" s="16">
        <f>SUM(BO7:BO34)</f>
        <v>79</v>
      </c>
      <c r="BP35" s="17">
        <f>SUM(BP7:BP34)</f>
        <v>72</v>
      </c>
      <c r="BQ35" s="13">
        <f t="shared" si="29"/>
        <v>26.3</v>
      </c>
      <c r="BR35" s="17">
        <f>SUM(BR7:BR34)</f>
        <v>23.999999999999996</v>
      </c>
      <c r="BS35" s="16">
        <f>SUM(BS7:BS34)</f>
        <v>4</v>
      </c>
      <c r="BT35" s="17">
        <f>SUM(BT7:BT34)</f>
        <v>10</v>
      </c>
      <c r="BU35" s="13">
        <f t="shared" si="31"/>
        <v>9.6</v>
      </c>
      <c r="BV35" s="17">
        <f>SUM(BV7:BV34)</f>
        <v>3.3333333333333335</v>
      </c>
      <c r="BW35" s="16">
        <f>SUM(BW7:BW34)</f>
        <v>68</v>
      </c>
      <c r="BX35" s="17">
        <f>SUM(BX7:BX34)</f>
        <v>77</v>
      </c>
      <c r="BY35" s="13">
        <f t="shared" si="33"/>
        <v>21.2</v>
      </c>
      <c r="BZ35" s="17">
        <f>SUM(BZ7:BZ34)</f>
        <v>25.666666666666668</v>
      </c>
      <c r="CA35" s="16">
        <f>SUM(CA7:CA34)</f>
        <v>138</v>
      </c>
      <c r="CB35" s="17">
        <f>SUM(CB7:CB34)</f>
        <v>203</v>
      </c>
      <c r="CC35" s="13">
        <f t="shared" si="35"/>
        <v>16.3</v>
      </c>
      <c r="CD35" s="17">
        <f>SUM(CD7:CD34)</f>
        <v>42.291666666666671</v>
      </c>
      <c r="CE35" s="16">
        <f>SUM(CE7:CE34)</f>
        <v>145</v>
      </c>
      <c r="CF35" s="17">
        <f>SUM(CF7:CF34)</f>
        <v>235</v>
      </c>
      <c r="CG35" s="13">
        <f t="shared" si="37"/>
        <v>14.8</v>
      </c>
      <c r="CH35" s="17">
        <f>SUM(CH7:CH34)</f>
        <v>68.5416666666667</v>
      </c>
      <c r="CI35" s="16">
        <f>SUM(CI7:CI34)</f>
        <v>71</v>
      </c>
      <c r="CJ35" s="17">
        <f>SUM(CJ7:CJ34)</f>
        <v>48</v>
      </c>
      <c r="CK35" s="13">
        <f t="shared" si="39"/>
        <v>35.5</v>
      </c>
      <c r="CL35" s="16">
        <f>SUM(CL7:CL34)</f>
        <v>59</v>
      </c>
      <c r="CM35" s="17">
        <f>SUM(CM7:CM34)</f>
        <v>33</v>
      </c>
      <c r="CN35" s="13">
        <f t="shared" si="40"/>
        <v>42.9</v>
      </c>
      <c r="CO35" s="16">
        <f>SUM(CO7:CO34)</f>
        <v>161</v>
      </c>
      <c r="CP35" s="17">
        <f>SUM(CP7:CP34)</f>
        <v>583</v>
      </c>
      <c r="CQ35" s="13">
        <f t="shared" si="41"/>
        <v>6.6</v>
      </c>
      <c r="CR35" s="14">
        <f>SUM(CR7:CR34)</f>
        <v>1379</v>
      </c>
      <c r="CS35" s="14">
        <f>SUM(CS7:CS34)</f>
        <v>2470</v>
      </c>
      <c r="CT35" s="14">
        <f>IF(OR(CS35="",CS35=0),"",ROUND(CR35/CS35*$B$2,1))</f>
        <v>13.4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2026-08-25T02:06:06Z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