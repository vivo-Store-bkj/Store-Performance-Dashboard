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michael/Desktop/02 Stock &amp; DOS/"/>
    </mc:Choice>
  </mc:AlternateContent>
  <xr:revisionPtr revIDLastSave="0" documentId="13_ncr:1_{8F8720B6-BD54-614B-B3F9-BE7B0CABE7A6}" xr6:coauthVersionLast="47" xr6:coauthVersionMax="47" xr10:uidLastSave="{00000000-0000-0000-0000-000000000000}"/>
  <bookViews>
    <workbookView xWindow="0" yWindow="600" windowWidth="32740" windowHeight="14840" xr2:uid="{00000000-000D-0000-FFFF-FFFF00000000}"/>
  </bookViews>
  <sheets>
    <sheet name="STOCK IQOO" sheetId="3" r:id="rId1"/>
    <sheet name="STOCK VIVO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6" i="3" l="1"/>
  <c r="BA36" i="3"/>
  <c r="AZ36" i="3"/>
  <c r="AX36" i="3"/>
  <c r="AY36" i="3" s="1"/>
  <c r="AW36" i="3"/>
  <c r="AV36" i="3"/>
  <c r="AU36" i="3"/>
  <c r="AT36" i="3"/>
  <c r="AR36" i="3"/>
  <c r="AS36" i="3" s="1"/>
  <c r="AQ36" i="3"/>
  <c r="AP36" i="3"/>
  <c r="AO36" i="3"/>
  <c r="AN36" i="3"/>
  <c r="AM36" i="3"/>
  <c r="AK36" i="3"/>
  <c r="AJ36" i="3"/>
  <c r="AL36" i="3" s="1"/>
  <c r="AG36" i="3"/>
  <c r="AI36" i="3" s="1"/>
  <c r="AF36" i="3"/>
  <c r="AD36" i="3"/>
  <c r="AC36" i="3"/>
  <c r="AE36" i="3" s="1"/>
  <c r="AB36" i="3"/>
  <c r="AA36" i="3"/>
  <c r="Z36" i="3"/>
  <c r="Y36" i="3"/>
  <c r="X36" i="3"/>
  <c r="U36" i="3"/>
  <c r="W36" i="3" s="1"/>
  <c r="T36" i="3"/>
  <c r="R36" i="3"/>
  <c r="S36" i="3" s="1"/>
  <c r="Q36" i="3"/>
  <c r="O36" i="3"/>
  <c r="P36" i="3" s="1"/>
  <c r="N36" i="3"/>
  <c r="L36" i="3"/>
  <c r="M36" i="3" s="1"/>
  <c r="K36" i="3"/>
  <c r="I36" i="3"/>
  <c r="J36" i="3" s="1"/>
  <c r="H36" i="3"/>
  <c r="F36" i="3"/>
  <c r="G36" i="3" s="1"/>
  <c r="E36" i="3"/>
  <c r="C36" i="3"/>
  <c r="D36" i="3" s="1"/>
  <c r="B36" i="3"/>
  <c r="BC36" i="3" s="1"/>
  <c r="BA35" i="3"/>
  <c r="BB35" i="3" s="1"/>
  <c r="AZ35" i="3"/>
  <c r="AX35" i="3"/>
  <c r="AY35" i="3" s="1"/>
  <c r="AW35" i="3"/>
  <c r="AU35" i="3"/>
  <c r="AV35" i="3" s="1"/>
  <c r="AT35" i="3"/>
  <c r="AR35" i="3"/>
  <c r="AS35" i="3" s="1"/>
  <c r="AQ35" i="3"/>
  <c r="AO35" i="3"/>
  <c r="AP35" i="3" s="1"/>
  <c r="AN35" i="3"/>
  <c r="AL35" i="3"/>
  <c r="AK35" i="3"/>
  <c r="AM35" i="3" s="1"/>
  <c r="AJ35" i="3"/>
  <c r="AI35" i="3"/>
  <c r="AH35" i="3"/>
  <c r="AG35" i="3"/>
  <c r="AF35" i="3"/>
  <c r="AC35" i="3"/>
  <c r="AE35" i="3" s="1"/>
  <c r="AB35" i="3"/>
  <c r="Z35" i="3"/>
  <c r="Y35" i="3"/>
  <c r="AA35" i="3" s="1"/>
  <c r="X35" i="3"/>
  <c r="W35" i="3"/>
  <c r="V35" i="3"/>
  <c r="U35" i="3"/>
  <c r="T35" i="3"/>
  <c r="R35" i="3"/>
  <c r="S35" i="3" s="1"/>
  <c r="Q35" i="3"/>
  <c r="P35" i="3"/>
  <c r="O35" i="3"/>
  <c r="N35" i="3"/>
  <c r="L35" i="3"/>
  <c r="M35" i="3" s="1"/>
  <c r="K35" i="3"/>
  <c r="J35" i="3"/>
  <c r="I35" i="3"/>
  <c r="H35" i="3"/>
  <c r="F35" i="3"/>
  <c r="G35" i="3" s="1"/>
  <c r="E35" i="3"/>
  <c r="D35" i="3"/>
  <c r="C35" i="3"/>
  <c r="B35" i="3"/>
  <c r="BC35" i="3" s="1"/>
  <c r="BB34" i="3"/>
  <c r="BA34" i="3"/>
  <c r="AZ34" i="3"/>
  <c r="AX34" i="3"/>
  <c r="AY34" i="3" s="1"/>
  <c r="AW34" i="3"/>
  <c r="AV34" i="3"/>
  <c r="AU34" i="3"/>
  <c r="AT34" i="3"/>
  <c r="AR34" i="3"/>
  <c r="AS34" i="3" s="1"/>
  <c r="AQ34" i="3"/>
  <c r="AP34" i="3"/>
  <c r="AO34" i="3"/>
  <c r="AN34" i="3"/>
  <c r="AK34" i="3"/>
  <c r="AM34" i="3" s="1"/>
  <c r="AJ34" i="3"/>
  <c r="AI34" i="3"/>
  <c r="AH34" i="3"/>
  <c r="AG34" i="3"/>
  <c r="AF34" i="3"/>
  <c r="AE34" i="3"/>
  <c r="AD34" i="3"/>
  <c r="AC34" i="3"/>
  <c r="AB34" i="3"/>
  <c r="Y34" i="3"/>
  <c r="AA34" i="3" s="1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D34" i="3" s="1"/>
  <c r="B34" i="3"/>
  <c r="BC34" i="3" s="1"/>
  <c r="BB33" i="3"/>
  <c r="BA33" i="3"/>
  <c r="AZ33" i="3"/>
  <c r="AX33" i="3"/>
  <c r="AY33" i="3" s="1"/>
  <c r="AW33" i="3"/>
  <c r="AV33" i="3"/>
  <c r="AU33" i="3"/>
  <c r="AT33" i="3"/>
  <c r="AR33" i="3"/>
  <c r="AS33" i="3" s="1"/>
  <c r="AQ33" i="3"/>
  <c r="AP33" i="3"/>
  <c r="AO33" i="3"/>
  <c r="AN33" i="3"/>
  <c r="AM33" i="3"/>
  <c r="AL33" i="3"/>
  <c r="AK33" i="3"/>
  <c r="AJ33" i="3"/>
  <c r="AH33" i="3"/>
  <c r="AG33" i="3"/>
  <c r="AI33" i="3" s="1"/>
  <c r="AF33" i="3"/>
  <c r="AD33" i="3"/>
  <c r="AC33" i="3"/>
  <c r="AE33" i="3" s="1"/>
  <c r="AB33" i="3"/>
  <c r="AA33" i="3"/>
  <c r="Z33" i="3"/>
  <c r="Y33" i="3"/>
  <c r="X33" i="3"/>
  <c r="V33" i="3"/>
  <c r="U33" i="3"/>
  <c r="W33" i="3" s="1"/>
  <c r="T33" i="3"/>
  <c r="R33" i="3"/>
  <c r="S33" i="3" s="1"/>
  <c r="Q33" i="3"/>
  <c r="P33" i="3"/>
  <c r="O33" i="3"/>
  <c r="N33" i="3"/>
  <c r="L33" i="3"/>
  <c r="M33" i="3" s="1"/>
  <c r="K33" i="3"/>
  <c r="J33" i="3"/>
  <c r="I33" i="3"/>
  <c r="H33" i="3"/>
  <c r="F33" i="3"/>
  <c r="G33" i="3" s="1"/>
  <c r="E33" i="3"/>
  <c r="D33" i="3"/>
  <c r="C33" i="3"/>
  <c r="BD33" i="3" s="1"/>
  <c r="B33" i="3"/>
  <c r="BC33" i="3" s="1"/>
  <c r="BE33" i="3" s="1"/>
  <c r="BB32" i="3"/>
  <c r="BA32" i="3"/>
  <c r="AZ32" i="3"/>
  <c r="AX32" i="3"/>
  <c r="AY32" i="3" s="1"/>
  <c r="AW32" i="3"/>
  <c r="AV32" i="3"/>
  <c r="AU32" i="3"/>
  <c r="AT32" i="3"/>
  <c r="AR32" i="3"/>
  <c r="AS32" i="3" s="1"/>
  <c r="AQ32" i="3"/>
  <c r="AP32" i="3"/>
  <c r="AO32" i="3"/>
  <c r="AN32" i="3"/>
  <c r="AL32" i="3"/>
  <c r="AK32" i="3"/>
  <c r="AM32" i="3" s="1"/>
  <c r="AJ32" i="3"/>
  <c r="AI32" i="3"/>
  <c r="AH32" i="3"/>
  <c r="AG32" i="3"/>
  <c r="AF32" i="3"/>
  <c r="AD32" i="3"/>
  <c r="AC32" i="3"/>
  <c r="AE32" i="3" s="1"/>
  <c r="AB32" i="3"/>
  <c r="Z32" i="3"/>
  <c r="Y32" i="3"/>
  <c r="AA32" i="3" s="1"/>
  <c r="X32" i="3"/>
  <c r="W32" i="3"/>
  <c r="V32" i="3"/>
  <c r="U32" i="3"/>
  <c r="T32" i="3"/>
  <c r="R32" i="3"/>
  <c r="S32" i="3" s="1"/>
  <c r="Q32" i="3"/>
  <c r="P32" i="3"/>
  <c r="O32" i="3"/>
  <c r="N32" i="3"/>
  <c r="L32" i="3"/>
  <c r="M32" i="3" s="1"/>
  <c r="K32" i="3"/>
  <c r="J32" i="3"/>
  <c r="I32" i="3"/>
  <c r="H32" i="3"/>
  <c r="F32" i="3"/>
  <c r="G32" i="3" s="1"/>
  <c r="E32" i="3"/>
  <c r="D32" i="3"/>
  <c r="C32" i="3"/>
  <c r="B32" i="3"/>
  <c r="BC32" i="3" s="1"/>
  <c r="BB31" i="3"/>
  <c r="BA31" i="3"/>
  <c r="AZ31" i="3"/>
  <c r="AX31" i="3"/>
  <c r="AY31" i="3" s="1"/>
  <c r="AW31" i="3"/>
  <c r="AV31" i="3"/>
  <c r="AU31" i="3"/>
  <c r="AT31" i="3"/>
  <c r="AR31" i="3"/>
  <c r="AS31" i="3" s="1"/>
  <c r="AQ31" i="3"/>
  <c r="AP31" i="3"/>
  <c r="AO31" i="3"/>
  <c r="AN31" i="3"/>
  <c r="AL31" i="3"/>
  <c r="AK31" i="3"/>
  <c r="AM31" i="3" s="1"/>
  <c r="AJ31" i="3"/>
  <c r="AI31" i="3"/>
  <c r="AG31" i="3"/>
  <c r="AF31" i="3"/>
  <c r="AH31" i="3" s="1"/>
  <c r="AE31" i="3"/>
  <c r="AD31" i="3"/>
  <c r="AC31" i="3"/>
  <c r="AB31" i="3"/>
  <c r="Z31" i="3"/>
  <c r="Y31" i="3"/>
  <c r="AA31" i="3" s="1"/>
  <c r="X31" i="3"/>
  <c r="W31" i="3"/>
  <c r="V31" i="3"/>
  <c r="U31" i="3"/>
  <c r="T31" i="3"/>
  <c r="S31" i="3"/>
  <c r="R31" i="3"/>
  <c r="Q31" i="3"/>
  <c r="O31" i="3"/>
  <c r="N31" i="3"/>
  <c r="P31" i="3" s="1"/>
  <c r="M31" i="3"/>
  <c r="L31" i="3"/>
  <c r="K31" i="3"/>
  <c r="J31" i="3"/>
  <c r="I31" i="3"/>
  <c r="H31" i="3"/>
  <c r="F31" i="3"/>
  <c r="BD31" i="3" s="1"/>
  <c r="E31" i="3"/>
  <c r="D31" i="3"/>
  <c r="C31" i="3"/>
  <c r="B31" i="3"/>
  <c r="BC31" i="3" s="1"/>
  <c r="BE31" i="3" s="1"/>
  <c r="BA30" i="3"/>
  <c r="AZ30" i="3"/>
  <c r="BB30" i="3" s="1"/>
  <c r="AX30" i="3"/>
  <c r="AY30" i="3" s="1"/>
  <c r="AW30" i="3"/>
  <c r="AV30" i="3"/>
  <c r="AU30" i="3"/>
  <c r="AT30" i="3"/>
  <c r="AR30" i="3"/>
  <c r="AS30" i="3" s="1"/>
  <c r="AQ30" i="3"/>
  <c r="AP30" i="3"/>
  <c r="AO30" i="3"/>
  <c r="AN30" i="3"/>
  <c r="AM30" i="3"/>
  <c r="AL30" i="3"/>
  <c r="AK30" i="3"/>
  <c r="AJ30" i="3"/>
  <c r="AH30" i="3"/>
  <c r="AG30" i="3"/>
  <c r="AI30" i="3" s="1"/>
  <c r="AF30" i="3"/>
  <c r="AD30" i="3"/>
  <c r="AC30" i="3"/>
  <c r="AE30" i="3" s="1"/>
  <c r="AB30" i="3"/>
  <c r="AA30" i="3"/>
  <c r="Z30" i="3"/>
  <c r="Y30" i="3"/>
  <c r="X30" i="3"/>
  <c r="V30" i="3"/>
  <c r="U30" i="3"/>
  <c r="W30" i="3" s="1"/>
  <c r="T30" i="3"/>
  <c r="R30" i="3"/>
  <c r="S30" i="3" s="1"/>
  <c r="Q30" i="3"/>
  <c r="P30" i="3"/>
  <c r="O30" i="3"/>
  <c r="N30" i="3"/>
  <c r="L30" i="3"/>
  <c r="M30" i="3" s="1"/>
  <c r="K30" i="3"/>
  <c r="J30" i="3"/>
  <c r="I30" i="3"/>
  <c r="H30" i="3"/>
  <c r="F30" i="3"/>
  <c r="G30" i="3" s="1"/>
  <c r="E30" i="3"/>
  <c r="D30" i="3"/>
  <c r="C30" i="3"/>
  <c r="B30" i="3"/>
  <c r="BB29" i="3"/>
  <c r="BA29" i="3"/>
  <c r="AZ29" i="3"/>
  <c r="AX29" i="3"/>
  <c r="AY29" i="3" s="1"/>
  <c r="AW29" i="3"/>
  <c r="AU29" i="3"/>
  <c r="AV29" i="3" s="1"/>
  <c r="AT29" i="3"/>
  <c r="AR29" i="3"/>
  <c r="AS29" i="3" s="1"/>
  <c r="AQ29" i="3"/>
  <c r="AO29" i="3"/>
  <c r="AP29" i="3" s="1"/>
  <c r="AN29" i="3"/>
  <c r="AL29" i="3"/>
  <c r="AK29" i="3"/>
  <c r="AM29" i="3" s="1"/>
  <c r="AJ29" i="3"/>
  <c r="AI29" i="3"/>
  <c r="AH29" i="3"/>
  <c r="AG29" i="3"/>
  <c r="AF29" i="3"/>
  <c r="AD29" i="3"/>
  <c r="AC29" i="3"/>
  <c r="AE29" i="3" s="1"/>
  <c r="AB29" i="3"/>
  <c r="Z29" i="3"/>
  <c r="Y29" i="3"/>
  <c r="AA29" i="3" s="1"/>
  <c r="X29" i="3"/>
  <c r="W29" i="3"/>
  <c r="V29" i="3"/>
  <c r="U29" i="3"/>
  <c r="T29" i="3"/>
  <c r="R29" i="3"/>
  <c r="S29" i="3" s="1"/>
  <c r="Q29" i="3"/>
  <c r="P29" i="3"/>
  <c r="O29" i="3"/>
  <c r="N29" i="3"/>
  <c r="L29" i="3"/>
  <c r="K29" i="3"/>
  <c r="J29" i="3"/>
  <c r="I29" i="3"/>
  <c r="H29" i="3"/>
  <c r="F29" i="3"/>
  <c r="G29" i="3" s="1"/>
  <c r="E29" i="3"/>
  <c r="D29" i="3"/>
  <c r="C29" i="3"/>
  <c r="B29" i="3"/>
  <c r="BC29" i="3" s="1"/>
  <c r="BB28" i="3"/>
  <c r="BA28" i="3"/>
  <c r="AZ28" i="3"/>
  <c r="AX28" i="3"/>
  <c r="AY28" i="3" s="1"/>
  <c r="AW28" i="3"/>
  <c r="AV28" i="3"/>
  <c r="AU28" i="3"/>
  <c r="AT28" i="3"/>
  <c r="AR28" i="3"/>
  <c r="AS28" i="3" s="1"/>
  <c r="AQ28" i="3"/>
  <c r="AP28" i="3"/>
  <c r="AO28" i="3"/>
  <c r="AN28" i="3"/>
  <c r="AK28" i="3"/>
  <c r="AM28" i="3" s="1"/>
  <c r="AJ28" i="3"/>
  <c r="AI28" i="3"/>
  <c r="AH28" i="3"/>
  <c r="AG28" i="3"/>
  <c r="AF28" i="3"/>
  <c r="AE28" i="3"/>
  <c r="AD28" i="3"/>
  <c r="AC28" i="3"/>
  <c r="AB28" i="3"/>
  <c r="Y28" i="3"/>
  <c r="AA28" i="3" s="1"/>
  <c r="X28" i="3"/>
  <c r="W28" i="3"/>
  <c r="V28" i="3"/>
  <c r="U28" i="3"/>
  <c r="T28" i="3"/>
  <c r="R28" i="3"/>
  <c r="S28" i="3" s="1"/>
  <c r="Q28" i="3"/>
  <c r="O28" i="3"/>
  <c r="N28" i="3"/>
  <c r="P28" i="3" s="1"/>
  <c r="L28" i="3"/>
  <c r="M28" i="3" s="1"/>
  <c r="K28" i="3"/>
  <c r="J28" i="3"/>
  <c r="I28" i="3"/>
  <c r="H28" i="3"/>
  <c r="F28" i="3"/>
  <c r="G28" i="3" s="1"/>
  <c r="E28" i="3"/>
  <c r="D28" i="3"/>
  <c r="C28" i="3"/>
  <c r="B28" i="3"/>
  <c r="BC28" i="3" s="1"/>
  <c r="BB27" i="3"/>
  <c r="BA27" i="3"/>
  <c r="AZ27" i="3"/>
  <c r="AX27" i="3"/>
  <c r="AY27" i="3" s="1"/>
  <c r="AW27" i="3"/>
  <c r="AV27" i="3"/>
  <c r="AU27" i="3"/>
  <c r="AT27" i="3"/>
  <c r="AR27" i="3"/>
  <c r="AS27" i="3" s="1"/>
  <c r="AQ27" i="3"/>
  <c r="AP27" i="3"/>
  <c r="AO27" i="3"/>
  <c r="AN27" i="3"/>
  <c r="AM27" i="3"/>
  <c r="AL27" i="3"/>
  <c r="AK27" i="3"/>
  <c r="AJ27" i="3"/>
  <c r="AG27" i="3"/>
  <c r="AI27" i="3" s="1"/>
  <c r="AF27" i="3"/>
  <c r="AD27" i="3"/>
  <c r="AC27" i="3"/>
  <c r="AE27" i="3" s="1"/>
  <c r="AB27" i="3"/>
  <c r="AA27" i="3"/>
  <c r="Z27" i="3"/>
  <c r="Y27" i="3"/>
  <c r="X27" i="3"/>
  <c r="U27" i="3"/>
  <c r="W27" i="3" s="1"/>
  <c r="T27" i="3"/>
  <c r="R27" i="3"/>
  <c r="S27" i="3" s="1"/>
  <c r="Q27" i="3"/>
  <c r="O27" i="3"/>
  <c r="P27" i="3" s="1"/>
  <c r="N27" i="3"/>
  <c r="L27" i="3"/>
  <c r="M27" i="3" s="1"/>
  <c r="K27" i="3"/>
  <c r="I27" i="3"/>
  <c r="J27" i="3" s="1"/>
  <c r="H27" i="3"/>
  <c r="F27" i="3"/>
  <c r="G27" i="3" s="1"/>
  <c r="E27" i="3"/>
  <c r="C27" i="3"/>
  <c r="D27" i="3" s="1"/>
  <c r="B27" i="3"/>
  <c r="BB26" i="3"/>
  <c r="BA26" i="3"/>
  <c r="AZ26" i="3"/>
  <c r="AX26" i="3"/>
  <c r="AY26" i="3" s="1"/>
  <c r="AW26" i="3"/>
  <c r="AU26" i="3"/>
  <c r="AV26" i="3" s="1"/>
  <c r="AT26" i="3"/>
  <c r="AR26" i="3"/>
  <c r="AS26" i="3" s="1"/>
  <c r="AQ26" i="3"/>
  <c r="AO26" i="3"/>
  <c r="AP26" i="3" s="1"/>
  <c r="AN26" i="3"/>
  <c r="AL26" i="3"/>
  <c r="AK26" i="3"/>
  <c r="AM26" i="3" s="1"/>
  <c r="AJ26" i="3"/>
  <c r="AI26" i="3"/>
  <c r="AH26" i="3"/>
  <c r="AG26" i="3"/>
  <c r="AF26" i="3"/>
  <c r="AC26" i="3"/>
  <c r="AE26" i="3" s="1"/>
  <c r="AB26" i="3"/>
  <c r="Z26" i="3"/>
  <c r="Y26" i="3"/>
  <c r="AA26" i="3" s="1"/>
  <c r="X26" i="3"/>
  <c r="W26" i="3"/>
  <c r="V26" i="3"/>
  <c r="U26" i="3"/>
  <c r="T26" i="3"/>
  <c r="R26" i="3"/>
  <c r="S26" i="3" s="1"/>
  <c r="Q26" i="3"/>
  <c r="O26" i="3"/>
  <c r="N26" i="3"/>
  <c r="P26" i="3" s="1"/>
  <c r="L26" i="3"/>
  <c r="K26" i="3"/>
  <c r="I26" i="3"/>
  <c r="H26" i="3"/>
  <c r="J26" i="3" s="1"/>
  <c r="F26" i="3"/>
  <c r="G26" i="3" s="1"/>
  <c r="E26" i="3"/>
  <c r="D26" i="3"/>
  <c r="C26" i="3"/>
  <c r="B26" i="3"/>
  <c r="BB25" i="3"/>
  <c r="BA25" i="3"/>
  <c r="AZ25" i="3"/>
  <c r="AX25" i="3"/>
  <c r="AY25" i="3" s="1"/>
  <c r="AW25" i="3"/>
  <c r="AU25" i="3"/>
  <c r="AT25" i="3"/>
  <c r="AV25" i="3" s="1"/>
  <c r="AR25" i="3"/>
  <c r="AS25" i="3" s="1"/>
  <c r="AQ25" i="3"/>
  <c r="AP25" i="3"/>
  <c r="AO25" i="3"/>
  <c r="AN25" i="3"/>
  <c r="AL25" i="3"/>
  <c r="AK25" i="3"/>
  <c r="AM25" i="3" s="1"/>
  <c r="AJ25" i="3"/>
  <c r="AI25" i="3"/>
  <c r="AH25" i="3"/>
  <c r="AG25" i="3"/>
  <c r="AF25" i="3"/>
  <c r="AE25" i="3"/>
  <c r="AD25" i="3"/>
  <c r="AC25" i="3"/>
  <c r="AB25" i="3"/>
  <c r="Y25" i="3"/>
  <c r="AA25" i="3" s="1"/>
  <c r="X25" i="3"/>
  <c r="W25" i="3"/>
  <c r="V25" i="3"/>
  <c r="U25" i="3"/>
  <c r="T25" i="3"/>
  <c r="S25" i="3"/>
  <c r="R25" i="3"/>
  <c r="Q25" i="3"/>
  <c r="O25" i="3"/>
  <c r="N25" i="3"/>
  <c r="P25" i="3" s="1"/>
  <c r="M25" i="3"/>
  <c r="L25" i="3"/>
  <c r="K25" i="3"/>
  <c r="J25" i="3"/>
  <c r="I25" i="3"/>
  <c r="H25" i="3"/>
  <c r="G25" i="3"/>
  <c r="F25" i="3"/>
  <c r="E25" i="3"/>
  <c r="D25" i="3"/>
  <c r="C25" i="3"/>
  <c r="B25" i="3"/>
  <c r="BC25" i="3" s="1"/>
  <c r="BA24" i="3"/>
  <c r="AZ24" i="3"/>
  <c r="BB24" i="3" s="1"/>
  <c r="AY24" i="3"/>
  <c r="AX24" i="3"/>
  <c r="AW24" i="3"/>
  <c r="AV24" i="3"/>
  <c r="AU24" i="3"/>
  <c r="AT24" i="3"/>
  <c r="AR24" i="3"/>
  <c r="AS24" i="3" s="1"/>
  <c r="AQ24" i="3"/>
  <c r="AO24" i="3"/>
  <c r="AN24" i="3"/>
  <c r="AP24" i="3" s="1"/>
  <c r="AM24" i="3"/>
  <c r="AL24" i="3"/>
  <c r="AK24" i="3"/>
  <c r="AJ24" i="3"/>
  <c r="AG24" i="3"/>
  <c r="AI24" i="3" s="1"/>
  <c r="AF24" i="3"/>
  <c r="AE24" i="3"/>
  <c r="AD24" i="3"/>
  <c r="AC24" i="3"/>
  <c r="AB24" i="3"/>
  <c r="AA24" i="3"/>
  <c r="Z24" i="3"/>
  <c r="Y24" i="3"/>
  <c r="X24" i="3"/>
  <c r="U24" i="3"/>
  <c r="W24" i="3" s="1"/>
  <c r="T24" i="3"/>
  <c r="R24" i="3"/>
  <c r="S24" i="3" s="1"/>
  <c r="Q24" i="3"/>
  <c r="O24" i="3"/>
  <c r="N24" i="3"/>
  <c r="P24" i="3" s="1"/>
  <c r="L24" i="3"/>
  <c r="M24" i="3" s="1"/>
  <c r="K24" i="3"/>
  <c r="J24" i="3"/>
  <c r="I24" i="3"/>
  <c r="H24" i="3"/>
  <c r="F24" i="3"/>
  <c r="G24" i="3" s="1"/>
  <c r="E24" i="3"/>
  <c r="D24" i="3"/>
  <c r="C24" i="3"/>
  <c r="BD24" i="3" s="1"/>
  <c r="B24" i="3"/>
  <c r="BA23" i="3"/>
  <c r="BB23" i="3" s="1"/>
  <c r="AZ23" i="3"/>
  <c r="AX23" i="3"/>
  <c r="AY23" i="3" s="1"/>
  <c r="AW23" i="3"/>
  <c r="AU23" i="3"/>
  <c r="AV23" i="3" s="1"/>
  <c r="AT23" i="3"/>
  <c r="AR23" i="3"/>
  <c r="AS23" i="3" s="1"/>
  <c r="AQ23" i="3"/>
  <c r="AP23" i="3"/>
  <c r="AO23" i="3"/>
  <c r="AN23" i="3"/>
  <c r="AL23" i="3"/>
  <c r="AK23" i="3"/>
  <c r="AM23" i="3" s="1"/>
  <c r="AJ23" i="3"/>
  <c r="AI23" i="3"/>
  <c r="AH23" i="3"/>
  <c r="AG23" i="3"/>
  <c r="AF23" i="3"/>
  <c r="AD23" i="3"/>
  <c r="AC23" i="3"/>
  <c r="AE23" i="3" s="1"/>
  <c r="AB23" i="3"/>
  <c r="Z23" i="3"/>
  <c r="Y23" i="3"/>
  <c r="AA23" i="3" s="1"/>
  <c r="X23" i="3"/>
  <c r="W23" i="3"/>
  <c r="V23" i="3"/>
  <c r="U23" i="3"/>
  <c r="T23" i="3"/>
  <c r="R23" i="3"/>
  <c r="Q23" i="3"/>
  <c r="P23" i="3"/>
  <c r="O23" i="3"/>
  <c r="N23" i="3"/>
  <c r="L23" i="3"/>
  <c r="M23" i="3" s="1"/>
  <c r="K23" i="3"/>
  <c r="I23" i="3"/>
  <c r="H23" i="3"/>
  <c r="J23" i="3" s="1"/>
  <c r="F23" i="3"/>
  <c r="G23" i="3" s="1"/>
  <c r="E23" i="3"/>
  <c r="D23" i="3"/>
  <c r="C23" i="3"/>
  <c r="B23" i="3"/>
  <c r="BC23" i="3" s="1"/>
  <c r="BB22" i="3"/>
  <c r="BA22" i="3"/>
  <c r="AZ22" i="3"/>
  <c r="AX22" i="3"/>
  <c r="AY22" i="3" s="1"/>
  <c r="AW22" i="3"/>
  <c r="AU22" i="3"/>
  <c r="AT22" i="3"/>
  <c r="AV22" i="3" s="1"/>
  <c r="AR22" i="3"/>
  <c r="AQ22" i="3"/>
  <c r="AP22" i="3"/>
  <c r="AO22" i="3"/>
  <c r="AN22" i="3"/>
  <c r="AK22" i="3"/>
  <c r="AM22" i="3" s="1"/>
  <c r="AJ22" i="3"/>
  <c r="AI22" i="3"/>
  <c r="AH22" i="3"/>
  <c r="AG22" i="3"/>
  <c r="AF22" i="3"/>
  <c r="AE22" i="3"/>
  <c r="AD22" i="3"/>
  <c r="AC22" i="3"/>
  <c r="AB22" i="3"/>
  <c r="Y22" i="3"/>
  <c r="AA22" i="3" s="1"/>
  <c r="X22" i="3"/>
  <c r="BC22" i="3" s="1"/>
  <c r="W22" i="3"/>
  <c r="V22" i="3"/>
  <c r="U22" i="3"/>
  <c r="T22" i="3"/>
  <c r="R22" i="3"/>
  <c r="S22" i="3" s="1"/>
  <c r="Q22" i="3"/>
  <c r="P22" i="3"/>
  <c r="O22" i="3"/>
  <c r="N22" i="3"/>
  <c r="L22" i="3"/>
  <c r="M22" i="3" s="1"/>
  <c r="K22" i="3"/>
  <c r="J22" i="3"/>
  <c r="I22" i="3"/>
  <c r="H22" i="3"/>
  <c r="F22" i="3"/>
  <c r="G22" i="3" s="1"/>
  <c r="E22" i="3"/>
  <c r="D22" i="3"/>
  <c r="C22" i="3"/>
  <c r="B22" i="3"/>
  <c r="BB21" i="3"/>
  <c r="BA21" i="3"/>
  <c r="AZ21" i="3"/>
  <c r="AX21" i="3"/>
  <c r="AY21" i="3" s="1"/>
  <c r="AW21" i="3"/>
  <c r="AV21" i="3"/>
  <c r="AU21" i="3"/>
  <c r="AT21" i="3"/>
  <c r="AR21" i="3"/>
  <c r="AS21" i="3" s="1"/>
  <c r="AQ21" i="3"/>
  <c r="AP21" i="3"/>
  <c r="AO21" i="3"/>
  <c r="AN21" i="3"/>
  <c r="AM21" i="3"/>
  <c r="AL21" i="3"/>
  <c r="AK21" i="3"/>
  <c r="AJ21" i="3"/>
  <c r="AH21" i="3"/>
  <c r="AG21" i="3"/>
  <c r="AI21" i="3" s="1"/>
  <c r="AF21" i="3"/>
  <c r="AE21" i="3"/>
  <c r="AD21" i="3"/>
  <c r="AC21" i="3"/>
  <c r="AB21" i="3"/>
  <c r="AA21" i="3"/>
  <c r="Z21" i="3"/>
  <c r="Y21" i="3"/>
  <c r="X21" i="3"/>
  <c r="V21" i="3"/>
  <c r="U21" i="3"/>
  <c r="W21" i="3" s="1"/>
  <c r="T21" i="3"/>
  <c r="R21" i="3"/>
  <c r="S21" i="3" s="1"/>
  <c r="Q21" i="3"/>
  <c r="P21" i="3"/>
  <c r="O21" i="3"/>
  <c r="N21" i="3"/>
  <c r="L21" i="3"/>
  <c r="M21" i="3" s="1"/>
  <c r="K21" i="3"/>
  <c r="I21" i="3"/>
  <c r="J21" i="3" s="1"/>
  <c r="H21" i="3"/>
  <c r="F21" i="3"/>
  <c r="G21" i="3" s="1"/>
  <c r="E21" i="3"/>
  <c r="C21" i="3"/>
  <c r="D21" i="3" s="1"/>
  <c r="B21" i="3"/>
  <c r="BC21" i="3" s="1"/>
  <c r="BB20" i="3"/>
  <c r="BA20" i="3"/>
  <c r="AZ20" i="3"/>
  <c r="AX20" i="3"/>
  <c r="AY20" i="3" s="1"/>
  <c r="AW20" i="3"/>
  <c r="AU20" i="3"/>
  <c r="AV20" i="3" s="1"/>
  <c r="AT20" i="3"/>
  <c r="AR20" i="3"/>
  <c r="AS20" i="3" s="1"/>
  <c r="AQ20" i="3"/>
  <c r="AP20" i="3"/>
  <c r="AO20" i="3"/>
  <c r="AN20" i="3"/>
  <c r="AL20" i="3"/>
  <c r="AK20" i="3"/>
  <c r="AM20" i="3" s="1"/>
  <c r="AJ20" i="3"/>
  <c r="AI20" i="3"/>
  <c r="AH20" i="3"/>
  <c r="AG20" i="3"/>
  <c r="AF20" i="3"/>
  <c r="AC20" i="3"/>
  <c r="AE20" i="3" s="1"/>
  <c r="AB20" i="3"/>
  <c r="Z20" i="3"/>
  <c r="Y20" i="3"/>
  <c r="AA20" i="3" s="1"/>
  <c r="X20" i="3"/>
  <c r="W20" i="3"/>
  <c r="V20" i="3"/>
  <c r="U20" i="3"/>
  <c r="T20" i="3"/>
  <c r="R20" i="3"/>
  <c r="S20" i="3" s="1"/>
  <c r="Q20" i="3"/>
  <c r="P20" i="3"/>
  <c r="O20" i="3"/>
  <c r="N20" i="3"/>
  <c r="L20" i="3"/>
  <c r="M20" i="3" s="1"/>
  <c r="K20" i="3"/>
  <c r="J20" i="3"/>
  <c r="I20" i="3"/>
  <c r="H20" i="3"/>
  <c r="F20" i="3"/>
  <c r="G20" i="3" s="1"/>
  <c r="E20" i="3"/>
  <c r="D20" i="3"/>
  <c r="C20" i="3"/>
  <c r="B20" i="3"/>
  <c r="BB19" i="3"/>
  <c r="BA19" i="3"/>
  <c r="AZ19" i="3"/>
  <c r="AX19" i="3"/>
  <c r="AW19" i="3"/>
  <c r="AV19" i="3"/>
  <c r="AU19" i="3"/>
  <c r="AT19" i="3"/>
  <c r="AR19" i="3"/>
  <c r="AS19" i="3" s="1"/>
  <c r="AQ19" i="3"/>
  <c r="AO19" i="3"/>
  <c r="AN19" i="3"/>
  <c r="AP19" i="3" s="1"/>
  <c r="AL19" i="3"/>
  <c r="AK19" i="3"/>
  <c r="AM19" i="3" s="1"/>
  <c r="AJ19" i="3"/>
  <c r="AI19" i="3"/>
  <c r="AH19" i="3"/>
  <c r="AG19" i="3"/>
  <c r="AF19" i="3"/>
  <c r="AE19" i="3"/>
  <c r="AD19" i="3"/>
  <c r="AC19" i="3"/>
  <c r="AB19" i="3"/>
  <c r="Y19" i="3"/>
  <c r="AA19" i="3" s="1"/>
  <c r="X19" i="3"/>
  <c r="W19" i="3"/>
  <c r="V19" i="3"/>
  <c r="U19" i="3"/>
  <c r="T19" i="3"/>
  <c r="S19" i="3"/>
  <c r="R19" i="3"/>
  <c r="Q19" i="3"/>
  <c r="O19" i="3"/>
  <c r="N19" i="3"/>
  <c r="P19" i="3" s="1"/>
  <c r="M19" i="3"/>
  <c r="L19" i="3"/>
  <c r="K19" i="3"/>
  <c r="J19" i="3"/>
  <c r="I19" i="3"/>
  <c r="H19" i="3"/>
  <c r="G19" i="3"/>
  <c r="F19" i="3"/>
  <c r="E19" i="3"/>
  <c r="D19" i="3"/>
  <c r="C19" i="3"/>
  <c r="B19" i="3"/>
  <c r="BC19" i="3" s="1"/>
  <c r="BA18" i="3"/>
  <c r="AZ18" i="3"/>
  <c r="BB18" i="3" s="1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G18" i="3"/>
  <c r="AI18" i="3" s="1"/>
  <c r="AF18" i="3"/>
  <c r="AE18" i="3"/>
  <c r="AD18" i="3"/>
  <c r="AC18" i="3"/>
  <c r="AB18" i="3"/>
  <c r="Z18" i="3"/>
  <c r="Y18" i="3"/>
  <c r="AA18" i="3" s="1"/>
  <c r="X18" i="3"/>
  <c r="U18" i="3"/>
  <c r="W18" i="3" s="1"/>
  <c r="T18" i="3"/>
  <c r="S18" i="3"/>
  <c r="R18" i="3"/>
  <c r="Q18" i="3"/>
  <c r="O18" i="3"/>
  <c r="P18" i="3" s="1"/>
  <c r="N18" i="3"/>
  <c r="L18" i="3"/>
  <c r="M18" i="3" s="1"/>
  <c r="K18" i="3"/>
  <c r="I18" i="3"/>
  <c r="J18" i="3" s="1"/>
  <c r="H18" i="3"/>
  <c r="F18" i="3"/>
  <c r="G18" i="3" s="1"/>
  <c r="E18" i="3"/>
  <c r="C18" i="3"/>
  <c r="D18" i="3" s="1"/>
  <c r="B18" i="3"/>
  <c r="BB17" i="3"/>
  <c r="BA17" i="3"/>
  <c r="AZ17" i="3"/>
  <c r="AX17" i="3"/>
  <c r="AY17" i="3" s="1"/>
  <c r="AW17" i="3"/>
  <c r="AV17" i="3"/>
  <c r="AU17" i="3"/>
  <c r="AT17" i="3"/>
  <c r="AR17" i="3"/>
  <c r="AS17" i="3" s="1"/>
  <c r="AQ17" i="3"/>
  <c r="AP17" i="3"/>
  <c r="AO17" i="3"/>
  <c r="AN17" i="3"/>
  <c r="AK17" i="3"/>
  <c r="AL17" i="3" s="1"/>
  <c r="AJ17" i="3"/>
  <c r="AG17" i="3"/>
  <c r="AI17" i="3" s="1"/>
  <c r="AF17" i="3"/>
  <c r="AE17" i="3"/>
  <c r="AD17" i="3"/>
  <c r="AC17" i="3"/>
  <c r="AB17" i="3"/>
  <c r="Y17" i="3"/>
  <c r="AA17" i="3" s="1"/>
  <c r="X17" i="3"/>
  <c r="U17" i="3"/>
  <c r="W17" i="3" s="1"/>
  <c r="T17" i="3"/>
  <c r="S17" i="3"/>
  <c r="R17" i="3"/>
  <c r="Q17" i="3"/>
  <c r="O17" i="3"/>
  <c r="P17" i="3" s="1"/>
  <c r="N17" i="3"/>
  <c r="M17" i="3"/>
  <c r="L17" i="3"/>
  <c r="K17" i="3"/>
  <c r="I17" i="3"/>
  <c r="J17" i="3" s="1"/>
  <c r="H17" i="3"/>
  <c r="G17" i="3"/>
  <c r="F17" i="3"/>
  <c r="E17" i="3"/>
  <c r="C17" i="3"/>
  <c r="D17" i="3" s="1"/>
  <c r="B17" i="3"/>
  <c r="BC17" i="3" s="1"/>
  <c r="BA16" i="3"/>
  <c r="BB16" i="3" s="1"/>
  <c r="AZ16" i="3"/>
  <c r="AY16" i="3"/>
  <c r="AX16" i="3"/>
  <c r="AW16" i="3"/>
  <c r="AU16" i="3"/>
  <c r="AV16" i="3" s="1"/>
  <c r="AT16" i="3"/>
  <c r="AS16" i="3"/>
  <c r="AR16" i="3"/>
  <c r="AQ16" i="3"/>
  <c r="AO16" i="3"/>
  <c r="AP16" i="3" s="1"/>
  <c r="AN16" i="3"/>
  <c r="AM16" i="3"/>
  <c r="AL16" i="3"/>
  <c r="AK16" i="3"/>
  <c r="AJ16" i="3"/>
  <c r="AH16" i="3"/>
  <c r="AG16" i="3"/>
  <c r="AI16" i="3" s="1"/>
  <c r="AF16" i="3"/>
  <c r="AC16" i="3"/>
  <c r="AE16" i="3" s="1"/>
  <c r="AB16" i="3"/>
  <c r="AA16" i="3"/>
  <c r="Z16" i="3"/>
  <c r="Y16" i="3"/>
  <c r="X16" i="3"/>
  <c r="V16" i="3"/>
  <c r="U16" i="3"/>
  <c r="W16" i="3" s="1"/>
  <c r="T16" i="3"/>
  <c r="R16" i="3"/>
  <c r="S16" i="3" s="1"/>
  <c r="Q16" i="3"/>
  <c r="O16" i="3"/>
  <c r="P16" i="3" s="1"/>
  <c r="N16" i="3"/>
  <c r="L16" i="3"/>
  <c r="M16" i="3" s="1"/>
  <c r="K16" i="3"/>
  <c r="I16" i="3"/>
  <c r="J16" i="3" s="1"/>
  <c r="H16" i="3"/>
  <c r="F16" i="3"/>
  <c r="G16" i="3" s="1"/>
  <c r="E16" i="3"/>
  <c r="C16" i="3"/>
  <c r="D16" i="3" s="1"/>
  <c r="B16" i="3"/>
  <c r="BC16" i="3" s="1"/>
  <c r="BA15" i="3"/>
  <c r="BB15" i="3" s="1"/>
  <c r="AZ15" i="3"/>
  <c r="AX15" i="3"/>
  <c r="AY15" i="3" s="1"/>
  <c r="AW15" i="3"/>
  <c r="AU15" i="3"/>
  <c r="AV15" i="3" s="1"/>
  <c r="AT15" i="3"/>
  <c r="AR15" i="3"/>
  <c r="AS15" i="3" s="1"/>
  <c r="AQ15" i="3"/>
  <c r="AO15" i="3"/>
  <c r="AP15" i="3" s="1"/>
  <c r="AN15" i="3"/>
  <c r="AK15" i="3"/>
  <c r="AM15" i="3" s="1"/>
  <c r="AJ15" i="3"/>
  <c r="AI15" i="3"/>
  <c r="AH15" i="3"/>
  <c r="AG15" i="3"/>
  <c r="AF15" i="3"/>
  <c r="AC15" i="3"/>
  <c r="AD15" i="3" s="1"/>
  <c r="AB15" i="3"/>
  <c r="Y15" i="3"/>
  <c r="AA15" i="3" s="1"/>
  <c r="X15" i="3"/>
  <c r="W15" i="3"/>
  <c r="V15" i="3"/>
  <c r="U15" i="3"/>
  <c r="T15" i="3"/>
  <c r="R15" i="3"/>
  <c r="S15" i="3" s="1"/>
  <c r="Q15" i="3"/>
  <c r="P15" i="3"/>
  <c r="O15" i="3"/>
  <c r="N15" i="3"/>
  <c r="L15" i="3"/>
  <c r="M15" i="3" s="1"/>
  <c r="K15" i="3"/>
  <c r="J15" i="3"/>
  <c r="I15" i="3"/>
  <c r="H15" i="3"/>
  <c r="F15" i="3"/>
  <c r="G15" i="3" s="1"/>
  <c r="E15" i="3"/>
  <c r="BC15" i="3" s="1"/>
  <c r="D15" i="3"/>
  <c r="C15" i="3"/>
  <c r="B15" i="3"/>
  <c r="BA14" i="3"/>
  <c r="AZ14" i="3"/>
  <c r="BB14" i="3" s="1"/>
  <c r="AX14" i="3"/>
  <c r="AY14" i="3" s="1"/>
  <c r="AW14" i="3"/>
  <c r="AU14" i="3"/>
  <c r="AT14" i="3"/>
  <c r="AV14" i="3" s="1"/>
  <c r="AR14" i="3"/>
  <c r="AS14" i="3" s="1"/>
  <c r="AQ14" i="3"/>
  <c r="BC14" i="3" s="1"/>
  <c r="AP14" i="3"/>
  <c r="AO14" i="3"/>
  <c r="AN14" i="3"/>
  <c r="AK14" i="3"/>
  <c r="AM14" i="3" s="1"/>
  <c r="AJ14" i="3"/>
  <c r="AG14" i="3"/>
  <c r="AI14" i="3" s="1"/>
  <c r="AF14" i="3"/>
  <c r="AE14" i="3"/>
  <c r="AD14" i="3"/>
  <c r="AC14" i="3"/>
  <c r="AB14" i="3"/>
  <c r="Y14" i="3"/>
  <c r="BD14" i="3" s="1"/>
  <c r="X14" i="3"/>
  <c r="U14" i="3"/>
  <c r="W14" i="3" s="1"/>
  <c r="T14" i="3"/>
  <c r="S14" i="3"/>
  <c r="R14" i="3"/>
  <c r="Q14" i="3"/>
  <c r="O14" i="3"/>
  <c r="P14" i="3" s="1"/>
  <c r="N14" i="3"/>
  <c r="M14" i="3"/>
  <c r="L14" i="3"/>
  <c r="K14" i="3"/>
  <c r="I14" i="3"/>
  <c r="J14" i="3" s="1"/>
  <c r="H14" i="3"/>
  <c r="G14" i="3"/>
  <c r="F14" i="3"/>
  <c r="E14" i="3"/>
  <c r="C14" i="3"/>
  <c r="D14" i="3" s="1"/>
  <c r="B14" i="3"/>
  <c r="BA13" i="3"/>
  <c r="BB13" i="3" s="1"/>
  <c r="AZ13" i="3"/>
  <c r="AY13" i="3"/>
  <c r="AX13" i="3"/>
  <c r="AW13" i="3"/>
  <c r="AU13" i="3"/>
  <c r="AV13" i="3" s="1"/>
  <c r="AT13" i="3"/>
  <c r="AS13" i="3"/>
  <c r="AR13" i="3"/>
  <c r="AQ13" i="3"/>
  <c r="AO13" i="3"/>
  <c r="AP13" i="3" s="1"/>
  <c r="AN13" i="3"/>
  <c r="AM13" i="3"/>
  <c r="AL13" i="3"/>
  <c r="AK13" i="3"/>
  <c r="AJ13" i="3"/>
  <c r="AG13" i="3"/>
  <c r="AI13" i="3" s="1"/>
  <c r="AF13" i="3"/>
  <c r="AC13" i="3"/>
  <c r="AE13" i="3" s="1"/>
  <c r="AB13" i="3"/>
  <c r="AA13" i="3"/>
  <c r="Z13" i="3"/>
  <c r="Y13" i="3"/>
  <c r="X13" i="3"/>
  <c r="U13" i="3"/>
  <c r="W13" i="3" s="1"/>
  <c r="T13" i="3"/>
  <c r="R13" i="3"/>
  <c r="S13" i="3" s="1"/>
  <c r="Q13" i="3"/>
  <c r="O13" i="3"/>
  <c r="P13" i="3" s="1"/>
  <c r="N13" i="3"/>
  <c r="L13" i="3"/>
  <c r="M13" i="3" s="1"/>
  <c r="K13" i="3"/>
  <c r="I13" i="3"/>
  <c r="J13" i="3" s="1"/>
  <c r="H13" i="3"/>
  <c r="F13" i="3"/>
  <c r="G13" i="3" s="1"/>
  <c r="E13" i="3"/>
  <c r="C13" i="3"/>
  <c r="D13" i="3" s="1"/>
  <c r="B13" i="3"/>
  <c r="BC13" i="3" s="1"/>
  <c r="BA12" i="3"/>
  <c r="BB12" i="3" s="1"/>
  <c r="AZ12" i="3"/>
  <c r="AX12" i="3"/>
  <c r="AY12" i="3" s="1"/>
  <c r="AW12" i="3"/>
  <c r="AU12" i="3"/>
  <c r="AV12" i="3" s="1"/>
  <c r="AT12" i="3"/>
  <c r="AR12" i="3"/>
  <c r="AS12" i="3" s="1"/>
  <c r="AQ12" i="3"/>
  <c r="AO12" i="3"/>
  <c r="AP12" i="3" s="1"/>
  <c r="AN12" i="3"/>
  <c r="AK12" i="3"/>
  <c r="AM12" i="3" s="1"/>
  <c r="AJ12" i="3"/>
  <c r="AI12" i="3"/>
  <c r="AH12" i="3"/>
  <c r="AG12" i="3"/>
  <c r="AF12" i="3"/>
  <c r="AC12" i="3"/>
  <c r="AD12" i="3" s="1"/>
  <c r="AB12" i="3"/>
  <c r="Y12" i="3"/>
  <c r="AA12" i="3" s="1"/>
  <c r="X12" i="3"/>
  <c r="W12" i="3"/>
  <c r="V12" i="3"/>
  <c r="U12" i="3"/>
  <c r="T12" i="3"/>
  <c r="R12" i="3"/>
  <c r="S12" i="3" s="1"/>
  <c r="Q12" i="3"/>
  <c r="P12" i="3"/>
  <c r="O12" i="3"/>
  <c r="N12" i="3"/>
  <c r="L12" i="3"/>
  <c r="M12" i="3" s="1"/>
  <c r="K12" i="3"/>
  <c r="J12" i="3"/>
  <c r="I12" i="3"/>
  <c r="H12" i="3"/>
  <c r="F12" i="3"/>
  <c r="BD12" i="3" s="1"/>
  <c r="E12" i="3"/>
  <c r="BC12" i="3" s="1"/>
  <c r="BE12" i="3" s="1"/>
  <c r="D12" i="3"/>
  <c r="C12" i="3"/>
  <c r="B12" i="3"/>
  <c r="BB11" i="3"/>
  <c r="BA11" i="3"/>
  <c r="AZ11" i="3"/>
  <c r="AX11" i="3"/>
  <c r="AY11" i="3" s="1"/>
  <c r="AW11" i="3"/>
  <c r="AU11" i="3"/>
  <c r="AT11" i="3"/>
  <c r="AV11" i="3" s="1"/>
  <c r="AR11" i="3"/>
  <c r="AS11" i="3" s="1"/>
  <c r="AQ11" i="3"/>
  <c r="BC11" i="3" s="1"/>
  <c r="AP11" i="3"/>
  <c r="AO11" i="3"/>
  <c r="AN11" i="3"/>
  <c r="AK11" i="3"/>
  <c r="AL11" i="3" s="1"/>
  <c r="AJ11" i="3"/>
  <c r="AG11" i="3"/>
  <c r="AI11" i="3" s="1"/>
  <c r="AF11" i="3"/>
  <c r="AE11" i="3"/>
  <c r="AD11" i="3"/>
  <c r="AC11" i="3"/>
  <c r="AB11" i="3"/>
  <c r="Y11" i="3"/>
  <c r="AA11" i="3" s="1"/>
  <c r="X11" i="3"/>
  <c r="U11" i="3"/>
  <c r="W11" i="3" s="1"/>
  <c r="T11" i="3"/>
  <c r="S11" i="3"/>
  <c r="R11" i="3"/>
  <c r="Q11" i="3"/>
  <c r="O11" i="3"/>
  <c r="P11" i="3" s="1"/>
  <c r="N11" i="3"/>
  <c r="M11" i="3"/>
  <c r="L11" i="3"/>
  <c r="K11" i="3"/>
  <c r="I11" i="3"/>
  <c r="J11" i="3" s="1"/>
  <c r="H11" i="3"/>
  <c r="G11" i="3"/>
  <c r="F11" i="3"/>
  <c r="E11" i="3"/>
  <c r="C11" i="3"/>
  <c r="D11" i="3" s="1"/>
  <c r="B11" i="3"/>
  <c r="BA10" i="3"/>
  <c r="BB10" i="3" s="1"/>
  <c r="AZ10" i="3"/>
  <c r="AY10" i="3"/>
  <c r="AX10" i="3"/>
  <c r="AW10" i="3"/>
  <c r="AU10" i="3"/>
  <c r="AV10" i="3" s="1"/>
  <c r="AT10" i="3"/>
  <c r="AS10" i="3"/>
  <c r="AR10" i="3"/>
  <c r="AQ10" i="3"/>
  <c r="AO10" i="3"/>
  <c r="AP10" i="3" s="1"/>
  <c r="AN10" i="3"/>
  <c r="AM10" i="3"/>
  <c r="AL10" i="3"/>
  <c r="AK10" i="3"/>
  <c r="AJ10" i="3"/>
  <c r="AG10" i="3"/>
  <c r="AI10" i="3" s="1"/>
  <c r="AF10" i="3"/>
  <c r="AC10" i="3"/>
  <c r="AE10" i="3" s="1"/>
  <c r="AB10" i="3"/>
  <c r="AA10" i="3"/>
  <c r="Z10" i="3"/>
  <c r="Y10" i="3"/>
  <c r="X10" i="3"/>
  <c r="U10" i="3"/>
  <c r="V10" i="3" s="1"/>
  <c r="T10" i="3"/>
  <c r="R10" i="3"/>
  <c r="S10" i="3" s="1"/>
  <c r="Q10" i="3"/>
  <c r="O10" i="3"/>
  <c r="P10" i="3" s="1"/>
  <c r="N10" i="3"/>
  <c r="L10" i="3"/>
  <c r="M10" i="3" s="1"/>
  <c r="K10" i="3"/>
  <c r="I10" i="3"/>
  <c r="J10" i="3" s="1"/>
  <c r="H10" i="3"/>
  <c r="F10" i="3"/>
  <c r="G10" i="3" s="1"/>
  <c r="E10" i="3"/>
  <c r="C10" i="3"/>
  <c r="BD10" i="3" s="1"/>
  <c r="B10" i="3"/>
  <c r="BC10" i="3" s="1"/>
  <c r="BE10" i="3" s="1"/>
  <c r="BA9" i="3"/>
  <c r="BB9" i="3" s="1"/>
  <c r="AZ9" i="3"/>
  <c r="AX9" i="3"/>
  <c r="AY9" i="3" s="1"/>
  <c r="AW9" i="3"/>
  <c r="AU9" i="3"/>
  <c r="AV9" i="3" s="1"/>
  <c r="AT9" i="3"/>
  <c r="AR9" i="3"/>
  <c r="AS9" i="3" s="1"/>
  <c r="AQ9" i="3"/>
  <c r="AO9" i="3"/>
  <c r="AP9" i="3" s="1"/>
  <c r="AN9" i="3"/>
  <c r="AK9" i="3"/>
  <c r="AM9" i="3" s="1"/>
  <c r="AJ9" i="3"/>
  <c r="AI9" i="3"/>
  <c r="AH9" i="3"/>
  <c r="AG9" i="3"/>
  <c r="AF9" i="3"/>
  <c r="AC9" i="3"/>
  <c r="AD9" i="3" s="1"/>
  <c r="AB9" i="3"/>
  <c r="Y9" i="3"/>
  <c r="AA9" i="3" s="1"/>
  <c r="X9" i="3"/>
  <c r="W9" i="3"/>
  <c r="V9" i="3"/>
  <c r="U9" i="3"/>
  <c r="T9" i="3"/>
  <c r="R9" i="3"/>
  <c r="S9" i="3" s="1"/>
  <c r="Q9" i="3"/>
  <c r="O9" i="3"/>
  <c r="N9" i="3"/>
  <c r="P9" i="3" s="1"/>
  <c r="L9" i="3"/>
  <c r="M9" i="3" s="1"/>
  <c r="K9" i="3"/>
  <c r="J9" i="3"/>
  <c r="I9" i="3"/>
  <c r="H9" i="3"/>
  <c r="F9" i="3"/>
  <c r="BD9" i="3" s="1"/>
  <c r="E9" i="3"/>
  <c r="BC9" i="3" s="1"/>
  <c r="BE9" i="3" s="1"/>
  <c r="D9" i="3"/>
  <c r="C9" i="3"/>
  <c r="B9" i="3"/>
  <c r="BC8" i="3"/>
  <c r="BA8" i="3"/>
  <c r="AZ8" i="3"/>
  <c r="BB8" i="3" s="1"/>
  <c r="AX8" i="3"/>
  <c r="AX37" i="3" s="1"/>
  <c r="AW8" i="3"/>
  <c r="AW37" i="3" s="1"/>
  <c r="AV8" i="3"/>
  <c r="AU8" i="3"/>
  <c r="AT8" i="3"/>
  <c r="AR8" i="3"/>
  <c r="AR37" i="3" s="1"/>
  <c r="AQ8" i="3"/>
  <c r="AQ37" i="3" s="1"/>
  <c r="AP8" i="3"/>
  <c r="AO8" i="3"/>
  <c r="AN8" i="3"/>
  <c r="AK8" i="3"/>
  <c r="AK37" i="3" s="1"/>
  <c r="AJ8" i="3"/>
  <c r="AG8" i="3"/>
  <c r="AF8" i="3"/>
  <c r="AF37" i="3" s="1"/>
  <c r="AE8" i="3"/>
  <c r="AD8" i="3"/>
  <c r="AC8" i="3"/>
  <c r="AB8" i="3"/>
  <c r="Y8" i="3"/>
  <c r="Y37" i="3" s="1"/>
  <c r="Z37" i="3" s="1"/>
  <c r="X8" i="3"/>
  <c r="U8" i="3"/>
  <c r="V8" i="3" s="1"/>
  <c r="T8" i="3"/>
  <c r="T37" i="3" s="1"/>
  <c r="S8" i="3"/>
  <c r="R8" i="3"/>
  <c r="Q8" i="3"/>
  <c r="O8" i="3"/>
  <c r="P8" i="3" s="1"/>
  <c r="N8" i="3"/>
  <c r="N37" i="3" s="1"/>
  <c r="M8" i="3"/>
  <c r="L8" i="3"/>
  <c r="K8" i="3"/>
  <c r="I8" i="3"/>
  <c r="H8" i="3"/>
  <c r="H37" i="3" s="1"/>
  <c r="G8" i="3"/>
  <c r="F8" i="3"/>
  <c r="E8" i="3"/>
  <c r="C8" i="3"/>
  <c r="D8" i="3" s="1"/>
  <c r="B8" i="3"/>
  <c r="B37" i="3" s="1"/>
  <c r="B3" i="3"/>
  <c r="CP36" i="2"/>
  <c r="CQ36" i="2" s="1"/>
  <c r="CO36" i="2"/>
  <c r="CM36" i="2"/>
  <c r="CN36" i="2" s="1"/>
  <c r="CL36" i="2"/>
  <c r="CJ36" i="2"/>
  <c r="CK36" i="2" s="1"/>
  <c r="CI36" i="2"/>
  <c r="CF36" i="2"/>
  <c r="CH36" i="2" s="1"/>
  <c r="CE36" i="2"/>
  <c r="CD36" i="2"/>
  <c r="CC36" i="2"/>
  <c r="CB36" i="2"/>
  <c r="CA36" i="2"/>
  <c r="BZ36" i="2"/>
  <c r="BX36" i="2"/>
  <c r="BY36" i="2" s="1"/>
  <c r="BW36" i="2"/>
  <c r="BT36" i="2"/>
  <c r="BV36" i="2" s="1"/>
  <c r="BS36" i="2"/>
  <c r="BQ36" i="2"/>
  <c r="BP36" i="2"/>
  <c r="BR36" i="2" s="1"/>
  <c r="BO36" i="2"/>
  <c r="BN36" i="2"/>
  <c r="BM36" i="2"/>
  <c r="BL36" i="2"/>
  <c r="BK36" i="2"/>
  <c r="BJ36" i="2"/>
  <c r="BH36" i="2"/>
  <c r="BI36" i="2" s="1"/>
  <c r="BG36" i="2"/>
  <c r="BD36" i="2"/>
  <c r="BF36" i="2" s="1"/>
  <c r="BC36" i="2"/>
  <c r="BA36" i="2"/>
  <c r="BB36" i="2" s="1"/>
  <c r="AZ36" i="2"/>
  <c r="AY36" i="2"/>
  <c r="AX36" i="2"/>
  <c r="AW36" i="2"/>
  <c r="AV36" i="2"/>
  <c r="AS36" i="2"/>
  <c r="AT36" i="2" s="1"/>
  <c r="AR36" i="2"/>
  <c r="AO36" i="2"/>
  <c r="AN36" i="2"/>
  <c r="AM36" i="2"/>
  <c r="AL36" i="2"/>
  <c r="AK36" i="2"/>
  <c r="AI36" i="2"/>
  <c r="AJ36" i="2" s="1"/>
  <c r="AH36" i="2"/>
  <c r="AG36" i="2"/>
  <c r="AF36" i="2"/>
  <c r="AE36" i="2"/>
  <c r="AD36" i="2"/>
  <c r="AA36" i="2"/>
  <c r="AB36" i="2" s="1"/>
  <c r="Z36" i="2"/>
  <c r="W36" i="2"/>
  <c r="V36" i="2"/>
  <c r="T36" i="2"/>
  <c r="U36" i="2" s="1"/>
  <c r="S36" i="2"/>
  <c r="Q36" i="2"/>
  <c r="R36" i="2" s="1"/>
  <c r="P36" i="2"/>
  <c r="O36" i="2"/>
  <c r="N36" i="2"/>
  <c r="M36" i="2"/>
  <c r="L36" i="2"/>
  <c r="K36" i="2"/>
  <c r="I36" i="2"/>
  <c r="J36" i="2" s="1"/>
  <c r="H36" i="2"/>
  <c r="F36" i="2"/>
  <c r="G36" i="2" s="1"/>
  <c r="E36" i="2"/>
  <c r="C36" i="2"/>
  <c r="B36" i="2"/>
  <c r="CR36" i="2" s="1"/>
  <c r="CP35" i="2"/>
  <c r="CO35" i="2"/>
  <c r="CM35" i="2"/>
  <c r="CN35" i="2" s="1"/>
  <c r="CL35" i="2"/>
  <c r="CJ35" i="2"/>
  <c r="CK35" i="2" s="1"/>
  <c r="CI35" i="2"/>
  <c r="CF35" i="2"/>
  <c r="CE35" i="2"/>
  <c r="CD35" i="2"/>
  <c r="CC35" i="2"/>
  <c r="CB35" i="2"/>
  <c r="CA35" i="2"/>
  <c r="BX35" i="2"/>
  <c r="BW35" i="2"/>
  <c r="BT35" i="2"/>
  <c r="BS35" i="2"/>
  <c r="BR35" i="2"/>
  <c r="BQ35" i="2"/>
  <c r="BP35" i="2"/>
  <c r="BO35" i="2"/>
  <c r="BL35" i="2"/>
  <c r="BM35" i="2" s="1"/>
  <c r="BK35" i="2"/>
  <c r="BH35" i="2"/>
  <c r="BG35" i="2"/>
  <c r="BF35" i="2"/>
  <c r="BE35" i="2"/>
  <c r="BD35" i="2"/>
  <c r="BC35" i="2"/>
  <c r="BB35" i="2"/>
  <c r="BA35" i="2"/>
  <c r="AZ35" i="2"/>
  <c r="AY35" i="2"/>
  <c r="AW35" i="2"/>
  <c r="AX35" i="2" s="1"/>
  <c r="AV35" i="2"/>
  <c r="AS35" i="2"/>
  <c r="AU35" i="2" s="1"/>
  <c r="AR35" i="2"/>
  <c r="AQ35" i="2"/>
  <c r="AP35" i="2"/>
  <c r="AO35" i="2"/>
  <c r="AN35" i="2"/>
  <c r="AM35" i="2"/>
  <c r="AL35" i="2"/>
  <c r="AK35" i="2"/>
  <c r="AJ35" i="2"/>
  <c r="AI35" i="2"/>
  <c r="AH35" i="2"/>
  <c r="AG35" i="2"/>
  <c r="AE35" i="2"/>
  <c r="AF35" i="2" s="1"/>
  <c r="AD35" i="2"/>
  <c r="AB35" i="2"/>
  <c r="AA35" i="2"/>
  <c r="AC35" i="2" s="1"/>
  <c r="Z35" i="2"/>
  <c r="Y35" i="2"/>
  <c r="W35" i="2"/>
  <c r="V35" i="2"/>
  <c r="X35" i="2" s="1"/>
  <c r="U35" i="2"/>
  <c r="T35" i="2"/>
  <c r="S35" i="2"/>
  <c r="R35" i="2"/>
  <c r="Q35" i="2"/>
  <c r="P35" i="2"/>
  <c r="O35" i="2"/>
  <c r="M35" i="2"/>
  <c r="N35" i="2" s="1"/>
  <c r="L35" i="2"/>
  <c r="CR35" i="2" s="1"/>
  <c r="I35" i="2"/>
  <c r="K35" i="2" s="1"/>
  <c r="H35" i="2"/>
  <c r="F35" i="2"/>
  <c r="G35" i="2" s="1"/>
  <c r="E35" i="2"/>
  <c r="C35" i="2"/>
  <c r="B35" i="2"/>
  <c r="CQ34" i="2"/>
  <c r="CP34" i="2"/>
  <c r="CO34" i="2"/>
  <c r="CM34" i="2"/>
  <c r="CN34" i="2" s="1"/>
  <c r="CL34" i="2"/>
  <c r="CK34" i="2"/>
  <c r="CJ34" i="2"/>
  <c r="CI34" i="2"/>
  <c r="CH34" i="2"/>
  <c r="CF34" i="2"/>
  <c r="CE34" i="2"/>
  <c r="CG34" i="2" s="1"/>
  <c r="CD34" i="2"/>
  <c r="CB34" i="2"/>
  <c r="CA34" i="2"/>
  <c r="BY34" i="2"/>
  <c r="BX34" i="2"/>
  <c r="BZ34" i="2" s="1"/>
  <c r="BW34" i="2"/>
  <c r="BV34" i="2"/>
  <c r="BU34" i="2"/>
  <c r="BT34" i="2"/>
  <c r="BS34" i="2"/>
  <c r="BR34" i="2"/>
  <c r="BP34" i="2"/>
  <c r="BQ34" i="2" s="1"/>
  <c r="BO34" i="2"/>
  <c r="BL34" i="2"/>
  <c r="BN34" i="2" s="1"/>
  <c r="BK34" i="2"/>
  <c r="BJ34" i="2"/>
  <c r="BI34" i="2"/>
  <c r="BH34" i="2"/>
  <c r="BG34" i="2"/>
  <c r="BF34" i="2"/>
  <c r="BD34" i="2"/>
  <c r="BE34" i="2" s="1"/>
  <c r="BC34" i="2"/>
  <c r="BA34" i="2"/>
  <c r="BB34" i="2" s="1"/>
  <c r="AZ34" i="2"/>
  <c r="AW34" i="2"/>
  <c r="AV34" i="2"/>
  <c r="AU34" i="2"/>
  <c r="AT34" i="2"/>
  <c r="AS34" i="2"/>
  <c r="AR34" i="2"/>
  <c r="AO34" i="2"/>
  <c r="AN34" i="2"/>
  <c r="AL34" i="2"/>
  <c r="AK34" i="2"/>
  <c r="AI34" i="2"/>
  <c r="AJ34" i="2" s="1"/>
  <c r="AH34" i="2"/>
  <c r="AE34" i="2"/>
  <c r="AD34" i="2"/>
  <c r="AC34" i="2"/>
  <c r="AB34" i="2"/>
  <c r="AA34" i="2"/>
  <c r="Z34" i="2"/>
  <c r="W34" i="2"/>
  <c r="X34" i="2" s="1"/>
  <c r="V34" i="2"/>
  <c r="T34" i="2"/>
  <c r="U34" i="2" s="1"/>
  <c r="S34" i="2"/>
  <c r="Q34" i="2"/>
  <c r="R34" i="2" s="1"/>
  <c r="P34" i="2"/>
  <c r="M34" i="2"/>
  <c r="CS34" i="2" s="1"/>
  <c r="L34" i="2"/>
  <c r="K34" i="2"/>
  <c r="J34" i="2"/>
  <c r="I34" i="2"/>
  <c r="H34" i="2"/>
  <c r="G34" i="2"/>
  <c r="F34" i="2"/>
  <c r="E34" i="2"/>
  <c r="D34" i="2"/>
  <c r="C34" i="2"/>
  <c r="B34" i="2"/>
  <c r="CQ33" i="2"/>
  <c r="CP33" i="2"/>
  <c r="CO33" i="2"/>
  <c r="CM33" i="2"/>
  <c r="CL33" i="2"/>
  <c r="CN33" i="2" s="1"/>
  <c r="CK33" i="2"/>
  <c r="CJ33" i="2"/>
  <c r="CI33" i="2"/>
  <c r="CF33" i="2"/>
  <c r="CG33" i="2" s="1"/>
  <c r="CE33" i="2"/>
  <c r="CD33" i="2"/>
  <c r="CB33" i="2"/>
  <c r="CC33" i="2" s="1"/>
  <c r="CA33" i="2"/>
  <c r="BY33" i="2"/>
  <c r="BX33" i="2"/>
  <c r="BZ33" i="2" s="1"/>
  <c r="BW33" i="2"/>
  <c r="BV33" i="2"/>
  <c r="BT33" i="2"/>
  <c r="BU33" i="2" s="1"/>
  <c r="BS33" i="2"/>
  <c r="BP33" i="2"/>
  <c r="BQ33" i="2" s="1"/>
  <c r="BO33" i="2"/>
  <c r="BL33" i="2"/>
  <c r="BM33" i="2" s="1"/>
  <c r="BK33" i="2"/>
  <c r="BH33" i="2"/>
  <c r="BI33" i="2" s="1"/>
  <c r="BG33" i="2"/>
  <c r="BD33" i="2"/>
  <c r="BE33" i="2" s="1"/>
  <c r="BC33" i="2"/>
  <c r="BA33" i="2"/>
  <c r="BB33" i="2" s="1"/>
  <c r="AZ33" i="2"/>
  <c r="AY33" i="2"/>
  <c r="AX33" i="2"/>
  <c r="AW33" i="2"/>
  <c r="AV33" i="2"/>
  <c r="AU33" i="2"/>
  <c r="AT33" i="2"/>
  <c r="AS33" i="2"/>
  <c r="AR33" i="2"/>
  <c r="AO33" i="2"/>
  <c r="AN33" i="2"/>
  <c r="AL33" i="2"/>
  <c r="AM33" i="2" s="1"/>
  <c r="AK33" i="2"/>
  <c r="AI33" i="2"/>
  <c r="AH33" i="2"/>
  <c r="AG33" i="2"/>
  <c r="AF33" i="2"/>
  <c r="AE33" i="2"/>
  <c r="AD33" i="2"/>
  <c r="AC33" i="2"/>
  <c r="AB33" i="2"/>
  <c r="AA33" i="2"/>
  <c r="Z33" i="2"/>
  <c r="W33" i="2"/>
  <c r="Y33" i="2" s="1"/>
  <c r="V33" i="2"/>
  <c r="T33" i="2"/>
  <c r="U33" i="2" s="1"/>
  <c r="S33" i="2"/>
  <c r="R33" i="2"/>
  <c r="Q33" i="2"/>
  <c r="P33" i="2"/>
  <c r="O33" i="2"/>
  <c r="N33" i="2"/>
  <c r="M33" i="2"/>
  <c r="L33" i="2"/>
  <c r="K33" i="2"/>
  <c r="J33" i="2"/>
  <c r="I33" i="2"/>
  <c r="H33" i="2"/>
  <c r="F33" i="2"/>
  <c r="G33" i="2" s="1"/>
  <c r="E33" i="2"/>
  <c r="D33" i="2"/>
  <c r="C33" i="2"/>
  <c r="B33" i="2"/>
  <c r="CP32" i="2"/>
  <c r="CO32" i="2"/>
  <c r="CQ32" i="2" s="1"/>
  <c r="CM32" i="2"/>
  <c r="CL32" i="2"/>
  <c r="CK32" i="2"/>
  <c r="CJ32" i="2"/>
  <c r="CI32" i="2"/>
  <c r="CF32" i="2"/>
  <c r="CE32" i="2"/>
  <c r="CD32" i="2"/>
  <c r="CB32" i="2"/>
  <c r="CA32" i="2"/>
  <c r="CC32" i="2" s="1"/>
  <c r="BZ32" i="2"/>
  <c r="BY32" i="2"/>
  <c r="BX32" i="2"/>
  <c r="BW32" i="2"/>
  <c r="BT32" i="2"/>
  <c r="BV32" i="2" s="1"/>
  <c r="BS32" i="2"/>
  <c r="CR32" i="2" s="1"/>
  <c r="BR32" i="2"/>
  <c r="BQ32" i="2"/>
  <c r="BP32" i="2"/>
  <c r="BO32" i="2"/>
  <c r="BN32" i="2"/>
  <c r="BM32" i="2"/>
  <c r="BL32" i="2"/>
  <c r="BK32" i="2"/>
  <c r="BI32" i="2"/>
  <c r="BH32" i="2"/>
  <c r="BJ32" i="2" s="1"/>
  <c r="BG32" i="2"/>
  <c r="BF32" i="2"/>
  <c r="BE32" i="2"/>
  <c r="BD32" i="2"/>
  <c r="BC32" i="2"/>
  <c r="BA32" i="2"/>
  <c r="BB32" i="2" s="1"/>
  <c r="AZ32" i="2"/>
  <c r="AY32" i="2"/>
  <c r="AW32" i="2"/>
  <c r="AX32" i="2" s="1"/>
  <c r="AV32" i="2"/>
  <c r="AS32" i="2"/>
  <c r="AT32" i="2" s="1"/>
  <c r="AR32" i="2"/>
  <c r="AQ32" i="2"/>
  <c r="AP32" i="2"/>
  <c r="AO32" i="2"/>
  <c r="AN32" i="2"/>
  <c r="AL32" i="2"/>
  <c r="AK32" i="2"/>
  <c r="AM32" i="2" s="1"/>
  <c r="AJ32" i="2"/>
  <c r="AI32" i="2"/>
  <c r="AH32" i="2"/>
  <c r="AE32" i="2"/>
  <c r="AF32" i="2" s="1"/>
  <c r="AD32" i="2"/>
  <c r="AC32" i="2"/>
  <c r="AA32" i="2"/>
  <c r="AB32" i="2" s="1"/>
  <c r="Z32" i="2"/>
  <c r="W32" i="2"/>
  <c r="Y32" i="2" s="1"/>
  <c r="V32" i="2"/>
  <c r="U32" i="2"/>
  <c r="T32" i="2"/>
  <c r="S32" i="2"/>
  <c r="Q32" i="2"/>
  <c r="R32" i="2" s="1"/>
  <c r="P32" i="2"/>
  <c r="O32" i="2"/>
  <c r="M32" i="2"/>
  <c r="N32" i="2" s="1"/>
  <c r="L32" i="2"/>
  <c r="I32" i="2"/>
  <c r="J32" i="2" s="1"/>
  <c r="H32" i="2"/>
  <c r="G32" i="2"/>
  <c r="F32" i="2"/>
  <c r="E32" i="2"/>
  <c r="C32" i="2"/>
  <c r="D32" i="2" s="1"/>
  <c r="B32" i="2"/>
  <c r="CP31" i="2"/>
  <c r="CQ31" i="2" s="1"/>
  <c r="CO31" i="2"/>
  <c r="CM31" i="2"/>
  <c r="CN31" i="2" s="1"/>
  <c r="CL31" i="2"/>
  <c r="CJ31" i="2"/>
  <c r="CK31" i="2" s="1"/>
  <c r="CI31" i="2"/>
  <c r="CF31" i="2"/>
  <c r="CH31" i="2" s="1"/>
  <c r="CE31" i="2"/>
  <c r="CB31" i="2"/>
  <c r="CA31" i="2"/>
  <c r="BX31" i="2"/>
  <c r="BY31" i="2" s="1"/>
  <c r="BW31" i="2"/>
  <c r="BT31" i="2"/>
  <c r="BV31" i="2" s="1"/>
  <c r="BS31" i="2"/>
  <c r="BR31" i="2"/>
  <c r="BP31" i="2"/>
  <c r="BQ31" i="2" s="1"/>
  <c r="BO31" i="2"/>
  <c r="BL31" i="2"/>
  <c r="BM31" i="2" s="1"/>
  <c r="BK31" i="2"/>
  <c r="BJ31" i="2"/>
  <c r="BI31" i="2"/>
  <c r="BH31" i="2"/>
  <c r="BG31" i="2"/>
  <c r="BF31" i="2"/>
  <c r="BD31" i="2"/>
  <c r="BE31" i="2" s="1"/>
  <c r="BC31" i="2"/>
  <c r="BA31" i="2"/>
  <c r="AZ31" i="2"/>
  <c r="BB31" i="2" s="1"/>
  <c r="AW31" i="2"/>
  <c r="AY31" i="2" s="1"/>
  <c r="AV31" i="2"/>
  <c r="AU31" i="2"/>
  <c r="AT31" i="2"/>
  <c r="AS31" i="2"/>
  <c r="AR31" i="2"/>
  <c r="AQ31" i="2"/>
  <c r="AP31" i="2"/>
  <c r="AO31" i="2"/>
  <c r="AN31" i="2"/>
  <c r="AL31" i="2"/>
  <c r="AM31" i="2" s="1"/>
  <c r="AK31" i="2"/>
  <c r="AJ31" i="2"/>
  <c r="AI31" i="2"/>
  <c r="AH31" i="2"/>
  <c r="AE31" i="2"/>
  <c r="AD31" i="2"/>
  <c r="AC31" i="2"/>
  <c r="AB31" i="2"/>
  <c r="AA31" i="2"/>
  <c r="Z31" i="2"/>
  <c r="W31" i="2"/>
  <c r="Y31" i="2" s="1"/>
  <c r="V31" i="2"/>
  <c r="X31" i="2" s="1"/>
  <c r="T31" i="2"/>
  <c r="U31" i="2" s="1"/>
  <c r="S31" i="2"/>
  <c r="Q31" i="2"/>
  <c r="R31" i="2" s="1"/>
  <c r="P31" i="2"/>
  <c r="N31" i="2"/>
  <c r="M31" i="2"/>
  <c r="O31" i="2" s="1"/>
  <c r="L31" i="2"/>
  <c r="K31" i="2"/>
  <c r="I31" i="2"/>
  <c r="H31" i="2"/>
  <c r="J31" i="2" s="1"/>
  <c r="G31" i="2"/>
  <c r="F31" i="2"/>
  <c r="E31" i="2"/>
  <c r="D31" i="2"/>
  <c r="C31" i="2"/>
  <c r="B31" i="2"/>
  <c r="CR31" i="2" s="1"/>
  <c r="CQ30" i="2"/>
  <c r="CP30" i="2"/>
  <c r="CO30" i="2"/>
  <c r="CN30" i="2"/>
  <c r="CM30" i="2"/>
  <c r="CL30" i="2"/>
  <c r="CK30" i="2"/>
  <c r="CJ30" i="2"/>
  <c r="CI30" i="2"/>
  <c r="CF30" i="2"/>
  <c r="CE30" i="2"/>
  <c r="CC30" i="2"/>
  <c r="CB30" i="2"/>
  <c r="CD30" i="2" s="1"/>
  <c r="CA30" i="2"/>
  <c r="BZ30" i="2"/>
  <c r="BY30" i="2"/>
  <c r="BX30" i="2"/>
  <c r="BW30" i="2"/>
  <c r="BV30" i="2"/>
  <c r="BU30" i="2"/>
  <c r="BT30" i="2"/>
  <c r="BS30" i="2"/>
  <c r="BQ30" i="2"/>
  <c r="BP30" i="2"/>
  <c r="BR30" i="2" s="1"/>
  <c r="BO30" i="2"/>
  <c r="BN30" i="2"/>
  <c r="BM30" i="2"/>
  <c r="BL30" i="2"/>
  <c r="BK30" i="2"/>
  <c r="BJ30" i="2"/>
  <c r="BI30" i="2"/>
  <c r="BH30" i="2"/>
  <c r="BG30" i="2"/>
  <c r="BD30" i="2"/>
  <c r="BF30" i="2" s="1"/>
  <c r="BC30" i="2"/>
  <c r="BB30" i="2"/>
  <c r="BA30" i="2"/>
  <c r="AZ30" i="2"/>
  <c r="AY30" i="2"/>
  <c r="AX30" i="2"/>
  <c r="AW30" i="2"/>
  <c r="AV30" i="2"/>
  <c r="AU30" i="2"/>
  <c r="AS30" i="2"/>
  <c r="AT30" i="2" s="1"/>
  <c r="AR30" i="2"/>
  <c r="AQ30" i="2"/>
  <c r="AP30" i="2"/>
  <c r="AO30" i="2"/>
  <c r="AN30" i="2"/>
  <c r="AL30" i="2"/>
  <c r="AM30" i="2" s="1"/>
  <c r="AK30" i="2"/>
  <c r="AJ30" i="2"/>
  <c r="AI30" i="2"/>
  <c r="AH30" i="2"/>
  <c r="AE30" i="2"/>
  <c r="AG30" i="2" s="1"/>
  <c r="AD30" i="2"/>
  <c r="AC30" i="2"/>
  <c r="AA30" i="2"/>
  <c r="AB30" i="2" s="1"/>
  <c r="Z30" i="2"/>
  <c r="X30" i="2"/>
  <c r="W30" i="2"/>
  <c r="Y30" i="2" s="1"/>
  <c r="V30" i="2"/>
  <c r="U30" i="2"/>
  <c r="T30" i="2"/>
  <c r="S30" i="2"/>
  <c r="R30" i="2"/>
  <c r="Q30" i="2"/>
  <c r="P30" i="2"/>
  <c r="M30" i="2"/>
  <c r="L30" i="2"/>
  <c r="I30" i="2"/>
  <c r="J30" i="2" s="1"/>
  <c r="H30" i="2"/>
  <c r="F30" i="2"/>
  <c r="G30" i="2" s="1"/>
  <c r="E30" i="2"/>
  <c r="C30" i="2"/>
  <c r="B30" i="2"/>
  <c r="CR30" i="2" s="1"/>
  <c r="CP29" i="2"/>
  <c r="CO29" i="2"/>
  <c r="CN29" i="2"/>
  <c r="CM29" i="2"/>
  <c r="CL29" i="2"/>
  <c r="CJ29" i="2"/>
  <c r="CK29" i="2" s="1"/>
  <c r="CI29" i="2"/>
  <c r="CH29" i="2"/>
  <c r="CG29" i="2"/>
  <c r="CF29" i="2"/>
  <c r="CE29" i="2"/>
  <c r="CB29" i="2"/>
  <c r="CD29" i="2" s="1"/>
  <c r="CA29" i="2"/>
  <c r="BZ29" i="2"/>
  <c r="BX29" i="2"/>
  <c r="BY29" i="2" s="1"/>
  <c r="BW29" i="2"/>
  <c r="BV29" i="2"/>
  <c r="BU29" i="2"/>
  <c r="BT29" i="2"/>
  <c r="BS29" i="2"/>
  <c r="BP29" i="2"/>
  <c r="BR29" i="2" s="1"/>
  <c r="BO29" i="2"/>
  <c r="BN29" i="2"/>
  <c r="BL29" i="2"/>
  <c r="BM29" i="2" s="1"/>
  <c r="BK29" i="2"/>
  <c r="BI29" i="2"/>
  <c r="BH29" i="2"/>
  <c r="BJ29" i="2" s="1"/>
  <c r="BG29" i="2"/>
  <c r="BD29" i="2"/>
  <c r="BC29" i="2"/>
  <c r="BB29" i="2"/>
  <c r="BA29" i="2"/>
  <c r="AZ29" i="2"/>
  <c r="AX29" i="2"/>
  <c r="AW29" i="2"/>
  <c r="AY29" i="2" s="1"/>
  <c r="AV29" i="2"/>
  <c r="AT29" i="2"/>
  <c r="AS29" i="2"/>
  <c r="AU29" i="2" s="1"/>
  <c r="AR29" i="2"/>
  <c r="AQ29" i="2"/>
  <c r="AP29" i="2"/>
  <c r="AO29" i="2"/>
  <c r="AN29" i="2"/>
  <c r="AL29" i="2"/>
  <c r="AK29" i="2"/>
  <c r="AM29" i="2" s="1"/>
  <c r="AJ29" i="2"/>
  <c r="AI29" i="2"/>
  <c r="AH29" i="2"/>
  <c r="AE29" i="2"/>
  <c r="AD29" i="2"/>
  <c r="AA29" i="2"/>
  <c r="AC29" i="2" s="1"/>
  <c r="Z29" i="2"/>
  <c r="Y29" i="2"/>
  <c r="W29" i="2"/>
  <c r="V29" i="2"/>
  <c r="X29" i="2" s="1"/>
  <c r="U29" i="2"/>
  <c r="T29" i="2"/>
  <c r="S29" i="2"/>
  <c r="R29" i="2"/>
  <c r="Q29" i="2"/>
  <c r="P29" i="2"/>
  <c r="O29" i="2"/>
  <c r="N29" i="2"/>
  <c r="M29" i="2"/>
  <c r="L29" i="2"/>
  <c r="I29" i="2"/>
  <c r="K29" i="2" s="1"/>
  <c r="H29" i="2"/>
  <c r="G29" i="2"/>
  <c r="F29" i="2"/>
  <c r="E29" i="2"/>
  <c r="C29" i="2"/>
  <c r="B29" i="2"/>
  <c r="CR29" i="2" s="1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B28" i="2"/>
  <c r="CD28" i="2" s="1"/>
  <c r="CA28" i="2"/>
  <c r="BX28" i="2"/>
  <c r="BW28" i="2"/>
  <c r="BV28" i="2"/>
  <c r="BU28" i="2"/>
  <c r="BT28" i="2"/>
  <c r="BS28" i="2"/>
  <c r="BR28" i="2"/>
  <c r="BP28" i="2"/>
  <c r="BO28" i="2"/>
  <c r="BQ28" i="2" s="1"/>
  <c r="BL28" i="2"/>
  <c r="BN28" i="2" s="1"/>
  <c r="BK28" i="2"/>
  <c r="BM28" i="2" s="1"/>
  <c r="BJ28" i="2"/>
  <c r="BI28" i="2"/>
  <c r="BH28" i="2"/>
  <c r="BG28" i="2"/>
  <c r="BD28" i="2"/>
  <c r="BF28" i="2" s="1"/>
  <c r="BC28" i="2"/>
  <c r="BA28" i="2"/>
  <c r="BB28" i="2" s="1"/>
  <c r="AZ28" i="2"/>
  <c r="AW28" i="2"/>
  <c r="AY28" i="2" s="1"/>
  <c r="AV28" i="2"/>
  <c r="AU28" i="2"/>
  <c r="AT28" i="2"/>
  <c r="AS28" i="2"/>
  <c r="AR28" i="2"/>
  <c r="AO28" i="2"/>
  <c r="AN28" i="2"/>
  <c r="AL28" i="2"/>
  <c r="AK28" i="2"/>
  <c r="AM28" i="2" s="1"/>
  <c r="AI28" i="2"/>
  <c r="AH28" i="2"/>
  <c r="AG28" i="2"/>
  <c r="AF28" i="2"/>
  <c r="AE28" i="2"/>
  <c r="AD28" i="2"/>
  <c r="AA28" i="2"/>
  <c r="AC28" i="2" s="1"/>
  <c r="Z28" i="2"/>
  <c r="W28" i="2"/>
  <c r="V28" i="2"/>
  <c r="T28" i="2"/>
  <c r="U28" i="2" s="1"/>
  <c r="S28" i="2"/>
  <c r="Q28" i="2"/>
  <c r="R28" i="2" s="1"/>
  <c r="P28" i="2"/>
  <c r="M28" i="2"/>
  <c r="O28" i="2" s="1"/>
  <c r="L28" i="2"/>
  <c r="J28" i="2"/>
  <c r="I28" i="2"/>
  <c r="K28" i="2" s="1"/>
  <c r="H28" i="2"/>
  <c r="G28" i="2"/>
  <c r="F28" i="2"/>
  <c r="E28" i="2"/>
  <c r="D28" i="2"/>
  <c r="C28" i="2"/>
  <c r="B28" i="2"/>
  <c r="CP27" i="2"/>
  <c r="CQ27" i="2" s="1"/>
  <c r="CO27" i="2"/>
  <c r="CN27" i="2"/>
  <c r="CM27" i="2"/>
  <c r="CL27" i="2"/>
  <c r="CJ27" i="2"/>
  <c r="CK27" i="2" s="1"/>
  <c r="CI27" i="2"/>
  <c r="CF27" i="2"/>
  <c r="CG27" i="2" s="1"/>
  <c r="CE27" i="2"/>
  <c r="CB27" i="2"/>
  <c r="CD27" i="2" s="1"/>
  <c r="CA27" i="2"/>
  <c r="BZ27" i="2"/>
  <c r="BX27" i="2"/>
  <c r="BW27" i="2"/>
  <c r="BY27" i="2" s="1"/>
  <c r="BT27" i="2"/>
  <c r="BU27" i="2" s="1"/>
  <c r="BS27" i="2"/>
  <c r="BP27" i="2"/>
  <c r="BO27" i="2"/>
  <c r="BN27" i="2"/>
  <c r="BM27" i="2"/>
  <c r="BL27" i="2"/>
  <c r="BK27" i="2"/>
  <c r="BJ27" i="2"/>
  <c r="BI27" i="2"/>
  <c r="BH27" i="2"/>
  <c r="BG27" i="2"/>
  <c r="BD27" i="2"/>
  <c r="BC27" i="2"/>
  <c r="BA27" i="2"/>
  <c r="BB27" i="2" s="1"/>
  <c r="AZ27" i="2"/>
  <c r="AW27" i="2"/>
  <c r="AY27" i="2" s="1"/>
  <c r="AV27" i="2"/>
  <c r="AU27" i="2"/>
  <c r="AS27" i="2"/>
  <c r="AR27" i="2"/>
  <c r="AT27" i="2" s="1"/>
  <c r="AO27" i="2"/>
  <c r="AQ27" i="2" s="1"/>
  <c r="AN27" i="2"/>
  <c r="AL27" i="2"/>
  <c r="AM27" i="2" s="1"/>
  <c r="AK27" i="2"/>
  <c r="AI27" i="2"/>
  <c r="AJ27" i="2" s="1"/>
  <c r="AH27" i="2"/>
  <c r="AE27" i="2"/>
  <c r="AG27" i="2" s="1"/>
  <c r="AD27" i="2"/>
  <c r="AC27" i="2"/>
  <c r="AA27" i="2"/>
  <c r="Z27" i="2"/>
  <c r="AB27" i="2" s="1"/>
  <c r="Y27" i="2"/>
  <c r="X27" i="2"/>
  <c r="W27" i="2"/>
  <c r="V27" i="2"/>
  <c r="T27" i="2"/>
  <c r="U27" i="2" s="1"/>
  <c r="S27" i="2"/>
  <c r="Q27" i="2"/>
  <c r="R27" i="2" s="1"/>
  <c r="P27" i="2"/>
  <c r="M27" i="2"/>
  <c r="O27" i="2" s="1"/>
  <c r="L27" i="2"/>
  <c r="K27" i="2"/>
  <c r="J27" i="2"/>
  <c r="I27" i="2"/>
  <c r="H27" i="2"/>
  <c r="F27" i="2"/>
  <c r="G27" i="2" s="1"/>
  <c r="E27" i="2"/>
  <c r="D27" i="2"/>
  <c r="C27" i="2"/>
  <c r="B27" i="2"/>
  <c r="CP26" i="2"/>
  <c r="CO26" i="2"/>
  <c r="CQ26" i="2" s="1"/>
  <c r="CM26" i="2"/>
  <c r="CN26" i="2" s="1"/>
  <c r="CL26" i="2"/>
  <c r="CJ26" i="2"/>
  <c r="CI26" i="2"/>
  <c r="CK26" i="2" s="1"/>
  <c r="CF26" i="2"/>
  <c r="CG26" i="2" s="1"/>
  <c r="CE26" i="2"/>
  <c r="CB26" i="2"/>
  <c r="CD26" i="2" s="1"/>
  <c r="CA26" i="2"/>
  <c r="BZ26" i="2"/>
  <c r="BX26" i="2"/>
  <c r="BW26" i="2"/>
  <c r="BY26" i="2" s="1"/>
  <c r="BV26" i="2"/>
  <c r="BU26" i="2"/>
  <c r="BT26" i="2"/>
  <c r="BS26" i="2"/>
  <c r="BP26" i="2"/>
  <c r="BR26" i="2" s="1"/>
  <c r="BO26" i="2"/>
  <c r="BN26" i="2"/>
  <c r="BL26" i="2"/>
  <c r="BK26" i="2"/>
  <c r="BM26" i="2" s="1"/>
  <c r="BI26" i="2"/>
  <c r="BH26" i="2"/>
  <c r="BJ26" i="2" s="1"/>
  <c r="BG26" i="2"/>
  <c r="BD26" i="2"/>
  <c r="BF26" i="2" s="1"/>
  <c r="BC26" i="2"/>
  <c r="BE26" i="2" s="1"/>
  <c r="BB26" i="2"/>
  <c r="BA26" i="2"/>
  <c r="AZ26" i="2"/>
  <c r="AW26" i="2"/>
  <c r="AX26" i="2" s="1"/>
  <c r="AV26" i="2"/>
  <c r="AS26" i="2"/>
  <c r="AR26" i="2"/>
  <c r="AQ26" i="2"/>
  <c r="AP26" i="2"/>
  <c r="AO26" i="2"/>
  <c r="AN26" i="2"/>
  <c r="AL26" i="2"/>
  <c r="AM26" i="2" s="1"/>
  <c r="AK26" i="2"/>
  <c r="AJ26" i="2"/>
  <c r="AI26" i="2"/>
  <c r="AH26" i="2"/>
  <c r="AG26" i="2"/>
  <c r="AF26" i="2"/>
  <c r="AE26" i="2"/>
  <c r="AD26" i="2"/>
  <c r="AA26" i="2"/>
  <c r="Z26" i="2"/>
  <c r="Y26" i="2"/>
  <c r="X26" i="2"/>
  <c r="W26" i="2"/>
  <c r="V26" i="2"/>
  <c r="T26" i="2"/>
  <c r="U26" i="2" s="1"/>
  <c r="S26" i="2"/>
  <c r="R26" i="2"/>
  <c r="Q26" i="2"/>
  <c r="P26" i="2"/>
  <c r="N26" i="2"/>
  <c r="M26" i="2"/>
  <c r="O26" i="2" s="1"/>
  <c r="L26" i="2"/>
  <c r="CR26" i="2" s="1"/>
  <c r="I26" i="2"/>
  <c r="H26" i="2"/>
  <c r="F26" i="2"/>
  <c r="G26" i="2" s="1"/>
  <c r="E26" i="2"/>
  <c r="C26" i="2"/>
  <c r="D26" i="2" s="1"/>
  <c r="B26" i="2"/>
  <c r="CP25" i="2"/>
  <c r="CQ25" i="2" s="1"/>
  <c r="CO25" i="2"/>
  <c r="CN25" i="2"/>
  <c r="CM25" i="2"/>
  <c r="CL25" i="2"/>
  <c r="CJ25" i="2"/>
  <c r="CK25" i="2" s="1"/>
  <c r="CI25" i="2"/>
  <c r="CH25" i="2"/>
  <c r="CG25" i="2"/>
  <c r="CF25" i="2"/>
  <c r="CE25" i="2"/>
  <c r="CC25" i="2"/>
  <c r="CB25" i="2"/>
  <c r="CD25" i="2" s="1"/>
  <c r="CA25" i="2"/>
  <c r="BX25" i="2"/>
  <c r="BW25" i="2"/>
  <c r="BV25" i="2"/>
  <c r="BU25" i="2"/>
  <c r="BT25" i="2"/>
  <c r="BS25" i="2"/>
  <c r="BP25" i="2"/>
  <c r="BQ25" i="2" s="1"/>
  <c r="BO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T25" i="2"/>
  <c r="AS25" i="2"/>
  <c r="AU25" i="2" s="1"/>
  <c r="AR25" i="2"/>
  <c r="AQ25" i="2"/>
  <c r="AO25" i="2"/>
  <c r="AN25" i="2"/>
  <c r="AP25" i="2" s="1"/>
  <c r="AL25" i="2"/>
  <c r="AK25" i="2"/>
  <c r="AM25" i="2" s="1"/>
  <c r="AI25" i="2"/>
  <c r="AH25" i="2"/>
  <c r="AJ25" i="2" s="1"/>
  <c r="AF25" i="2"/>
  <c r="AE25" i="2"/>
  <c r="AG25" i="2" s="1"/>
  <c r="AD25" i="2"/>
  <c r="AA25" i="2"/>
  <c r="AC25" i="2" s="1"/>
  <c r="Z25" i="2"/>
  <c r="AB25" i="2" s="1"/>
  <c r="Y25" i="2"/>
  <c r="W25" i="2"/>
  <c r="V25" i="2"/>
  <c r="X25" i="2" s="1"/>
  <c r="U25" i="2"/>
  <c r="T25" i="2"/>
  <c r="S25" i="2"/>
  <c r="R25" i="2"/>
  <c r="Q25" i="2"/>
  <c r="P25" i="2"/>
  <c r="M25" i="2"/>
  <c r="N25" i="2" s="1"/>
  <c r="L25" i="2"/>
  <c r="I25" i="2"/>
  <c r="K25" i="2" s="1"/>
  <c r="H25" i="2"/>
  <c r="G25" i="2"/>
  <c r="F25" i="2"/>
  <c r="E25" i="2"/>
  <c r="C25" i="2"/>
  <c r="CS25" i="2" s="1"/>
  <c r="B25" i="2"/>
  <c r="CP24" i="2"/>
  <c r="CQ24" i="2" s="1"/>
  <c r="CO24" i="2"/>
  <c r="CN24" i="2"/>
  <c r="CM24" i="2"/>
  <c r="CL24" i="2"/>
  <c r="CJ24" i="2"/>
  <c r="CK24" i="2" s="1"/>
  <c r="CI24" i="2"/>
  <c r="CH24" i="2"/>
  <c r="CF24" i="2"/>
  <c r="CE24" i="2"/>
  <c r="CG24" i="2" s="1"/>
  <c r="CC24" i="2"/>
  <c r="CB24" i="2"/>
  <c r="CD24" i="2" s="1"/>
  <c r="CA24" i="2"/>
  <c r="BX24" i="2"/>
  <c r="BZ24" i="2" s="1"/>
  <c r="BW24" i="2"/>
  <c r="BY24" i="2" s="1"/>
  <c r="BV24" i="2"/>
  <c r="BU24" i="2"/>
  <c r="BT24" i="2"/>
  <c r="BS24" i="2"/>
  <c r="BP24" i="2"/>
  <c r="BR24" i="2" s="1"/>
  <c r="BO24" i="2"/>
  <c r="BM24" i="2"/>
  <c r="BL24" i="2"/>
  <c r="BN24" i="2" s="1"/>
  <c r="BK24" i="2"/>
  <c r="BJ24" i="2"/>
  <c r="BI24" i="2"/>
  <c r="BH24" i="2"/>
  <c r="BG24" i="2"/>
  <c r="BD24" i="2"/>
  <c r="BE24" i="2" s="1"/>
  <c r="BC24" i="2"/>
  <c r="BA24" i="2"/>
  <c r="BB24" i="2" s="1"/>
  <c r="AZ24" i="2"/>
  <c r="AY24" i="2"/>
  <c r="AX24" i="2"/>
  <c r="AW24" i="2"/>
  <c r="AV24" i="2"/>
  <c r="AU24" i="2"/>
  <c r="AT24" i="2"/>
  <c r="AS24" i="2"/>
  <c r="AR24" i="2"/>
  <c r="AO24" i="2"/>
  <c r="AN24" i="2"/>
  <c r="AL24" i="2"/>
  <c r="AM24" i="2" s="1"/>
  <c r="AK24" i="2"/>
  <c r="AI24" i="2"/>
  <c r="AH24" i="2"/>
  <c r="AG24" i="2"/>
  <c r="AF24" i="2"/>
  <c r="AE24" i="2"/>
  <c r="AD24" i="2"/>
  <c r="AA24" i="2"/>
  <c r="AC24" i="2" s="1"/>
  <c r="Z24" i="2"/>
  <c r="W24" i="2"/>
  <c r="V24" i="2"/>
  <c r="T24" i="2"/>
  <c r="U24" i="2" s="1"/>
  <c r="S24" i="2"/>
  <c r="Q24" i="2"/>
  <c r="R24" i="2" s="1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CP23" i="2"/>
  <c r="CO23" i="2"/>
  <c r="CQ23" i="2" s="1"/>
  <c r="CM23" i="2"/>
  <c r="CL23" i="2"/>
  <c r="CN23" i="2" s="1"/>
  <c r="CJ23" i="2"/>
  <c r="CK23" i="2" s="1"/>
  <c r="CI23" i="2"/>
  <c r="CF23" i="2"/>
  <c r="CE23" i="2"/>
  <c r="CD23" i="2"/>
  <c r="CC23" i="2"/>
  <c r="CB23" i="2"/>
  <c r="CA23" i="2"/>
  <c r="BZ23" i="2"/>
  <c r="BX23" i="2"/>
  <c r="BW23" i="2"/>
  <c r="BY23" i="2" s="1"/>
  <c r="BT23" i="2"/>
  <c r="BS23" i="2"/>
  <c r="BR23" i="2"/>
  <c r="BQ23" i="2"/>
  <c r="BP23" i="2"/>
  <c r="BO23" i="2"/>
  <c r="BL23" i="2"/>
  <c r="BN23" i="2" s="1"/>
  <c r="BK23" i="2"/>
  <c r="BH23" i="2"/>
  <c r="BG23" i="2"/>
  <c r="BF23" i="2"/>
  <c r="BE23" i="2"/>
  <c r="BD23" i="2"/>
  <c r="BC23" i="2"/>
  <c r="BA23" i="2"/>
  <c r="BB23" i="2" s="1"/>
  <c r="AZ23" i="2"/>
  <c r="AY23" i="2"/>
  <c r="AW23" i="2"/>
  <c r="AV23" i="2"/>
  <c r="AX23" i="2" s="1"/>
  <c r="AS23" i="2"/>
  <c r="AU23" i="2" s="1"/>
  <c r="AR23" i="2"/>
  <c r="AP23" i="2"/>
  <c r="AO23" i="2"/>
  <c r="AQ23" i="2" s="1"/>
  <c r="AN23" i="2"/>
  <c r="AM23" i="2"/>
  <c r="AL23" i="2"/>
  <c r="AK23" i="2"/>
  <c r="AJ23" i="2"/>
  <c r="AI23" i="2"/>
  <c r="AH23" i="2"/>
  <c r="AG23" i="2"/>
  <c r="AE23" i="2"/>
  <c r="AD23" i="2"/>
  <c r="AF23" i="2" s="1"/>
  <c r="AC23" i="2"/>
  <c r="AB23" i="2"/>
  <c r="AA23" i="2"/>
  <c r="Z23" i="2"/>
  <c r="W23" i="2"/>
  <c r="Y23" i="2" s="1"/>
  <c r="V23" i="2"/>
  <c r="X23" i="2" s="1"/>
  <c r="U23" i="2"/>
  <c r="T23" i="2"/>
  <c r="S23" i="2"/>
  <c r="R23" i="2"/>
  <c r="Q23" i="2"/>
  <c r="P23" i="2"/>
  <c r="O23" i="2"/>
  <c r="N23" i="2"/>
  <c r="M23" i="2"/>
  <c r="L23" i="2"/>
  <c r="CR23" i="2" s="1"/>
  <c r="CT23" i="2" s="1"/>
  <c r="K23" i="2"/>
  <c r="J23" i="2"/>
  <c r="I23" i="2"/>
  <c r="H23" i="2"/>
  <c r="F23" i="2"/>
  <c r="G23" i="2" s="1"/>
  <c r="E23" i="2"/>
  <c r="C23" i="2"/>
  <c r="CS23" i="2" s="1"/>
  <c r="B23" i="2"/>
  <c r="CP22" i="2"/>
  <c r="CO22" i="2"/>
  <c r="CQ22" i="2" s="1"/>
  <c r="CM22" i="2"/>
  <c r="CN22" i="2" s="1"/>
  <c r="CL22" i="2"/>
  <c r="CJ22" i="2"/>
  <c r="CK22" i="2" s="1"/>
  <c r="CI22" i="2"/>
  <c r="CG22" i="2"/>
  <c r="CF22" i="2"/>
  <c r="CH22" i="2" s="1"/>
  <c r="CE22" i="2"/>
  <c r="CD22" i="2"/>
  <c r="CB22" i="2"/>
  <c r="CA22" i="2"/>
  <c r="CC22" i="2" s="1"/>
  <c r="BX22" i="2"/>
  <c r="BY22" i="2" s="1"/>
  <c r="BW22" i="2"/>
  <c r="BT22" i="2"/>
  <c r="BS22" i="2"/>
  <c r="BR22" i="2"/>
  <c r="BQ22" i="2"/>
  <c r="BP22" i="2"/>
  <c r="BO22" i="2"/>
  <c r="BN22" i="2"/>
  <c r="BL22" i="2"/>
  <c r="BK22" i="2"/>
  <c r="BM22" i="2" s="1"/>
  <c r="BI22" i="2"/>
  <c r="BH22" i="2"/>
  <c r="BJ22" i="2" s="1"/>
  <c r="BG22" i="2"/>
  <c r="BF22" i="2"/>
  <c r="BD22" i="2"/>
  <c r="BC22" i="2"/>
  <c r="BE22" i="2" s="1"/>
  <c r="BA22" i="2"/>
  <c r="BB22" i="2" s="1"/>
  <c r="AZ22" i="2"/>
  <c r="AW22" i="2"/>
  <c r="AV22" i="2"/>
  <c r="AU22" i="2"/>
  <c r="AT22" i="2"/>
  <c r="AS22" i="2"/>
  <c r="AR22" i="2"/>
  <c r="AO22" i="2"/>
  <c r="AQ22" i="2" s="1"/>
  <c r="AN22" i="2"/>
  <c r="AP22" i="2" s="1"/>
  <c r="AL22" i="2"/>
  <c r="AK22" i="2"/>
  <c r="AM22" i="2" s="1"/>
  <c r="AI22" i="2"/>
  <c r="AH22" i="2"/>
  <c r="AJ22" i="2" s="1"/>
  <c r="AG22" i="2"/>
  <c r="AE22" i="2"/>
  <c r="AF22" i="2" s="1"/>
  <c r="AD22" i="2"/>
  <c r="AA22" i="2"/>
  <c r="Z22" i="2"/>
  <c r="W22" i="2"/>
  <c r="Y22" i="2" s="1"/>
  <c r="V22" i="2"/>
  <c r="U22" i="2"/>
  <c r="T22" i="2"/>
  <c r="S22" i="2"/>
  <c r="Q22" i="2"/>
  <c r="R22" i="2" s="1"/>
  <c r="P22" i="2"/>
  <c r="CR22" i="2" s="1"/>
  <c r="O22" i="2"/>
  <c r="M22" i="2"/>
  <c r="N22" i="2" s="1"/>
  <c r="L22" i="2"/>
  <c r="J22" i="2"/>
  <c r="I22" i="2"/>
  <c r="K22" i="2" s="1"/>
  <c r="H22" i="2"/>
  <c r="G22" i="2"/>
  <c r="F22" i="2"/>
  <c r="E22" i="2"/>
  <c r="D22" i="2"/>
  <c r="C22" i="2"/>
  <c r="CS22" i="2" s="1"/>
  <c r="B22" i="2"/>
  <c r="CP21" i="2"/>
  <c r="CQ21" i="2" s="1"/>
  <c r="CO21" i="2"/>
  <c r="CM21" i="2"/>
  <c r="CL21" i="2"/>
  <c r="CN21" i="2" s="1"/>
  <c r="CJ21" i="2"/>
  <c r="CK21" i="2" s="1"/>
  <c r="CI21" i="2"/>
  <c r="CF21" i="2"/>
  <c r="CG21" i="2" s="1"/>
  <c r="CE21" i="2"/>
  <c r="CB21" i="2"/>
  <c r="CA21" i="2"/>
  <c r="BX21" i="2"/>
  <c r="BZ21" i="2" s="1"/>
  <c r="BW21" i="2"/>
  <c r="BV21" i="2"/>
  <c r="BU21" i="2"/>
  <c r="BT21" i="2"/>
  <c r="BS21" i="2"/>
  <c r="BP21" i="2"/>
  <c r="BQ21" i="2" s="1"/>
  <c r="BO21" i="2"/>
  <c r="BL21" i="2"/>
  <c r="BM21" i="2" s="1"/>
  <c r="BK21" i="2"/>
  <c r="BJ21" i="2"/>
  <c r="BI21" i="2"/>
  <c r="BH21" i="2"/>
  <c r="BG21" i="2"/>
  <c r="BD21" i="2"/>
  <c r="BF21" i="2" s="1"/>
  <c r="BC21" i="2"/>
  <c r="BB21" i="2"/>
  <c r="BA21" i="2"/>
  <c r="AZ21" i="2"/>
  <c r="AW21" i="2"/>
  <c r="AV21" i="2"/>
  <c r="AS21" i="2"/>
  <c r="AU21" i="2" s="1"/>
  <c r="AR21" i="2"/>
  <c r="AQ21" i="2"/>
  <c r="AP21" i="2"/>
  <c r="AO21" i="2"/>
  <c r="AN21" i="2"/>
  <c r="AL21" i="2"/>
  <c r="AK21" i="2"/>
  <c r="AI21" i="2"/>
  <c r="AH21" i="2"/>
  <c r="AJ21" i="2" s="1"/>
  <c r="AF21" i="2"/>
  <c r="AE21" i="2"/>
  <c r="AG21" i="2" s="1"/>
  <c r="AD21" i="2"/>
  <c r="AA21" i="2"/>
  <c r="AC21" i="2" s="1"/>
  <c r="Z21" i="2"/>
  <c r="Y21" i="2"/>
  <c r="X21" i="2"/>
  <c r="W21" i="2"/>
  <c r="V21" i="2"/>
  <c r="T21" i="2"/>
  <c r="U21" i="2" s="1"/>
  <c r="S21" i="2"/>
  <c r="R21" i="2"/>
  <c r="Q21" i="2"/>
  <c r="P21" i="2"/>
  <c r="M21" i="2"/>
  <c r="O21" i="2" s="1"/>
  <c r="L21" i="2"/>
  <c r="I21" i="2"/>
  <c r="H21" i="2"/>
  <c r="G21" i="2"/>
  <c r="F21" i="2"/>
  <c r="E21" i="2"/>
  <c r="C21" i="2"/>
  <c r="B21" i="2"/>
  <c r="CR21" i="2" s="1"/>
  <c r="CP20" i="2"/>
  <c r="CO20" i="2"/>
  <c r="CN20" i="2"/>
  <c r="CM20" i="2"/>
  <c r="CL20" i="2"/>
  <c r="CJ20" i="2"/>
  <c r="CK20" i="2" s="1"/>
  <c r="CI20" i="2"/>
  <c r="CH20" i="2"/>
  <c r="CF20" i="2"/>
  <c r="CE20" i="2"/>
  <c r="CG20" i="2" s="1"/>
  <c r="CD20" i="2"/>
  <c r="CC20" i="2"/>
  <c r="CB20" i="2"/>
  <c r="CA20" i="2"/>
  <c r="BX20" i="2"/>
  <c r="BW20" i="2"/>
  <c r="BV20" i="2"/>
  <c r="BU20" i="2"/>
  <c r="BT20" i="2"/>
  <c r="BS20" i="2"/>
  <c r="BP20" i="2"/>
  <c r="BR20" i="2" s="1"/>
  <c r="BO20" i="2"/>
  <c r="BL20" i="2"/>
  <c r="BK20" i="2"/>
  <c r="BJ20" i="2"/>
  <c r="BI20" i="2"/>
  <c r="BH20" i="2"/>
  <c r="BG20" i="2"/>
  <c r="BD20" i="2"/>
  <c r="BF20" i="2" s="1"/>
  <c r="BC20" i="2"/>
  <c r="BA20" i="2"/>
  <c r="BB20" i="2" s="1"/>
  <c r="AZ20" i="2"/>
  <c r="AY20" i="2"/>
  <c r="AX20" i="2"/>
  <c r="AW20" i="2"/>
  <c r="AV20" i="2"/>
  <c r="AT20" i="2"/>
  <c r="AS20" i="2"/>
  <c r="AU20" i="2" s="1"/>
  <c r="AR20" i="2"/>
  <c r="AO20" i="2"/>
  <c r="AN20" i="2"/>
  <c r="AL20" i="2"/>
  <c r="AM20" i="2" s="1"/>
  <c r="AK20" i="2"/>
  <c r="AI20" i="2"/>
  <c r="AH20" i="2"/>
  <c r="AG20" i="2"/>
  <c r="AF20" i="2"/>
  <c r="AE20" i="2"/>
  <c r="AD20" i="2"/>
  <c r="AA20" i="2"/>
  <c r="AC20" i="2" s="1"/>
  <c r="Z20" i="2"/>
  <c r="W20" i="2"/>
  <c r="V20" i="2"/>
  <c r="U20" i="2"/>
  <c r="T20" i="2"/>
  <c r="S20" i="2"/>
  <c r="Q20" i="2"/>
  <c r="R20" i="2" s="1"/>
  <c r="P20" i="2"/>
  <c r="O20" i="2"/>
  <c r="N20" i="2"/>
  <c r="M20" i="2"/>
  <c r="L20" i="2"/>
  <c r="J20" i="2"/>
  <c r="I20" i="2"/>
  <c r="K20" i="2" s="1"/>
  <c r="H20" i="2"/>
  <c r="G20" i="2"/>
  <c r="F20" i="2"/>
  <c r="E20" i="2"/>
  <c r="D20" i="2"/>
  <c r="C20" i="2"/>
  <c r="B20" i="2"/>
  <c r="CR20" i="2" s="1"/>
  <c r="CP19" i="2"/>
  <c r="CO19" i="2"/>
  <c r="CQ19" i="2" s="1"/>
  <c r="CN19" i="2"/>
  <c r="CM19" i="2"/>
  <c r="CL19" i="2"/>
  <c r="CJ19" i="2"/>
  <c r="CK19" i="2" s="1"/>
  <c r="CI19" i="2"/>
  <c r="CF19" i="2"/>
  <c r="CE19" i="2"/>
  <c r="CD19" i="2"/>
  <c r="CC19" i="2"/>
  <c r="CB19" i="2"/>
  <c r="CA19" i="2"/>
  <c r="BX19" i="2"/>
  <c r="BZ19" i="2" s="1"/>
  <c r="BW19" i="2"/>
  <c r="BT19" i="2"/>
  <c r="BU19" i="2" s="1"/>
  <c r="BS19" i="2"/>
  <c r="BR19" i="2"/>
  <c r="BQ19" i="2"/>
  <c r="BP19" i="2"/>
  <c r="BO19" i="2"/>
  <c r="BL19" i="2"/>
  <c r="BN19" i="2" s="1"/>
  <c r="BK19" i="2"/>
  <c r="BH19" i="2"/>
  <c r="BI19" i="2" s="1"/>
  <c r="BG19" i="2"/>
  <c r="BF19" i="2"/>
  <c r="BE19" i="2"/>
  <c r="BD19" i="2"/>
  <c r="BC19" i="2"/>
  <c r="BA19" i="2"/>
  <c r="BB19" i="2" s="1"/>
  <c r="AZ19" i="2"/>
  <c r="AY19" i="2"/>
  <c r="AX19" i="2"/>
  <c r="AW19" i="2"/>
  <c r="AV19" i="2"/>
  <c r="AS19" i="2"/>
  <c r="AU19" i="2" s="1"/>
  <c r="AR19" i="2"/>
  <c r="AO19" i="2"/>
  <c r="AN19" i="2"/>
  <c r="AM19" i="2"/>
  <c r="AL19" i="2"/>
  <c r="AK19" i="2"/>
  <c r="AI19" i="2"/>
  <c r="AJ19" i="2" s="1"/>
  <c r="AH19" i="2"/>
  <c r="AG19" i="2"/>
  <c r="AF19" i="2"/>
  <c r="AE19" i="2"/>
  <c r="AD19" i="2"/>
  <c r="AA19" i="2"/>
  <c r="AB19" i="2" s="1"/>
  <c r="Z19" i="2"/>
  <c r="W19" i="2"/>
  <c r="V19" i="2"/>
  <c r="U19" i="2"/>
  <c r="T19" i="2"/>
  <c r="S19" i="2"/>
  <c r="Q19" i="2"/>
  <c r="R19" i="2" s="1"/>
  <c r="P19" i="2"/>
  <c r="O19" i="2"/>
  <c r="N19" i="2"/>
  <c r="M19" i="2"/>
  <c r="L19" i="2"/>
  <c r="I19" i="2"/>
  <c r="K19" i="2" s="1"/>
  <c r="H19" i="2"/>
  <c r="F19" i="2"/>
  <c r="G19" i="2" s="1"/>
  <c r="E19" i="2"/>
  <c r="C19" i="2"/>
  <c r="B19" i="2"/>
  <c r="CP18" i="2"/>
  <c r="CQ18" i="2" s="1"/>
  <c r="CO18" i="2"/>
  <c r="CM18" i="2"/>
  <c r="CN18" i="2" s="1"/>
  <c r="CL18" i="2"/>
  <c r="CJ18" i="2"/>
  <c r="CK18" i="2" s="1"/>
  <c r="CI18" i="2"/>
  <c r="CF18" i="2"/>
  <c r="CE18" i="2"/>
  <c r="CD18" i="2"/>
  <c r="CB18" i="2"/>
  <c r="CA18" i="2"/>
  <c r="CC18" i="2" s="1"/>
  <c r="BX18" i="2"/>
  <c r="BZ18" i="2" s="1"/>
  <c r="BW18" i="2"/>
  <c r="BT18" i="2"/>
  <c r="BS18" i="2"/>
  <c r="BR18" i="2"/>
  <c r="BP18" i="2"/>
  <c r="BO18" i="2"/>
  <c r="BQ18" i="2" s="1"/>
  <c r="BN18" i="2"/>
  <c r="BL18" i="2"/>
  <c r="BM18" i="2" s="1"/>
  <c r="BK18" i="2"/>
  <c r="BH18" i="2"/>
  <c r="BG18" i="2"/>
  <c r="BF18" i="2"/>
  <c r="BD18" i="2"/>
  <c r="BC18" i="2"/>
  <c r="BE18" i="2" s="1"/>
  <c r="BA18" i="2"/>
  <c r="BB18" i="2" s="1"/>
  <c r="AZ18" i="2"/>
  <c r="AW18" i="2"/>
  <c r="AX18" i="2" s="1"/>
  <c r="AV18" i="2"/>
  <c r="AU18" i="2"/>
  <c r="AT18" i="2"/>
  <c r="AS18" i="2"/>
  <c r="AR18" i="2"/>
  <c r="AP18" i="2"/>
  <c r="AO18" i="2"/>
  <c r="AQ18" i="2" s="1"/>
  <c r="AN18" i="2"/>
  <c r="AL18" i="2"/>
  <c r="AK18" i="2"/>
  <c r="AM18" i="2" s="1"/>
  <c r="AI18" i="2"/>
  <c r="AJ18" i="2" s="1"/>
  <c r="AH18" i="2"/>
  <c r="AE18" i="2"/>
  <c r="AD18" i="2"/>
  <c r="AC18" i="2"/>
  <c r="AB18" i="2"/>
  <c r="AA18" i="2"/>
  <c r="Z18" i="2"/>
  <c r="W18" i="2"/>
  <c r="Y18" i="2" s="1"/>
  <c r="V18" i="2"/>
  <c r="U18" i="2"/>
  <c r="T18" i="2"/>
  <c r="S18" i="2"/>
  <c r="Q18" i="2"/>
  <c r="R18" i="2" s="1"/>
  <c r="P18" i="2"/>
  <c r="M18" i="2"/>
  <c r="N18" i="2" s="1"/>
  <c r="L18" i="2"/>
  <c r="CR18" i="2" s="1"/>
  <c r="K18" i="2"/>
  <c r="J18" i="2"/>
  <c r="I18" i="2"/>
  <c r="H18" i="2"/>
  <c r="F18" i="2"/>
  <c r="E18" i="2"/>
  <c r="D18" i="2"/>
  <c r="C18" i="2"/>
  <c r="B18" i="2"/>
  <c r="CQ17" i="2"/>
  <c r="CP17" i="2"/>
  <c r="CO17" i="2"/>
  <c r="CM17" i="2"/>
  <c r="CL17" i="2"/>
  <c r="CK17" i="2"/>
  <c r="CJ17" i="2"/>
  <c r="CI17" i="2"/>
  <c r="CF17" i="2"/>
  <c r="CH17" i="2" s="1"/>
  <c r="CE17" i="2"/>
  <c r="CB17" i="2"/>
  <c r="CA17" i="2"/>
  <c r="BZ17" i="2"/>
  <c r="BY17" i="2"/>
  <c r="BX17" i="2"/>
  <c r="BW17" i="2"/>
  <c r="BT17" i="2"/>
  <c r="BV17" i="2" s="1"/>
  <c r="BS17" i="2"/>
  <c r="BP17" i="2"/>
  <c r="BQ17" i="2" s="1"/>
  <c r="BO17" i="2"/>
  <c r="BN17" i="2"/>
  <c r="BM17" i="2"/>
  <c r="BL17" i="2"/>
  <c r="BK17" i="2"/>
  <c r="BH17" i="2"/>
  <c r="BJ17" i="2" s="1"/>
  <c r="BG17" i="2"/>
  <c r="BD17" i="2"/>
  <c r="BC17" i="2"/>
  <c r="BA17" i="2"/>
  <c r="BB17" i="2" s="1"/>
  <c r="AZ17" i="2"/>
  <c r="AW17" i="2"/>
  <c r="AV17" i="2"/>
  <c r="AU17" i="2"/>
  <c r="AS17" i="2"/>
  <c r="AT17" i="2" s="1"/>
  <c r="AR17" i="2"/>
  <c r="AP17" i="2"/>
  <c r="AO17" i="2"/>
  <c r="AQ17" i="2" s="1"/>
  <c r="AN17" i="2"/>
  <c r="AL17" i="2"/>
  <c r="AM17" i="2" s="1"/>
  <c r="AK17" i="2"/>
  <c r="AI17" i="2"/>
  <c r="AJ17" i="2" s="1"/>
  <c r="AH17" i="2"/>
  <c r="AE17" i="2"/>
  <c r="AD17" i="2"/>
  <c r="AC17" i="2"/>
  <c r="AA17" i="2"/>
  <c r="Z17" i="2"/>
  <c r="AB17" i="2" s="1"/>
  <c r="Y17" i="2"/>
  <c r="X17" i="2"/>
  <c r="W17" i="2"/>
  <c r="V17" i="2"/>
  <c r="T17" i="2"/>
  <c r="U17" i="2" s="1"/>
  <c r="S17" i="2"/>
  <c r="CR17" i="2" s="1"/>
  <c r="Q17" i="2"/>
  <c r="CS17" i="2" s="1"/>
  <c r="P17" i="2"/>
  <c r="M17" i="2"/>
  <c r="L17" i="2"/>
  <c r="K17" i="2"/>
  <c r="J17" i="2"/>
  <c r="I17" i="2"/>
  <c r="H17" i="2"/>
  <c r="F17" i="2"/>
  <c r="G17" i="2" s="1"/>
  <c r="E17" i="2"/>
  <c r="D17" i="2"/>
  <c r="C17" i="2"/>
  <c r="B17" i="2"/>
  <c r="CP16" i="2"/>
  <c r="CQ16" i="2" s="1"/>
  <c r="CO16" i="2"/>
  <c r="CM16" i="2"/>
  <c r="CN16" i="2" s="1"/>
  <c r="CL16" i="2"/>
  <c r="CJ16" i="2"/>
  <c r="CK16" i="2" s="1"/>
  <c r="CI16" i="2"/>
  <c r="CH16" i="2"/>
  <c r="CF16" i="2"/>
  <c r="CG16" i="2" s="1"/>
  <c r="CE16" i="2"/>
  <c r="CB16" i="2"/>
  <c r="CA16" i="2"/>
  <c r="BZ16" i="2"/>
  <c r="BX16" i="2"/>
  <c r="BW16" i="2"/>
  <c r="BU16" i="2"/>
  <c r="BT16" i="2"/>
  <c r="BV16" i="2" s="1"/>
  <c r="BS16" i="2"/>
  <c r="BP16" i="2"/>
  <c r="BR16" i="2" s="1"/>
  <c r="BO16" i="2"/>
  <c r="BN16" i="2"/>
  <c r="BL16" i="2"/>
  <c r="BM16" i="2" s="1"/>
  <c r="BK16" i="2"/>
  <c r="BH16" i="2"/>
  <c r="BI16" i="2" s="1"/>
  <c r="BG16" i="2"/>
  <c r="BD16" i="2"/>
  <c r="BF16" i="2" s="1"/>
  <c r="BC16" i="2"/>
  <c r="BB16" i="2"/>
  <c r="BA16" i="2"/>
  <c r="AZ16" i="2"/>
  <c r="AY16" i="2"/>
  <c r="AX16" i="2"/>
  <c r="AW16" i="2"/>
  <c r="AV16" i="2"/>
  <c r="AS16" i="2"/>
  <c r="AR16" i="2"/>
  <c r="AQ16" i="2"/>
  <c r="AP16" i="2"/>
  <c r="AO16" i="2"/>
  <c r="AN16" i="2"/>
  <c r="AL16" i="2"/>
  <c r="AM16" i="2" s="1"/>
  <c r="AK16" i="2"/>
  <c r="AJ16" i="2"/>
  <c r="AI16" i="2"/>
  <c r="AH16" i="2"/>
  <c r="AE16" i="2"/>
  <c r="AG16" i="2" s="1"/>
  <c r="AD16" i="2"/>
  <c r="AF16" i="2" s="1"/>
  <c r="AA16" i="2"/>
  <c r="Z16" i="2"/>
  <c r="Y16" i="2"/>
  <c r="X16" i="2"/>
  <c r="W16" i="2"/>
  <c r="V16" i="2"/>
  <c r="T16" i="2"/>
  <c r="U16" i="2" s="1"/>
  <c r="S16" i="2"/>
  <c r="R16" i="2"/>
  <c r="Q16" i="2"/>
  <c r="P16" i="2"/>
  <c r="M16" i="2"/>
  <c r="N16" i="2" s="1"/>
  <c r="L16" i="2"/>
  <c r="I16" i="2"/>
  <c r="H16" i="2"/>
  <c r="F16" i="2"/>
  <c r="G16" i="2" s="1"/>
  <c r="E16" i="2"/>
  <c r="C16" i="2"/>
  <c r="D16" i="2" s="1"/>
  <c r="B16" i="2"/>
  <c r="CR16" i="2" s="1"/>
  <c r="CP15" i="2"/>
  <c r="CO15" i="2"/>
  <c r="CM15" i="2"/>
  <c r="CN15" i="2" s="1"/>
  <c r="CL15" i="2"/>
  <c r="CJ15" i="2"/>
  <c r="CI15" i="2"/>
  <c r="CH15" i="2"/>
  <c r="CG15" i="2"/>
  <c r="CF15" i="2"/>
  <c r="CE15" i="2"/>
  <c r="CB15" i="2"/>
  <c r="CC15" i="2" s="1"/>
  <c r="CA15" i="2"/>
  <c r="BX15" i="2"/>
  <c r="BW15" i="2"/>
  <c r="BV15" i="2"/>
  <c r="BU15" i="2"/>
  <c r="BT15" i="2"/>
  <c r="BS15" i="2"/>
  <c r="BR15" i="2"/>
  <c r="BQ15" i="2"/>
  <c r="BP15" i="2"/>
  <c r="BO15" i="2"/>
  <c r="BL15" i="2"/>
  <c r="BK15" i="2"/>
  <c r="BJ15" i="2"/>
  <c r="BI15" i="2"/>
  <c r="BH15" i="2"/>
  <c r="BG15" i="2"/>
  <c r="BD15" i="2"/>
  <c r="BE15" i="2" s="1"/>
  <c r="BC15" i="2"/>
  <c r="BA15" i="2"/>
  <c r="BB15" i="2" s="1"/>
  <c r="AZ15" i="2"/>
  <c r="AW15" i="2"/>
  <c r="AY15" i="2" s="1"/>
  <c r="AV15" i="2"/>
  <c r="AS15" i="2"/>
  <c r="AU15" i="2" s="1"/>
  <c r="AR15" i="2"/>
  <c r="AQ15" i="2"/>
  <c r="AO15" i="2"/>
  <c r="AN15" i="2"/>
  <c r="AL15" i="2"/>
  <c r="AM15" i="2" s="1"/>
  <c r="AK15" i="2"/>
  <c r="AI15" i="2"/>
  <c r="AH15" i="2"/>
  <c r="AG15" i="2"/>
  <c r="AE15" i="2"/>
  <c r="AF15" i="2" s="1"/>
  <c r="AD15" i="2"/>
  <c r="AA15" i="2"/>
  <c r="AC15" i="2" s="1"/>
  <c r="Z15" i="2"/>
  <c r="Y15" i="2"/>
  <c r="W15" i="2"/>
  <c r="V15" i="2"/>
  <c r="T15" i="2"/>
  <c r="U15" i="2" s="1"/>
  <c r="S15" i="2"/>
  <c r="Q15" i="2"/>
  <c r="R15" i="2" s="1"/>
  <c r="P15" i="2"/>
  <c r="M15" i="2"/>
  <c r="O15" i="2" s="1"/>
  <c r="L15" i="2"/>
  <c r="I15" i="2"/>
  <c r="K15" i="2" s="1"/>
  <c r="H15" i="2"/>
  <c r="G15" i="2"/>
  <c r="F15" i="2"/>
  <c r="E15" i="2"/>
  <c r="C15" i="2"/>
  <c r="CS15" i="2" s="1"/>
  <c r="B15" i="2"/>
  <c r="CP14" i="2"/>
  <c r="CQ14" i="2" s="1"/>
  <c r="CO14" i="2"/>
  <c r="CN14" i="2"/>
  <c r="CM14" i="2"/>
  <c r="CL14" i="2"/>
  <c r="CJ14" i="2"/>
  <c r="CK14" i="2" s="1"/>
  <c r="CI14" i="2"/>
  <c r="CH14" i="2"/>
  <c r="CF14" i="2"/>
  <c r="CE14" i="2"/>
  <c r="CD14" i="2"/>
  <c r="CC14" i="2"/>
  <c r="CB14" i="2"/>
  <c r="CA14" i="2"/>
  <c r="BX14" i="2"/>
  <c r="BZ14" i="2" s="1"/>
  <c r="BW14" i="2"/>
  <c r="BV14" i="2"/>
  <c r="BT14" i="2"/>
  <c r="BU14" i="2" s="1"/>
  <c r="BS14" i="2"/>
  <c r="BP14" i="2"/>
  <c r="BR14" i="2" s="1"/>
  <c r="BO14" i="2"/>
  <c r="BL14" i="2"/>
  <c r="BN14" i="2" s="1"/>
  <c r="BK14" i="2"/>
  <c r="BJ14" i="2"/>
  <c r="BH14" i="2"/>
  <c r="BI14" i="2" s="1"/>
  <c r="BG14" i="2"/>
  <c r="BD14" i="2"/>
  <c r="BE14" i="2" s="1"/>
  <c r="BC14" i="2"/>
  <c r="BA14" i="2"/>
  <c r="BB14" i="2" s="1"/>
  <c r="AZ14" i="2"/>
  <c r="AY14" i="2"/>
  <c r="AX14" i="2"/>
  <c r="AW14" i="2"/>
  <c r="AV14" i="2"/>
  <c r="AU14" i="2"/>
  <c r="AT14" i="2"/>
  <c r="AS14" i="2"/>
  <c r="AR14" i="2"/>
  <c r="AO14" i="2"/>
  <c r="AN14" i="2"/>
  <c r="AL14" i="2"/>
  <c r="AM14" i="2" s="1"/>
  <c r="AK14" i="2"/>
  <c r="AI14" i="2"/>
  <c r="AH14" i="2"/>
  <c r="AG14" i="2"/>
  <c r="AF14" i="2"/>
  <c r="AE14" i="2"/>
  <c r="AD14" i="2"/>
  <c r="AA14" i="2"/>
  <c r="AC14" i="2" s="1"/>
  <c r="Z14" i="2"/>
  <c r="W14" i="2"/>
  <c r="V14" i="2"/>
  <c r="T14" i="2"/>
  <c r="U14" i="2" s="1"/>
  <c r="S14" i="2"/>
  <c r="Q14" i="2"/>
  <c r="R14" i="2" s="1"/>
  <c r="P14" i="2"/>
  <c r="O14" i="2"/>
  <c r="N14" i="2"/>
  <c r="M14" i="2"/>
  <c r="L14" i="2"/>
  <c r="K14" i="2"/>
  <c r="J14" i="2"/>
  <c r="I14" i="2"/>
  <c r="H14" i="2"/>
  <c r="F14" i="2"/>
  <c r="G14" i="2" s="1"/>
  <c r="E14" i="2"/>
  <c r="C14" i="2"/>
  <c r="CS14" i="2" s="1"/>
  <c r="B14" i="2"/>
  <c r="CP13" i="2"/>
  <c r="CQ13" i="2" s="1"/>
  <c r="CO13" i="2"/>
  <c r="CM13" i="2"/>
  <c r="CN13" i="2" s="1"/>
  <c r="CL13" i="2"/>
  <c r="CJ13" i="2"/>
  <c r="CK13" i="2" s="1"/>
  <c r="CI13" i="2"/>
  <c r="CF13" i="2"/>
  <c r="CE13" i="2"/>
  <c r="CD13" i="2"/>
  <c r="CC13" i="2"/>
  <c r="CB13" i="2"/>
  <c r="CA13" i="2"/>
  <c r="BZ13" i="2"/>
  <c r="BY13" i="2"/>
  <c r="BX13" i="2"/>
  <c r="BW13" i="2"/>
  <c r="BT13" i="2"/>
  <c r="BS13" i="2"/>
  <c r="BR13" i="2"/>
  <c r="BQ13" i="2"/>
  <c r="BP13" i="2"/>
  <c r="BO13" i="2"/>
  <c r="BL13" i="2"/>
  <c r="BM13" i="2" s="1"/>
  <c r="BK13" i="2"/>
  <c r="BH13" i="2"/>
  <c r="BG13" i="2"/>
  <c r="BF13" i="2"/>
  <c r="BE13" i="2"/>
  <c r="BD13" i="2"/>
  <c r="BC13" i="2"/>
  <c r="BA13" i="2"/>
  <c r="BB13" i="2" s="1"/>
  <c r="AZ13" i="2"/>
  <c r="AY13" i="2"/>
  <c r="AW13" i="2"/>
  <c r="AV13" i="2"/>
  <c r="AS13" i="2"/>
  <c r="AT13" i="2" s="1"/>
  <c r="AR13" i="2"/>
  <c r="AO13" i="2"/>
  <c r="AQ13" i="2" s="1"/>
  <c r="AN13" i="2"/>
  <c r="AM13" i="2"/>
  <c r="AL13" i="2"/>
  <c r="AK13" i="2"/>
  <c r="AI13" i="2"/>
  <c r="AJ13" i="2" s="1"/>
  <c r="AH13" i="2"/>
  <c r="AG13" i="2"/>
  <c r="AE13" i="2"/>
  <c r="AD13" i="2"/>
  <c r="AC13" i="2"/>
  <c r="AB13" i="2"/>
  <c r="AA13" i="2"/>
  <c r="Z13" i="2"/>
  <c r="W13" i="2"/>
  <c r="Y13" i="2" s="1"/>
  <c r="V13" i="2"/>
  <c r="U13" i="2"/>
  <c r="T13" i="2"/>
  <c r="S13" i="2"/>
  <c r="Q13" i="2"/>
  <c r="R13" i="2" s="1"/>
  <c r="P13" i="2"/>
  <c r="O13" i="2"/>
  <c r="M13" i="2"/>
  <c r="N13" i="2" s="1"/>
  <c r="L13" i="2"/>
  <c r="CR13" i="2" s="1"/>
  <c r="I13" i="2"/>
  <c r="K13" i="2" s="1"/>
  <c r="H13" i="2"/>
  <c r="F13" i="2"/>
  <c r="G13" i="2" s="1"/>
  <c r="E13" i="2"/>
  <c r="C13" i="2"/>
  <c r="B13" i="2"/>
  <c r="CP12" i="2"/>
  <c r="CQ12" i="2" s="1"/>
  <c r="CO12" i="2"/>
  <c r="CM12" i="2"/>
  <c r="CL12" i="2"/>
  <c r="CJ12" i="2"/>
  <c r="CK12" i="2" s="1"/>
  <c r="CI12" i="2"/>
  <c r="CF12" i="2"/>
  <c r="CH12" i="2" s="1"/>
  <c r="CE12" i="2"/>
  <c r="CD12" i="2"/>
  <c r="CB12" i="2"/>
  <c r="CA12" i="2"/>
  <c r="CC12" i="2" s="1"/>
  <c r="BX12" i="2"/>
  <c r="BY12" i="2" s="1"/>
  <c r="BW12" i="2"/>
  <c r="BT12" i="2"/>
  <c r="BV12" i="2" s="1"/>
  <c r="BS12" i="2"/>
  <c r="BR12" i="2"/>
  <c r="BP12" i="2"/>
  <c r="BO12" i="2"/>
  <c r="BQ12" i="2" s="1"/>
  <c r="BL12" i="2"/>
  <c r="BN12" i="2" s="1"/>
  <c r="BK12" i="2"/>
  <c r="BI12" i="2"/>
  <c r="BH12" i="2"/>
  <c r="BJ12" i="2" s="1"/>
  <c r="BG12" i="2"/>
  <c r="BF12" i="2"/>
  <c r="BD12" i="2"/>
  <c r="BC12" i="2"/>
  <c r="BE12" i="2" s="1"/>
  <c r="BB12" i="2"/>
  <c r="BA12" i="2"/>
  <c r="AZ12" i="2"/>
  <c r="AW12" i="2"/>
  <c r="AV12" i="2"/>
  <c r="AU12" i="2"/>
  <c r="AT12" i="2"/>
  <c r="AS12" i="2"/>
  <c r="AR12" i="2"/>
  <c r="AO12" i="2"/>
  <c r="AP12" i="2" s="1"/>
  <c r="AN12" i="2"/>
  <c r="AL12" i="2"/>
  <c r="AK12" i="2"/>
  <c r="AM12" i="2" s="1"/>
  <c r="AI12" i="2"/>
  <c r="AJ12" i="2" s="1"/>
  <c r="AH12" i="2"/>
  <c r="AE12" i="2"/>
  <c r="AD12" i="2"/>
  <c r="AC12" i="2"/>
  <c r="AB12" i="2"/>
  <c r="AA12" i="2"/>
  <c r="Z12" i="2"/>
  <c r="Y12" i="2"/>
  <c r="W12" i="2"/>
  <c r="X12" i="2" s="1"/>
  <c r="V12" i="2"/>
  <c r="U12" i="2"/>
  <c r="T12" i="2"/>
  <c r="S12" i="2"/>
  <c r="Q12" i="2"/>
  <c r="R12" i="2" s="1"/>
  <c r="P12" i="2"/>
  <c r="M12" i="2"/>
  <c r="L12" i="2"/>
  <c r="CR12" i="2" s="1"/>
  <c r="K12" i="2"/>
  <c r="J12" i="2"/>
  <c r="I12" i="2"/>
  <c r="H12" i="2"/>
  <c r="F12" i="2"/>
  <c r="G12" i="2" s="1"/>
  <c r="E12" i="2"/>
  <c r="D12" i="2"/>
  <c r="C12" i="2"/>
  <c r="B12" i="2"/>
  <c r="CQ11" i="2"/>
  <c r="CP11" i="2"/>
  <c r="CO11" i="2"/>
  <c r="CM11" i="2"/>
  <c r="CN11" i="2" s="1"/>
  <c r="CL11" i="2"/>
  <c r="CK11" i="2"/>
  <c r="CJ11" i="2"/>
  <c r="CI11" i="2"/>
  <c r="CF11" i="2"/>
  <c r="CH11" i="2" s="1"/>
  <c r="CE11" i="2"/>
  <c r="CB11" i="2"/>
  <c r="CA11" i="2"/>
  <c r="BZ11" i="2"/>
  <c r="BY11" i="2"/>
  <c r="BX11" i="2"/>
  <c r="BW11" i="2"/>
  <c r="BT11" i="2"/>
  <c r="BV11" i="2" s="1"/>
  <c r="BS11" i="2"/>
  <c r="BP11" i="2"/>
  <c r="BO11" i="2"/>
  <c r="BN11" i="2"/>
  <c r="BM11" i="2"/>
  <c r="BL11" i="2"/>
  <c r="BK11" i="2"/>
  <c r="BJ11" i="2"/>
  <c r="BH11" i="2"/>
  <c r="BI11" i="2" s="1"/>
  <c r="BG11" i="2"/>
  <c r="BD11" i="2"/>
  <c r="BC11" i="2"/>
  <c r="BB11" i="2"/>
  <c r="BA11" i="2"/>
  <c r="AZ11" i="2"/>
  <c r="AW11" i="2"/>
  <c r="AY11" i="2" s="1"/>
  <c r="AV11" i="2"/>
  <c r="AU11" i="2"/>
  <c r="AS11" i="2"/>
  <c r="AR11" i="2"/>
  <c r="AT11" i="2" s="1"/>
  <c r="AO11" i="2"/>
  <c r="AQ11" i="2" s="1"/>
  <c r="AN11" i="2"/>
  <c r="AL11" i="2"/>
  <c r="AK11" i="2"/>
  <c r="AI11" i="2"/>
  <c r="AJ11" i="2" s="1"/>
  <c r="AH11" i="2"/>
  <c r="AF11" i="2"/>
  <c r="AE11" i="2"/>
  <c r="AG11" i="2" s="1"/>
  <c r="AD11" i="2"/>
  <c r="AC11" i="2"/>
  <c r="AA11" i="2"/>
  <c r="Z11" i="2"/>
  <c r="AB11" i="2" s="1"/>
  <c r="Y11" i="2"/>
  <c r="W11" i="2"/>
  <c r="X11" i="2" s="1"/>
  <c r="V11" i="2"/>
  <c r="T11" i="2"/>
  <c r="U11" i="2" s="1"/>
  <c r="S11" i="2"/>
  <c r="R11" i="2"/>
  <c r="Q11" i="2"/>
  <c r="P11" i="2"/>
  <c r="M11" i="2"/>
  <c r="O11" i="2" s="1"/>
  <c r="L11" i="2"/>
  <c r="K11" i="2"/>
  <c r="J11" i="2"/>
  <c r="I11" i="2"/>
  <c r="H11" i="2"/>
  <c r="F11" i="2"/>
  <c r="G11" i="2" s="1"/>
  <c r="E11" i="2"/>
  <c r="CR11" i="2" s="1"/>
  <c r="D11" i="2"/>
  <c r="C11" i="2"/>
  <c r="B11" i="2"/>
  <c r="CP10" i="2"/>
  <c r="CO10" i="2"/>
  <c r="CQ10" i="2" s="1"/>
  <c r="CM10" i="2"/>
  <c r="CN10" i="2" s="1"/>
  <c r="CL10" i="2"/>
  <c r="CK10" i="2"/>
  <c r="CJ10" i="2"/>
  <c r="CI10" i="2"/>
  <c r="CF10" i="2"/>
  <c r="CH10" i="2" s="1"/>
  <c r="CE10" i="2"/>
  <c r="CB10" i="2"/>
  <c r="CD10" i="2" s="1"/>
  <c r="CA10" i="2"/>
  <c r="BZ10" i="2"/>
  <c r="BX10" i="2"/>
  <c r="BW10" i="2"/>
  <c r="BY10" i="2" s="1"/>
  <c r="BT10" i="2"/>
  <c r="BU10" i="2" s="1"/>
  <c r="BS10" i="2"/>
  <c r="BP10" i="2"/>
  <c r="BR10" i="2" s="1"/>
  <c r="BO10" i="2"/>
  <c r="BN10" i="2"/>
  <c r="BL10" i="2"/>
  <c r="BK10" i="2"/>
  <c r="BM10" i="2" s="1"/>
  <c r="BJ10" i="2"/>
  <c r="BI10" i="2"/>
  <c r="BH10" i="2"/>
  <c r="BG10" i="2"/>
  <c r="BD10" i="2"/>
  <c r="BF10" i="2" s="1"/>
  <c r="BC10" i="2"/>
  <c r="BB10" i="2"/>
  <c r="BA10" i="2"/>
  <c r="AZ10" i="2"/>
  <c r="AW10" i="2"/>
  <c r="AX10" i="2" s="1"/>
  <c r="AV10" i="2"/>
  <c r="AS10" i="2"/>
  <c r="AR10" i="2"/>
  <c r="AQ10" i="2"/>
  <c r="AP10" i="2"/>
  <c r="AO10" i="2"/>
  <c r="AN10" i="2"/>
  <c r="AL10" i="2"/>
  <c r="AM10" i="2" s="1"/>
  <c r="AK10" i="2"/>
  <c r="AJ10" i="2"/>
  <c r="AI10" i="2"/>
  <c r="AH10" i="2"/>
  <c r="AE10" i="2"/>
  <c r="AF10" i="2" s="1"/>
  <c r="AD10" i="2"/>
  <c r="AA10" i="2"/>
  <c r="Z10" i="2"/>
  <c r="Y10" i="2"/>
  <c r="X10" i="2"/>
  <c r="W10" i="2"/>
  <c r="V10" i="2"/>
  <c r="T10" i="2"/>
  <c r="CS10" i="2" s="1"/>
  <c r="S10" i="2"/>
  <c r="R10" i="2"/>
  <c r="Q10" i="2"/>
  <c r="P10" i="2"/>
  <c r="O10" i="2"/>
  <c r="N10" i="2"/>
  <c r="M10" i="2"/>
  <c r="L10" i="2"/>
  <c r="I10" i="2"/>
  <c r="H10" i="2"/>
  <c r="F10" i="2"/>
  <c r="G10" i="2" s="1"/>
  <c r="E10" i="2"/>
  <c r="C10" i="2"/>
  <c r="D10" i="2" s="1"/>
  <c r="B10" i="2"/>
  <c r="CP9" i="2"/>
  <c r="CQ9" i="2" s="1"/>
  <c r="CO9" i="2"/>
  <c r="CM9" i="2"/>
  <c r="CN9" i="2" s="1"/>
  <c r="CL9" i="2"/>
  <c r="CJ9" i="2"/>
  <c r="CI9" i="2"/>
  <c r="CH9" i="2"/>
  <c r="CG9" i="2"/>
  <c r="CF9" i="2"/>
  <c r="CE9" i="2"/>
  <c r="CD9" i="2"/>
  <c r="CC9" i="2"/>
  <c r="CB9" i="2"/>
  <c r="CA9" i="2"/>
  <c r="BX9" i="2"/>
  <c r="BW9" i="2"/>
  <c r="BV9" i="2"/>
  <c r="BU9" i="2"/>
  <c r="BT9" i="2"/>
  <c r="BS9" i="2"/>
  <c r="BP9" i="2"/>
  <c r="BR9" i="2" s="1"/>
  <c r="BO9" i="2"/>
  <c r="BL9" i="2"/>
  <c r="BK9" i="2"/>
  <c r="BJ9" i="2"/>
  <c r="BI9" i="2"/>
  <c r="BH9" i="2"/>
  <c r="BG9" i="2"/>
  <c r="BD9" i="2"/>
  <c r="BE9" i="2" s="1"/>
  <c r="BC9" i="2"/>
  <c r="BB9" i="2"/>
  <c r="BA9" i="2"/>
  <c r="AZ9" i="2"/>
  <c r="AW9" i="2"/>
  <c r="AY9" i="2" s="1"/>
  <c r="AV9" i="2"/>
  <c r="AT9" i="2"/>
  <c r="AS9" i="2"/>
  <c r="AU9" i="2" s="1"/>
  <c r="AR9" i="2"/>
  <c r="AQ9" i="2"/>
  <c r="AO9" i="2"/>
  <c r="AN9" i="2"/>
  <c r="AP9" i="2" s="1"/>
  <c r="AM9" i="2"/>
  <c r="AL9" i="2"/>
  <c r="AK9" i="2"/>
  <c r="AI9" i="2"/>
  <c r="AH9" i="2"/>
  <c r="AJ9" i="2" s="1"/>
  <c r="AG9" i="2"/>
  <c r="AF9" i="2"/>
  <c r="AE9" i="2"/>
  <c r="AD9" i="2"/>
  <c r="AA9" i="2"/>
  <c r="AC9" i="2" s="1"/>
  <c r="Z9" i="2"/>
  <c r="Y9" i="2"/>
  <c r="W9" i="2"/>
  <c r="V9" i="2"/>
  <c r="X9" i="2" s="1"/>
  <c r="T9" i="2"/>
  <c r="U9" i="2" s="1"/>
  <c r="S9" i="2"/>
  <c r="R9" i="2"/>
  <c r="Q9" i="2"/>
  <c r="P9" i="2"/>
  <c r="M9" i="2"/>
  <c r="N9" i="2" s="1"/>
  <c r="L9" i="2"/>
  <c r="I9" i="2"/>
  <c r="K9" i="2" s="1"/>
  <c r="H9" i="2"/>
  <c r="G9" i="2"/>
  <c r="F9" i="2"/>
  <c r="E9" i="2"/>
  <c r="C9" i="2"/>
  <c r="D9" i="2" s="1"/>
  <c r="B9" i="2"/>
  <c r="CP8" i="2"/>
  <c r="CQ8" i="2" s="1"/>
  <c r="CO8" i="2"/>
  <c r="CN8" i="2"/>
  <c r="CM8" i="2"/>
  <c r="CL8" i="2"/>
  <c r="CJ8" i="2"/>
  <c r="CK8" i="2" s="1"/>
  <c r="CI8" i="2"/>
  <c r="CH8" i="2"/>
  <c r="CF8" i="2"/>
  <c r="CE8" i="2"/>
  <c r="CG8" i="2" s="1"/>
  <c r="CD8" i="2"/>
  <c r="CC8" i="2"/>
  <c r="CB8" i="2"/>
  <c r="CA8" i="2"/>
  <c r="BX8" i="2"/>
  <c r="BZ8" i="2" s="1"/>
  <c r="BW8" i="2"/>
  <c r="BV8" i="2"/>
  <c r="BU8" i="2"/>
  <c r="BT8" i="2"/>
  <c r="BS8" i="2"/>
  <c r="BP8" i="2"/>
  <c r="BR8" i="2" s="1"/>
  <c r="BO8" i="2"/>
  <c r="BL8" i="2"/>
  <c r="BN8" i="2" s="1"/>
  <c r="BK8" i="2"/>
  <c r="BJ8" i="2"/>
  <c r="BI8" i="2"/>
  <c r="BH8" i="2"/>
  <c r="BG8" i="2"/>
  <c r="BD8" i="2"/>
  <c r="BF8" i="2" s="1"/>
  <c r="BC8" i="2"/>
  <c r="BA8" i="2"/>
  <c r="BB8" i="2" s="1"/>
  <c r="AZ8" i="2"/>
  <c r="AY8" i="2"/>
  <c r="AX8" i="2"/>
  <c r="AW8" i="2"/>
  <c r="AV8" i="2"/>
  <c r="AS8" i="2"/>
  <c r="AT8" i="2" s="1"/>
  <c r="AR8" i="2"/>
  <c r="AO8" i="2"/>
  <c r="AN8" i="2"/>
  <c r="AL8" i="2"/>
  <c r="AM8" i="2" s="1"/>
  <c r="AK8" i="2"/>
  <c r="AI8" i="2"/>
  <c r="AH8" i="2"/>
  <c r="AG8" i="2"/>
  <c r="AF8" i="2"/>
  <c r="AE8" i="2"/>
  <c r="AD8" i="2"/>
  <c r="AA8" i="2"/>
  <c r="AC8" i="2" s="1"/>
  <c r="Z8" i="2"/>
  <c r="W8" i="2"/>
  <c r="V8" i="2"/>
  <c r="T8" i="2"/>
  <c r="U8" i="2" s="1"/>
  <c r="S8" i="2"/>
  <c r="Q8" i="2"/>
  <c r="R8" i="2" s="1"/>
  <c r="P8" i="2"/>
  <c r="O8" i="2"/>
  <c r="N8" i="2"/>
  <c r="M8" i="2"/>
  <c r="L8" i="2"/>
  <c r="I8" i="2"/>
  <c r="J8" i="2" s="1"/>
  <c r="H8" i="2"/>
  <c r="G8" i="2"/>
  <c r="F8" i="2"/>
  <c r="E8" i="2"/>
  <c r="C8" i="2"/>
  <c r="B8" i="2"/>
  <c r="CQ7" i="2"/>
  <c r="CP7" i="2"/>
  <c r="CO7" i="2"/>
  <c r="CM7" i="2"/>
  <c r="CL7" i="2"/>
  <c r="CJ7" i="2"/>
  <c r="CJ37" i="2" s="1"/>
  <c r="CI7" i="2"/>
  <c r="CF7" i="2"/>
  <c r="CE7" i="2"/>
  <c r="CD7" i="2"/>
  <c r="CC7" i="2"/>
  <c r="CB7" i="2"/>
  <c r="CA7" i="2"/>
  <c r="BX7" i="2"/>
  <c r="BW7" i="2"/>
  <c r="BT7" i="2"/>
  <c r="BS7" i="2"/>
  <c r="BR7" i="2"/>
  <c r="BQ7" i="2"/>
  <c r="BP7" i="2"/>
  <c r="BO7" i="2"/>
  <c r="BN7" i="2"/>
  <c r="BL7" i="2"/>
  <c r="BM7" i="2" s="1"/>
  <c r="BK7" i="2"/>
  <c r="BH7" i="2"/>
  <c r="BG7" i="2"/>
  <c r="BG37" i="2" s="1"/>
  <c r="BF7" i="2"/>
  <c r="BE7" i="2"/>
  <c r="BD7" i="2"/>
  <c r="BC7" i="2"/>
  <c r="BA7" i="2"/>
  <c r="BA37" i="2" s="1"/>
  <c r="AZ7" i="2"/>
  <c r="AZ37" i="2" s="1"/>
  <c r="AY7" i="2"/>
  <c r="AW7" i="2"/>
  <c r="AV7" i="2"/>
  <c r="AS7" i="2"/>
  <c r="AS37" i="2" s="1"/>
  <c r="AR7" i="2"/>
  <c r="AO7" i="2"/>
  <c r="AN7" i="2"/>
  <c r="AM7" i="2"/>
  <c r="AL7" i="2"/>
  <c r="AK7" i="2"/>
  <c r="AI7" i="2"/>
  <c r="AH7" i="2"/>
  <c r="AG7" i="2"/>
  <c r="AF7" i="2"/>
  <c r="AE7" i="2"/>
  <c r="AD7" i="2"/>
  <c r="AA7" i="2"/>
  <c r="Z7" i="2"/>
  <c r="W7" i="2"/>
  <c r="V7" i="2"/>
  <c r="U7" i="2"/>
  <c r="T7" i="2"/>
  <c r="S7" i="2"/>
  <c r="Q7" i="2"/>
  <c r="R7" i="2" s="1"/>
  <c r="P7" i="2"/>
  <c r="O7" i="2"/>
  <c r="N7" i="2"/>
  <c r="M7" i="2"/>
  <c r="L7" i="2"/>
  <c r="I7" i="2"/>
  <c r="H7" i="2"/>
  <c r="F7" i="2"/>
  <c r="E7" i="2"/>
  <c r="C7" i="2"/>
  <c r="D7" i="2" s="1"/>
  <c r="B7" i="2"/>
  <c r="B3" i="2"/>
  <c r="CP41" i="2"/>
  <c r="CQ41" i="2" s="1"/>
  <c r="CO41" i="2"/>
  <c r="CM41" i="2"/>
  <c r="CN41" i="2" s="1"/>
  <c r="CL41" i="2"/>
  <c r="CJ41" i="2"/>
  <c r="CK41" i="2" s="1"/>
  <c r="CI41" i="2"/>
  <c r="CF41" i="2"/>
  <c r="CH41" i="2" s="1"/>
  <c r="CE41" i="2"/>
  <c r="CD41" i="2"/>
  <c r="CC41" i="2"/>
  <c r="CB41" i="2"/>
  <c r="CA41" i="2"/>
  <c r="BX41" i="2"/>
  <c r="BZ41" i="2" s="1"/>
  <c r="BW41" i="2"/>
  <c r="BT41" i="2"/>
  <c r="BV41" i="2" s="1"/>
  <c r="BS41" i="2"/>
  <c r="BR41" i="2"/>
  <c r="BQ41" i="2"/>
  <c r="BP41" i="2"/>
  <c r="BO41" i="2"/>
  <c r="BL41" i="2"/>
  <c r="BN41" i="2" s="1"/>
  <c r="BK41" i="2"/>
  <c r="BH41" i="2"/>
  <c r="BJ41" i="2" s="1"/>
  <c r="BG41" i="2"/>
  <c r="BF41" i="2"/>
  <c r="BE41" i="2"/>
  <c r="BD41" i="2"/>
  <c r="BC41" i="2"/>
  <c r="BB41" i="2"/>
  <c r="BA41" i="2"/>
  <c r="AZ41" i="2"/>
  <c r="AY41" i="2"/>
  <c r="AW41" i="2"/>
  <c r="AX41" i="2" s="1"/>
  <c r="AV41" i="2"/>
  <c r="AS41" i="2"/>
  <c r="AU41" i="2" s="1"/>
  <c r="AR41" i="2"/>
  <c r="AP41" i="2"/>
  <c r="AO41" i="2"/>
  <c r="AQ41" i="2" s="1"/>
  <c r="AN41" i="2"/>
  <c r="AM41" i="2"/>
  <c r="AL41" i="2"/>
  <c r="AK41" i="2"/>
  <c r="AJ41" i="2"/>
  <c r="AI41" i="2"/>
  <c r="AH41" i="2"/>
  <c r="AG41" i="2"/>
  <c r="AE41" i="2"/>
  <c r="AF41" i="2" s="1"/>
  <c r="AD41" i="2"/>
  <c r="AB41" i="2"/>
  <c r="AA41" i="2"/>
  <c r="AC41" i="2" s="1"/>
  <c r="Z41" i="2"/>
  <c r="Y41" i="2"/>
  <c r="X41" i="2"/>
  <c r="W41" i="2"/>
  <c r="V41" i="2"/>
  <c r="U41" i="2"/>
  <c r="T41" i="2"/>
  <c r="S41" i="2"/>
  <c r="R41" i="2"/>
  <c r="Q41" i="2"/>
  <c r="P41" i="2"/>
  <c r="O41" i="2"/>
  <c r="M41" i="2"/>
  <c r="N41" i="2" s="1"/>
  <c r="L41" i="2"/>
  <c r="J41" i="2"/>
  <c r="I41" i="2"/>
  <c r="K41" i="2" s="1"/>
  <c r="H41" i="2"/>
  <c r="F41" i="2"/>
  <c r="G41" i="2" s="1"/>
  <c r="E41" i="2"/>
  <c r="D41" i="2"/>
  <c r="C41" i="2"/>
  <c r="CS41" i="2" s="1"/>
  <c r="B41" i="2"/>
  <c r="CR41" i="2" s="1"/>
  <c r="CQ40" i="2"/>
  <c r="CP40" i="2"/>
  <c r="CO40" i="2"/>
  <c r="CM40" i="2"/>
  <c r="CN40" i="2" s="1"/>
  <c r="CL40" i="2"/>
  <c r="CK40" i="2"/>
  <c r="CJ40" i="2"/>
  <c r="CI40" i="2"/>
  <c r="CG40" i="2"/>
  <c r="CF40" i="2"/>
  <c r="CH40" i="2" s="1"/>
  <c r="CE40" i="2"/>
  <c r="CD40" i="2"/>
  <c r="CB40" i="2"/>
  <c r="CC40" i="2" s="1"/>
  <c r="CA40" i="2"/>
  <c r="BY40" i="2"/>
  <c r="BX40" i="2"/>
  <c r="BZ40" i="2" s="1"/>
  <c r="BW40" i="2"/>
  <c r="BU40" i="2"/>
  <c r="BT40" i="2"/>
  <c r="BV40" i="2" s="1"/>
  <c r="BS40" i="2"/>
  <c r="BR40" i="2"/>
  <c r="BP40" i="2"/>
  <c r="BQ40" i="2" s="1"/>
  <c r="BO40" i="2"/>
  <c r="BM40" i="2"/>
  <c r="BL40" i="2"/>
  <c r="BN40" i="2" s="1"/>
  <c r="BK40" i="2"/>
  <c r="BI40" i="2"/>
  <c r="BH40" i="2"/>
  <c r="BJ40" i="2" s="1"/>
  <c r="BG40" i="2"/>
  <c r="BF40" i="2"/>
  <c r="BD40" i="2"/>
  <c r="BE40" i="2" s="1"/>
  <c r="BC40" i="2"/>
  <c r="BA40" i="2"/>
  <c r="BB40" i="2" s="1"/>
  <c r="AZ40" i="2"/>
  <c r="AW40" i="2"/>
  <c r="AY40" i="2" s="1"/>
  <c r="AV40" i="2"/>
  <c r="AU40" i="2"/>
  <c r="AS40" i="2"/>
  <c r="AT40" i="2" s="1"/>
  <c r="AR40" i="2"/>
  <c r="AO40" i="2"/>
  <c r="AQ40" i="2" s="1"/>
  <c r="AN40" i="2"/>
  <c r="AM40" i="2"/>
  <c r="AL40" i="2"/>
  <c r="AK40" i="2"/>
  <c r="AI40" i="2"/>
  <c r="AJ40" i="2" s="1"/>
  <c r="AH40" i="2"/>
  <c r="AG40" i="2"/>
  <c r="AE40" i="2"/>
  <c r="AF40" i="2" s="1"/>
  <c r="AD40" i="2"/>
  <c r="AC40" i="2"/>
  <c r="AA40" i="2"/>
  <c r="AB40" i="2" s="1"/>
  <c r="Z40" i="2"/>
  <c r="W40" i="2"/>
  <c r="Y40" i="2" s="1"/>
  <c r="V40" i="2"/>
  <c r="U40" i="2"/>
  <c r="T40" i="2"/>
  <c r="S40" i="2"/>
  <c r="Q40" i="2"/>
  <c r="R40" i="2" s="1"/>
  <c r="P40" i="2"/>
  <c r="O40" i="2"/>
  <c r="M40" i="2"/>
  <c r="N40" i="2" s="1"/>
  <c r="L40" i="2"/>
  <c r="K40" i="2"/>
  <c r="I40" i="2"/>
  <c r="J40" i="2" s="1"/>
  <c r="H40" i="2"/>
  <c r="G40" i="2"/>
  <c r="F40" i="2"/>
  <c r="E40" i="2"/>
  <c r="C40" i="2"/>
  <c r="D40" i="2" s="1"/>
  <c r="B40" i="2"/>
  <c r="CR40" i="2" s="1"/>
  <c r="CP39" i="2"/>
  <c r="CQ39" i="2" s="1"/>
  <c r="CO39" i="2"/>
  <c r="CM39" i="2"/>
  <c r="CN39" i="2" s="1"/>
  <c r="CL39" i="2"/>
  <c r="CJ39" i="2"/>
  <c r="CK39" i="2" s="1"/>
  <c r="CI39" i="2"/>
  <c r="CF39" i="2"/>
  <c r="CH39" i="2" s="1"/>
  <c r="CE39" i="2"/>
  <c r="CD39" i="2"/>
  <c r="CC39" i="2"/>
  <c r="CB39" i="2"/>
  <c r="CA39" i="2"/>
  <c r="BZ39" i="2"/>
  <c r="BX39" i="2"/>
  <c r="BY39" i="2" s="1"/>
  <c r="BW39" i="2"/>
  <c r="BT39" i="2"/>
  <c r="BV39" i="2" s="1"/>
  <c r="BS39" i="2"/>
  <c r="BR39" i="2"/>
  <c r="BQ39" i="2"/>
  <c r="BP39" i="2"/>
  <c r="BO39" i="2"/>
  <c r="BN39" i="2"/>
  <c r="BL39" i="2"/>
  <c r="BM39" i="2" s="1"/>
  <c r="BK39" i="2"/>
  <c r="BH39" i="2"/>
  <c r="BJ39" i="2" s="1"/>
  <c r="BG39" i="2"/>
  <c r="BF39" i="2"/>
  <c r="BE39" i="2"/>
  <c r="BD39" i="2"/>
  <c r="BC39" i="2"/>
  <c r="BB39" i="2"/>
  <c r="BA39" i="2"/>
  <c r="AZ39" i="2"/>
  <c r="AY39" i="2"/>
  <c r="AW39" i="2"/>
  <c r="AX39" i="2" s="1"/>
  <c r="AV39" i="2"/>
  <c r="AT39" i="2"/>
  <c r="AS39" i="2"/>
  <c r="AU39" i="2" s="1"/>
  <c r="AR39" i="2"/>
  <c r="AQ39" i="2"/>
  <c r="AP39" i="2"/>
  <c r="AO39" i="2"/>
  <c r="AN39" i="2"/>
  <c r="AM39" i="2"/>
  <c r="AL39" i="2"/>
  <c r="AK39" i="2"/>
  <c r="AJ39" i="2"/>
  <c r="AI39" i="2"/>
  <c r="AH39" i="2"/>
  <c r="AG39" i="2"/>
  <c r="AE39" i="2"/>
  <c r="AF39" i="2" s="1"/>
  <c r="AD39" i="2"/>
  <c r="AB39" i="2"/>
  <c r="AA39" i="2"/>
  <c r="AC39" i="2" s="1"/>
  <c r="Z39" i="2"/>
  <c r="Y39" i="2"/>
  <c r="X39" i="2"/>
  <c r="W39" i="2"/>
  <c r="V39" i="2"/>
  <c r="U39" i="2"/>
  <c r="T39" i="2"/>
  <c r="S39" i="2"/>
  <c r="R39" i="2"/>
  <c r="Q39" i="2"/>
  <c r="P39" i="2"/>
  <c r="O39" i="2"/>
  <c r="M39" i="2"/>
  <c r="N39" i="2" s="1"/>
  <c r="L39" i="2"/>
  <c r="CR39" i="2" s="1"/>
  <c r="CT39" i="2" s="1"/>
  <c r="J39" i="2"/>
  <c r="I39" i="2"/>
  <c r="K39" i="2" s="1"/>
  <c r="H39" i="2"/>
  <c r="F39" i="2"/>
  <c r="G39" i="2" s="1"/>
  <c r="E39" i="2"/>
  <c r="D39" i="2"/>
  <c r="C39" i="2"/>
  <c r="CS39" i="2" s="1"/>
  <c r="B39" i="2"/>
  <c r="CQ38" i="2"/>
  <c r="CP38" i="2"/>
  <c r="CO38" i="2"/>
  <c r="CM38" i="2"/>
  <c r="CN38" i="2" s="1"/>
  <c r="CL38" i="2"/>
  <c r="CK38" i="2"/>
  <c r="CJ38" i="2"/>
  <c r="CI38" i="2"/>
  <c r="CH38" i="2"/>
  <c r="CG38" i="2"/>
  <c r="CF38" i="2"/>
  <c r="CE38" i="2"/>
  <c r="CD38" i="2"/>
  <c r="CB38" i="2"/>
  <c r="CC38" i="2" s="1"/>
  <c r="CA38" i="2"/>
  <c r="BY38" i="2"/>
  <c r="BX38" i="2"/>
  <c r="BZ38" i="2" s="1"/>
  <c r="BW38" i="2"/>
  <c r="BV38" i="2"/>
  <c r="BU38" i="2"/>
  <c r="BT38" i="2"/>
  <c r="BS38" i="2"/>
  <c r="BR38" i="2"/>
  <c r="BP38" i="2"/>
  <c r="BQ38" i="2" s="1"/>
  <c r="BO38" i="2"/>
  <c r="BM38" i="2"/>
  <c r="BL38" i="2"/>
  <c r="BN38" i="2" s="1"/>
  <c r="BK38" i="2"/>
  <c r="BJ38" i="2"/>
  <c r="BI38" i="2"/>
  <c r="BH38" i="2"/>
  <c r="BG38" i="2"/>
  <c r="BF38" i="2"/>
  <c r="BD38" i="2"/>
  <c r="BE38" i="2" s="1"/>
  <c r="BC38" i="2"/>
  <c r="BA38" i="2"/>
  <c r="BB38" i="2" s="1"/>
  <c r="AZ38" i="2"/>
  <c r="AW38" i="2"/>
  <c r="AV38" i="2"/>
  <c r="AU38" i="2"/>
  <c r="AT38" i="2"/>
  <c r="AS38" i="2"/>
  <c r="AR38" i="2"/>
  <c r="AQ38" i="2"/>
  <c r="AO38" i="2"/>
  <c r="AP38" i="2" s="1"/>
  <c r="AN38" i="2"/>
  <c r="AL38" i="2"/>
  <c r="AK38" i="2"/>
  <c r="AI38" i="2"/>
  <c r="AJ38" i="2" s="1"/>
  <c r="AH38" i="2"/>
  <c r="AE38" i="2"/>
  <c r="AD38" i="2"/>
  <c r="AC38" i="2"/>
  <c r="AB38" i="2"/>
  <c r="AA38" i="2"/>
  <c r="Z38" i="2"/>
  <c r="Y38" i="2"/>
  <c r="W38" i="2"/>
  <c r="X38" i="2" s="1"/>
  <c r="V38" i="2"/>
  <c r="T38" i="2"/>
  <c r="U38" i="2" s="1"/>
  <c r="S38" i="2"/>
  <c r="Q38" i="2"/>
  <c r="R38" i="2" s="1"/>
  <c r="P38" i="2"/>
  <c r="M38" i="2"/>
  <c r="L38" i="2"/>
  <c r="K38" i="2"/>
  <c r="J38" i="2"/>
  <c r="I38" i="2"/>
  <c r="H38" i="2"/>
  <c r="G38" i="2"/>
  <c r="F38" i="2"/>
  <c r="E38" i="2"/>
  <c r="D38" i="2"/>
  <c r="C38" i="2"/>
  <c r="B38" i="2"/>
  <c r="CR38" i="2" s="1"/>
  <c r="BE28" i="3" l="1"/>
  <c r="BE14" i="3"/>
  <c r="BE21" i="3"/>
  <c r="BE13" i="3"/>
  <c r="BE15" i="3"/>
  <c r="BE16" i="3"/>
  <c r="AS37" i="3"/>
  <c r="D10" i="3"/>
  <c r="BD11" i="3"/>
  <c r="BE11" i="3" s="1"/>
  <c r="AL14" i="3"/>
  <c r="I37" i="3"/>
  <c r="J37" i="3" s="1"/>
  <c r="AG37" i="3"/>
  <c r="AH37" i="3" s="1"/>
  <c r="AY8" i="3"/>
  <c r="G9" i="3"/>
  <c r="AE9" i="3"/>
  <c r="W10" i="3"/>
  <c r="AM11" i="3"/>
  <c r="G12" i="3"/>
  <c r="AE12" i="3"/>
  <c r="AA14" i="3"/>
  <c r="AE15" i="3"/>
  <c r="AM17" i="3"/>
  <c r="J8" i="3"/>
  <c r="AN37" i="3"/>
  <c r="AL9" i="3"/>
  <c r="V11" i="3"/>
  <c r="AD13" i="3"/>
  <c r="V14" i="3"/>
  <c r="Z15" i="3"/>
  <c r="AL15" i="3"/>
  <c r="BD15" i="3"/>
  <c r="F37" i="3"/>
  <c r="G37" i="3" s="1"/>
  <c r="L37" i="3"/>
  <c r="M37" i="3" s="1"/>
  <c r="R37" i="3"/>
  <c r="S37" i="3" s="1"/>
  <c r="X37" i="3"/>
  <c r="AJ37" i="3"/>
  <c r="AL37" i="3" s="1"/>
  <c r="BD13" i="3"/>
  <c r="BD16" i="3"/>
  <c r="BD18" i="3"/>
  <c r="BC24" i="3"/>
  <c r="BE24" i="3" s="1"/>
  <c r="AH27" i="3"/>
  <c r="BD28" i="3"/>
  <c r="BD30" i="3"/>
  <c r="BD17" i="3"/>
  <c r="BE17" i="3" s="1"/>
  <c r="BD22" i="3"/>
  <c r="BE22" i="3" s="1"/>
  <c r="BE29" i="3"/>
  <c r="AL8" i="3"/>
  <c r="Z11" i="3"/>
  <c r="V13" i="3"/>
  <c r="AH13" i="3"/>
  <c r="Z17" i="3"/>
  <c r="Z19" i="3"/>
  <c r="BD20" i="3"/>
  <c r="Z25" i="3"/>
  <c r="M26" i="3"/>
  <c r="BD26" i="3"/>
  <c r="V27" i="3"/>
  <c r="BD27" i="3"/>
  <c r="C37" i="3"/>
  <c r="D37" i="3" s="1"/>
  <c r="BD21" i="3"/>
  <c r="AS22" i="3"/>
  <c r="BC27" i="3"/>
  <c r="AL28" i="3"/>
  <c r="BE36" i="3"/>
  <c r="AZ37" i="3"/>
  <c r="AH11" i="3"/>
  <c r="AD16" i="3"/>
  <c r="V17" i="3"/>
  <c r="AH18" i="3"/>
  <c r="BD19" i="3"/>
  <c r="BE19" i="3" s="1"/>
  <c r="AL22" i="3"/>
  <c r="S23" i="3"/>
  <c r="AH24" i="3"/>
  <c r="BD25" i="3"/>
  <c r="BE25" i="3" s="1"/>
  <c r="Z28" i="3"/>
  <c r="M29" i="3"/>
  <c r="BD29" i="3"/>
  <c r="AE37" i="3"/>
  <c r="Z8" i="3"/>
  <c r="AY37" i="3"/>
  <c r="BD8" i="3"/>
  <c r="AH10" i="3"/>
  <c r="Z14" i="3"/>
  <c r="O37" i="3"/>
  <c r="P37" i="3" s="1"/>
  <c r="U37" i="3"/>
  <c r="V37" i="3" s="1"/>
  <c r="AA8" i="3"/>
  <c r="AA37" i="3" s="1"/>
  <c r="AM8" i="3"/>
  <c r="AS8" i="3"/>
  <c r="BE8" i="3"/>
  <c r="BC18" i="3"/>
  <c r="BE18" i="3" s="1"/>
  <c r="AB37" i="3"/>
  <c r="AH8" i="3"/>
  <c r="AT37" i="3"/>
  <c r="Z9" i="3"/>
  <c r="AD10" i="3"/>
  <c r="Z12" i="3"/>
  <c r="AL12" i="3"/>
  <c r="AH14" i="3"/>
  <c r="AH17" i="3"/>
  <c r="E37" i="3"/>
  <c r="K37" i="3"/>
  <c r="Q37" i="3"/>
  <c r="W8" i="3"/>
  <c r="W37" i="3" s="1"/>
  <c r="AC37" i="3"/>
  <c r="AD37" i="3" s="1"/>
  <c r="AI8" i="3"/>
  <c r="AI37" i="3" s="1"/>
  <c r="AO37" i="3"/>
  <c r="AP37" i="3" s="1"/>
  <c r="AU37" i="3"/>
  <c r="AV37" i="3" s="1"/>
  <c r="BA37" i="3"/>
  <c r="BB37" i="3" s="1"/>
  <c r="V18" i="3"/>
  <c r="AY19" i="3"/>
  <c r="BC20" i="3"/>
  <c r="AD20" i="3"/>
  <c r="Z22" i="3"/>
  <c r="BD23" i="3"/>
  <c r="BE23" i="3" s="1"/>
  <c r="V24" i="3"/>
  <c r="BC26" i="3"/>
  <c r="BE26" i="3" s="1"/>
  <c r="AD26" i="3"/>
  <c r="BC30" i="3"/>
  <c r="BE30" i="3" s="1"/>
  <c r="BE34" i="3"/>
  <c r="BD32" i="3"/>
  <c r="BE32" i="3" s="1"/>
  <c r="BD35" i="3"/>
  <c r="BE35" i="3" s="1"/>
  <c r="BD36" i="3"/>
  <c r="G31" i="3"/>
  <c r="Z34" i="3"/>
  <c r="AL34" i="3"/>
  <c r="AD35" i="3"/>
  <c r="V36" i="3"/>
  <c r="AH36" i="3"/>
  <c r="CT12" i="2"/>
  <c r="CT13" i="2"/>
  <c r="CT11" i="2"/>
  <c r="CT17" i="2"/>
  <c r="F37" i="2"/>
  <c r="G7" i="2"/>
  <c r="CR10" i="2"/>
  <c r="CT10" i="2" s="1"/>
  <c r="BQ11" i="2"/>
  <c r="BR11" i="2"/>
  <c r="AA37" i="2"/>
  <c r="AP8" i="2"/>
  <c r="AQ8" i="2"/>
  <c r="CS9" i="2"/>
  <c r="CG11" i="2"/>
  <c r="CS11" i="2"/>
  <c r="CN12" i="2"/>
  <c r="AP13" i="2"/>
  <c r="I37" i="2"/>
  <c r="J37" i="2" s="1"/>
  <c r="AB7" i="2"/>
  <c r="BH37" i="2"/>
  <c r="BI37" i="2" s="1"/>
  <c r="BI7" i="2"/>
  <c r="BJ7" i="2"/>
  <c r="CR8" i="2"/>
  <c r="CT8" i="2" s="1"/>
  <c r="AJ8" i="2"/>
  <c r="CG10" i="2"/>
  <c r="AP11" i="2"/>
  <c r="BE11" i="2"/>
  <c r="BF11" i="2"/>
  <c r="BF37" i="2" s="1"/>
  <c r="N12" i="2"/>
  <c r="O12" i="2"/>
  <c r="O37" i="2" s="1"/>
  <c r="BZ12" i="2"/>
  <c r="CG12" i="2"/>
  <c r="BQ14" i="2"/>
  <c r="N15" i="2"/>
  <c r="AB15" i="2"/>
  <c r="AX15" i="2"/>
  <c r="P37" i="2"/>
  <c r="AI37" i="2"/>
  <c r="AV37" i="2"/>
  <c r="AX7" i="2"/>
  <c r="CE37" i="2"/>
  <c r="CE42" i="2" s="1"/>
  <c r="BY8" i="2"/>
  <c r="O9" i="2"/>
  <c r="AB9" i="2"/>
  <c r="AX9" i="2"/>
  <c r="BY9" i="2"/>
  <c r="BZ9" i="2"/>
  <c r="J10" i="2"/>
  <c r="K10" i="2"/>
  <c r="AY10" i="2"/>
  <c r="AY37" i="2" s="1"/>
  <c r="BU11" i="2"/>
  <c r="AQ12" i="2"/>
  <c r="AF13" i="2"/>
  <c r="BN13" i="2"/>
  <c r="BU13" i="2"/>
  <c r="BV13" i="2"/>
  <c r="BY14" i="2"/>
  <c r="CG14" i="2"/>
  <c r="BF15" i="2"/>
  <c r="K7" i="2"/>
  <c r="W37" i="2"/>
  <c r="Y7" i="2"/>
  <c r="E37" i="2"/>
  <c r="L37" i="2"/>
  <c r="X7" i="2"/>
  <c r="BS37" i="2"/>
  <c r="CI37" i="2"/>
  <c r="CK37" i="2" s="1"/>
  <c r="CP37" i="2"/>
  <c r="CQ37" i="2" s="1"/>
  <c r="K8" i="2"/>
  <c r="AU8" i="2"/>
  <c r="J9" i="2"/>
  <c r="BF9" i="2"/>
  <c r="BM9" i="2"/>
  <c r="BN9" i="2"/>
  <c r="AG10" i="2"/>
  <c r="AT10" i="2"/>
  <c r="AU10" i="2"/>
  <c r="BV10" i="2"/>
  <c r="CC10" i="2"/>
  <c r="AM11" i="2"/>
  <c r="AU13" i="2"/>
  <c r="BI13" i="2"/>
  <c r="BJ13" i="2"/>
  <c r="CR14" i="2"/>
  <c r="CT14" i="2" s="1"/>
  <c r="BF14" i="2"/>
  <c r="BM14" i="2"/>
  <c r="D15" i="2"/>
  <c r="J15" i="2"/>
  <c r="AT15" i="2"/>
  <c r="CD15" i="2"/>
  <c r="CK15" i="2"/>
  <c r="O16" i="2"/>
  <c r="AB16" i="2"/>
  <c r="AC16" i="2"/>
  <c r="BJ16" i="2"/>
  <c r="BQ16" i="2"/>
  <c r="BY16" i="2"/>
  <c r="BV18" i="2"/>
  <c r="BU18" i="2"/>
  <c r="AC19" i="2"/>
  <c r="BM19" i="2"/>
  <c r="CS12" i="2"/>
  <c r="X14" i="2"/>
  <c r="Y14" i="2"/>
  <c r="AG17" i="2"/>
  <c r="AF17" i="2"/>
  <c r="K21" i="2"/>
  <c r="J21" i="2"/>
  <c r="AY21" i="2"/>
  <c r="AX21" i="2"/>
  <c r="CT22" i="2"/>
  <c r="AT7" i="2"/>
  <c r="CK9" i="2"/>
  <c r="D14" i="2"/>
  <c r="AP15" i="2"/>
  <c r="BY15" i="2"/>
  <c r="BZ15" i="2"/>
  <c r="J16" i="2"/>
  <c r="K16" i="2"/>
  <c r="BE16" i="2"/>
  <c r="R17" i="2"/>
  <c r="BE17" i="2"/>
  <c r="BU17" i="2"/>
  <c r="CC17" i="2"/>
  <c r="G18" i="2"/>
  <c r="CS19" i="2"/>
  <c r="J19" i="2"/>
  <c r="Y19" i="2"/>
  <c r="X19" i="2"/>
  <c r="AT19" i="2"/>
  <c r="CS20" i="2"/>
  <c r="CT20" i="2" s="1"/>
  <c r="X20" i="2"/>
  <c r="BQ20" i="2"/>
  <c r="CS21" i="2"/>
  <c r="CT21" i="2" s="1"/>
  <c r="D21" i="2"/>
  <c r="BW37" i="2"/>
  <c r="BW42" i="2" s="1"/>
  <c r="CK7" i="2"/>
  <c r="AB8" i="2"/>
  <c r="AH37" i="2"/>
  <c r="AU7" i="2"/>
  <c r="BB7" i="2"/>
  <c r="AJ15" i="2"/>
  <c r="CD16" i="2"/>
  <c r="CC16" i="2"/>
  <c r="AY17" i="2"/>
  <c r="AX17" i="2"/>
  <c r="BJ18" i="2"/>
  <c r="BI18" i="2"/>
  <c r="BY18" i="2"/>
  <c r="CH18" i="2"/>
  <c r="CG18" i="2"/>
  <c r="D19" i="2"/>
  <c r="BY19" i="2"/>
  <c r="CG19" i="2"/>
  <c r="BZ20" i="2"/>
  <c r="BY20" i="2"/>
  <c r="AC22" i="2"/>
  <c r="AB22" i="2"/>
  <c r="U10" i="2"/>
  <c r="BQ10" i="2"/>
  <c r="CG13" i="2"/>
  <c r="CH13" i="2"/>
  <c r="CL37" i="2"/>
  <c r="CL42" i="2" s="1"/>
  <c r="CN7" i="2"/>
  <c r="AC7" i="2"/>
  <c r="AC37" i="2" s="1"/>
  <c r="AB14" i="2"/>
  <c r="AT16" i="2"/>
  <c r="AU16" i="2"/>
  <c r="CS16" i="2"/>
  <c r="CT16" i="2" s="1"/>
  <c r="CN17" i="2"/>
  <c r="CR19" i="2"/>
  <c r="CT19" i="2" s="1"/>
  <c r="AP20" i="2"/>
  <c r="BE20" i="2"/>
  <c r="N21" i="2"/>
  <c r="CC21" i="2"/>
  <c r="CD21" i="2"/>
  <c r="AT37" i="2"/>
  <c r="BT37" i="2"/>
  <c r="BU37" i="2" s="1"/>
  <c r="BU7" i="2"/>
  <c r="BV7" i="2"/>
  <c r="AF12" i="2"/>
  <c r="AG12" i="2"/>
  <c r="BB37" i="2"/>
  <c r="CR7" i="2"/>
  <c r="BQ8" i="2"/>
  <c r="AB10" i="2"/>
  <c r="AC10" i="2"/>
  <c r="AX13" i="2"/>
  <c r="AN37" i="2"/>
  <c r="AN42" i="2" s="1"/>
  <c r="BX37" i="2"/>
  <c r="BE8" i="2"/>
  <c r="BQ9" i="2"/>
  <c r="CS13" i="2"/>
  <c r="J13" i="2"/>
  <c r="C37" i="2"/>
  <c r="D37" i="2" s="1"/>
  <c r="CS7" i="2"/>
  <c r="J7" i="2"/>
  <c r="V37" i="2"/>
  <c r="AO37" i="2"/>
  <c r="AO42" i="2" s="1"/>
  <c r="AQ7" i="2"/>
  <c r="BK37" i="2"/>
  <c r="BK42" i="2" s="1"/>
  <c r="BY7" i="2"/>
  <c r="CS8" i="2"/>
  <c r="CR9" i="2"/>
  <c r="CT9" i="2" s="1"/>
  <c r="BE10" i="2"/>
  <c r="N11" i="2"/>
  <c r="AX11" i="2"/>
  <c r="AX12" i="2"/>
  <c r="AY12" i="2"/>
  <c r="BM12" i="2"/>
  <c r="D13" i="2"/>
  <c r="X13" i="2"/>
  <c r="AP14" i="2"/>
  <c r="AQ14" i="2"/>
  <c r="CR15" i="2"/>
  <c r="CT15" i="2" s="1"/>
  <c r="BM15" i="2"/>
  <c r="BN15" i="2"/>
  <c r="Q37" i="2"/>
  <c r="R37" i="2" s="1"/>
  <c r="AD37" i="2"/>
  <c r="AD42" i="2" s="1"/>
  <c r="AJ7" i="2"/>
  <c r="AP7" i="2"/>
  <c r="BL37" i="2"/>
  <c r="BZ7" i="2"/>
  <c r="CF37" i="2"/>
  <c r="CG37" i="2" s="1"/>
  <c r="CG7" i="2"/>
  <c r="CH7" i="2"/>
  <c r="CO37" i="2"/>
  <c r="D8" i="2"/>
  <c r="X8" i="2"/>
  <c r="Y8" i="2"/>
  <c r="BM8" i="2"/>
  <c r="CC11" i="2"/>
  <c r="CD11" i="2"/>
  <c r="CD37" i="2" s="1"/>
  <c r="BU12" i="2"/>
  <c r="AJ14" i="2"/>
  <c r="X15" i="2"/>
  <c r="CQ15" i="2"/>
  <c r="O17" i="2"/>
  <c r="N17" i="2"/>
  <c r="BI17" i="2"/>
  <c r="CG17" i="2"/>
  <c r="X18" i="2"/>
  <c r="AF18" i="2"/>
  <c r="AQ19" i="2"/>
  <c r="AP19" i="2"/>
  <c r="AB20" i="2"/>
  <c r="AJ20" i="2"/>
  <c r="BN20" i="2"/>
  <c r="BN37" i="2" s="1"/>
  <c r="BM20" i="2"/>
  <c r="CQ20" i="2"/>
  <c r="AM21" i="2"/>
  <c r="BV22" i="2"/>
  <c r="BU22" i="2"/>
  <c r="CT29" i="2"/>
  <c r="B37" i="2"/>
  <c r="H37" i="2"/>
  <c r="T37" i="2"/>
  <c r="Z37" i="2"/>
  <c r="Z42" i="2" s="1"/>
  <c r="AL37" i="2"/>
  <c r="AM37" i="2" s="1"/>
  <c r="AR37" i="2"/>
  <c r="BD37" i="2"/>
  <c r="BP37" i="2"/>
  <c r="CB37" i="2"/>
  <c r="BF17" i="2"/>
  <c r="BR17" i="2"/>
  <c r="BR37" i="2" s="1"/>
  <c r="CD17" i="2"/>
  <c r="O18" i="2"/>
  <c r="AG18" i="2"/>
  <c r="AY18" i="2"/>
  <c r="BJ19" i="2"/>
  <c r="BV19" i="2"/>
  <c r="CH19" i="2"/>
  <c r="Y20" i="2"/>
  <c r="AQ20" i="2"/>
  <c r="BN21" i="2"/>
  <c r="CH21" i="2"/>
  <c r="BZ22" i="2"/>
  <c r="CS24" i="2"/>
  <c r="BF24" i="2"/>
  <c r="CR25" i="2"/>
  <c r="CT25" i="2" s="1"/>
  <c r="O25" i="2"/>
  <c r="BR25" i="2"/>
  <c r="BY25" i="2"/>
  <c r="BZ25" i="2"/>
  <c r="J26" i="2"/>
  <c r="K26" i="2"/>
  <c r="AY26" i="2"/>
  <c r="CH26" i="2"/>
  <c r="CS28" i="2"/>
  <c r="X28" i="2"/>
  <c r="Y28" i="2"/>
  <c r="BE29" i="2"/>
  <c r="BF29" i="2"/>
  <c r="N30" i="2"/>
  <c r="O30" i="2"/>
  <c r="AQ33" i="2"/>
  <c r="AP33" i="2"/>
  <c r="CG23" i="2"/>
  <c r="CH23" i="2"/>
  <c r="X24" i="2"/>
  <c r="Y24" i="2"/>
  <c r="BZ28" i="2"/>
  <c r="BY28" i="2"/>
  <c r="CC31" i="2"/>
  <c r="CD31" i="2"/>
  <c r="D23" i="2"/>
  <c r="BM23" i="2"/>
  <c r="D25" i="2"/>
  <c r="J25" i="2"/>
  <c r="BM25" i="2"/>
  <c r="BN25" i="2"/>
  <c r="AT26" i="2"/>
  <c r="AU26" i="2"/>
  <c r="CC26" i="2"/>
  <c r="AF27" i="2"/>
  <c r="BQ27" i="2"/>
  <c r="BR27" i="2"/>
  <c r="CH27" i="2"/>
  <c r="AP28" i="2"/>
  <c r="CS29" i="2"/>
  <c r="AB29" i="2"/>
  <c r="CC29" i="2"/>
  <c r="CQ29" i="2"/>
  <c r="BE30" i="2"/>
  <c r="CG30" i="2"/>
  <c r="CH30" i="2"/>
  <c r="AX31" i="2"/>
  <c r="BN31" i="2"/>
  <c r="BU31" i="2"/>
  <c r="CS32" i="2"/>
  <c r="CT32" i="2" s="1"/>
  <c r="AJ33" i="2"/>
  <c r="BE21" i="2"/>
  <c r="BR21" i="2"/>
  <c r="BU23" i="2"/>
  <c r="BV23" i="2"/>
  <c r="CS26" i="2"/>
  <c r="CT26" i="2" s="1"/>
  <c r="AB28" i="2"/>
  <c r="AQ28" i="2"/>
  <c r="BE28" i="2"/>
  <c r="D29" i="2"/>
  <c r="J29" i="2"/>
  <c r="K32" i="2"/>
  <c r="X32" i="2"/>
  <c r="CR33" i="2"/>
  <c r="AB21" i="2"/>
  <c r="AT21" i="2"/>
  <c r="BY21" i="2"/>
  <c r="X22" i="2"/>
  <c r="AX22" i="2"/>
  <c r="AT23" i="2"/>
  <c r="AB24" i="2"/>
  <c r="AP24" i="2"/>
  <c r="AQ24" i="2"/>
  <c r="BQ24" i="2"/>
  <c r="AB26" i="2"/>
  <c r="AC26" i="2"/>
  <c r="BQ26" i="2"/>
  <c r="AP27" i="2"/>
  <c r="BE27" i="2"/>
  <c r="BF27" i="2"/>
  <c r="N28" i="2"/>
  <c r="AJ28" i="2"/>
  <c r="AX28" i="2"/>
  <c r="CC28" i="2"/>
  <c r="AF29" i="2"/>
  <c r="AG29" i="2"/>
  <c r="AG37" i="2" s="1"/>
  <c r="BQ29" i="2"/>
  <c r="K30" i="2"/>
  <c r="AF30" i="2"/>
  <c r="AG31" i="2"/>
  <c r="AF31" i="2"/>
  <c r="CG31" i="2"/>
  <c r="AG32" i="2"/>
  <c r="CN32" i="2"/>
  <c r="CS18" i="2"/>
  <c r="CT18" i="2" s="1"/>
  <c r="M37" i="2"/>
  <c r="N37" i="2" s="1"/>
  <c r="S37" i="2"/>
  <c r="S42" i="2" s="1"/>
  <c r="AE37" i="2"/>
  <c r="AF37" i="2" s="1"/>
  <c r="AK37" i="2"/>
  <c r="AW37" i="2"/>
  <c r="BC37" i="2"/>
  <c r="BC42" i="2" s="1"/>
  <c r="BO37" i="2"/>
  <c r="BO42" i="2" s="1"/>
  <c r="CA37" i="2"/>
  <c r="CA42" i="2" s="1"/>
  <c r="CM37" i="2"/>
  <c r="CN37" i="2" s="1"/>
  <c r="AY22" i="2"/>
  <c r="BI23" i="2"/>
  <c r="BJ23" i="2"/>
  <c r="CR24" i="2"/>
  <c r="CT24" i="2" s="1"/>
  <c r="AJ24" i="2"/>
  <c r="CR27" i="2"/>
  <c r="CT27" i="2" s="1"/>
  <c r="N27" i="2"/>
  <c r="AX27" i="2"/>
  <c r="BV27" i="2"/>
  <c r="CC27" i="2"/>
  <c r="CR28" i="2"/>
  <c r="D30" i="2"/>
  <c r="CS30" i="2"/>
  <c r="CT30" i="2" s="1"/>
  <c r="BZ31" i="2"/>
  <c r="CH32" i="2"/>
  <c r="CG32" i="2"/>
  <c r="CS31" i="2"/>
  <c r="CT31" i="2" s="1"/>
  <c r="BN33" i="2"/>
  <c r="Y36" i="2"/>
  <c r="X36" i="2"/>
  <c r="BJ33" i="2"/>
  <c r="AM34" i="2"/>
  <c r="BN35" i="2"/>
  <c r="BV35" i="2"/>
  <c r="BU35" i="2"/>
  <c r="CS36" i="2"/>
  <c r="CT36" i="2" s="1"/>
  <c r="D36" i="2"/>
  <c r="AQ36" i="2"/>
  <c r="AP36" i="2"/>
  <c r="BE36" i="2"/>
  <c r="BR33" i="2"/>
  <c r="O34" i="2"/>
  <c r="N34" i="2"/>
  <c r="CS35" i="2"/>
  <c r="CT35" i="2" s="1"/>
  <c r="J35" i="2"/>
  <c r="AC36" i="2"/>
  <c r="CS33" i="2"/>
  <c r="CH33" i="2"/>
  <c r="CR34" i="2"/>
  <c r="CT34" i="2" s="1"/>
  <c r="Y34" i="2"/>
  <c r="AG34" i="2"/>
  <c r="AF34" i="2"/>
  <c r="AP34" i="2"/>
  <c r="D35" i="2"/>
  <c r="BY35" i="2"/>
  <c r="CS27" i="2"/>
  <c r="AU32" i="2"/>
  <c r="BU32" i="2"/>
  <c r="X33" i="2"/>
  <c r="BF33" i="2"/>
  <c r="AQ34" i="2"/>
  <c r="AY34" i="2"/>
  <c r="AX34" i="2"/>
  <c r="BM34" i="2"/>
  <c r="CC34" i="2"/>
  <c r="AT35" i="2"/>
  <c r="BJ35" i="2"/>
  <c r="BI35" i="2"/>
  <c r="BZ35" i="2"/>
  <c r="CH35" i="2"/>
  <c r="CG35" i="2"/>
  <c r="CQ35" i="2"/>
  <c r="AU36" i="2"/>
  <c r="BU36" i="2"/>
  <c r="CG36" i="2"/>
  <c r="AI42" i="2"/>
  <c r="BG42" i="2"/>
  <c r="L42" i="2"/>
  <c r="AV42" i="2"/>
  <c r="AR42" i="2"/>
  <c r="BX42" i="2"/>
  <c r="H42" i="2"/>
  <c r="CI42" i="2"/>
  <c r="CO42" i="2"/>
  <c r="BS42" i="2"/>
  <c r="P42" i="2"/>
  <c r="V42" i="2"/>
  <c r="AZ42" i="2"/>
  <c r="CJ42" i="2"/>
  <c r="B42" i="2"/>
  <c r="BL42" i="2"/>
  <c r="E42" i="2"/>
  <c r="BA42" i="2"/>
  <c r="W42" i="2"/>
  <c r="AA42" i="2"/>
  <c r="CP42" i="2"/>
  <c r="T42" i="2"/>
  <c r="AH42" i="2"/>
  <c r="AK42" i="2"/>
  <c r="AW42" i="2"/>
  <c r="F42" i="2"/>
  <c r="BT42" i="2"/>
  <c r="O38" i="2"/>
  <c r="N38" i="2"/>
  <c r="CS38" i="2"/>
  <c r="CT41" i="2"/>
  <c r="CT38" i="2"/>
  <c r="AG38" i="2"/>
  <c r="AF38" i="2"/>
  <c r="AY38" i="2"/>
  <c r="AX38" i="2"/>
  <c r="CT40" i="2"/>
  <c r="AM38" i="2"/>
  <c r="AT41" i="2"/>
  <c r="BI39" i="2"/>
  <c r="BU39" i="2"/>
  <c r="CG39" i="2"/>
  <c r="X40" i="2"/>
  <c r="AP40" i="2"/>
  <c r="BM41" i="2"/>
  <c r="BY41" i="2"/>
  <c r="CS40" i="2"/>
  <c r="AX40" i="2"/>
  <c r="BI41" i="2"/>
  <c r="BU41" i="2"/>
  <c r="CG41" i="2"/>
  <c r="BE20" i="3" l="1"/>
  <c r="AM37" i="3"/>
  <c r="BD37" i="3"/>
  <c r="BC37" i="3"/>
  <c r="BE37" i="3" s="1"/>
  <c r="BE27" i="3"/>
  <c r="CM42" i="2"/>
  <c r="CT28" i="2"/>
  <c r="CC37" i="2"/>
  <c r="CF42" i="2"/>
  <c r="CG42" i="2" s="1"/>
  <c r="M42" i="2"/>
  <c r="N42" i="2" s="1"/>
  <c r="BM37" i="2"/>
  <c r="BV37" i="2"/>
  <c r="CS37" i="2"/>
  <c r="BY37" i="2"/>
  <c r="CR37" i="2"/>
  <c r="CT7" i="2"/>
  <c r="AU37" i="2"/>
  <c r="K37" i="2"/>
  <c r="AE42" i="2"/>
  <c r="AP37" i="2"/>
  <c r="AB37" i="2"/>
  <c r="Y37" i="2"/>
  <c r="AJ37" i="2"/>
  <c r="G37" i="2"/>
  <c r="BZ37" i="2"/>
  <c r="AQ37" i="2"/>
  <c r="AQ42" i="2" s="1"/>
  <c r="BJ37" i="2"/>
  <c r="BJ42" i="2" s="1"/>
  <c r="U37" i="2"/>
  <c r="AL42" i="2"/>
  <c r="BQ37" i="2"/>
  <c r="Q42" i="2"/>
  <c r="AX37" i="2"/>
  <c r="CT33" i="2"/>
  <c r="BE37" i="2"/>
  <c r="CH37" i="2"/>
  <c r="X37" i="2"/>
  <c r="BN42" i="2"/>
  <c r="AC42" i="2"/>
  <c r="BZ42" i="2"/>
  <c r="BH42" i="2"/>
  <c r="BI42" i="2" s="1"/>
  <c r="BD42" i="2"/>
  <c r="BE42" i="2" s="1"/>
  <c r="BP42" i="2"/>
  <c r="BQ42" i="2" s="1"/>
  <c r="K42" i="2"/>
  <c r="AM42" i="2"/>
  <c r="CB42" i="2"/>
  <c r="CC42" i="2" s="1"/>
  <c r="BU42" i="2"/>
  <c r="O42" i="2"/>
  <c r="CH42" i="2"/>
  <c r="CQ42" i="2"/>
  <c r="G42" i="2"/>
  <c r="C42" i="2"/>
  <c r="D42" i="2" s="1"/>
  <c r="AG42" i="2"/>
  <c r="BR42" i="2"/>
  <c r="CR42" i="2"/>
  <c r="X42" i="2"/>
  <c r="I42" i="2"/>
  <c r="J42" i="2" s="1"/>
  <c r="AP42" i="2"/>
  <c r="BM42" i="2"/>
  <c r="BY42" i="2"/>
  <c r="BF42" i="2"/>
  <c r="BV42" i="2"/>
  <c r="AB42" i="2"/>
  <c r="AS42" i="2"/>
  <c r="AT42" i="2" s="1"/>
  <c r="BB42" i="2"/>
  <c r="AY42" i="2"/>
  <c r="R42" i="2"/>
  <c r="CD42" i="2"/>
  <c r="AX42" i="2"/>
  <c r="CN42" i="2"/>
  <c r="AF42" i="2"/>
  <c r="U42" i="2"/>
  <c r="AJ42" i="2"/>
  <c r="AU42" i="2"/>
  <c r="Y42" i="2"/>
  <c r="CK42" i="2"/>
  <c r="CT37" i="2" l="1"/>
  <c r="CS42" i="2"/>
  <c r="CT42" i="2" s="1"/>
</calcChain>
</file>

<file path=xl/sharedStrings.xml><?xml version="1.0" encoding="utf-8"?>
<sst xmlns="http://schemas.openxmlformats.org/spreadsheetml/2006/main" count="350" uniqueCount="98">
  <si>
    <t>TOTAL HARI</t>
  </si>
  <si>
    <t>HARI BERJALAN</t>
  </si>
  <si>
    <t>Target DOS↓</t>
  </si>
  <si>
    <t>SISA HARI</t>
  </si>
  <si>
    <t>Nama Gudang / Toko</t>
  </si>
  <si>
    <t>IQOO NEO 10</t>
  </si>
  <si>
    <t>IQOO Z11x</t>
  </si>
  <si>
    <t>IQOO Z11</t>
  </si>
  <si>
    <t>IQOO 15</t>
  </si>
  <si>
    <t>IQOO 15 R</t>
  </si>
  <si>
    <t>16+512G</t>
  </si>
  <si>
    <t>8+256</t>
  </si>
  <si>
    <t>16+512</t>
  </si>
  <si>
    <t>16+1T</t>
  </si>
  <si>
    <t>12+512G</t>
  </si>
  <si>
    <t>12+256</t>
  </si>
  <si>
    <t>Black</t>
  </si>
  <si>
    <t>Orange</t>
  </si>
  <si>
    <t>Silver</t>
  </si>
  <si>
    <t>Blue</t>
  </si>
  <si>
    <t>Alpha</t>
  </si>
  <si>
    <t>Legend</t>
  </si>
  <si>
    <t>STOCK</t>
  </si>
  <si>
    <t>SALES OUT</t>
  </si>
  <si>
    <t>DOS</t>
  </si>
  <si>
    <t>SARAN</t>
  </si>
  <si>
    <t>6010701-MVS ROXY SHOWROOM 21仓库</t>
  </si>
  <si>
    <t>6010702-ME ROXY PAMERAN TIMUR仓库</t>
  </si>
  <si>
    <t>6010703-VIVO STORE WINSHOP仓库</t>
  </si>
  <si>
    <t>6010708-MVS SHOWROOM CENTRAL PARK仓库</t>
  </si>
  <si>
    <t>6020706-MVS CEMPAKA SHOWROOM 2 (454)仓库</t>
  </si>
  <si>
    <t>6020711-vivostore emporium仓库</t>
  </si>
  <si>
    <t>6050701-MVS X6 DS0824仓库</t>
  </si>
  <si>
    <t>6080712-MVS ITC DEPOK VIVO STORE 2仓库</t>
  </si>
  <si>
    <t>6100702-VS Jogja City Mall仓库</t>
  </si>
  <si>
    <t>6170703-4004 MVS-BNT-CCM STORE仓库</t>
  </si>
  <si>
    <t>6170707-LG BLOK D NO. 01D仓库</t>
  </si>
  <si>
    <t>6180706-MVS MALL CCM仓库</t>
  </si>
  <si>
    <t>6180707-SC BTM仓库</t>
  </si>
  <si>
    <t>6190701-VIVO STORE UG仓库</t>
  </si>
  <si>
    <t>6220701-MVS MBH-VIP VIVO STORE-DD284仓库</t>
  </si>
  <si>
    <t>6240701-LG BLOK A-B NO. 12仓库</t>
  </si>
  <si>
    <t>6190704-VIVO STORE 1 BEC仓库</t>
  </si>
  <si>
    <t>6240706-SUPERMALL 1FC3A仓库</t>
  </si>
  <si>
    <t>6130702-RITA SUPERMALL SF36-37仓库</t>
  </si>
  <si>
    <t>6240708-ITC BSD 1F09-14仓库</t>
  </si>
  <si>
    <t>6040703-SAWANGAN 1F1-0320仓库</t>
  </si>
  <si>
    <t>6240705-CIPUTRA 2FC15仓库</t>
  </si>
  <si>
    <t>6140705-QUEENCITY 2F027仓库</t>
  </si>
  <si>
    <t>6150702-GRANMALL SC GF-11仓库</t>
  </si>
  <si>
    <t>6140706-23 SEMARANG MALL 1F065-66仓库</t>
  </si>
  <si>
    <t>6010711-LIPPO MALL PURI 1FK02仓库</t>
  </si>
  <si>
    <t>6050706-AEON MALL DELTAMAS 1F081仓库</t>
  </si>
  <si>
    <t>6040702-TRAN STUDIO MALL 2F059仓库</t>
  </si>
  <si>
    <t>GRAND TOTAL</t>
  </si>
  <si>
    <t>FOLD 5</t>
  </si>
  <si>
    <t>X300 Ultra</t>
  </si>
  <si>
    <t>X300 PRO</t>
  </si>
  <si>
    <t>X300</t>
  </si>
  <si>
    <t>Y11d</t>
  </si>
  <si>
    <t>Y31d</t>
  </si>
  <si>
    <t>Y31d Pro</t>
  </si>
  <si>
    <t>V70</t>
  </si>
  <si>
    <t>V70 FE</t>
  </si>
  <si>
    <t>V60 Lite 5G</t>
  </si>
  <si>
    <t>V60 Lite</t>
  </si>
  <si>
    <t>Y05</t>
  </si>
  <si>
    <t>Y500</t>
  </si>
  <si>
    <t>Y05e</t>
  </si>
  <si>
    <t>Total Stock</t>
  </si>
  <si>
    <t>Total Sales out</t>
  </si>
  <si>
    <t>Total DOS</t>
  </si>
  <si>
    <t>4+128</t>
  </si>
  <si>
    <t>4+64</t>
  </si>
  <si>
    <t>6+128</t>
  </si>
  <si>
    <t>8+128</t>
  </si>
  <si>
    <t>12+512</t>
  </si>
  <si>
    <t>6+256</t>
  </si>
  <si>
    <t>Grand Total</t>
  </si>
  <si>
    <t>TOTAL
STOCK</t>
  </si>
  <si>
    <t>TOTAL
SALES OUT</t>
  </si>
  <si>
    <t>TOTAL
DOS</t>
  </si>
  <si>
    <t>Area</t>
  </si>
  <si>
    <t>601 雅加达西北 JKT BU</t>
  </si>
  <si>
    <t>605 勿加泗 BEKASI</t>
  </si>
  <si>
    <t>604 雅加达东南 JKT TS</t>
  </si>
  <si>
    <t>618 茂物 BOGOR</t>
  </si>
  <si>
    <t>624-万丹BANTEN</t>
  </si>
  <si>
    <t>619-万隆市区BDG KOTA</t>
  </si>
  <si>
    <t>614 三宝垄 Semarang</t>
  </si>
  <si>
    <t>中爪哇西 - Purwokerto</t>
  </si>
  <si>
    <t>615-中爪哇东SOLO</t>
  </si>
  <si>
    <t>6140703-ML-VIVO STORE MEGA STORE仓库</t>
  </si>
  <si>
    <t>6240707-SUPERMALL UGN3A仓库</t>
  </si>
  <si>
    <t>6240709-ITC BSD 1F49-50仓库</t>
  </si>
  <si>
    <t>6240710-BSD SC 1F210仓库</t>
  </si>
  <si>
    <t>6130703-SC TEGAL PWKT仓库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</si>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</sst>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 x14ac:knownFonts="1">
    <font>
      <sz val="12"/>
      <color theme="1"/>
      <name val="Aptos Narrow"/>
      <charset val="134"/>
      <scheme val="minor"/>
    </font>
    <font>
      <sz val="10"/>
      <name val="Arial"/>
      <family val="2"/>
    </font>
    <font>
      <sz val="9"/>
      <name val="Calibri"/>
      <family val="2"/>
    </font>
    <font>
      <b/>
      <sz val="9"/>
      <name val="Aptos Narrow"/>
      <family val="2"/>
      <scheme val="minor"/>
    </font>
    <font>
      <b/>
      <sz val="9"/>
      <color rgb="FF2E5496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7"/>
      <color rgb="FF80808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8"/>
      <color rgb="FF1F3864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6E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ECECEC"/>
      </left>
      <right style="thin">
        <color rgb="FFECECEC"/>
      </right>
      <top style="thin">
        <color rgb="FFD9D9D9"/>
      </top>
      <bottom style="thin">
        <color rgb="FFD9D9D9"/>
      </bottom>
      <diagonal/>
    </border>
    <border>
      <left style="thin">
        <color rgb="FFECECEC"/>
      </left>
      <right style="thin">
        <color rgb="FFECECEC"/>
      </right>
      <top/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1" fillId="0" borderId="0" xfId="1"/>
    <xf numFmtId="1" fontId="3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0" fillId="0" borderId="0" xfId="0" applyNumberFormat="1"/>
    <xf numFmtId="0" fontId="6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" fontId="10" fillId="8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0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12" fillId="11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1" fontId="9" fillId="7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/>
    <xf numFmtId="1" fontId="7" fillId="5" borderId="1" xfId="0" applyNumberFormat="1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1" fontId="9" fillId="7" borderId="6" xfId="0" applyNumberFormat="1" applyFont="1" applyFill="1" applyBorder="1" applyAlignment="1">
      <alignment horizontal="center" vertical="center" wrapText="1"/>
    </xf>
    <xf numFmtId="1" fontId="9" fillId="7" borderId="2" xfId="0" applyNumberFormat="1" applyFont="1" applyFill="1" applyBorder="1" applyAlignment="1">
      <alignment horizontal="center" vertical="center" wrapText="1"/>
    </xf>
    <xf numFmtId="1" fontId="9" fillId="7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5" borderId="6" xfId="0" applyNumberFormat="1" applyFont="1" applyFill="1" applyBorder="1" applyAlignment="1">
      <alignment horizontal="center" vertical="center" wrapText="1"/>
    </xf>
    <xf numFmtId="1" fontId="7" fillId="5" borderId="2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138"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9D9D9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ill>
        <patternFill patternType="solid">
          <fgColor rgb="FFD9D9D9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b/>
        <i val="0"/>
        <strike val="0"/>
        <color rgb="FF1F3864"/>
      </font>
      <fill>
        <patternFill patternType="solid">
          <fgColor rgb="FFBDD7E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833C00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chael/Desktop/02%20Stock%20&amp;%20DOS/2026-09-13%20Stock%20dan%20DOS.xlsx" TargetMode="External"/><Relationship Id="rId1" Type="http://schemas.openxmlformats.org/officeDocument/2006/relationships/externalLinkPath" Target="2026-09-13%20Stock%20dan%20D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chael/Desktop/02%20Stock%20&amp;%20DOS/2026-09-27%20Stock%20dan%20DOS.xlsx" TargetMode="External"/><Relationship Id="rId1" Type="http://schemas.openxmlformats.org/officeDocument/2006/relationships/externalLinkPath" Target="2026-09-27%20Stock%20dan%20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SEDUR PRODUK BARU"/>
      <sheetName val="STOCK AKTUAL"/>
      <sheetName val="PV.STOCK"/>
      <sheetName val="ACC"/>
      <sheetName val="PV.ACC"/>
      <sheetName val="STOCK IQOO"/>
      <sheetName val="GRAFIK IQOO"/>
      <sheetName val="PV.iQOO"/>
      <sheetName val="STOCK VIVO"/>
      <sheetName val="GRAFIK VIVO"/>
      <sheetName val="PV.STOCK TIAP GUDANG"/>
      <sheetName val="ACC Tiap Gudang"/>
      <sheetName val="PV.ACC TIAP GUDANG"/>
      <sheetName val="PV.DEMO IQOO"/>
      <sheetName val="PV.DEMO VIVO"/>
      <sheetName val="MASTER DATA"/>
      <sheetName val="MASTER ITEM"/>
      <sheetName val="MASTER AREA"/>
      <sheetName val="GUDANG AREA DOUBLE"/>
      <sheetName val="DATA (helper)"/>
      <sheetName val="PVKEY"/>
      <sheetName val="PVKEYIQOO"/>
      <sheetName val="DASHDATA"/>
      <sheetName val="IQDATA"/>
      <sheetName val="DATA IQO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JENIS</v>
          </cell>
        </row>
      </sheetData>
      <sheetData sheetId="8"/>
      <sheetData sheetId="9"/>
      <sheetData sheetId="10">
        <row r="1">
          <cell r="A1" t="str">
            <v>CATEGORY</v>
          </cell>
          <cell r="B1" t="str">
            <v>(Multiple Items)</v>
          </cell>
        </row>
        <row r="2">
          <cell r="A2" t="str">
            <v>PLACE</v>
          </cell>
          <cell r="B2" t="str">
            <v>(Multiple Items)</v>
          </cell>
        </row>
        <row r="3">
          <cell r="A3" t="str">
            <v>JENIS</v>
          </cell>
          <cell r="B3" t="str">
            <v>(Multiple Items)</v>
          </cell>
        </row>
        <row r="5">
          <cell r="B5" t="str">
            <v>TYPE</v>
          </cell>
          <cell r="C5" t="str">
            <v>规格型号
Spesifikasi dan model</v>
          </cell>
          <cell r="D5" t="str">
            <v>Values</v>
          </cell>
        </row>
        <row r="6">
          <cell r="B6" t="str">
            <v>V60 Lite</v>
          </cell>
          <cell r="F6" t="str">
            <v>V60 Lite 5G</v>
          </cell>
          <cell r="H6" t="str">
            <v>V70</v>
          </cell>
          <cell r="N6" t="str">
            <v>X300</v>
          </cell>
          <cell r="R6" t="str">
            <v>X300 PRO</v>
          </cell>
          <cell r="T6" t="str">
            <v>Y05</v>
          </cell>
          <cell r="X6" t="str">
            <v>Y11d</v>
          </cell>
          <cell r="AD6" t="str">
            <v>Y21D</v>
          </cell>
          <cell r="AL6" t="str">
            <v>Y31d</v>
          </cell>
          <cell r="AN6" t="str">
            <v>Y31d Pro</v>
          </cell>
          <cell r="AP6" t="str">
            <v>Y400</v>
          </cell>
          <cell r="AT6" t="str">
            <v xml:space="preserve">X FOLD5  </v>
          </cell>
          <cell r="AV6" t="str">
            <v xml:space="preserve">Y31d Pro </v>
          </cell>
          <cell r="BB6" t="str">
            <v xml:space="preserve">V70 FE </v>
          </cell>
          <cell r="BF6" t="str">
            <v xml:space="preserve">X300 ULTRA </v>
          </cell>
          <cell r="BJ6" t="str">
            <v xml:space="preserve">Y500 </v>
          </cell>
          <cell r="BN6" t="str">
            <v>Y05e</v>
          </cell>
          <cell r="BP6" t="str">
            <v>Total Sum of 结存数量
STOCK</v>
          </cell>
          <cell r="BQ6" t="str">
            <v>Total Sum of 出库数量
SALES OUT</v>
          </cell>
        </row>
        <row r="7">
          <cell r="B7" t="str">
            <v>8+128G</v>
          </cell>
          <cell r="D7" t="str">
            <v>8+256G</v>
          </cell>
          <cell r="F7" t="str">
            <v>8+256G</v>
          </cell>
          <cell r="H7" t="str">
            <v>12+256G</v>
          </cell>
          <cell r="J7" t="str">
            <v>12+512G</v>
          </cell>
          <cell r="L7" t="str">
            <v>8+256G</v>
          </cell>
          <cell r="N7" t="str">
            <v>12+256G</v>
          </cell>
          <cell r="P7" t="str">
            <v>16+512G</v>
          </cell>
          <cell r="R7" t="str">
            <v>16+512G</v>
          </cell>
          <cell r="T7" t="str">
            <v>4+128G</v>
          </cell>
          <cell r="V7" t="str">
            <v>4+64G</v>
          </cell>
          <cell r="X7" t="str">
            <v>4+128G</v>
          </cell>
          <cell r="Z7" t="str">
            <v>4+64G</v>
          </cell>
          <cell r="AB7" t="str">
            <v>6+128G</v>
          </cell>
          <cell r="AD7" t="str">
            <v>4+128G</v>
          </cell>
          <cell r="AF7" t="str">
            <v>6+128G</v>
          </cell>
          <cell r="AH7" t="str">
            <v>6+256G</v>
          </cell>
          <cell r="AJ7" t="str">
            <v>8+128G</v>
          </cell>
          <cell r="AL7" t="str">
            <v>4+128G</v>
          </cell>
          <cell r="AN7" t="str">
            <v>4+128G</v>
          </cell>
          <cell r="AP7" t="str">
            <v>8+128G</v>
          </cell>
          <cell r="AR7" t="str">
            <v>8+256G</v>
          </cell>
          <cell r="AT7" t="str">
            <v>16+512G</v>
          </cell>
          <cell r="AV7" t="str">
            <v>6+128G</v>
          </cell>
          <cell r="AX7" t="str">
            <v>8+128G</v>
          </cell>
          <cell r="AZ7" t="str">
            <v>8+256G</v>
          </cell>
          <cell r="BB7" t="str">
            <v>12+256G</v>
          </cell>
          <cell r="BD7" t="str">
            <v>8+256G</v>
          </cell>
          <cell r="BF7" t="str">
            <v>16+1T</v>
          </cell>
          <cell r="BH7" t="str">
            <v>16+512G</v>
          </cell>
          <cell r="BJ7" t="str">
            <v>6+128G</v>
          </cell>
          <cell r="BL7" t="str">
            <v>6+256G</v>
          </cell>
          <cell r="BN7" t="str">
            <v>4+64G</v>
          </cell>
        </row>
        <row r="8">
          <cell r="A8" t="str">
            <v>仓库名称 
Nama gudang</v>
          </cell>
          <cell r="B8" t="str">
            <v>Sum of 结存数量
STOCK</v>
          </cell>
          <cell r="C8" t="str">
            <v>Sum of 出库数量
SALES OUT</v>
          </cell>
          <cell r="D8" t="str">
            <v>Sum of 结存数量
STOCK</v>
          </cell>
          <cell r="E8" t="str">
            <v>Sum of 出库数量
SALES OUT</v>
          </cell>
          <cell r="F8" t="str">
            <v>Sum of 结存数量
STOCK</v>
          </cell>
          <cell r="G8" t="str">
            <v>Sum of 出库数量
SALES OUT</v>
          </cell>
          <cell r="H8" t="str">
            <v>Sum of 结存数量
STOCK</v>
          </cell>
          <cell r="I8" t="str">
            <v>Sum of 出库数量
SALES OUT</v>
          </cell>
          <cell r="J8" t="str">
            <v>Sum of 结存数量
STOCK</v>
          </cell>
          <cell r="K8" t="str">
            <v>Sum of 出库数量
SALES OUT</v>
          </cell>
          <cell r="L8" t="str">
            <v>Sum of 结存数量
STOCK</v>
          </cell>
          <cell r="M8" t="str">
            <v>Sum of 出库数量
SALES OUT</v>
          </cell>
          <cell r="N8" t="str">
            <v>Sum of 结存数量
STOCK</v>
          </cell>
          <cell r="O8" t="str">
            <v>Sum of 出库数量
SALES OUT</v>
          </cell>
          <cell r="P8" t="str">
            <v>Sum of 结存数量
STOCK</v>
          </cell>
          <cell r="Q8" t="str">
            <v>Sum of 出库数量
SALES OUT</v>
          </cell>
          <cell r="R8" t="str">
            <v>Sum of 结存数量
STOCK</v>
          </cell>
          <cell r="S8" t="str">
            <v>Sum of 出库数量
SALES OUT</v>
          </cell>
          <cell r="T8" t="str">
            <v>Sum of 结存数量
STOCK</v>
          </cell>
          <cell r="U8" t="str">
            <v>Sum of 出库数量
SALES OUT</v>
          </cell>
          <cell r="V8" t="str">
            <v>Sum of 结存数量
STOCK</v>
          </cell>
          <cell r="W8" t="str">
            <v>Sum of 出库数量
SALES OUT</v>
          </cell>
          <cell r="X8" t="str">
            <v>Sum of 结存数量
STOCK</v>
          </cell>
          <cell r="Y8" t="str">
            <v>Sum of 出库数量
SALES OUT</v>
          </cell>
          <cell r="Z8" t="str">
            <v>Sum of 结存数量
STOCK</v>
          </cell>
          <cell r="AA8" t="str">
            <v>Sum of 出库数量
SALES OUT</v>
          </cell>
          <cell r="AB8" t="str">
            <v>Sum of 结存数量
STOCK</v>
          </cell>
          <cell r="AC8" t="str">
            <v>Sum of 出库数量
SALES OUT</v>
          </cell>
          <cell r="AD8" t="str">
            <v>Sum of 结存数量
STOCK</v>
          </cell>
          <cell r="AE8" t="str">
            <v>Sum of 出库数量
SALES OUT</v>
          </cell>
          <cell r="AF8" t="str">
            <v>Sum of 结存数量
STOCK</v>
          </cell>
          <cell r="AG8" t="str">
            <v>Sum of 出库数量
SALES OUT</v>
          </cell>
          <cell r="AH8" t="str">
            <v>Sum of 结存数量
STOCK</v>
          </cell>
          <cell r="AI8" t="str">
            <v>Sum of 出库数量
SALES OUT</v>
          </cell>
          <cell r="AJ8" t="str">
            <v>Sum of 结存数量
STOCK</v>
          </cell>
          <cell r="AK8" t="str">
            <v>Sum of 出库数量
SALES OUT</v>
          </cell>
          <cell r="AL8" t="str">
            <v>Sum of 结存数量
STOCK</v>
          </cell>
          <cell r="AM8" t="str">
            <v>Sum of 出库数量
SALES OUT</v>
          </cell>
          <cell r="AN8" t="str">
            <v>Sum of 结存数量
STOCK</v>
          </cell>
          <cell r="AO8" t="str">
            <v>Sum of 出库数量
SALES OUT</v>
          </cell>
          <cell r="AP8" t="str">
            <v>Sum of 结存数量
STOCK</v>
          </cell>
          <cell r="AQ8" t="str">
            <v>Sum of 出库数量
SALES OUT</v>
          </cell>
          <cell r="AR8" t="str">
            <v>Sum of 结存数量
STOCK</v>
          </cell>
          <cell r="AS8" t="str">
            <v>Sum of 出库数量
SALES OUT</v>
          </cell>
          <cell r="AT8" t="str">
            <v>Sum of 结存数量
STOCK</v>
          </cell>
          <cell r="AU8" t="str">
            <v>Sum of 出库数量
SALES OUT</v>
          </cell>
          <cell r="AV8" t="str">
            <v>Sum of 结存数量
STOCK</v>
          </cell>
          <cell r="AW8" t="str">
            <v>Sum of 出库数量
SALES OUT</v>
          </cell>
          <cell r="AX8" t="str">
            <v>Sum of 结存数量
STOCK</v>
          </cell>
          <cell r="AY8" t="str">
            <v>Sum of 出库数量
SALES OUT</v>
          </cell>
          <cell r="AZ8" t="str">
            <v>Sum of 结存数量
STOCK</v>
          </cell>
          <cell r="BA8" t="str">
            <v>Sum of 出库数量
SALES OUT</v>
          </cell>
          <cell r="BB8" t="str">
            <v>Sum of 结存数量
STOCK</v>
          </cell>
          <cell r="BC8" t="str">
            <v>Sum of 出库数量
SALES OUT</v>
          </cell>
          <cell r="BD8" t="str">
            <v>Sum of 结存数量
STOCK</v>
          </cell>
          <cell r="BE8" t="str">
            <v>Sum of 出库数量
SALES OUT</v>
          </cell>
          <cell r="BF8" t="str">
            <v>Sum of 结存数量
STOCK</v>
          </cell>
          <cell r="BG8" t="str">
            <v>Sum of 出库数量
SALES OUT</v>
          </cell>
          <cell r="BH8" t="str">
            <v>Sum of 结存数量
STOCK</v>
          </cell>
          <cell r="BI8" t="str">
            <v>Sum of 出库数量
SALES OUT</v>
          </cell>
          <cell r="BJ8" t="str">
            <v>Sum of 结存数量
STOCK</v>
          </cell>
          <cell r="BK8" t="str">
            <v>Sum of 出库数量
SALES OUT</v>
          </cell>
          <cell r="BL8" t="str">
            <v>Sum of 结存数量
STOCK</v>
          </cell>
          <cell r="BM8" t="str">
            <v>Sum of 出库数量
SALES OUT</v>
          </cell>
          <cell r="BN8" t="str">
            <v>Sum of 结存数量
STOCK</v>
          </cell>
          <cell r="BO8" t="str">
            <v>Sum of 出库数量
SALES OUT</v>
          </cell>
        </row>
        <row r="9">
          <cell r="A9" t="str">
            <v>6010701-MVS ROXY SHOWROOM 21仓库</v>
          </cell>
          <cell r="B9">
            <v>0</v>
          </cell>
          <cell r="C9">
            <v>0</v>
          </cell>
          <cell r="D9">
            <v>3</v>
          </cell>
          <cell r="E9">
            <v>4</v>
          </cell>
          <cell r="F9">
            <v>2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6</v>
          </cell>
          <cell r="R9">
            <v>0</v>
          </cell>
          <cell r="S9">
            <v>0</v>
          </cell>
          <cell r="T9">
            <v>15</v>
          </cell>
          <cell r="U9">
            <v>7</v>
          </cell>
          <cell r="V9">
            <v>13</v>
          </cell>
          <cell r="W9">
            <v>9</v>
          </cell>
          <cell r="X9">
            <v>11</v>
          </cell>
          <cell r="Y9">
            <v>21</v>
          </cell>
          <cell r="Z9">
            <v>2</v>
          </cell>
          <cell r="AA9">
            <v>10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3</v>
          </cell>
          <cell r="AM9">
            <v>3</v>
          </cell>
          <cell r="AN9">
            <v>5</v>
          </cell>
          <cell r="AO9">
            <v>5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V9">
            <v>4</v>
          </cell>
          <cell r="AW9">
            <v>8</v>
          </cell>
          <cell r="AX9">
            <v>6</v>
          </cell>
          <cell r="AY9">
            <v>1</v>
          </cell>
          <cell r="AZ9">
            <v>3</v>
          </cell>
          <cell r="BA9">
            <v>1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1</v>
          </cell>
          <cell r="BG9">
            <v>0</v>
          </cell>
          <cell r="BH9">
            <v>1</v>
          </cell>
          <cell r="BI9">
            <v>0</v>
          </cell>
          <cell r="BJ9">
            <v>0</v>
          </cell>
          <cell r="BK9">
            <v>1</v>
          </cell>
          <cell r="BL9">
            <v>3</v>
          </cell>
          <cell r="BM9">
            <v>1</v>
          </cell>
          <cell r="BN9">
            <v>10</v>
          </cell>
          <cell r="BO9">
            <v>20</v>
          </cell>
          <cell r="BP9">
            <v>82</v>
          </cell>
          <cell r="BQ9">
            <v>97</v>
          </cell>
        </row>
        <row r="10">
          <cell r="A10" t="str">
            <v>6010702-ME ROXY PAMERAN TIMUR仓库</v>
          </cell>
          <cell r="B10">
            <v>0</v>
          </cell>
          <cell r="C10">
            <v>0</v>
          </cell>
          <cell r="D10">
            <v>4</v>
          </cell>
          <cell r="E10">
            <v>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</v>
          </cell>
          <cell r="M10">
            <v>3</v>
          </cell>
          <cell r="N10">
            <v>0</v>
          </cell>
          <cell r="O10">
            <v>0</v>
          </cell>
          <cell r="R10">
            <v>0</v>
          </cell>
          <cell r="S10">
            <v>0</v>
          </cell>
          <cell r="T10">
            <v>12</v>
          </cell>
          <cell r="U10">
            <v>8</v>
          </cell>
          <cell r="V10">
            <v>8</v>
          </cell>
          <cell r="W10">
            <v>19</v>
          </cell>
          <cell r="X10">
            <v>7</v>
          </cell>
          <cell r="Y10">
            <v>20</v>
          </cell>
          <cell r="Z10">
            <v>5</v>
          </cell>
          <cell r="AA10">
            <v>8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5</v>
          </cell>
          <cell r="AO10">
            <v>5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3</v>
          </cell>
          <cell r="AW10">
            <v>5</v>
          </cell>
          <cell r="AX10">
            <v>6</v>
          </cell>
          <cell r="AY10">
            <v>2</v>
          </cell>
          <cell r="AZ10">
            <v>2</v>
          </cell>
          <cell r="BA10">
            <v>2</v>
          </cell>
          <cell r="BB10">
            <v>0</v>
          </cell>
          <cell r="BC10">
            <v>2</v>
          </cell>
          <cell r="BD10">
            <v>0</v>
          </cell>
          <cell r="BE10">
            <v>0</v>
          </cell>
          <cell r="BH10">
            <v>1</v>
          </cell>
          <cell r="BI10">
            <v>2</v>
          </cell>
          <cell r="BJ10">
            <v>3</v>
          </cell>
          <cell r="BK10">
            <v>0</v>
          </cell>
          <cell r="BL10">
            <v>4</v>
          </cell>
          <cell r="BM10">
            <v>0</v>
          </cell>
          <cell r="BN10">
            <v>10</v>
          </cell>
          <cell r="BO10">
            <v>44</v>
          </cell>
          <cell r="BP10">
            <v>74</v>
          </cell>
          <cell r="BQ10">
            <v>123</v>
          </cell>
        </row>
        <row r="11">
          <cell r="A11" t="str">
            <v>6010703-VIVO STORE WINSHOP仓库</v>
          </cell>
          <cell r="B11">
            <v>0</v>
          </cell>
          <cell r="C11">
            <v>0</v>
          </cell>
          <cell r="D11">
            <v>4</v>
          </cell>
          <cell r="E11">
            <v>13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5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8</v>
          </cell>
          <cell r="U11">
            <v>27</v>
          </cell>
          <cell r="V11">
            <v>4</v>
          </cell>
          <cell r="W11">
            <v>38</v>
          </cell>
          <cell r="X11">
            <v>10</v>
          </cell>
          <cell r="Y11">
            <v>27</v>
          </cell>
          <cell r="Z11">
            <v>13</v>
          </cell>
          <cell r="AA11">
            <v>23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2</v>
          </cell>
          <cell r="AM11">
            <v>12</v>
          </cell>
          <cell r="AN11">
            <v>3</v>
          </cell>
          <cell r="AO11">
            <v>15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V11">
            <v>7</v>
          </cell>
          <cell r="AW11">
            <v>7</v>
          </cell>
          <cell r="AX11">
            <v>2</v>
          </cell>
          <cell r="AY11">
            <v>2</v>
          </cell>
          <cell r="AZ11">
            <v>3</v>
          </cell>
          <cell r="BA11">
            <v>4</v>
          </cell>
          <cell r="BB11">
            <v>2</v>
          </cell>
          <cell r="BC11">
            <v>0</v>
          </cell>
          <cell r="BD11">
            <v>0</v>
          </cell>
          <cell r="BE11">
            <v>0</v>
          </cell>
          <cell r="BF11">
            <v>1</v>
          </cell>
          <cell r="BG11">
            <v>0</v>
          </cell>
          <cell r="BH11">
            <v>1</v>
          </cell>
          <cell r="BI11">
            <v>0</v>
          </cell>
          <cell r="BJ11">
            <v>0</v>
          </cell>
          <cell r="BK11">
            <v>4</v>
          </cell>
          <cell r="BL11">
            <v>4</v>
          </cell>
          <cell r="BM11">
            <v>3</v>
          </cell>
          <cell r="BN11">
            <v>41</v>
          </cell>
          <cell r="BO11">
            <v>88</v>
          </cell>
          <cell r="BP11">
            <v>107</v>
          </cell>
          <cell r="BQ11">
            <v>268</v>
          </cell>
        </row>
        <row r="12">
          <cell r="A12" t="str">
            <v>6010708-MVS SHOWROOM CENTRAL PARK仓库</v>
          </cell>
          <cell r="D12">
            <v>6</v>
          </cell>
          <cell r="E12">
            <v>3</v>
          </cell>
          <cell r="F12">
            <v>3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5</v>
          </cell>
          <cell r="N12">
            <v>0</v>
          </cell>
          <cell r="O12">
            <v>1</v>
          </cell>
          <cell r="P12">
            <v>0</v>
          </cell>
          <cell r="Q12">
            <v>1</v>
          </cell>
          <cell r="R12">
            <v>0</v>
          </cell>
          <cell r="S12">
            <v>0</v>
          </cell>
          <cell r="T12">
            <v>4</v>
          </cell>
          <cell r="U12">
            <v>2</v>
          </cell>
          <cell r="V12">
            <v>4</v>
          </cell>
          <cell r="W12">
            <v>2</v>
          </cell>
          <cell r="X12">
            <v>2</v>
          </cell>
          <cell r="Y12">
            <v>4</v>
          </cell>
          <cell r="Z12">
            <v>6</v>
          </cell>
          <cell r="AA12">
            <v>8</v>
          </cell>
          <cell r="AB12">
            <v>1</v>
          </cell>
          <cell r="AC12">
            <v>1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2</v>
          </cell>
          <cell r="AM12">
            <v>2</v>
          </cell>
          <cell r="AN12">
            <v>3</v>
          </cell>
          <cell r="AO12">
            <v>1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4</v>
          </cell>
          <cell r="AW12">
            <v>0</v>
          </cell>
          <cell r="AX12">
            <v>2</v>
          </cell>
          <cell r="AY12">
            <v>0</v>
          </cell>
          <cell r="AZ12">
            <v>1</v>
          </cell>
          <cell r="BA12">
            <v>0</v>
          </cell>
          <cell r="BB12">
            <v>0</v>
          </cell>
          <cell r="BC12">
            <v>1</v>
          </cell>
          <cell r="BD12">
            <v>0</v>
          </cell>
          <cell r="BE12">
            <v>0</v>
          </cell>
          <cell r="BF12">
            <v>1</v>
          </cell>
          <cell r="BG12">
            <v>1</v>
          </cell>
          <cell r="BH12">
            <v>4</v>
          </cell>
          <cell r="BI12">
            <v>1</v>
          </cell>
          <cell r="BJ12">
            <v>1</v>
          </cell>
          <cell r="BK12">
            <v>0</v>
          </cell>
          <cell r="BL12">
            <v>2</v>
          </cell>
          <cell r="BM12">
            <v>0</v>
          </cell>
          <cell r="BN12">
            <v>4</v>
          </cell>
          <cell r="BO12">
            <v>11</v>
          </cell>
          <cell r="BP12">
            <v>54</v>
          </cell>
          <cell r="BQ12">
            <v>44</v>
          </cell>
        </row>
        <row r="13">
          <cell r="A13" t="str">
            <v>6010711-LIPPO MALL PURI 1FK02仓库</v>
          </cell>
          <cell r="B13">
            <v>0</v>
          </cell>
          <cell r="C13">
            <v>0</v>
          </cell>
          <cell r="D13">
            <v>1</v>
          </cell>
          <cell r="E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5</v>
          </cell>
          <cell r="M13">
            <v>1</v>
          </cell>
          <cell r="N13">
            <v>0</v>
          </cell>
          <cell r="O13">
            <v>0</v>
          </cell>
          <cell r="R13">
            <v>0</v>
          </cell>
          <cell r="S13">
            <v>0</v>
          </cell>
          <cell r="T13">
            <v>5</v>
          </cell>
          <cell r="U13">
            <v>0</v>
          </cell>
          <cell r="V13">
            <v>3</v>
          </cell>
          <cell r="W13">
            <v>1</v>
          </cell>
          <cell r="X13">
            <v>4</v>
          </cell>
          <cell r="Y13">
            <v>1</v>
          </cell>
          <cell r="Z13">
            <v>3</v>
          </cell>
          <cell r="AA13">
            <v>0</v>
          </cell>
          <cell r="AB13">
            <v>3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</v>
          </cell>
          <cell r="AM13">
            <v>0</v>
          </cell>
          <cell r="AN13">
            <v>3</v>
          </cell>
          <cell r="AO13">
            <v>1</v>
          </cell>
          <cell r="AP13">
            <v>0</v>
          </cell>
          <cell r="AQ13">
            <v>0</v>
          </cell>
          <cell r="AT13">
            <v>0</v>
          </cell>
          <cell r="AU13">
            <v>0</v>
          </cell>
          <cell r="AV13">
            <v>3</v>
          </cell>
          <cell r="AW13">
            <v>0</v>
          </cell>
          <cell r="AX13">
            <v>3</v>
          </cell>
          <cell r="AY13">
            <v>0</v>
          </cell>
          <cell r="AZ13">
            <v>1</v>
          </cell>
          <cell r="BA13">
            <v>0</v>
          </cell>
          <cell r="BB13">
            <v>2</v>
          </cell>
          <cell r="BC13">
            <v>2</v>
          </cell>
          <cell r="BD13">
            <v>2</v>
          </cell>
          <cell r="BE13">
            <v>0</v>
          </cell>
          <cell r="BF13">
            <v>2</v>
          </cell>
          <cell r="BG13">
            <v>0</v>
          </cell>
          <cell r="BH13">
            <v>3</v>
          </cell>
          <cell r="BI13">
            <v>0</v>
          </cell>
          <cell r="BJ13">
            <v>2</v>
          </cell>
          <cell r="BK13">
            <v>0</v>
          </cell>
          <cell r="BL13">
            <v>3</v>
          </cell>
          <cell r="BM13">
            <v>0</v>
          </cell>
          <cell r="BN13">
            <v>3</v>
          </cell>
          <cell r="BO13">
            <v>1</v>
          </cell>
          <cell r="BP13">
            <v>52</v>
          </cell>
          <cell r="BQ13">
            <v>8</v>
          </cell>
        </row>
        <row r="14">
          <cell r="A14" t="str">
            <v>6020706-MVS CEMPAKA SHOWROOM 2 (454)仓库</v>
          </cell>
          <cell r="B14">
            <v>0</v>
          </cell>
          <cell r="C14">
            <v>0</v>
          </cell>
          <cell r="D14">
            <v>4</v>
          </cell>
          <cell r="E14">
            <v>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4</v>
          </cell>
          <cell r="N14">
            <v>0</v>
          </cell>
          <cell r="O14">
            <v>0</v>
          </cell>
          <cell r="T14">
            <v>5</v>
          </cell>
          <cell r="U14">
            <v>14</v>
          </cell>
          <cell r="V14">
            <v>6</v>
          </cell>
          <cell r="W14">
            <v>6</v>
          </cell>
          <cell r="X14">
            <v>6</v>
          </cell>
          <cell r="Y14">
            <v>12</v>
          </cell>
          <cell r="Z14">
            <v>6</v>
          </cell>
          <cell r="AA14">
            <v>10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3</v>
          </cell>
          <cell r="AN14">
            <v>3</v>
          </cell>
          <cell r="AO14">
            <v>2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V14">
            <v>2</v>
          </cell>
          <cell r="AW14">
            <v>7</v>
          </cell>
          <cell r="AX14">
            <v>2</v>
          </cell>
          <cell r="AY14">
            <v>1</v>
          </cell>
          <cell r="AZ14">
            <v>2</v>
          </cell>
          <cell r="BA14">
            <v>1</v>
          </cell>
          <cell r="BB14">
            <v>0</v>
          </cell>
          <cell r="BC14">
            <v>1</v>
          </cell>
          <cell r="BD14">
            <v>0</v>
          </cell>
          <cell r="BE14">
            <v>0</v>
          </cell>
          <cell r="BJ14">
            <v>2</v>
          </cell>
          <cell r="BK14">
            <v>0</v>
          </cell>
          <cell r="BL14">
            <v>1</v>
          </cell>
          <cell r="BM14">
            <v>0</v>
          </cell>
          <cell r="BN14">
            <v>14</v>
          </cell>
          <cell r="BO14">
            <v>6</v>
          </cell>
          <cell r="BP14">
            <v>53</v>
          </cell>
          <cell r="BQ14">
            <v>74</v>
          </cell>
        </row>
        <row r="15">
          <cell r="A15" t="str">
            <v>6020711-vivostore emporium仓库</v>
          </cell>
          <cell r="D15">
            <v>3</v>
          </cell>
          <cell r="E15">
            <v>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7</v>
          </cell>
          <cell r="M15">
            <v>4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5</v>
          </cell>
          <cell r="U15">
            <v>3</v>
          </cell>
          <cell r="V15">
            <v>4</v>
          </cell>
          <cell r="W15">
            <v>2</v>
          </cell>
          <cell r="X15">
            <v>6</v>
          </cell>
          <cell r="Y15">
            <v>5</v>
          </cell>
          <cell r="Z15">
            <v>5</v>
          </cell>
          <cell r="AA15">
            <v>4</v>
          </cell>
          <cell r="AB15">
            <v>3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3</v>
          </cell>
          <cell r="AM15">
            <v>1</v>
          </cell>
          <cell r="AN15">
            <v>1</v>
          </cell>
          <cell r="AO15">
            <v>2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3</v>
          </cell>
          <cell r="AW15">
            <v>1</v>
          </cell>
          <cell r="AX15">
            <v>3</v>
          </cell>
          <cell r="AY15">
            <v>2</v>
          </cell>
          <cell r="AZ15">
            <v>2</v>
          </cell>
          <cell r="BA15">
            <v>1</v>
          </cell>
          <cell r="BB15">
            <v>3</v>
          </cell>
          <cell r="BC15">
            <v>2</v>
          </cell>
          <cell r="BD15">
            <v>0</v>
          </cell>
          <cell r="BE15">
            <v>0</v>
          </cell>
          <cell r="BF15">
            <v>1</v>
          </cell>
          <cell r="BG15">
            <v>0</v>
          </cell>
          <cell r="BH15">
            <v>4</v>
          </cell>
          <cell r="BI15">
            <v>1</v>
          </cell>
          <cell r="BJ15">
            <v>2</v>
          </cell>
          <cell r="BK15">
            <v>0</v>
          </cell>
          <cell r="BL15">
            <v>1</v>
          </cell>
          <cell r="BM15">
            <v>1</v>
          </cell>
          <cell r="BN15">
            <v>5</v>
          </cell>
          <cell r="BO15">
            <v>2</v>
          </cell>
          <cell r="BP15">
            <v>61</v>
          </cell>
          <cell r="BQ15">
            <v>34</v>
          </cell>
        </row>
        <row r="16">
          <cell r="A16" t="str">
            <v>6040702-TRAN STUDIO MALL 2F059仓库</v>
          </cell>
          <cell r="D16">
            <v>3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0</v>
          </cell>
          <cell r="R16">
            <v>0</v>
          </cell>
          <cell r="S16">
            <v>0</v>
          </cell>
          <cell r="T16">
            <v>3</v>
          </cell>
          <cell r="U16">
            <v>0</v>
          </cell>
          <cell r="V16">
            <v>4</v>
          </cell>
          <cell r="W16">
            <v>0</v>
          </cell>
          <cell r="X16">
            <v>4</v>
          </cell>
          <cell r="Y16">
            <v>2</v>
          </cell>
          <cell r="Z16">
            <v>2</v>
          </cell>
          <cell r="AA16">
            <v>2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</v>
          </cell>
          <cell r="AM16">
            <v>1</v>
          </cell>
          <cell r="AN16">
            <v>2</v>
          </cell>
          <cell r="AO16">
            <v>1</v>
          </cell>
          <cell r="AR16">
            <v>0</v>
          </cell>
          <cell r="AS16">
            <v>0</v>
          </cell>
          <cell r="AV16">
            <v>1</v>
          </cell>
          <cell r="AW16">
            <v>1</v>
          </cell>
          <cell r="AX16">
            <v>1</v>
          </cell>
          <cell r="AY16">
            <v>0</v>
          </cell>
          <cell r="AZ16">
            <v>1</v>
          </cell>
          <cell r="BA16">
            <v>1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</v>
          </cell>
          <cell r="BG16">
            <v>0</v>
          </cell>
          <cell r="BH16">
            <v>1</v>
          </cell>
          <cell r="BI16">
            <v>0</v>
          </cell>
          <cell r="BJ16">
            <v>2</v>
          </cell>
          <cell r="BK16">
            <v>0</v>
          </cell>
          <cell r="BL16">
            <v>2</v>
          </cell>
          <cell r="BM16">
            <v>0</v>
          </cell>
          <cell r="BN16">
            <v>2</v>
          </cell>
          <cell r="BO16">
            <v>3</v>
          </cell>
          <cell r="BP16">
            <v>32</v>
          </cell>
          <cell r="BQ16">
            <v>12</v>
          </cell>
        </row>
        <row r="17">
          <cell r="A17" t="str">
            <v>6040703-SAWANGAN 1F1-0320仓库</v>
          </cell>
          <cell r="D17">
            <v>4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1</v>
          </cell>
          <cell r="R17">
            <v>0</v>
          </cell>
          <cell r="S17">
            <v>0</v>
          </cell>
          <cell r="T17">
            <v>3</v>
          </cell>
          <cell r="U17">
            <v>1</v>
          </cell>
          <cell r="V17">
            <v>3</v>
          </cell>
          <cell r="W17">
            <v>0</v>
          </cell>
          <cell r="X17">
            <v>4</v>
          </cell>
          <cell r="Y17">
            <v>0</v>
          </cell>
          <cell r="Z17">
            <v>4</v>
          </cell>
          <cell r="AA17">
            <v>2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</v>
          </cell>
          <cell r="AM17">
            <v>2</v>
          </cell>
          <cell r="AN17">
            <v>1</v>
          </cell>
          <cell r="AO17">
            <v>1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V17">
            <v>1</v>
          </cell>
          <cell r="AW17">
            <v>2</v>
          </cell>
          <cell r="AX17">
            <v>2</v>
          </cell>
          <cell r="AY17">
            <v>1</v>
          </cell>
          <cell r="AZ17">
            <v>2</v>
          </cell>
          <cell r="BA17">
            <v>1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H17">
            <v>1</v>
          </cell>
          <cell r="BI17">
            <v>0</v>
          </cell>
          <cell r="BJ17">
            <v>2</v>
          </cell>
          <cell r="BK17">
            <v>0</v>
          </cell>
          <cell r="BL17">
            <v>2</v>
          </cell>
          <cell r="BM17">
            <v>0</v>
          </cell>
          <cell r="BN17">
            <v>3</v>
          </cell>
          <cell r="BO17">
            <v>0</v>
          </cell>
          <cell r="BP17">
            <v>35</v>
          </cell>
          <cell r="BQ17">
            <v>12</v>
          </cell>
        </row>
        <row r="18">
          <cell r="A18" t="str">
            <v>6050701-MVS X6 DS0824仓库</v>
          </cell>
          <cell r="B18">
            <v>0</v>
          </cell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4</v>
          </cell>
          <cell r="N18">
            <v>0</v>
          </cell>
          <cell r="O18">
            <v>0</v>
          </cell>
          <cell r="R18">
            <v>0</v>
          </cell>
          <cell r="S18">
            <v>0</v>
          </cell>
          <cell r="T18">
            <v>4</v>
          </cell>
          <cell r="U18">
            <v>1</v>
          </cell>
          <cell r="V18">
            <v>3</v>
          </cell>
          <cell r="W18">
            <v>4</v>
          </cell>
          <cell r="X18">
            <v>5</v>
          </cell>
          <cell r="Y18">
            <v>2</v>
          </cell>
          <cell r="Z18">
            <v>2</v>
          </cell>
          <cell r="AA18">
            <v>2</v>
          </cell>
          <cell r="AB18">
            <v>1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2</v>
          </cell>
          <cell r="AM18">
            <v>2</v>
          </cell>
          <cell r="AN18">
            <v>5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V18">
            <v>4</v>
          </cell>
          <cell r="AW18">
            <v>3</v>
          </cell>
          <cell r="AX18">
            <v>2</v>
          </cell>
          <cell r="AY18">
            <v>1</v>
          </cell>
          <cell r="AZ18">
            <v>2</v>
          </cell>
          <cell r="BA18">
            <v>0</v>
          </cell>
          <cell r="BB18">
            <v>1</v>
          </cell>
          <cell r="BC18">
            <v>2</v>
          </cell>
          <cell r="BD18">
            <v>0</v>
          </cell>
          <cell r="BE18">
            <v>0</v>
          </cell>
          <cell r="BH18">
            <v>1</v>
          </cell>
          <cell r="BI18">
            <v>0</v>
          </cell>
          <cell r="BJ18">
            <v>3</v>
          </cell>
          <cell r="BK18">
            <v>0</v>
          </cell>
          <cell r="BL18">
            <v>3</v>
          </cell>
          <cell r="BM18">
            <v>0</v>
          </cell>
          <cell r="BN18">
            <v>5</v>
          </cell>
          <cell r="BO18">
            <v>1</v>
          </cell>
          <cell r="BP18">
            <v>49</v>
          </cell>
          <cell r="BQ18">
            <v>23</v>
          </cell>
        </row>
        <row r="19">
          <cell r="A19" t="str">
            <v>6050705-MBH 2F009仓库</v>
          </cell>
          <cell r="T19">
            <v>0</v>
          </cell>
          <cell r="U19">
            <v>1</v>
          </cell>
          <cell r="V19">
            <v>0</v>
          </cell>
          <cell r="W19">
            <v>1</v>
          </cell>
          <cell r="X19">
            <v>0</v>
          </cell>
          <cell r="Y19">
            <v>2</v>
          </cell>
          <cell r="Z19">
            <v>0</v>
          </cell>
          <cell r="AA19">
            <v>2</v>
          </cell>
          <cell r="AN19">
            <v>0</v>
          </cell>
          <cell r="AO19">
            <v>1</v>
          </cell>
          <cell r="AV19">
            <v>0</v>
          </cell>
          <cell r="AW19">
            <v>0</v>
          </cell>
          <cell r="AX19">
            <v>0</v>
          </cell>
          <cell r="AY19">
            <v>2</v>
          </cell>
          <cell r="AZ19">
            <v>0</v>
          </cell>
          <cell r="BA19">
            <v>2</v>
          </cell>
          <cell r="BB19">
            <v>0</v>
          </cell>
          <cell r="BC19">
            <v>1</v>
          </cell>
          <cell r="BP19">
            <v>0</v>
          </cell>
          <cell r="BQ19">
            <v>12</v>
          </cell>
        </row>
        <row r="20">
          <cell r="A20" t="str">
            <v>6080712-MVS ITC DEPOK VIVO STORE 2仓库</v>
          </cell>
          <cell r="B20">
            <v>0</v>
          </cell>
          <cell r="C20">
            <v>0</v>
          </cell>
          <cell r="D20">
            <v>3</v>
          </cell>
          <cell r="E20">
            <v>4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3</v>
          </cell>
          <cell r="M20">
            <v>5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3</v>
          </cell>
          <cell r="U20">
            <v>6</v>
          </cell>
          <cell r="V20">
            <v>5</v>
          </cell>
          <cell r="W20">
            <v>1</v>
          </cell>
          <cell r="X20">
            <v>4</v>
          </cell>
          <cell r="Y20">
            <v>5</v>
          </cell>
          <cell r="Z20">
            <v>6</v>
          </cell>
          <cell r="AA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</v>
          </cell>
          <cell r="AN20">
            <v>1</v>
          </cell>
          <cell r="AO20">
            <v>3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3</v>
          </cell>
          <cell r="AW20">
            <v>4</v>
          </cell>
          <cell r="AX20">
            <v>2</v>
          </cell>
          <cell r="AY20">
            <v>0</v>
          </cell>
          <cell r="AZ20">
            <v>2</v>
          </cell>
          <cell r="BA20">
            <v>1</v>
          </cell>
          <cell r="BB20">
            <v>0</v>
          </cell>
          <cell r="BC20">
            <v>2</v>
          </cell>
          <cell r="BD20">
            <v>0</v>
          </cell>
          <cell r="BE20">
            <v>0</v>
          </cell>
          <cell r="BH20">
            <v>1</v>
          </cell>
          <cell r="BI20">
            <v>0</v>
          </cell>
          <cell r="BJ20">
            <v>2</v>
          </cell>
          <cell r="BK20">
            <v>2</v>
          </cell>
          <cell r="BL20">
            <v>2</v>
          </cell>
          <cell r="BM20">
            <v>0</v>
          </cell>
          <cell r="BN20">
            <v>3</v>
          </cell>
          <cell r="BO20">
            <v>6</v>
          </cell>
          <cell r="BP20">
            <v>40</v>
          </cell>
          <cell r="BQ20">
            <v>42</v>
          </cell>
        </row>
        <row r="21">
          <cell r="A21" t="str">
            <v>6100702-VS Jogja City Mall仓库</v>
          </cell>
          <cell r="D21">
            <v>3</v>
          </cell>
          <cell r="E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4</v>
          </cell>
          <cell r="M21">
            <v>2</v>
          </cell>
          <cell r="N21">
            <v>0</v>
          </cell>
          <cell r="O21">
            <v>0</v>
          </cell>
          <cell r="R21">
            <v>0</v>
          </cell>
          <cell r="S21">
            <v>0</v>
          </cell>
          <cell r="T21">
            <v>1</v>
          </cell>
          <cell r="U21">
            <v>2</v>
          </cell>
          <cell r="V21">
            <v>2</v>
          </cell>
          <cell r="W21">
            <v>1</v>
          </cell>
          <cell r="X21">
            <v>2</v>
          </cell>
          <cell r="Y21">
            <v>0</v>
          </cell>
          <cell r="Z21">
            <v>1</v>
          </cell>
          <cell r="AA21">
            <v>1</v>
          </cell>
          <cell r="AB21">
            <v>3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2</v>
          </cell>
          <cell r="AM21">
            <v>1</v>
          </cell>
          <cell r="AN21">
            <v>2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V21">
            <v>2</v>
          </cell>
          <cell r="AW21">
            <v>0</v>
          </cell>
          <cell r="AX21">
            <v>2</v>
          </cell>
          <cell r="AY21">
            <v>0</v>
          </cell>
          <cell r="AZ21">
            <v>1</v>
          </cell>
          <cell r="BA21">
            <v>0</v>
          </cell>
          <cell r="BB21">
            <v>2</v>
          </cell>
          <cell r="BC21">
            <v>0</v>
          </cell>
          <cell r="BD21">
            <v>2</v>
          </cell>
          <cell r="BE21">
            <v>1</v>
          </cell>
          <cell r="BF21">
            <v>0</v>
          </cell>
          <cell r="BG21">
            <v>0</v>
          </cell>
          <cell r="BH21">
            <v>2</v>
          </cell>
          <cell r="BI21">
            <v>0</v>
          </cell>
          <cell r="BJ21">
            <v>2</v>
          </cell>
          <cell r="BK21">
            <v>0</v>
          </cell>
          <cell r="BL21">
            <v>2</v>
          </cell>
          <cell r="BM21">
            <v>2</v>
          </cell>
          <cell r="BN21">
            <v>1</v>
          </cell>
          <cell r="BO21">
            <v>3</v>
          </cell>
          <cell r="BP21">
            <v>36</v>
          </cell>
          <cell r="BQ21">
            <v>13</v>
          </cell>
        </row>
        <row r="22">
          <cell r="A22" t="str">
            <v>6130702-RITA SUPERMALL SF36-37仓库</v>
          </cell>
          <cell r="D22">
            <v>3</v>
          </cell>
          <cell r="E22">
            <v>2</v>
          </cell>
          <cell r="H22">
            <v>0</v>
          </cell>
          <cell r="I22">
            <v>0</v>
          </cell>
          <cell r="L22">
            <v>4</v>
          </cell>
          <cell r="M22">
            <v>0</v>
          </cell>
          <cell r="R22">
            <v>0</v>
          </cell>
          <cell r="S22">
            <v>0</v>
          </cell>
          <cell r="T22">
            <v>3</v>
          </cell>
          <cell r="U22">
            <v>2</v>
          </cell>
          <cell r="V22">
            <v>3</v>
          </cell>
          <cell r="W22">
            <v>3</v>
          </cell>
          <cell r="X22">
            <v>5</v>
          </cell>
          <cell r="Y22">
            <v>3</v>
          </cell>
          <cell r="Z22">
            <v>2</v>
          </cell>
          <cell r="AA22">
            <v>2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2</v>
          </cell>
          <cell r="AM22">
            <v>0</v>
          </cell>
          <cell r="AN22">
            <v>0</v>
          </cell>
          <cell r="AO22">
            <v>2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V22">
            <v>3</v>
          </cell>
          <cell r="AW22">
            <v>1</v>
          </cell>
          <cell r="AX22">
            <v>2</v>
          </cell>
          <cell r="AY22">
            <v>0</v>
          </cell>
          <cell r="AZ22">
            <v>1</v>
          </cell>
          <cell r="BA22">
            <v>0</v>
          </cell>
          <cell r="BB22">
            <v>3</v>
          </cell>
          <cell r="BC22">
            <v>1</v>
          </cell>
          <cell r="BD22">
            <v>0</v>
          </cell>
          <cell r="BE22">
            <v>0</v>
          </cell>
          <cell r="BH22">
            <v>1</v>
          </cell>
          <cell r="BI22">
            <v>0</v>
          </cell>
          <cell r="BJ22">
            <v>4</v>
          </cell>
          <cell r="BK22">
            <v>0</v>
          </cell>
          <cell r="BL22">
            <v>2</v>
          </cell>
          <cell r="BM22">
            <v>0</v>
          </cell>
          <cell r="BN22">
            <v>5</v>
          </cell>
          <cell r="BO22">
            <v>0</v>
          </cell>
          <cell r="BP22">
            <v>44</v>
          </cell>
          <cell r="BQ22">
            <v>16</v>
          </cell>
        </row>
        <row r="23">
          <cell r="A23" t="str">
            <v>6140703-ML-VIVO STORE MEGA STORE仓库</v>
          </cell>
          <cell r="D23">
            <v>1</v>
          </cell>
          <cell r="E23">
            <v>1</v>
          </cell>
          <cell r="L23">
            <v>3</v>
          </cell>
          <cell r="M23">
            <v>0</v>
          </cell>
          <cell r="AD23">
            <v>0</v>
          </cell>
          <cell r="AE23">
            <v>0</v>
          </cell>
          <cell r="AH23">
            <v>0</v>
          </cell>
          <cell r="AI23">
            <v>0</v>
          </cell>
          <cell r="AL23">
            <v>2</v>
          </cell>
          <cell r="AM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V23">
            <v>1</v>
          </cell>
          <cell r="AW23">
            <v>0</v>
          </cell>
          <cell r="AZ23">
            <v>1</v>
          </cell>
          <cell r="BA23">
            <v>0</v>
          </cell>
          <cell r="BB23">
            <v>1</v>
          </cell>
          <cell r="BC23">
            <v>0</v>
          </cell>
          <cell r="BH23">
            <v>1</v>
          </cell>
          <cell r="BI23">
            <v>0</v>
          </cell>
          <cell r="BJ23">
            <v>1</v>
          </cell>
          <cell r="BK23">
            <v>0</v>
          </cell>
          <cell r="BL23">
            <v>1</v>
          </cell>
          <cell r="BM23">
            <v>0</v>
          </cell>
          <cell r="BN23">
            <v>1</v>
          </cell>
          <cell r="BO23">
            <v>0</v>
          </cell>
          <cell r="BP23">
            <v>13</v>
          </cell>
          <cell r="BQ23">
            <v>1</v>
          </cell>
        </row>
        <row r="24">
          <cell r="A24" t="str">
            <v>6140705-QUEENCITY 2F027仓库</v>
          </cell>
          <cell r="D24">
            <v>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</v>
          </cell>
          <cell r="M24">
            <v>3</v>
          </cell>
          <cell r="N24">
            <v>0</v>
          </cell>
          <cell r="O24">
            <v>0</v>
          </cell>
          <cell r="R24">
            <v>0</v>
          </cell>
          <cell r="S24">
            <v>0</v>
          </cell>
          <cell r="T24">
            <v>3</v>
          </cell>
          <cell r="U24">
            <v>0</v>
          </cell>
          <cell r="V24">
            <v>4</v>
          </cell>
          <cell r="W24">
            <v>0</v>
          </cell>
          <cell r="X24">
            <v>4</v>
          </cell>
          <cell r="Y24">
            <v>1</v>
          </cell>
          <cell r="Z24">
            <v>3</v>
          </cell>
          <cell r="AA24">
            <v>1</v>
          </cell>
          <cell r="AB24">
            <v>4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3</v>
          </cell>
          <cell r="AM24">
            <v>0</v>
          </cell>
          <cell r="AN24">
            <v>8</v>
          </cell>
          <cell r="AO24">
            <v>1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2</v>
          </cell>
          <cell r="AW24">
            <v>1</v>
          </cell>
          <cell r="AX24">
            <v>3</v>
          </cell>
          <cell r="AY24">
            <v>0</v>
          </cell>
          <cell r="AZ24">
            <v>2</v>
          </cell>
          <cell r="BA24">
            <v>3</v>
          </cell>
          <cell r="BB24">
            <v>3</v>
          </cell>
          <cell r="BC24">
            <v>1</v>
          </cell>
          <cell r="BD24">
            <v>2</v>
          </cell>
          <cell r="BE24">
            <v>1</v>
          </cell>
          <cell r="BF24">
            <v>2</v>
          </cell>
          <cell r="BG24">
            <v>0</v>
          </cell>
          <cell r="BH24">
            <v>2</v>
          </cell>
          <cell r="BI24">
            <v>2</v>
          </cell>
          <cell r="BJ24">
            <v>3</v>
          </cell>
          <cell r="BK24">
            <v>0</v>
          </cell>
          <cell r="BL24">
            <v>2</v>
          </cell>
          <cell r="BM24">
            <v>0</v>
          </cell>
          <cell r="BN24">
            <v>3</v>
          </cell>
          <cell r="BO24">
            <v>0</v>
          </cell>
          <cell r="BP24">
            <v>61</v>
          </cell>
          <cell r="BQ24">
            <v>14</v>
          </cell>
        </row>
        <row r="25">
          <cell r="A25" t="str">
            <v>6140706-23 SEMARANG MALL 1F065-66仓库</v>
          </cell>
          <cell r="D25">
            <v>2</v>
          </cell>
          <cell r="E25">
            <v>0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3</v>
          </cell>
          <cell r="M25">
            <v>2</v>
          </cell>
          <cell r="R25">
            <v>0</v>
          </cell>
          <cell r="S25">
            <v>0</v>
          </cell>
          <cell r="T25">
            <v>3</v>
          </cell>
          <cell r="U25">
            <v>0</v>
          </cell>
          <cell r="V25">
            <v>2</v>
          </cell>
          <cell r="W25">
            <v>0</v>
          </cell>
          <cell r="X25">
            <v>2</v>
          </cell>
          <cell r="Y25">
            <v>1</v>
          </cell>
          <cell r="Z25">
            <v>2</v>
          </cell>
          <cell r="AA25">
            <v>2</v>
          </cell>
          <cell r="AB25">
            <v>1</v>
          </cell>
          <cell r="AC25">
            <v>2</v>
          </cell>
          <cell r="AL25">
            <v>4</v>
          </cell>
          <cell r="AM25">
            <v>0</v>
          </cell>
          <cell r="AN25">
            <v>1</v>
          </cell>
          <cell r="AO25">
            <v>2</v>
          </cell>
          <cell r="AV25">
            <v>2</v>
          </cell>
          <cell r="AW25">
            <v>0</v>
          </cell>
          <cell r="AX25">
            <v>3</v>
          </cell>
          <cell r="AY25">
            <v>0</v>
          </cell>
          <cell r="AZ25">
            <v>2</v>
          </cell>
          <cell r="BA25">
            <v>0</v>
          </cell>
          <cell r="BB25">
            <v>6</v>
          </cell>
          <cell r="BC25">
            <v>0</v>
          </cell>
          <cell r="BD25">
            <v>3</v>
          </cell>
          <cell r="BE25">
            <v>0</v>
          </cell>
          <cell r="BF25">
            <v>1</v>
          </cell>
          <cell r="BG25">
            <v>0</v>
          </cell>
          <cell r="BH25">
            <v>2</v>
          </cell>
          <cell r="BI25">
            <v>0</v>
          </cell>
          <cell r="BJ25">
            <v>4</v>
          </cell>
          <cell r="BK25">
            <v>0</v>
          </cell>
          <cell r="BL25">
            <v>2</v>
          </cell>
          <cell r="BM25">
            <v>0</v>
          </cell>
          <cell r="BN25">
            <v>3</v>
          </cell>
          <cell r="BO25">
            <v>0</v>
          </cell>
          <cell r="BP25">
            <v>49</v>
          </cell>
          <cell r="BQ25">
            <v>9</v>
          </cell>
        </row>
        <row r="26">
          <cell r="A26" t="str">
            <v>6170703-4004 MVS-BNT-CCM STORE仓库</v>
          </cell>
          <cell r="B26">
            <v>0</v>
          </cell>
          <cell r="C26">
            <v>0</v>
          </cell>
          <cell r="D26">
            <v>2</v>
          </cell>
          <cell r="E26">
            <v>0</v>
          </cell>
          <cell r="H26">
            <v>0</v>
          </cell>
          <cell r="I26">
            <v>0</v>
          </cell>
          <cell r="L26">
            <v>3</v>
          </cell>
          <cell r="M26">
            <v>0</v>
          </cell>
          <cell r="R26">
            <v>0</v>
          </cell>
          <cell r="S26">
            <v>0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0</v>
          </cell>
          <cell r="Z26">
            <v>2</v>
          </cell>
          <cell r="AA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2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V26">
            <v>2</v>
          </cell>
          <cell r="AW26">
            <v>0</v>
          </cell>
          <cell r="AX26">
            <v>1</v>
          </cell>
          <cell r="AY26">
            <v>0</v>
          </cell>
          <cell r="AZ26">
            <v>2</v>
          </cell>
          <cell r="BA26">
            <v>0</v>
          </cell>
          <cell r="BB26">
            <v>2</v>
          </cell>
          <cell r="BC26">
            <v>0</v>
          </cell>
          <cell r="BD26">
            <v>0</v>
          </cell>
          <cell r="BE26">
            <v>0</v>
          </cell>
          <cell r="BH26">
            <v>0</v>
          </cell>
          <cell r="BI26">
            <v>1</v>
          </cell>
          <cell r="BJ26">
            <v>0</v>
          </cell>
          <cell r="BK26">
            <v>1</v>
          </cell>
          <cell r="BL26">
            <v>2</v>
          </cell>
          <cell r="BM26">
            <v>0</v>
          </cell>
          <cell r="BN26">
            <v>1</v>
          </cell>
          <cell r="BO26">
            <v>1</v>
          </cell>
          <cell r="BP26">
            <v>23</v>
          </cell>
          <cell r="BQ26">
            <v>5</v>
          </cell>
        </row>
        <row r="27">
          <cell r="A27" t="str">
            <v>6170707-LG BLOK D NO. 01D仓库</v>
          </cell>
          <cell r="B27">
            <v>0</v>
          </cell>
          <cell r="C27">
            <v>0</v>
          </cell>
          <cell r="D27">
            <v>1</v>
          </cell>
          <cell r="E27">
            <v>12</v>
          </cell>
          <cell r="F27">
            <v>0</v>
          </cell>
          <cell r="G27">
            <v>0</v>
          </cell>
          <cell r="H27">
            <v>5</v>
          </cell>
          <cell r="I27">
            <v>2</v>
          </cell>
          <cell r="J27">
            <v>0</v>
          </cell>
          <cell r="K27">
            <v>0</v>
          </cell>
          <cell r="L27">
            <v>6</v>
          </cell>
          <cell r="M27">
            <v>4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</v>
          </cell>
          <cell r="U27">
            <v>14</v>
          </cell>
          <cell r="V27">
            <v>5</v>
          </cell>
          <cell r="W27">
            <v>13</v>
          </cell>
          <cell r="X27">
            <v>1</v>
          </cell>
          <cell r="Y27">
            <v>15</v>
          </cell>
          <cell r="Z27">
            <v>0</v>
          </cell>
          <cell r="AA27">
            <v>10</v>
          </cell>
          <cell r="AB27">
            <v>0</v>
          </cell>
          <cell r="AC27">
            <v>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2</v>
          </cell>
          <cell r="AO27">
            <v>5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3</v>
          </cell>
          <cell r="AW27">
            <v>2</v>
          </cell>
          <cell r="AX27">
            <v>7</v>
          </cell>
          <cell r="AY27">
            <v>0</v>
          </cell>
          <cell r="AZ27">
            <v>2</v>
          </cell>
          <cell r="BA27">
            <v>1</v>
          </cell>
          <cell r="BB27">
            <v>0</v>
          </cell>
          <cell r="BC27">
            <v>1</v>
          </cell>
          <cell r="BD27">
            <v>0</v>
          </cell>
          <cell r="BE27">
            <v>0</v>
          </cell>
          <cell r="BF27">
            <v>1</v>
          </cell>
          <cell r="BG27">
            <v>0</v>
          </cell>
          <cell r="BJ27">
            <v>3</v>
          </cell>
          <cell r="BK27">
            <v>0</v>
          </cell>
          <cell r="BL27">
            <v>2</v>
          </cell>
          <cell r="BM27">
            <v>0</v>
          </cell>
          <cell r="BN27">
            <v>6</v>
          </cell>
          <cell r="BO27">
            <v>6</v>
          </cell>
          <cell r="BP27">
            <v>47</v>
          </cell>
          <cell r="BQ27">
            <v>88</v>
          </cell>
        </row>
        <row r="28">
          <cell r="A28" t="str">
            <v>6180706-MVS MALL CCM仓库</v>
          </cell>
          <cell r="B28">
            <v>0</v>
          </cell>
          <cell r="C28">
            <v>0</v>
          </cell>
          <cell r="D28">
            <v>1</v>
          </cell>
          <cell r="E28">
            <v>3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3</v>
          </cell>
          <cell r="M28">
            <v>2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4</v>
          </cell>
          <cell r="U28">
            <v>3</v>
          </cell>
          <cell r="V28">
            <v>4</v>
          </cell>
          <cell r="W28">
            <v>5</v>
          </cell>
          <cell r="X28">
            <v>1</v>
          </cell>
          <cell r="Y28">
            <v>10</v>
          </cell>
          <cell r="Z28">
            <v>3</v>
          </cell>
          <cell r="AA28">
            <v>2</v>
          </cell>
          <cell r="AB28">
            <v>1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1</v>
          </cell>
          <cell r="AM28">
            <v>2</v>
          </cell>
          <cell r="AN28">
            <v>1</v>
          </cell>
          <cell r="AO28">
            <v>1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V28">
            <v>4</v>
          </cell>
          <cell r="AW28">
            <v>3</v>
          </cell>
          <cell r="AX28">
            <v>2</v>
          </cell>
          <cell r="AY28">
            <v>1</v>
          </cell>
          <cell r="AZ28">
            <v>1</v>
          </cell>
          <cell r="BA28">
            <v>1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2</v>
          </cell>
          <cell r="BG28">
            <v>0</v>
          </cell>
          <cell r="BH28">
            <v>2</v>
          </cell>
          <cell r="BI28">
            <v>0</v>
          </cell>
          <cell r="BJ28">
            <v>1</v>
          </cell>
          <cell r="BK28">
            <v>1</v>
          </cell>
          <cell r="BL28">
            <v>2</v>
          </cell>
          <cell r="BM28">
            <v>0</v>
          </cell>
          <cell r="BN28">
            <v>1</v>
          </cell>
          <cell r="BO28">
            <v>6</v>
          </cell>
          <cell r="BP28">
            <v>34</v>
          </cell>
          <cell r="BQ28">
            <v>41</v>
          </cell>
        </row>
        <row r="29">
          <cell r="A29" t="str">
            <v>6180707-SC BTM仓库</v>
          </cell>
          <cell r="D29">
            <v>0</v>
          </cell>
          <cell r="E29">
            <v>1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</v>
          </cell>
          <cell r="T29">
            <v>3</v>
          </cell>
          <cell r="U29">
            <v>0</v>
          </cell>
          <cell r="V29">
            <v>3</v>
          </cell>
          <cell r="W29">
            <v>1</v>
          </cell>
          <cell r="X29">
            <v>2</v>
          </cell>
          <cell r="Y29">
            <v>2</v>
          </cell>
          <cell r="Z29">
            <v>2</v>
          </cell>
          <cell r="AA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2</v>
          </cell>
          <cell r="AM29">
            <v>0</v>
          </cell>
          <cell r="AN29">
            <v>1</v>
          </cell>
          <cell r="AO29">
            <v>0</v>
          </cell>
          <cell r="AP29">
            <v>0</v>
          </cell>
          <cell r="AQ29">
            <v>0</v>
          </cell>
          <cell r="AV29">
            <v>3</v>
          </cell>
          <cell r="AW29">
            <v>1</v>
          </cell>
          <cell r="AX29">
            <v>2</v>
          </cell>
          <cell r="AY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J29">
            <v>1</v>
          </cell>
          <cell r="BK29">
            <v>0</v>
          </cell>
          <cell r="BL29">
            <v>1</v>
          </cell>
          <cell r="BM29">
            <v>1</v>
          </cell>
          <cell r="BN29">
            <v>2</v>
          </cell>
          <cell r="BO29">
            <v>1</v>
          </cell>
          <cell r="BP29">
            <v>22</v>
          </cell>
          <cell r="BQ29">
            <v>8</v>
          </cell>
        </row>
        <row r="30">
          <cell r="A30" t="str">
            <v>6190701-VIVO STORE UG仓库</v>
          </cell>
          <cell r="D30">
            <v>3</v>
          </cell>
          <cell r="E30">
            <v>5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5</v>
          </cell>
          <cell r="M30">
            <v>4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4</v>
          </cell>
          <cell r="U30">
            <v>11</v>
          </cell>
          <cell r="V30">
            <v>7</v>
          </cell>
          <cell r="W30">
            <v>12</v>
          </cell>
          <cell r="X30">
            <v>10</v>
          </cell>
          <cell r="Y30">
            <v>14</v>
          </cell>
          <cell r="Z30">
            <v>4</v>
          </cell>
          <cell r="AA30">
            <v>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4</v>
          </cell>
          <cell r="AM30">
            <v>0</v>
          </cell>
          <cell r="AN30">
            <v>6</v>
          </cell>
          <cell r="AO30">
            <v>1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4</v>
          </cell>
          <cell r="AW30">
            <v>4</v>
          </cell>
          <cell r="AX30">
            <v>4</v>
          </cell>
          <cell r="AY30">
            <v>1</v>
          </cell>
          <cell r="AZ30">
            <v>1</v>
          </cell>
          <cell r="BA30">
            <v>3</v>
          </cell>
          <cell r="BB30">
            <v>1</v>
          </cell>
          <cell r="BC30">
            <v>5</v>
          </cell>
          <cell r="BD30">
            <v>0</v>
          </cell>
          <cell r="BE30">
            <v>0</v>
          </cell>
          <cell r="BH30">
            <v>1</v>
          </cell>
          <cell r="BI30">
            <v>0</v>
          </cell>
          <cell r="BJ30">
            <v>1</v>
          </cell>
          <cell r="BK30">
            <v>2</v>
          </cell>
          <cell r="BL30">
            <v>2</v>
          </cell>
          <cell r="BM30">
            <v>0</v>
          </cell>
          <cell r="BN30">
            <v>0</v>
          </cell>
          <cell r="BO30">
            <v>10</v>
          </cell>
          <cell r="BP30">
            <v>57</v>
          </cell>
          <cell r="BQ30">
            <v>80</v>
          </cell>
        </row>
        <row r="31">
          <cell r="A31" t="str">
            <v>6190704-VIVO STORE 1 BEC仓库</v>
          </cell>
          <cell r="D31">
            <v>4</v>
          </cell>
          <cell r="E31">
            <v>16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4</v>
          </cell>
          <cell r="M31">
            <v>5</v>
          </cell>
          <cell r="N31">
            <v>0</v>
          </cell>
          <cell r="O31">
            <v>0</v>
          </cell>
          <cell r="R31">
            <v>0</v>
          </cell>
          <cell r="S31">
            <v>0</v>
          </cell>
          <cell r="T31">
            <v>5</v>
          </cell>
          <cell r="U31">
            <v>10</v>
          </cell>
          <cell r="V31">
            <v>12</v>
          </cell>
          <cell r="W31">
            <v>15</v>
          </cell>
          <cell r="X31">
            <v>10</v>
          </cell>
          <cell r="Y31">
            <v>20</v>
          </cell>
          <cell r="Z31">
            <v>10</v>
          </cell>
          <cell r="AA31">
            <v>11</v>
          </cell>
          <cell r="AB31">
            <v>0</v>
          </cell>
          <cell r="AC31">
            <v>1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7</v>
          </cell>
          <cell r="AM31">
            <v>14</v>
          </cell>
          <cell r="AN31">
            <v>3</v>
          </cell>
          <cell r="AO31">
            <v>7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V31">
            <v>4</v>
          </cell>
          <cell r="AW31">
            <v>10</v>
          </cell>
          <cell r="AX31">
            <v>3</v>
          </cell>
          <cell r="AY31">
            <v>2</v>
          </cell>
          <cell r="AZ31">
            <v>3</v>
          </cell>
          <cell r="BA31">
            <v>2</v>
          </cell>
          <cell r="BB31">
            <v>1</v>
          </cell>
          <cell r="BC31">
            <v>5</v>
          </cell>
          <cell r="BD31">
            <v>0</v>
          </cell>
          <cell r="BE31">
            <v>0</v>
          </cell>
          <cell r="BH31">
            <v>1</v>
          </cell>
          <cell r="BI31">
            <v>0</v>
          </cell>
          <cell r="BJ31">
            <v>2</v>
          </cell>
          <cell r="BK31">
            <v>2</v>
          </cell>
          <cell r="BL31">
            <v>2</v>
          </cell>
          <cell r="BM31">
            <v>2</v>
          </cell>
          <cell r="BN31">
            <v>1</v>
          </cell>
          <cell r="BO31">
            <v>22</v>
          </cell>
          <cell r="BP31">
            <v>72</v>
          </cell>
          <cell r="BQ31">
            <v>144</v>
          </cell>
        </row>
        <row r="32">
          <cell r="A32" t="str">
            <v>6220701-MVS MBH-VIP VIVO STORE-DD284仓库</v>
          </cell>
          <cell r="B32">
            <v>0</v>
          </cell>
          <cell r="C32">
            <v>0</v>
          </cell>
          <cell r="D32">
            <v>2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5</v>
          </cell>
          <cell r="M32">
            <v>1</v>
          </cell>
          <cell r="R32">
            <v>0</v>
          </cell>
          <cell r="S32">
            <v>0</v>
          </cell>
          <cell r="T32">
            <v>5</v>
          </cell>
          <cell r="U32">
            <v>5</v>
          </cell>
          <cell r="V32">
            <v>4</v>
          </cell>
          <cell r="W32">
            <v>2</v>
          </cell>
          <cell r="X32">
            <v>3</v>
          </cell>
          <cell r="Y32">
            <v>6</v>
          </cell>
          <cell r="Z32">
            <v>2</v>
          </cell>
          <cell r="AA32">
            <v>3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</v>
          </cell>
          <cell r="AM32">
            <v>7</v>
          </cell>
          <cell r="AN32">
            <v>3</v>
          </cell>
          <cell r="AO32">
            <v>2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V32">
            <v>3</v>
          </cell>
          <cell r="AW32">
            <v>5</v>
          </cell>
          <cell r="AX32">
            <v>1</v>
          </cell>
          <cell r="AY32">
            <v>3</v>
          </cell>
          <cell r="AZ32">
            <v>2</v>
          </cell>
          <cell r="BA32">
            <v>3</v>
          </cell>
          <cell r="BB32">
            <v>2</v>
          </cell>
          <cell r="BC32">
            <v>1</v>
          </cell>
          <cell r="BD32">
            <v>0</v>
          </cell>
          <cell r="BE32">
            <v>0</v>
          </cell>
          <cell r="BH32">
            <v>1</v>
          </cell>
          <cell r="BI32">
            <v>0</v>
          </cell>
          <cell r="BJ32">
            <v>3</v>
          </cell>
          <cell r="BK32">
            <v>1</v>
          </cell>
          <cell r="BL32">
            <v>4</v>
          </cell>
          <cell r="BM32">
            <v>0</v>
          </cell>
          <cell r="BN32">
            <v>4</v>
          </cell>
          <cell r="BO32">
            <v>2</v>
          </cell>
          <cell r="BP32">
            <v>45</v>
          </cell>
          <cell r="BQ32">
            <v>42</v>
          </cell>
        </row>
        <row r="33">
          <cell r="A33" t="str">
            <v>6240701-LG BLOK A-B NO. 12仓库</v>
          </cell>
          <cell r="B33">
            <v>0</v>
          </cell>
          <cell r="C33">
            <v>0</v>
          </cell>
          <cell r="D33">
            <v>1</v>
          </cell>
          <cell r="E33">
            <v>8</v>
          </cell>
          <cell r="F33">
            <v>0</v>
          </cell>
          <cell r="G33">
            <v>0</v>
          </cell>
          <cell r="H33">
            <v>2</v>
          </cell>
          <cell r="I33">
            <v>1</v>
          </cell>
          <cell r="J33">
            <v>0</v>
          </cell>
          <cell r="K33">
            <v>0</v>
          </cell>
          <cell r="L33">
            <v>6</v>
          </cell>
          <cell r="M33">
            <v>4</v>
          </cell>
          <cell r="N33">
            <v>0</v>
          </cell>
          <cell r="O33">
            <v>0</v>
          </cell>
          <cell r="R33">
            <v>0</v>
          </cell>
          <cell r="S33">
            <v>0</v>
          </cell>
          <cell r="T33">
            <v>5</v>
          </cell>
          <cell r="U33">
            <v>13</v>
          </cell>
          <cell r="V33">
            <v>8</v>
          </cell>
          <cell r="W33">
            <v>13</v>
          </cell>
          <cell r="X33">
            <v>0</v>
          </cell>
          <cell r="Y33">
            <v>27</v>
          </cell>
          <cell r="Z33">
            <v>4</v>
          </cell>
          <cell r="AA33">
            <v>11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6</v>
          </cell>
          <cell r="AN33">
            <v>2</v>
          </cell>
          <cell r="AO33">
            <v>6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V33">
            <v>1</v>
          </cell>
          <cell r="AW33">
            <v>6</v>
          </cell>
          <cell r="AX33">
            <v>1</v>
          </cell>
          <cell r="AY33">
            <v>2</v>
          </cell>
          <cell r="AZ33">
            <v>0</v>
          </cell>
          <cell r="BA33">
            <v>2</v>
          </cell>
          <cell r="BB33">
            <v>1</v>
          </cell>
          <cell r="BC33">
            <v>0</v>
          </cell>
          <cell r="BD33">
            <v>0</v>
          </cell>
          <cell r="BE33">
            <v>0</v>
          </cell>
          <cell r="BF33">
            <v>2</v>
          </cell>
          <cell r="BG33">
            <v>0</v>
          </cell>
          <cell r="BH33">
            <v>0</v>
          </cell>
          <cell r="BI33">
            <v>0</v>
          </cell>
          <cell r="BJ33">
            <v>3</v>
          </cell>
          <cell r="BK33">
            <v>0</v>
          </cell>
          <cell r="BL33">
            <v>2</v>
          </cell>
          <cell r="BM33">
            <v>0</v>
          </cell>
          <cell r="BN33">
            <v>8</v>
          </cell>
          <cell r="BO33">
            <v>16</v>
          </cell>
          <cell r="BP33">
            <v>46</v>
          </cell>
          <cell r="BQ33">
            <v>115</v>
          </cell>
        </row>
        <row r="34">
          <cell r="A34" t="str">
            <v>6240705-CIPUTRA 2FC15仓库</v>
          </cell>
          <cell r="B34">
            <v>0</v>
          </cell>
          <cell r="C34">
            <v>0</v>
          </cell>
          <cell r="D34">
            <v>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6</v>
          </cell>
          <cell r="M34">
            <v>1</v>
          </cell>
          <cell r="N34">
            <v>0</v>
          </cell>
          <cell r="O34">
            <v>0</v>
          </cell>
          <cell r="R34">
            <v>0</v>
          </cell>
          <cell r="S34">
            <v>0</v>
          </cell>
          <cell r="T34">
            <v>1</v>
          </cell>
          <cell r="U34">
            <v>2</v>
          </cell>
          <cell r="V34">
            <v>4</v>
          </cell>
          <cell r="W34">
            <v>0</v>
          </cell>
          <cell r="X34">
            <v>3</v>
          </cell>
          <cell r="Y34">
            <v>1</v>
          </cell>
          <cell r="Z34">
            <v>4</v>
          </cell>
          <cell r="AA34">
            <v>0</v>
          </cell>
          <cell r="AB34">
            <v>1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1</v>
          </cell>
          <cell r="AN34">
            <v>3</v>
          </cell>
          <cell r="AO34">
            <v>2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V34">
            <v>2</v>
          </cell>
          <cell r="AW34">
            <v>0</v>
          </cell>
          <cell r="AX34">
            <v>2</v>
          </cell>
          <cell r="AY34">
            <v>0</v>
          </cell>
          <cell r="AZ34">
            <v>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H34">
            <v>1</v>
          </cell>
          <cell r="BI34">
            <v>0</v>
          </cell>
          <cell r="BJ34">
            <v>2</v>
          </cell>
          <cell r="BK34">
            <v>1</v>
          </cell>
          <cell r="BL34">
            <v>2</v>
          </cell>
          <cell r="BM34">
            <v>0</v>
          </cell>
          <cell r="BN34">
            <v>1</v>
          </cell>
          <cell r="BO34">
            <v>2</v>
          </cell>
          <cell r="BP34">
            <v>36</v>
          </cell>
          <cell r="BQ34">
            <v>10</v>
          </cell>
        </row>
        <row r="35">
          <cell r="A35" t="str">
            <v>6240706-SUPERMALL 1FC3A仓库</v>
          </cell>
          <cell r="D35">
            <v>1</v>
          </cell>
          <cell r="E35">
            <v>2</v>
          </cell>
          <cell r="F35">
            <v>2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4</v>
          </cell>
          <cell r="M35">
            <v>1</v>
          </cell>
          <cell r="N35">
            <v>0</v>
          </cell>
          <cell r="O35">
            <v>0</v>
          </cell>
          <cell r="R35">
            <v>0</v>
          </cell>
          <cell r="S35">
            <v>0</v>
          </cell>
          <cell r="T35">
            <v>5</v>
          </cell>
          <cell r="U35">
            <v>3</v>
          </cell>
          <cell r="V35">
            <v>4</v>
          </cell>
          <cell r="W35">
            <v>2</v>
          </cell>
          <cell r="X35">
            <v>5</v>
          </cell>
          <cell r="Y35">
            <v>2</v>
          </cell>
          <cell r="Z35">
            <v>2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V35">
            <v>1</v>
          </cell>
          <cell r="AW35">
            <v>1</v>
          </cell>
          <cell r="AX35">
            <v>3</v>
          </cell>
          <cell r="AY35">
            <v>0</v>
          </cell>
          <cell r="AZ35">
            <v>2</v>
          </cell>
          <cell r="BA35">
            <v>0</v>
          </cell>
          <cell r="BB35">
            <v>0</v>
          </cell>
          <cell r="BC35">
            <v>1</v>
          </cell>
          <cell r="BD35">
            <v>0</v>
          </cell>
          <cell r="BE35">
            <v>0</v>
          </cell>
          <cell r="BF35">
            <v>1</v>
          </cell>
          <cell r="BG35">
            <v>0</v>
          </cell>
          <cell r="BH35">
            <v>1</v>
          </cell>
          <cell r="BI35">
            <v>0</v>
          </cell>
          <cell r="BJ35">
            <v>0</v>
          </cell>
          <cell r="BK35">
            <v>1</v>
          </cell>
          <cell r="BL35">
            <v>1</v>
          </cell>
          <cell r="BM35">
            <v>0</v>
          </cell>
          <cell r="BN35">
            <v>4</v>
          </cell>
          <cell r="BO35">
            <v>3</v>
          </cell>
          <cell r="BP35">
            <v>38</v>
          </cell>
          <cell r="BQ35">
            <v>20</v>
          </cell>
        </row>
        <row r="36">
          <cell r="A36" t="str">
            <v>6240707-SUPERMALL UGN3A仓库</v>
          </cell>
          <cell r="D36">
            <v>0</v>
          </cell>
          <cell r="E36">
            <v>1</v>
          </cell>
          <cell r="T36">
            <v>0</v>
          </cell>
          <cell r="U36">
            <v>2</v>
          </cell>
          <cell r="V36">
            <v>0</v>
          </cell>
          <cell r="W36">
            <v>1</v>
          </cell>
          <cell r="X36">
            <v>0</v>
          </cell>
          <cell r="Y36">
            <v>2</v>
          </cell>
          <cell r="AN36">
            <v>0</v>
          </cell>
          <cell r="AO36">
            <v>1</v>
          </cell>
          <cell r="BD36">
            <v>0</v>
          </cell>
          <cell r="BE36">
            <v>0</v>
          </cell>
          <cell r="BJ36">
            <v>0</v>
          </cell>
          <cell r="BK36">
            <v>1</v>
          </cell>
          <cell r="BN36">
            <v>0</v>
          </cell>
          <cell r="BO36">
            <v>1</v>
          </cell>
          <cell r="BP36">
            <v>0</v>
          </cell>
          <cell r="BQ36">
            <v>9</v>
          </cell>
        </row>
        <row r="37">
          <cell r="A37" t="str">
            <v>6240708-ITC BSD 1F09-14仓库</v>
          </cell>
          <cell r="B37">
            <v>0</v>
          </cell>
          <cell r="C37">
            <v>0</v>
          </cell>
          <cell r="D37">
            <v>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1</v>
          </cell>
          <cell r="M37">
            <v>1</v>
          </cell>
          <cell r="R37">
            <v>0</v>
          </cell>
          <cell r="S37">
            <v>0</v>
          </cell>
          <cell r="T37">
            <v>3</v>
          </cell>
          <cell r="U37">
            <v>1</v>
          </cell>
          <cell r="V37">
            <v>7</v>
          </cell>
          <cell r="W37">
            <v>3</v>
          </cell>
          <cell r="X37">
            <v>3</v>
          </cell>
          <cell r="Y37">
            <v>1</v>
          </cell>
          <cell r="Z37">
            <v>3</v>
          </cell>
          <cell r="AA37">
            <v>1</v>
          </cell>
          <cell r="AB37">
            <v>0</v>
          </cell>
          <cell r="AC37">
            <v>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2</v>
          </cell>
          <cell r="AM37">
            <v>1</v>
          </cell>
          <cell r="AN37">
            <v>2</v>
          </cell>
          <cell r="AO37">
            <v>1</v>
          </cell>
          <cell r="AP37">
            <v>0</v>
          </cell>
          <cell r="AQ37">
            <v>0</v>
          </cell>
          <cell r="AV37">
            <v>3</v>
          </cell>
          <cell r="AW37">
            <v>0</v>
          </cell>
          <cell r="AX37">
            <v>2</v>
          </cell>
          <cell r="AY37">
            <v>0</v>
          </cell>
          <cell r="AZ37">
            <v>2</v>
          </cell>
          <cell r="BA37">
            <v>0</v>
          </cell>
          <cell r="BB37">
            <v>0</v>
          </cell>
          <cell r="BC37">
            <v>1</v>
          </cell>
          <cell r="BD37">
            <v>0</v>
          </cell>
          <cell r="BE37">
            <v>0</v>
          </cell>
          <cell r="BH37">
            <v>0</v>
          </cell>
          <cell r="BI37">
            <v>1</v>
          </cell>
          <cell r="BJ37">
            <v>1</v>
          </cell>
          <cell r="BK37">
            <v>1</v>
          </cell>
          <cell r="BL37">
            <v>2</v>
          </cell>
          <cell r="BM37">
            <v>0</v>
          </cell>
          <cell r="BN37">
            <v>3</v>
          </cell>
          <cell r="BO37">
            <v>1</v>
          </cell>
          <cell r="BP37">
            <v>37</v>
          </cell>
          <cell r="BQ37">
            <v>16</v>
          </cell>
        </row>
        <row r="38">
          <cell r="A38" t="str">
            <v>6240709-ITC BSD 1F49-50仓库</v>
          </cell>
          <cell r="L38">
            <v>0</v>
          </cell>
          <cell r="M38">
            <v>1</v>
          </cell>
          <cell r="T38">
            <v>0</v>
          </cell>
          <cell r="U38">
            <v>1</v>
          </cell>
          <cell r="V38">
            <v>0</v>
          </cell>
          <cell r="W38">
            <v>0</v>
          </cell>
          <cell r="AB38">
            <v>0</v>
          </cell>
          <cell r="AC38">
            <v>2</v>
          </cell>
          <cell r="AF38">
            <v>0</v>
          </cell>
          <cell r="AG38">
            <v>0</v>
          </cell>
          <cell r="AL38">
            <v>0</v>
          </cell>
          <cell r="AM38">
            <v>1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BB38">
            <v>0</v>
          </cell>
          <cell r="BC38">
            <v>1</v>
          </cell>
          <cell r="BD38">
            <v>0</v>
          </cell>
          <cell r="BE38">
            <v>0</v>
          </cell>
          <cell r="BJ38">
            <v>0</v>
          </cell>
          <cell r="BK38">
            <v>1</v>
          </cell>
          <cell r="BN38">
            <v>0</v>
          </cell>
          <cell r="BO38">
            <v>1</v>
          </cell>
          <cell r="BP38">
            <v>0</v>
          </cell>
          <cell r="BQ38">
            <v>8</v>
          </cell>
        </row>
        <row r="39">
          <cell r="A39" t="str">
            <v>6240710-BSD SC 1F210仓库</v>
          </cell>
          <cell r="AD39">
            <v>0</v>
          </cell>
          <cell r="AE39">
            <v>0</v>
          </cell>
          <cell r="BP39">
            <v>0</v>
          </cell>
          <cell r="BQ39">
            <v>0</v>
          </cell>
        </row>
        <row r="40">
          <cell r="A40" t="str">
            <v>6150702-GRANMALL SC GF-11仓库</v>
          </cell>
          <cell r="D40">
            <v>0</v>
          </cell>
          <cell r="E40">
            <v>2</v>
          </cell>
          <cell r="L40">
            <v>2</v>
          </cell>
          <cell r="M40">
            <v>0</v>
          </cell>
          <cell r="T40">
            <v>2</v>
          </cell>
          <cell r="U40">
            <v>0</v>
          </cell>
          <cell r="V40">
            <v>2</v>
          </cell>
          <cell r="W40">
            <v>0</v>
          </cell>
          <cell r="X40">
            <v>1</v>
          </cell>
          <cell r="Y40">
            <v>1</v>
          </cell>
          <cell r="Z40">
            <v>2</v>
          </cell>
          <cell r="AA40">
            <v>0</v>
          </cell>
          <cell r="AL40">
            <v>2</v>
          </cell>
          <cell r="AM40">
            <v>1</v>
          </cell>
          <cell r="AN40">
            <v>2</v>
          </cell>
          <cell r="AO40">
            <v>0</v>
          </cell>
          <cell r="AV40">
            <v>2</v>
          </cell>
          <cell r="AW40">
            <v>0</v>
          </cell>
          <cell r="AX40">
            <v>2</v>
          </cell>
          <cell r="AY40">
            <v>0</v>
          </cell>
          <cell r="AZ40">
            <v>1</v>
          </cell>
          <cell r="BA40">
            <v>0</v>
          </cell>
          <cell r="BD40">
            <v>1</v>
          </cell>
          <cell r="BE40">
            <v>0</v>
          </cell>
          <cell r="BH40">
            <v>1</v>
          </cell>
          <cell r="BI40">
            <v>0</v>
          </cell>
          <cell r="BJ40">
            <v>2</v>
          </cell>
          <cell r="BK40">
            <v>0</v>
          </cell>
          <cell r="BL40">
            <v>2</v>
          </cell>
          <cell r="BM40">
            <v>0</v>
          </cell>
          <cell r="BN40">
            <v>2</v>
          </cell>
          <cell r="BO40">
            <v>0</v>
          </cell>
          <cell r="BP40">
            <v>26</v>
          </cell>
          <cell r="BQ40">
            <v>4</v>
          </cell>
        </row>
        <row r="41">
          <cell r="A41" t="str">
            <v>6190708-BEC SC LGAA07仓库</v>
          </cell>
          <cell r="D41">
            <v>0</v>
          </cell>
          <cell r="E41">
            <v>1</v>
          </cell>
          <cell r="L41">
            <v>0</v>
          </cell>
          <cell r="M41">
            <v>1</v>
          </cell>
          <cell r="T41">
            <v>0</v>
          </cell>
          <cell r="U41">
            <v>1</v>
          </cell>
          <cell r="V41">
            <v>0</v>
          </cell>
          <cell r="W41">
            <v>1</v>
          </cell>
          <cell r="X41">
            <v>0</v>
          </cell>
          <cell r="Y41">
            <v>2</v>
          </cell>
          <cell r="AL41">
            <v>0</v>
          </cell>
          <cell r="AM41">
            <v>2</v>
          </cell>
          <cell r="AV41">
            <v>0</v>
          </cell>
          <cell r="AW41">
            <v>7</v>
          </cell>
          <cell r="BP41">
            <v>0</v>
          </cell>
          <cell r="BQ41">
            <v>15</v>
          </cell>
        </row>
        <row r="42">
          <cell r="A42" t="str">
            <v>6050706-AEON MALL DELTAMAS 1F081仓库</v>
          </cell>
          <cell r="D42">
            <v>2</v>
          </cell>
          <cell r="E42">
            <v>1</v>
          </cell>
          <cell r="L42">
            <v>7</v>
          </cell>
          <cell r="M42">
            <v>1</v>
          </cell>
          <cell r="T42">
            <v>5</v>
          </cell>
          <cell r="U42">
            <v>0</v>
          </cell>
          <cell r="V42">
            <v>3</v>
          </cell>
          <cell r="W42">
            <v>0</v>
          </cell>
          <cell r="X42">
            <v>4</v>
          </cell>
          <cell r="Y42">
            <v>3</v>
          </cell>
          <cell r="Z42">
            <v>2</v>
          </cell>
          <cell r="AA42">
            <v>1</v>
          </cell>
          <cell r="AL42">
            <v>3</v>
          </cell>
          <cell r="AM42">
            <v>1</v>
          </cell>
          <cell r="AN42">
            <v>5</v>
          </cell>
          <cell r="AO42">
            <v>1</v>
          </cell>
          <cell r="AV42">
            <v>5</v>
          </cell>
          <cell r="AW42">
            <v>1</v>
          </cell>
          <cell r="AX42">
            <v>2</v>
          </cell>
          <cell r="AY42">
            <v>0</v>
          </cell>
          <cell r="AZ42">
            <v>2</v>
          </cell>
          <cell r="BA42">
            <v>0</v>
          </cell>
          <cell r="BB42">
            <v>3</v>
          </cell>
          <cell r="BC42">
            <v>1</v>
          </cell>
          <cell r="BD42">
            <v>0</v>
          </cell>
          <cell r="BE42">
            <v>0</v>
          </cell>
          <cell r="BH42">
            <v>1</v>
          </cell>
          <cell r="BI42">
            <v>0</v>
          </cell>
          <cell r="BJ42">
            <v>3</v>
          </cell>
          <cell r="BK42">
            <v>0</v>
          </cell>
          <cell r="BL42">
            <v>3</v>
          </cell>
          <cell r="BM42">
            <v>2</v>
          </cell>
          <cell r="BN42">
            <v>5</v>
          </cell>
          <cell r="BO42">
            <v>2</v>
          </cell>
          <cell r="BP42">
            <v>55</v>
          </cell>
          <cell r="BQ42">
            <v>14</v>
          </cell>
        </row>
        <row r="43">
          <cell r="A43" t="str">
            <v>6130703-SC TEGAL PWKT仓库</v>
          </cell>
          <cell r="L43">
            <v>2</v>
          </cell>
          <cell r="M43">
            <v>0</v>
          </cell>
          <cell r="T43">
            <v>2</v>
          </cell>
          <cell r="U43">
            <v>0</v>
          </cell>
          <cell r="V43">
            <v>2</v>
          </cell>
          <cell r="W43">
            <v>0</v>
          </cell>
          <cell r="X43">
            <v>2</v>
          </cell>
          <cell r="Y43">
            <v>0</v>
          </cell>
          <cell r="Z43">
            <v>1</v>
          </cell>
          <cell r="AA43">
            <v>0</v>
          </cell>
          <cell r="AL43">
            <v>1</v>
          </cell>
          <cell r="AM43">
            <v>0</v>
          </cell>
          <cell r="AN43">
            <v>1</v>
          </cell>
          <cell r="AO43">
            <v>0</v>
          </cell>
          <cell r="AX43">
            <v>1</v>
          </cell>
          <cell r="AY43">
            <v>0</v>
          </cell>
          <cell r="AZ43">
            <v>1</v>
          </cell>
          <cell r="BA43">
            <v>0</v>
          </cell>
          <cell r="BB43">
            <v>1</v>
          </cell>
          <cell r="BC43">
            <v>0</v>
          </cell>
          <cell r="BJ43">
            <v>1</v>
          </cell>
          <cell r="BK43">
            <v>0</v>
          </cell>
          <cell r="BL43">
            <v>1</v>
          </cell>
          <cell r="BM43">
            <v>0</v>
          </cell>
          <cell r="BN43">
            <v>1</v>
          </cell>
          <cell r="BO43">
            <v>0</v>
          </cell>
          <cell r="BP43">
            <v>17</v>
          </cell>
          <cell r="BQ43">
            <v>0</v>
          </cell>
        </row>
        <row r="44">
          <cell r="A44" t="str">
            <v>Grand Total</v>
          </cell>
          <cell r="B44">
            <v>0</v>
          </cell>
          <cell r="C44">
            <v>0</v>
          </cell>
          <cell r="D44">
            <v>72</v>
          </cell>
          <cell r="E44">
            <v>95</v>
          </cell>
          <cell r="F44">
            <v>9</v>
          </cell>
          <cell r="G44">
            <v>1</v>
          </cell>
          <cell r="H44">
            <v>8</v>
          </cell>
          <cell r="I44">
            <v>4</v>
          </cell>
          <cell r="J44">
            <v>0</v>
          </cell>
          <cell r="K44">
            <v>0</v>
          </cell>
          <cell r="L44">
            <v>103</v>
          </cell>
          <cell r="M44">
            <v>73</v>
          </cell>
          <cell r="N44">
            <v>0</v>
          </cell>
          <cell r="O44">
            <v>1</v>
          </cell>
          <cell r="P44">
            <v>0</v>
          </cell>
          <cell r="Q44">
            <v>1</v>
          </cell>
          <cell r="R44">
            <v>0</v>
          </cell>
          <cell r="S44">
            <v>0</v>
          </cell>
          <cell r="T44">
            <v>125</v>
          </cell>
          <cell r="U44">
            <v>141</v>
          </cell>
          <cell r="V44">
            <v>134</v>
          </cell>
          <cell r="W44">
            <v>156</v>
          </cell>
          <cell r="X44">
            <v>122</v>
          </cell>
          <cell r="Y44">
            <v>212</v>
          </cell>
          <cell r="Z44">
            <v>103</v>
          </cell>
          <cell r="AA44">
            <v>125</v>
          </cell>
          <cell r="AB44">
            <v>19</v>
          </cell>
          <cell r="AC44">
            <v>12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55</v>
          </cell>
          <cell r="AM44">
            <v>68</v>
          </cell>
          <cell r="AN44">
            <v>76</v>
          </cell>
          <cell r="AO44">
            <v>70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82</v>
          </cell>
          <cell r="AW44">
            <v>80</v>
          </cell>
          <cell r="AX44">
            <v>74</v>
          </cell>
          <cell r="AY44">
            <v>21</v>
          </cell>
          <cell r="AZ44">
            <v>48</v>
          </cell>
          <cell r="BA44">
            <v>29</v>
          </cell>
          <cell r="BB44">
            <v>34</v>
          </cell>
          <cell r="BC44">
            <v>31</v>
          </cell>
          <cell r="BD44">
            <v>10</v>
          </cell>
          <cell r="BE44">
            <v>2</v>
          </cell>
          <cell r="BF44">
            <v>16</v>
          </cell>
          <cell r="BG44">
            <v>1</v>
          </cell>
          <cell r="BH44">
            <v>35</v>
          </cell>
          <cell r="BI44">
            <v>8</v>
          </cell>
          <cell r="BJ44">
            <v>56</v>
          </cell>
          <cell r="BK44">
            <v>19</v>
          </cell>
          <cell r="BL44">
            <v>64</v>
          </cell>
          <cell r="BM44">
            <v>12</v>
          </cell>
          <cell r="BN44">
            <v>152</v>
          </cell>
          <cell r="BO44">
            <v>259</v>
          </cell>
          <cell r="BP44">
            <v>1397</v>
          </cell>
          <cell r="BQ44">
            <v>1421</v>
          </cell>
        </row>
        <row r="45">
          <cell r="R45">
            <v>26099130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V60LITE|8+128|STOCK</v>
          </cell>
          <cell r="C1" t="str">
            <v>V60LITE|8+128|SALES</v>
          </cell>
          <cell r="D1" t="str">
            <v>V60LITE|8+256|STOCK</v>
          </cell>
          <cell r="E1" t="str">
            <v>V60LITE|8+256|SALES</v>
          </cell>
          <cell r="F1" t="str">
            <v>V60LITE5G|8+256|STOCK</v>
          </cell>
          <cell r="G1" t="str">
            <v>V60LITE5G|8+256|SALES</v>
          </cell>
          <cell r="H1" t="str">
            <v>V70|12+256|STOCK</v>
          </cell>
          <cell r="I1" t="str">
            <v>V70|12+256|SALES</v>
          </cell>
          <cell r="J1" t="str">
            <v>V70|12+512|STOCK</v>
          </cell>
          <cell r="K1" t="str">
            <v>V70|12+512|SALES</v>
          </cell>
          <cell r="L1" t="str">
            <v>V70|8+256|STOCK</v>
          </cell>
          <cell r="M1" t="str">
            <v>V70|8+256|SALES</v>
          </cell>
          <cell r="N1" t="str">
            <v>X300|12+256|STOCK</v>
          </cell>
          <cell r="O1" t="str">
            <v>X300|12+256|SALES</v>
          </cell>
          <cell r="P1" t="str">
            <v>X300|16+512|STOCK</v>
          </cell>
          <cell r="Q1" t="str">
            <v>X300|16+512|SALES</v>
          </cell>
          <cell r="R1" t="str">
            <v>X300PRO|16+512|STOCK</v>
          </cell>
          <cell r="S1" t="str">
            <v>X300PRO|16+512|SALES</v>
          </cell>
          <cell r="T1" t="str">
            <v>Y05|4+128|STOCK</v>
          </cell>
          <cell r="U1" t="str">
            <v>Y05|4+128|SALES</v>
          </cell>
          <cell r="V1" t="str">
            <v>Y05|4+64|STOCK</v>
          </cell>
          <cell r="W1" t="str">
            <v>Y05|4+64|SALES</v>
          </cell>
          <cell r="X1" t="str">
            <v>Y11D|4+128|STOCK</v>
          </cell>
          <cell r="Y1" t="str">
            <v>Y11D|4+128|SALES</v>
          </cell>
          <cell r="Z1" t="str">
            <v>Y11D|4+64|STOCK</v>
          </cell>
          <cell r="AA1" t="str">
            <v>Y11D|4+64|SALES</v>
          </cell>
          <cell r="AB1" t="str">
            <v>Y11D|6+128|STOCK</v>
          </cell>
          <cell r="AC1" t="str">
            <v>Y11D|6+128|SALES</v>
          </cell>
          <cell r="AD1" t="str">
            <v>Y21D|4+128|STOCK</v>
          </cell>
          <cell r="AE1" t="str">
            <v>Y21D|4+128|SALES</v>
          </cell>
          <cell r="AF1" t="str">
            <v>Y21D|6+128|STOCK</v>
          </cell>
          <cell r="AG1" t="str">
            <v>Y21D|6+128|SALES</v>
          </cell>
          <cell r="AH1" t="str">
            <v>Y21D|6+256|STOCK</v>
          </cell>
          <cell r="AI1" t="str">
            <v>Y21D|6+256|SALES</v>
          </cell>
          <cell r="AJ1" t="str">
            <v>Y21D|8+128|STOCK</v>
          </cell>
          <cell r="AK1" t="str">
            <v>Y21D|8+128|SALES</v>
          </cell>
          <cell r="AL1" t="str">
            <v>Y31D|4+128|STOCK</v>
          </cell>
          <cell r="AM1" t="str">
            <v>Y31D|4+128|SALES</v>
          </cell>
          <cell r="AN1" t="str">
            <v>Y31DPRO|4+128|STOCK</v>
          </cell>
          <cell r="AO1" t="str">
            <v>Y31DPRO|4+128|SALES</v>
          </cell>
          <cell r="AP1" t="str">
            <v>Y400|8+128|STOCK</v>
          </cell>
          <cell r="AQ1" t="str">
            <v>Y400|8+128|SALES</v>
          </cell>
          <cell r="AR1" t="str">
            <v>Y400|8+256|STOCK</v>
          </cell>
          <cell r="AS1" t="str">
            <v>Y400|8+256|SALES</v>
          </cell>
          <cell r="AT1" t="str">
            <v>FOLD5|16+512|STOCK</v>
          </cell>
          <cell r="AU1" t="str">
            <v>FOLD5|16+512|SALES</v>
          </cell>
          <cell r="AV1" t="str">
            <v>Y31DPRO|6+128|STOCK</v>
          </cell>
          <cell r="AW1" t="str">
            <v>Y31DPRO|6+128|SALES</v>
          </cell>
          <cell r="AX1" t="str">
            <v>Y31DPRO|8+128|STOCK</v>
          </cell>
          <cell r="AY1" t="str">
            <v>Y31DPRO|8+128|SALES</v>
          </cell>
          <cell r="AZ1" t="str">
            <v>Y31DPRO|8+256|STOCK</v>
          </cell>
          <cell r="BA1" t="str">
            <v>Y31DPRO|8+256|SALES</v>
          </cell>
          <cell r="BB1" t="str">
            <v>V70FE|12+256|STOCK</v>
          </cell>
          <cell r="BC1" t="str">
            <v>V70FE|12+256|SALES</v>
          </cell>
          <cell r="BD1" t="str">
            <v>V70FE|8+256|STOCK</v>
          </cell>
          <cell r="BE1" t="str">
            <v>V70FE|8+256|SALES</v>
          </cell>
          <cell r="BF1" t="str">
            <v>X300ULTRA|16+1T|STOCK</v>
          </cell>
          <cell r="BG1" t="str">
            <v>X300ULTRA|16+1T|SALES</v>
          </cell>
          <cell r="BH1" t="str">
            <v>X300ULTRA|16+512|STOCK</v>
          </cell>
          <cell r="BI1" t="str">
            <v>X300ULTRA|16+512|SALES</v>
          </cell>
          <cell r="BJ1" t="str">
            <v>Y500|6+128|STOCK</v>
          </cell>
          <cell r="BK1" t="str">
            <v>Y500|6+128|SALES</v>
          </cell>
          <cell r="BL1" t="str">
            <v>Y500|6+256|STOCK</v>
          </cell>
          <cell r="BM1" t="str">
            <v>Y500|6+256|SALES</v>
          </cell>
          <cell r="BN1" t="str">
            <v>Y05E|4+64|STOCK</v>
          </cell>
          <cell r="BO1" t="str">
            <v>Y05E|4+64|SALES</v>
          </cell>
          <cell r="BP1" t="str">
            <v>TOTALSUMOF结存数量
STOCK|4+64|</v>
          </cell>
          <cell r="BQ1" t="str">
            <v>TOTALSUMOF出库数量
SALESOUT|4+64|</v>
          </cell>
          <cell r="BR1" t="str">
            <v>TOTALSUMOF出库数量
SALESOUT|4+64|</v>
          </cell>
          <cell r="BS1" t="str">
            <v>TOTALSUMOF出库数量
SALESOUT|4+64|</v>
          </cell>
          <cell r="BT1" t="str">
            <v>TOTALSUMOF出库数量
SALESOUT|4+64|</v>
          </cell>
          <cell r="BU1" t="str">
            <v>TOTALSUMOF出库数量
SALESOUT|4+64|</v>
          </cell>
          <cell r="BV1" t="str">
            <v>TOTALSUMOF出库数量
SALESOUT|4+64|</v>
          </cell>
          <cell r="BW1" t="str">
            <v>TOTALSUMOF出库数量
SALESOUT|4+64|</v>
          </cell>
          <cell r="BX1" t="str">
            <v>TOTALSUMOF出库数量
SALESOUT|4+64|</v>
          </cell>
          <cell r="BY1" t="str">
            <v>TOTALSUMOF出库数量
SALESOUT|4+64|</v>
          </cell>
          <cell r="BZ1" t="str">
            <v>TOTALSUMOF出库数量
SALESOUT|4+64|</v>
          </cell>
          <cell r="CA1" t="str">
            <v>TOTALSUMOF出库数量
SALESOUT|4+64|</v>
          </cell>
          <cell r="CB1" t="str">
            <v>TOTALSUMOF出库数量
SALESOUT|4+64|</v>
          </cell>
          <cell r="CC1" t="str">
            <v>TOTALSUMOF出库数量
SALESOUT|4+64|</v>
          </cell>
          <cell r="CD1" t="str">
            <v>TOTALSUMOF出库数量
SALESOUT|4+64|</v>
          </cell>
          <cell r="CE1" t="str">
            <v>TOTALSUMOF出库数量
SALESOUT|4+64|</v>
          </cell>
          <cell r="CF1" t="str">
            <v>TOTALSUMOF出库数量
SALESOUT|4+64|</v>
          </cell>
          <cell r="CG1" t="str">
            <v>TOTALSUMOF出库数量
SALESOUT|4+64|</v>
          </cell>
          <cell r="CH1" t="str">
            <v>TOTALSUMOF出库数量
SALESOUT|4+64|</v>
          </cell>
          <cell r="CI1" t="str">
            <v>TOTALSUMOF出库数量
SALESOUT|4+64|</v>
          </cell>
          <cell r="CJ1" t="str">
            <v>TOTALSUMOF出库数量
SALESOUT|4+64|</v>
          </cell>
          <cell r="CK1" t="str">
            <v>TOTALSUMOF出库数量
SALESOUT|4+64|</v>
          </cell>
          <cell r="CL1" t="str">
            <v>TOTALSUMOF出库数量
SALESOUT|4+64|</v>
          </cell>
          <cell r="CM1" t="str">
            <v>TOTALSUMOF出库数量
SALESOUT|4+64|</v>
          </cell>
          <cell r="CN1" t="str">
            <v>TOTALSUMOF出库数量
SALESOUT|4+64|</v>
          </cell>
          <cell r="CO1" t="str">
            <v>TOTALSUMOF出库数量
SALESOUT|4+64|</v>
          </cell>
          <cell r="CP1" t="str">
            <v>TOTALSUMOF出库数量
SALESOUT|4+64|</v>
          </cell>
          <cell r="CQ1" t="str">
            <v>TOTALSUMOF出库数量
SALESOUT|4+64|</v>
          </cell>
          <cell r="CR1" t="str">
            <v>TOTALSUMOF出库数量
SALESOUT|4+64|</v>
          </cell>
          <cell r="CS1" t="str">
            <v>TOTALSUMOF出库数量
SALESOUT|4+64|</v>
          </cell>
          <cell r="CT1" t="str">
            <v>TOTALSUMOF出库数量
SALESOUT|4+64|</v>
          </cell>
          <cell r="CU1" t="str">
            <v>TOTALSUMOF出库数量
SALESOUT|4+64|</v>
          </cell>
          <cell r="CV1" t="str">
            <v>TOTALSUMOF出库数量
SALESOUT|4+64|</v>
          </cell>
        </row>
        <row r="5">
          <cell r="B5" t="str">
            <v>V60LITE|STOCK</v>
          </cell>
          <cell r="C5" t="str">
            <v>V60LITE|SALES</v>
          </cell>
          <cell r="D5" t="str">
            <v>V60LITE|STOCK</v>
          </cell>
          <cell r="E5" t="str">
            <v>V60LITE|SALES</v>
          </cell>
          <cell r="F5" t="str">
            <v>V60LITE5G|STOCK</v>
          </cell>
          <cell r="G5" t="str">
            <v>V60LITE5G|SALES</v>
          </cell>
          <cell r="H5" t="str">
            <v>V70|STOCK</v>
          </cell>
          <cell r="I5" t="str">
            <v>V70|SALES</v>
          </cell>
          <cell r="J5" t="str">
            <v>V70|STOCK</v>
          </cell>
          <cell r="K5" t="str">
            <v>V70|SALES</v>
          </cell>
          <cell r="L5" t="str">
            <v>V70|STOCK</v>
          </cell>
          <cell r="M5" t="str">
            <v>V70|SALES</v>
          </cell>
          <cell r="N5" t="str">
            <v>X300|STOCK</v>
          </cell>
          <cell r="O5" t="str">
            <v>X300|SALES</v>
          </cell>
          <cell r="P5" t="str">
            <v>X300|STOCK</v>
          </cell>
          <cell r="Q5" t="str">
            <v>X300|SALES</v>
          </cell>
          <cell r="R5" t="str">
            <v>X300PRO|STOCK</v>
          </cell>
          <cell r="S5" t="str">
            <v>X300PRO|SALES</v>
          </cell>
          <cell r="T5" t="str">
            <v>Y05|STOCK</v>
          </cell>
          <cell r="U5" t="str">
            <v>Y05|SALES</v>
          </cell>
          <cell r="V5" t="str">
            <v>Y05|STOCK</v>
          </cell>
          <cell r="W5" t="str">
            <v>Y05|SALES</v>
          </cell>
          <cell r="X5" t="str">
            <v>Y11D|STOCK</v>
          </cell>
          <cell r="Y5" t="str">
            <v>Y11D|SALES</v>
          </cell>
          <cell r="Z5" t="str">
            <v>Y11D|STOCK</v>
          </cell>
          <cell r="AA5" t="str">
            <v>Y11D|SALES</v>
          </cell>
          <cell r="AB5" t="str">
            <v>Y11D|STOCK</v>
          </cell>
          <cell r="AC5" t="str">
            <v>Y11D|SALES</v>
          </cell>
          <cell r="AD5" t="str">
            <v>Y21D|STOCK</v>
          </cell>
          <cell r="AE5" t="str">
            <v>Y21D|SALES</v>
          </cell>
          <cell r="AF5" t="str">
            <v>Y21D|STOCK</v>
          </cell>
          <cell r="AG5" t="str">
            <v>Y21D|SALES</v>
          </cell>
          <cell r="AH5" t="str">
            <v>Y21D|STOCK</v>
          </cell>
          <cell r="AI5" t="str">
            <v>Y21D|SALES</v>
          </cell>
          <cell r="AJ5" t="str">
            <v>Y21D|STOCK</v>
          </cell>
          <cell r="AK5" t="str">
            <v>Y21D|SALES</v>
          </cell>
          <cell r="AL5" t="str">
            <v>Y31D|STOCK</v>
          </cell>
          <cell r="AM5" t="str">
            <v>Y31D|SALES</v>
          </cell>
          <cell r="AN5" t="str">
            <v>Y31DPRO|STOCK</v>
          </cell>
          <cell r="AO5" t="str">
            <v>Y31DPRO|SALES</v>
          </cell>
          <cell r="AP5" t="str">
            <v>Y400|STOCK</v>
          </cell>
          <cell r="AQ5" t="str">
            <v>Y400|SALES</v>
          </cell>
          <cell r="AR5" t="str">
            <v>Y400|STOCK</v>
          </cell>
          <cell r="AS5" t="str">
            <v>Y400|SALES</v>
          </cell>
          <cell r="AT5" t="str">
            <v>FOLD5|STOCK</v>
          </cell>
          <cell r="AU5" t="str">
            <v>FOLD5|SALES</v>
          </cell>
          <cell r="AV5" t="str">
            <v>Y31DPRO|STOCK</v>
          </cell>
          <cell r="AW5" t="str">
            <v>Y31DPRO|SALES</v>
          </cell>
          <cell r="AX5" t="str">
            <v>Y31DPRO|STOCK</v>
          </cell>
          <cell r="AY5" t="str">
            <v>Y31DPRO|SALES</v>
          </cell>
          <cell r="AZ5" t="str">
            <v>Y31DPRO|STOCK</v>
          </cell>
          <cell r="BA5" t="str">
            <v>Y31DPRO|SALES</v>
          </cell>
          <cell r="BB5" t="str">
            <v>V70FE|STOCK</v>
          </cell>
          <cell r="BC5" t="str">
            <v>V70FE|SALES</v>
          </cell>
          <cell r="BD5" t="str">
            <v>V70FE|STOCK</v>
          </cell>
          <cell r="BE5" t="str">
            <v>V70FE|SALES</v>
          </cell>
          <cell r="BF5" t="str">
            <v>X300ULTRA|STOCK</v>
          </cell>
          <cell r="BG5" t="str">
            <v>X300ULTRA|SALES</v>
          </cell>
          <cell r="BH5" t="str">
            <v>X300ULTRA|STOCK</v>
          </cell>
          <cell r="BI5" t="str">
            <v>X300ULTRA|SALES</v>
          </cell>
          <cell r="BJ5" t="str">
            <v>Y500|STOCK</v>
          </cell>
          <cell r="BK5" t="str">
            <v>Y500|SALES</v>
          </cell>
          <cell r="BL5" t="str">
            <v>Y500|STOCK</v>
          </cell>
          <cell r="BM5" t="str">
            <v>Y500|SALES</v>
          </cell>
          <cell r="BN5" t="str">
            <v>Y05E|STOCK</v>
          </cell>
          <cell r="BO5" t="str">
            <v>Y05E|SALES</v>
          </cell>
          <cell r="BP5" t="str">
            <v>TOTALSUMOF结存数量
STOCK|</v>
          </cell>
          <cell r="BQ5" t="str">
            <v>TOTALSUMOF出库数量
SALESOUT|</v>
          </cell>
          <cell r="BR5" t="str">
            <v>TOTALSUMOF出库数量
SALESOUT|</v>
          </cell>
          <cell r="BS5" t="str">
            <v>TOTALSUMOF出库数量
SALESOUT|</v>
          </cell>
          <cell r="BT5" t="str">
            <v>TOTALSUMOF出库数量
SALESOUT|</v>
          </cell>
          <cell r="BU5" t="str">
            <v>TOTALSUMOF出库数量
SALESOUT|</v>
          </cell>
          <cell r="BV5" t="str">
            <v>TOTALSUMOF出库数量
SALESOUT|</v>
          </cell>
          <cell r="BW5" t="str">
            <v>TOTALSUMOF出库数量
SALESOUT|</v>
          </cell>
          <cell r="BX5" t="str">
            <v>TOTALSUMOF出库数量
SALESOUT|</v>
          </cell>
          <cell r="BY5" t="str">
            <v>TOTALSUMOF出库数量
SALESOUT|</v>
          </cell>
          <cell r="BZ5" t="str">
            <v>TOTALSUMOF出库数量
SALESOUT|</v>
          </cell>
          <cell r="CA5" t="str">
            <v>TOTALSUMOF出库数量
SALESOUT|</v>
          </cell>
          <cell r="CB5" t="str">
            <v>TOTALSUMOF出库数量
SALESOUT|</v>
          </cell>
          <cell r="CC5" t="str">
            <v>TOTALSUMOF出库数量
SALESOUT|</v>
          </cell>
          <cell r="CD5" t="str">
            <v>TOTALSUMOF出库数量
SALESOUT|</v>
          </cell>
          <cell r="CE5" t="str">
            <v>TOTALSUMOF出库数量
SALESOUT|</v>
          </cell>
          <cell r="CF5" t="str">
            <v>TOTALSUMOF出库数量
SALESOUT|</v>
          </cell>
          <cell r="CG5" t="str">
            <v>TOTALSUMOF出库数量
SALESOUT|</v>
          </cell>
          <cell r="CH5" t="str">
            <v>TOTALSUMOF出库数量
SALESOUT|</v>
          </cell>
          <cell r="CI5" t="str">
            <v>TOTALSUMOF出库数量
SALESOUT|</v>
          </cell>
          <cell r="CJ5" t="str">
            <v>TOTALSUMOF出库数量
SALESOUT|</v>
          </cell>
          <cell r="CK5" t="str">
            <v>TOTALSUMOF出库数量
SALESOUT|</v>
          </cell>
          <cell r="CL5" t="str">
            <v>TOTALSUMOF出库数量
SALESOUT|</v>
          </cell>
          <cell r="CM5" t="str">
            <v>TOTALSUMOF出库数量
SALESOUT|</v>
          </cell>
          <cell r="CN5" t="str">
            <v>TOTALSUMOF出库数量
SALESOUT|</v>
          </cell>
          <cell r="CO5" t="str">
            <v>TOTALSUMOF出库数量
SALESOUT|</v>
          </cell>
          <cell r="CP5" t="str">
            <v>TOTALSUMOF出库数量
SALESOUT|</v>
          </cell>
          <cell r="CQ5" t="str">
            <v>TOTALSUMOF出库数量
SALESOUT|</v>
          </cell>
          <cell r="CR5" t="str">
            <v>TOTALSUMOF出库数量
SALESOUT|</v>
          </cell>
          <cell r="CS5" t="str">
            <v>TOTALSUMOF出库数量
SALESOUT|</v>
          </cell>
          <cell r="CT5" t="str">
            <v>TOTALSUMOF出库数量
SALESOUT|</v>
          </cell>
          <cell r="CU5" t="str">
            <v>TOTALSUMOF出库数量
SALESOUT|</v>
          </cell>
          <cell r="CV5" t="str">
            <v>TOTALSUMOF出库数量
SALESOUT|</v>
          </cell>
        </row>
      </sheetData>
      <sheetData sheetId="21">
        <row r="1">
          <cell r="C1" t="str">
            <v>IQOO15R|12+512|BLACK|STOCK</v>
          </cell>
        </row>
      </sheetData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SEDUR PRODUK BARU"/>
      <sheetName val="STOCK AKTUAL"/>
      <sheetName val="PV.STOCK"/>
      <sheetName val="ACC"/>
      <sheetName val="PV.ACC"/>
      <sheetName val="STOCK IQOO"/>
      <sheetName val="GRAFIK IQOO"/>
      <sheetName val="PV.iQOO"/>
      <sheetName val="REQUEST PER WARNA (2)"/>
      <sheetName val="STOCK VIVO"/>
      <sheetName val="GRAFIK VIVO"/>
      <sheetName val="PV.STOCK TIAP GUDANG"/>
      <sheetName val="ACC Tiap Gudang"/>
      <sheetName val="PV.ACC TIAP GUDANG"/>
      <sheetName val="PV.DEMO IQOO"/>
      <sheetName val="PV.DEMO VIVO"/>
      <sheetName val="MASTER DATA"/>
      <sheetName val="MASTER ITEM"/>
      <sheetName val="MASTER AREA"/>
      <sheetName val="GUDANG AREA DOUBLE"/>
      <sheetName val="DATA (helper)"/>
      <sheetName val="PVKEY"/>
      <sheetName val="PVKEYIQOO"/>
      <sheetName val="DASHDATA"/>
      <sheetName val="IQDATA"/>
      <sheetName val="DATA IQOO"/>
      <sheetName val="Y05 &amp; Y11d"/>
      <sheetName val="Sheet1"/>
      <sheetName val="RANKING DOS"/>
      <sheetName val="REQUEST PER WAR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JENIS</v>
          </cell>
          <cell r="B1" t="str">
            <v>(Multiple Items)</v>
          </cell>
        </row>
        <row r="2">
          <cell r="A2" t="str">
            <v>PLACE</v>
          </cell>
          <cell r="B2" t="str">
            <v>(Multiple Items)</v>
          </cell>
        </row>
        <row r="4">
          <cell r="C4" t="str">
            <v>TYPE</v>
          </cell>
          <cell r="D4" t="str">
            <v>规格型号
Spesifikasi dan model</v>
          </cell>
          <cell r="E4" t="str">
            <v>颜色
warna</v>
          </cell>
          <cell r="F4" t="str">
            <v>Values</v>
          </cell>
        </row>
        <row r="5">
          <cell r="C5" t="str">
            <v>IQOO 15 R</v>
          </cell>
          <cell r="G5" t="str">
            <v>IQOO NEO 10</v>
          </cell>
          <cell r="M5" t="str">
            <v>iQOO Z10 5G</v>
          </cell>
          <cell r="U5" t="str">
            <v xml:space="preserve">IQOO 15 </v>
          </cell>
          <cell r="Y5" t="str">
            <v xml:space="preserve">IQOO Z11x </v>
          </cell>
          <cell r="AC5" t="str">
            <v xml:space="preserve">IQOO Z11 </v>
          </cell>
          <cell r="AG5" t="str">
            <v>IQOO Z11</v>
          </cell>
          <cell r="AK5" t="str">
            <v>IQOO Z11x</v>
          </cell>
          <cell r="AO5" t="str">
            <v>Total Sum of 结存数量
STOCK</v>
          </cell>
          <cell r="AP5" t="str">
            <v>Total Sum of 出库数量
SALES OUT</v>
          </cell>
        </row>
        <row r="6">
          <cell r="C6" t="str">
            <v>12+512G</v>
          </cell>
          <cell r="G6" t="str">
            <v>12+256G</v>
          </cell>
          <cell r="I6" t="str">
            <v>16+512G</v>
          </cell>
          <cell r="M6" t="str">
            <v>12+256G</v>
          </cell>
          <cell r="Q6" t="str">
            <v>12+512G</v>
          </cell>
          <cell r="U6" t="str">
            <v>16+1T</v>
          </cell>
          <cell r="W6" t="str">
            <v>16+512G</v>
          </cell>
          <cell r="Y6" t="str">
            <v>8+256G</v>
          </cell>
          <cell r="AC6" t="str">
            <v>8+256G</v>
          </cell>
          <cell r="AG6" t="str">
            <v>12+256G</v>
          </cell>
          <cell r="AK6" t="str">
            <v>8+128G</v>
          </cell>
        </row>
        <row r="7">
          <cell r="C7" t="str">
            <v>Black</v>
          </cell>
          <cell r="E7" t="str">
            <v>Silver</v>
          </cell>
          <cell r="G7" t="str">
            <v>White</v>
          </cell>
          <cell r="I7" t="str">
            <v>Black</v>
          </cell>
          <cell r="K7" t="str">
            <v>Orange</v>
          </cell>
          <cell r="M7" t="str">
            <v>Black</v>
          </cell>
          <cell r="O7" t="str">
            <v>Silver</v>
          </cell>
          <cell r="Q7" t="str">
            <v>Black</v>
          </cell>
          <cell r="S7" t="str">
            <v>Silver</v>
          </cell>
          <cell r="U7" t="str">
            <v>Legend</v>
          </cell>
          <cell r="W7" t="str">
            <v>Legend</v>
          </cell>
          <cell r="Y7" t="str">
            <v>Black</v>
          </cell>
          <cell r="AA7" t="str">
            <v>Silver</v>
          </cell>
          <cell r="AC7" t="str">
            <v>Black</v>
          </cell>
          <cell r="AE7" t="str">
            <v>Blue</v>
          </cell>
          <cell r="AG7" t="str">
            <v>Black</v>
          </cell>
          <cell r="AI7" t="str">
            <v>Blue</v>
          </cell>
          <cell r="AK7" t="str">
            <v>Black</v>
          </cell>
          <cell r="AM7" t="str">
            <v>Silver</v>
          </cell>
        </row>
        <row r="8">
          <cell r="A8" t="str">
            <v>CATEGORY</v>
          </cell>
          <cell r="B8" t="str">
            <v>仓库名称 
Nama gudang</v>
          </cell>
          <cell r="C8" t="str">
            <v>Sum of 结存数量
STOCK</v>
          </cell>
          <cell r="D8" t="str">
            <v>Sum of 出库数量
SALES OUT</v>
          </cell>
          <cell r="E8" t="str">
            <v>Sum of 结存数量
STOCK</v>
          </cell>
          <cell r="F8" t="str">
            <v>Sum of 出库数量
SALES OUT</v>
          </cell>
          <cell r="G8" t="str">
            <v>Sum of 结存数量
STOCK</v>
          </cell>
          <cell r="H8" t="str">
            <v>Sum of 出库数量
SALES OUT</v>
          </cell>
          <cell r="I8" t="str">
            <v>Sum of 结存数量
STOCK</v>
          </cell>
          <cell r="J8" t="str">
            <v>Sum of 出库数量
SALES OUT</v>
          </cell>
          <cell r="K8" t="str">
            <v>Sum of 结存数量
STOCK</v>
          </cell>
          <cell r="L8" t="str">
            <v>Sum of 出库数量
SALES OUT</v>
          </cell>
          <cell r="M8" t="str">
            <v>Sum of 结存数量
STOCK</v>
          </cell>
          <cell r="N8" t="str">
            <v>Sum of 出库数量
SALES OUT</v>
          </cell>
          <cell r="O8" t="str">
            <v>Sum of 结存数量
STOCK</v>
          </cell>
          <cell r="P8" t="str">
            <v>Sum of 出库数量
SALES OUT</v>
          </cell>
          <cell r="Q8" t="str">
            <v>Sum of 结存数量
STOCK</v>
          </cell>
          <cell r="R8" t="str">
            <v>Sum of 出库数量
SALES OUT</v>
          </cell>
          <cell r="S8" t="str">
            <v>Sum of 结存数量
STOCK</v>
          </cell>
          <cell r="T8" t="str">
            <v>Sum of 出库数量
SALES OUT</v>
          </cell>
          <cell r="U8" t="str">
            <v>Sum of 结存数量
STOCK</v>
          </cell>
          <cell r="V8" t="str">
            <v>Sum of 出库数量
SALES OUT</v>
          </cell>
          <cell r="W8" t="str">
            <v>Sum of 结存数量
STOCK</v>
          </cell>
          <cell r="X8" t="str">
            <v>Sum of 出库数量
SALES OUT</v>
          </cell>
          <cell r="Y8" t="str">
            <v>Sum of 结存数量
STOCK</v>
          </cell>
          <cell r="Z8" t="str">
            <v>Sum of 出库数量
SALES OUT</v>
          </cell>
          <cell r="AA8" t="str">
            <v>Sum of 结存数量
STOCK</v>
          </cell>
          <cell r="AB8" t="str">
            <v>Sum of 出库数量
SALES OUT</v>
          </cell>
          <cell r="AC8" t="str">
            <v>Sum of 结存数量
STOCK</v>
          </cell>
          <cell r="AD8" t="str">
            <v>Sum of 出库数量
SALES OUT</v>
          </cell>
          <cell r="AE8" t="str">
            <v>Sum of 结存数量
STOCK</v>
          </cell>
          <cell r="AF8" t="str">
            <v>Sum of 出库数量
SALES OUT</v>
          </cell>
          <cell r="AG8" t="str">
            <v>Sum of 结存数量
STOCK</v>
          </cell>
          <cell r="AH8" t="str">
            <v>Sum of 出库数量
SALES OUT</v>
          </cell>
          <cell r="AI8" t="str">
            <v>Sum of 结存数量
STOCK</v>
          </cell>
          <cell r="AJ8" t="str">
            <v>Sum of 出库数量
SALES OUT</v>
          </cell>
          <cell r="AK8" t="str">
            <v>Sum of 结存数量
STOCK</v>
          </cell>
          <cell r="AL8" t="str">
            <v>Sum of 出库数量
SALES OUT</v>
          </cell>
          <cell r="AM8" t="str">
            <v>Sum of 结存数量
STOCK</v>
          </cell>
          <cell r="AN8" t="str">
            <v>Sum of 出库数量
SALES OUT</v>
          </cell>
        </row>
        <row r="9">
          <cell r="A9" t="str">
            <v>DEVICE IQOO</v>
          </cell>
          <cell r="C9">
            <v>2</v>
          </cell>
          <cell r="D9">
            <v>8</v>
          </cell>
          <cell r="E9">
            <v>0</v>
          </cell>
          <cell r="F9">
            <v>3</v>
          </cell>
          <cell r="G9">
            <v>40</v>
          </cell>
          <cell r="H9">
            <v>27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4</v>
          </cell>
          <cell r="Z9">
            <v>6</v>
          </cell>
          <cell r="AA9">
            <v>6</v>
          </cell>
          <cell r="AB9">
            <v>6</v>
          </cell>
          <cell r="AC9">
            <v>41</v>
          </cell>
          <cell r="AD9">
            <v>37</v>
          </cell>
          <cell r="AE9">
            <v>52</v>
          </cell>
          <cell r="AF9">
            <v>33</v>
          </cell>
          <cell r="AG9">
            <v>17</v>
          </cell>
          <cell r="AH9">
            <v>5</v>
          </cell>
          <cell r="AI9">
            <v>24</v>
          </cell>
          <cell r="AJ9">
            <v>7</v>
          </cell>
          <cell r="AK9">
            <v>32</v>
          </cell>
          <cell r="AL9">
            <v>25</v>
          </cell>
          <cell r="AM9">
            <v>35</v>
          </cell>
          <cell r="AN9">
            <v>21</v>
          </cell>
          <cell r="AO9">
            <v>253</v>
          </cell>
          <cell r="AP9">
            <v>178</v>
          </cell>
        </row>
        <row r="10">
          <cell r="B10" t="str">
            <v>6010701-MVS ROXY SHOWROOM 21仓库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C10">
            <v>1</v>
          </cell>
          <cell r="AD10">
            <v>3</v>
          </cell>
          <cell r="AE10">
            <v>3</v>
          </cell>
          <cell r="AF10">
            <v>3</v>
          </cell>
          <cell r="AG10">
            <v>1</v>
          </cell>
          <cell r="AH10">
            <v>0</v>
          </cell>
          <cell r="AI10">
            <v>1</v>
          </cell>
          <cell r="AJ10">
            <v>0</v>
          </cell>
          <cell r="AK10">
            <v>2</v>
          </cell>
          <cell r="AL10">
            <v>0</v>
          </cell>
          <cell r="AM10">
            <v>1</v>
          </cell>
          <cell r="AN10">
            <v>1</v>
          </cell>
          <cell r="AO10">
            <v>11</v>
          </cell>
          <cell r="AP10">
            <v>7</v>
          </cell>
        </row>
        <row r="11">
          <cell r="B11" t="str">
            <v>6010702-ME ROXY PAMERAN TIMUR仓库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</v>
          </cell>
          <cell r="AD11">
            <v>2</v>
          </cell>
          <cell r="AE11">
            <v>3</v>
          </cell>
          <cell r="AF11">
            <v>3</v>
          </cell>
          <cell r="AG11">
            <v>0</v>
          </cell>
          <cell r="AH11">
            <v>0</v>
          </cell>
          <cell r="AI11">
            <v>1</v>
          </cell>
          <cell r="AJ11">
            <v>0</v>
          </cell>
          <cell r="AK11">
            <v>2</v>
          </cell>
          <cell r="AL11">
            <v>0</v>
          </cell>
          <cell r="AM11">
            <v>1</v>
          </cell>
          <cell r="AN11">
            <v>1</v>
          </cell>
          <cell r="AO11">
            <v>9</v>
          </cell>
          <cell r="AP11">
            <v>7</v>
          </cell>
        </row>
        <row r="12">
          <cell r="B12" t="str">
            <v>6010703-VIVO STORE WINSHOP仓库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Q12">
            <v>0</v>
          </cell>
          <cell r="R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1</v>
          </cell>
          <cell r="AC12">
            <v>4</v>
          </cell>
          <cell r="AD12">
            <v>4</v>
          </cell>
          <cell r="AE12">
            <v>5</v>
          </cell>
          <cell r="AF12">
            <v>5</v>
          </cell>
          <cell r="AI12">
            <v>0</v>
          </cell>
          <cell r="AJ12">
            <v>0</v>
          </cell>
          <cell r="AK12">
            <v>4</v>
          </cell>
          <cell r="AL12">
            <v>2</v>
          </cell>
          <cell r="AM12">
            <v>4</v>
          </cell>
          <cell r="AN12">
            <v>2</v>
          </cell>
          <cell r="AO12">
            <v>18</v>
          </cell>
          <cell r="AP12">
            <v>16</v>
          </cell>
        </row>
        <row r="13">
          <cell r="B13" t="str">
            <v>6010708-MVS SHOWROOM CENTRAL PARK仓库</v>
          </cell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3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2</v>
          </cell>
          <cell r="AD13">
            <v>1</v>
          </cell>
          <cell r="AE13">
            <v>2</v>
          </cell>
          <cell r="AF13">
            <v>2</v>
          </cell>
          <cell r="AG13">
            <v>1</v>
          </cell>
          <cell r="AH13">
            <v>0</v>
          </cell>
          <cell r="AI13">
            <v>3</v>
          </cell>
          <cell r="AJ13">
            <v>0</v>
          </cell>
          <cell r="AK13">
            <v>2</v>
          </cell>
          <cell r="AL13">
            <v>0</v>
          </cell>
          <cell r="AM13">
            <v>1</v>
          </cell>
          <cell r="AN13">
            <v>0</v>
          </cell>
          <cell r="AO13">
            <v>14</v>
          </cell>
          <cell r="AP13">
            <v>5</v>
          </cell>
        </row>
        <row r="14">
          <cell r="B14" t="str">
            <v>6010711-LIPPO MALL PURI 1FK02仓库</v>
          </cell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1</v>
          </cell>
          <cell r="Z14">
            <v>0</v>
          </cell>
          <cell r="AA14">
            <v>1</v>
          </cell>
          <cell r="AB14">
            <v>0</v>
          </cell>
          <cell r="AC14">
            <v>1</v>
          </cell>
          <cell r="AD14">
            <v>0</v>
          </cell>
          <cell r="AE14">
            <v>2</v>
          </cell>
          <cell r="AF14">
            <v>0</v>
          </cell>
          <cell r="AG14">
            <v>1</v>
          </cell>
          <cell r="AH14">
            <v>0</v>
          </cell>
          <cell r="AI14">
            <v>1</v>
          </cell>
          <cell r="AJ14">
            <v>0</v>
          </cell>
          <cell r="AK14">
            <v>0</v>
          </cell>
          <cell r="AL14">
            <v>1</v>
          </cell>
          <cell r="AO14">
            <v>10</v>
          </cell>
          <cell r="AP14">
            <v>2</v>
          </cell>
        </row>
        <row r="15">
          <cell r="B15" t="str">
            <v>6020706-MVS CEMPAKA SHOWROOM 2 (454)仓库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2</v>
          </cell>
          <cell r="AF15">
            <v>2</v>
          </cell>
          <cell r="AG15">
            <v>0</v>
          </cell>
          <cell r="AH15">
            <v>0</v>
          </cell>
          <cell r="AK15">
            <v>0</v>
          </cell>
          <cell r="AL15">
            <v>1</v>
          </cell>
          <cell r="AM15">
            <v>0</v>
          </cell>
          <cell r="AN15">
            <v>1</v>
          </cell>
          <cell r="AO15">
            <v>3</v>
          </cell>
          <cell r="AP15">
            <v>6</v>
          </cell>
        </row>
        <row r="16">
          <cell r="B16" t="str">
            <v>6020711-vivostore emporium仓库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2</v>
          </cell>
          <cell r="AA16">
            <v>0</v>
          </cell>
          <cell r="AB16">
            <v>0</v>
          </cell>
          <cell r="AC16">
            <v>2</v>
          </cell>
          <cell r="AD16">
            <v>2</v>
          </cell>
          <cell r="AE16">
            <v>4</v>
          </cell>
          <cell r="AF16">
            <v>0</v>
          </cell>
          <cell r="AG16">
            <v>0</v>
          </cell>
          <cell r="AH16">
            <v>0</v>
          </cell>
          <cell r="AI16">
            <v>1</v>
          </cell>
          <cell r="AJ16">
            <v>0</v>
          </cell>
          <cell r="AK16">
            <v>2</v>
          </cell>
          <cell r="AL16">
            <v>1</v>
          </cell>
          <cell r="AM16">
            <v>0</v>
          </cell>
          <cell r="AN16">
            <v>3</v>
          </cell>
          <cell r="AO16">
            <v>14</v>
          </cell>
          <cell r="AP16">
            <v>8</v>
          </cell>
        </row>
        <row r="17">
          <cell r="B17" t="str">
            <v>6040702-TRAN STUDIO MALL 2F059仓库</v>
          </cell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2</v>
          </cell>
          <cell r="H17">
            <v>0</v>
          </cell>
          <cell r="K17">
            <v>0</v>
          </cell>
          <cell r="L17">
            <v>0</v>
          </cell>
          <cell r="Q17">
            <v>0</v>
          </cell>
          <cell r="R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</v>
          </cell>
          <cell r="AA17">
            <v>0</v>
          </cell>
          <cell r="AB17">
            <v>0</v>
          </cell>
          <cell r="AC17">
            <v>1</v>
          </cell>
          <cell r="AD17">
            <v>1</v>
          </cell>
          <cell r="AE17">
            <v>2</v>
          </cell>
          <cell r="AF17">
            <v>0</v>
          </cell>
          <cell r="AI17">
            <v>0</v>
          </cell>
          <cell r="AJ17">
            <v>0</v>
          </cell>
          <cell r="AK17">
            <v>2</v>
          </cell>
          <cell r="AL17">
            <v>0</v>
          </cell>
          <cell r="AM17">
            <v>1</v>
          </cell>
          <cell r="AN17">
            <v>0</v>
          </cell>
          <cell r="AO17">
            <v>8</v>
          </cell>
          <cell r="AP17">
            <v>4</v>
          </cell>
        </row>
        <row r="18">
          <cell r="B18" t="str">
            <v>6040703-SAWANGAN 1F1-0320仓库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1</v>
          </cell>
          <cell r="AE18">
            <v>1</v>
          </cell>
          <cell r="AF18">
            <v>0</v>
          </cell>
          <cell r="AI18">
            <v>1</v>
          </cell>
          <cell r="AJ18">
            <v>0</v>
          </cell>
          <cell r="AK18">
            <v>0</v>
          </cell>
          <cell r="AL18">
            <v>1</v>
          </cell>
          <cell r="AM18">
            <v>2</v>
          </cell>
          <cell r="AN18">
            <v>0</v>
          </cell>
          <cell r="AO18">
            <v>7</v>
          </cell>
          <cell r="AP18">
            <v>2</v>
          </cell>
        </row>
        <row r="19">
          <cell r="B19" t="str">
            <v>6050701-MVS X6 DS0824仓库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2</v>
          </cell>
          <cell r="AE19">
            <v>1</v>
          </cell>
          <cell r="AF19">
            <v>1</v>
          </cell>
          <cell r="AG19">
            <v>2</v>
          </cell>
          <cell r="AH19">
            <v>0</v>
          </cell>
          <cell r="AI19">
            <v>0</v>
          </cell>
          <cell r="AJ19">
            <v>1</v>
          </cell>
          <cell r="AK19">
            <v>1</v>
          </cell>
          <cell r="AL19">
            <v>0</v>
          </cell>
          <cell r="AM19">
            <v>0</v>
          </cell>
          <cell r="AN19">
            <v>1</v>
          </cell>
          <cell r="AO19">
            <v>4</v>
          </cell>
          <cell r="AP19">
            <v>7</v>
          </cell>
        </row>
        <row r="20">
          <cell r="B20" t="str">
            <v>6050705-MBH 2F009仓库</v>
          </cell>
          <cell r="AC20">
            <v>0</v>
          </cell>
          <cell r="AD20">
            <v>1</v>
          </cell>
          <cell r="AK20">
            <v>0</v>
          </cell>
          <cell r="AL20">
            <v>1</v>
          </cell>
          <cell r="AO20">
            <v>0</v>
          </cell>
          <cell r="AP20">
            <v>2</v>
          </cell>
        </row>
        <row r="21">
          <cell r="B21" t="str">
            <v>6080712-MVS ITC DEPOK VIVO STORE 2仓库</v>
          </cell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</v>
          </cell>
          <cell r="AC21">
            <v>1</v>
          </cell>
          <cell r="AD21">
            <v>0</v>
          </cell>
          <cell r="AE21">
            <v>1</v>
          </cell>
          <cell r="AF21">
            <v>0</v>
          </cell>
          <cell r="AI21">
            <v>0</v>
          </cell>
          <cell r="AJ21">
            <v>0</v>
          </cell>
          <cell r="AK21">
            <v>1</v>
          </cell>
          <cell r="AL21">
            <v>1</v>
          </cell>
          <cell r="AM21">
            <v>3</v>
          </cell>
          <cell r="AN21">
            <v>0</v>
          </cell>
          <cell r="AO21">
            <v>8</v>
          </cell>
          <cell r="AP21">
            <v>5</v>
          </cell>
        </row>
        <row r="22">
          <cell r="B22" t="str">
            <v>6100702-VS Jogja City Mall仓库</v>
          </cell>
          <cell r="C22">
            <v>0</v>
          </cell>
          <cell r="D22">
            <v>1</v>
          </cell>
          <cell r="E22">
            <v>0</v>
          </cell>
          <cell r="F22">
            <v>0</v>
          </cell>
          <cell r="G22">
            <v>0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AC22">
            <v>1</v>
          </cell>
          <cell r="AD22">
            <v>0</v>
          </cell>
          <cell r="AE22">
            <v>1</v>
          </cell>
          <cell r="AF22">
            <v>0</v>
          </cell>
          <cell r="AG22">
            <v>2</v>
          </cell>
          <cell r="AH22">
            <v>0</v>
          </cell>
          <cell r="AI22">
            <v>1</v>
          </cell>
          <cell r="AJ22">
            <v>0</v>
          </cell>
          <cell r="AK22">
            <v>1</v>
          </cell>
          <cell r="AL22">
            <v>0</v>
          </cell>
          <cell r="AM22">
            <v>1</v>
          </cell>
          <cell r="AN22">
            <v>0</v>
          </cell>
          <cell r="AO22">
            <v>7</v>
          </cell>
          <cell r="AP22">
            <v>3</v>
          </cell>
        </row>
        <row r="23">
          <cell r="B23" t="str">
            <v>6130702-RITA SUPERMALL SF36-37仓库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2</v>
          </cell>
          <cell r="H23">
            <v>1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1</v>
          </cell>
          <cell r="AA23">
            <v>1</v>
          </cell>
          <cell r="AB23">
            <v>1</v>
          </cell>
          <cell r="AC23">
            <v>2</v>
          </cell>
          <cell r="AD23">
            <v>2</v>
          </cell>
          <cell r="AE23">
            <v>1</v>
          </cell>
          <cell r="AF23">
            <v>0</v>
          </cell>
          <cell r="AG23">
            <v>1</v>
          </cell>
          <cell r="AH23">
            <v>0</v>
          </cell>
          <cell r="AI23">
            <v>1</v>
          </cell>
          <cell r="AJ23">
            <v>0</v>
          </cell>
          <cell r="AK23">
            <v>2</v>
          </cell>
          <cell r="AL23">
            <v>0</v>
          </cell>
          <cell r="AM23">
            <v>3</v>
          </cell>
          <cell r="AN23">
            <v>0</v>
          </cell>
          <cell r="AO23">
            <v>13</v>
          </cell>
          <cell r="AP23">
            <v>5</v>
          </cell>
        </row>
        <row r="24">
          <cell r="B24" t="str">
            <v>6140703-ML-VIVO STORE MEGA STORE仓库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0</v>
          </cell>
          <cell r="AC24">
            <v>1</v>
          </cell>
          <cell r="AD24">
            <v>0</v>
          </cell>
          <cell r="AE24">
            <v>2</v>
          </cell>
          <cell r="AF24">
            <v>0</v>
          </cell>
          <cell r="AK24">
            <v>1</v>
          </cell>
          <cell r="AL24">
            <v>0</v>
          </cell>
          <cell r="AM24">
            <v>1</v>
          </cell>
          <cell r="AN24">
            <v>0</v>
          </cell>
          <cell r="AO24">
            <v>7</v>
          </cell>
          <cell r="AP24">
            <v>0</v>
          </cell>
        </row>
        <row r="25">
          <cell r="B25" t="str">
            <v>6140705-QUEENCITY 2F027仓库</v>
          </cell>
          <cell r="C25">
            <v>0</v>
          </cell>
          <cell r="D25">
            <v>2</v>
          </cell>
          <cell r="E25">
            <v>0</v>
          </cell>
          <cell r="F25">
            <v>0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0</v>
          </cell>
          <cell r="AI25">
            <v>2</v>
          </cell>
          <cell r="AJ25">
            <v>2</v>
          </cell>
          <cell r="AK25">
            <v>1</v>
          </cell>
          <cell r="AL25">
            <v>0</v>
          </cell>
          <cell r="AM25">
            <v>0</v>
          </cell>
          <cell r="AN25">
            <v>1</v>
          </cell>
          <cell r="AO25">
            <v>8</v>
          </cell>
          <cell r="AP25">
            <v>7</v>
          </cell>
        </row>
        <row r="26">
          <cell r="B26" t="str">
            <v>6140706-23 SEMARANG MALL 1F065-66仓库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>
            <v>0</v>
          </cell>
          <cell r="AC26">
            <v>3</v>
          </cell>
          <cell r="AD26">
            <v>0</v>
          </cell>
          <cell r="AE26">
            <v>2</v>
          </cell>
          <cell r="AF26">
            <v>0</v>
          </cell>
          <cell r="AG26">
            <v>1</v>
          </cell>
          <cell r="AH26">
            <v>0</v>
          </cell>
          <cell r="AI26">
            <v>1</v>
          </cell>
          <cell r="AJ26">
            <v>0</v>
          </cell>
          <cell r="AM26">
            <v>1</v>
          </cell>
          <cell r="AN26">
            <v>0</v>
          </cell>
          <cell r="AO26">
            <v>9</v>
          </cell>
          <cell r="AP26">
            <v>0</v>
          </cell>
        </row>
        <row r="27">
          <cell r="B27" t="str">
            <v>6170703-4004 MVS-BNT-CCM STORE仓库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O27">
            <v>0</v>
          </cell>
          <cell r="P27">
            <v>0</v>
          </cell>
          <cell r="U27">
            <v>0</v>
          </cell>
          <cell r="V27">
            <v>0</v>
          </cell>
          <cell r="AA27">
            <v>1</v>
          </cell>
          <cell r="AB27">
            <v>0</v>
          </cell>
          <cell r="AC27">
            <v>0</v>
          </cell>
          <cell r="AD27">
            <v>0</v>
          </cell>
          <cell r="AE27">
            <v>1</v>
          </cell>
          <cell r="AF27">
            <v>0</v>
          </cell>
          <cell r="AK27">
            <v>1</v>
          </cell>
          <cell r="AL27">
            <v>0</v>
          </cell>
          <cell r="AO27">
            <v>4</v>
          </cell>
          <cell r="AP27">
            <v>0</v>
          </cell>
        </row>
        <row r="28">
          <cell r="B28" t="str">
            <v>6170707-LG BLOK D NO. 01D仓库</v>
          </cell>
          <cell r="C28">
            <v>0</v>
          </cell>
          <cell r="D28">
            <v>1</v>
          </cell>
          <cell r="E28">
            <v>0</v>
          </cell>
          <cell r="F28">
            <v>0</v>
          </cell>
          <cell r="G28">
            <v>3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C28">
            <v>2</v>
          </cell>
          <cell r="AD28">
            <v>1</v>
          </cell>
          <cell r="AE28">
            <v>2</v>
          </cell>
          <cell r="AF28">
            <v>4</v>
          </cell>
          <cell r="AG28">
            <v>1</v>
          </cell>
          <cell r="AH28">
            <v>0</v>
          </cell>
          <cell r="AI28">
            <v>1</v>
          </cell>
          <cell r="AJ28">
            <v>0</v>
          </cell>
          <cell r="AK28">
            <v>0</v>
          </cell>
          <cell r="AL28">
            <v>2</v>
          </cell>
          <cell r="AM28">
            <v>0</v>
          </cell>
          <cell r="AN28">
            <v>1</v>
          </cell>
          <cell r="AO28">
            <v>9</v>
          </cell>
          <cell r="AP28">
            <v>9</v>
          </cell>
        </row>
        <row r="29">
          <cell r="B29" t="str">
            <v>6180706-MVS MALL CCM仓库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</v>
          </cell>
          <cell r="H29">
            <v>3</v>
          </cell>
          <cell r="I29">
            <v>0</v>
          </cell>
          <cell r="J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2</v>
          </cell>
          <cell r="AD29">
            <v>2</v>
          </cell>
          <cell r="AE29">
            <v>2</v>
          </cell>
          <cell r="AF29">
            <v>1</v>
          </cell>
          <cell r="AG29">
            <v>0</v>
          </cell>
          <cell r="AH29">
            <v>1</v>
          </cell>
          <cell r="AI29">
            <v>0</v>
          </cell>
          <cell r="AJ29">
            <v>2</v>
          </cell>
          <cell r="AK29">
            <v>2</v>
          </cell>
          <cell r="AL29">
            <v>4</v>
          </cell>
          <cell r="AM29">
            <v>2</v>
          </cell>
          <cell r="AN29">
            <v>3</v>
          </cell>
          <cell r="AO29">
            <v>9</v>
          </cell>
          <cell r="AP29">
            <v>16</v>
          </cell>
        </row>
        <row r="30">
          <cell r="B30" t="str">
            <v>6180707-SC BTM仓库</v>
          </cell>
          <cell r="E30">
            <v>0</v>
          </cell>
          <cell r="F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U30">
            <v>0</v>
          </cell>
          <cell r="V30">
            <v>0</v>
          </cell>
          <cell r="AE30">
            <v>0</v>
          </cell>
          <cell r="AF30">
            <v>0</v>
          </cell>
          <cell r="AO30">
            <v>0</v>
          </cell>
          <cell r="AP30">
            <v>0</v>
          </cell>
        </row>
        <row r="31">
          <cell r="B31" t="str">
            <v>6190701-VIVO STORE UG仓库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4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2</v>
          </cell>
          <cell r="AD31">
            <v>3</v>
          </cell>
          <cell r="AE31">
            <v>3</v>
          </cell>
          <cell r="AF31">
            <v>3</v>
          </cell>
          <cell r="AG31">
            <v>2</v>
          </cell>
          <cell r="AH31">
            <v>0</v>
          </cell>
          <cell r="AI31">
            <v>3</v>
          </cell>
          <cell r="AJ31">
            <v>0</v>
          </cell>
          <cell r="AK31">
            <v>0</v>
          </cell>
          <cell r="AL31">
            <v>5</v>
          </cell>
          <cell r="AM31">
            <v>4</v>
          </cell>
          <cell r="AN31">
            <v>0</v>
          </cell>
          <cell r="AO31">
            <v>14</v>
          </cell>
          <cell r="AP31">
            <v>15</v>
          </cell>
        </row>
        <row r="32">
          <cell r="B32" t="str">
            <v>6190704-VIVO STORE 1 BEC仓库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4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1</v>
          </cell>
          <cell r="AC32">
            <v>2</v>
          </cell>
          <cell r="AD32">
            <v>4</v>
          </cell>
          <cell r="AE32">
            <v>3</v>
          </cell>
          <cell r="AF32">
            <v>3</v>
          </cell>
          <cell r="AG32">
            <v>1</v>
          </cell>
          <cell r="AH32">
            <v>3</v>
          </cell>
          <cell r="AI32">
            <v>3</v>
          </cell>
          <cell r="AJ32">
            <v>0</v>
          </cell>
          <cell r="AK32">
            <v>0</v>
          </cell>
          <cell r="AL32">
            <v>5</v>
          </cell>
          <cell r="AM32">
            <v>1</v>
          </cell>
          <cell r="AN32">
            <v>5</v>
          </cell>
          <cell r="AO32">
            <v>14</v>
          </cell>
          <cell r="AP32">
            <v>21</v>
          </cell>
        </row>
        <row r="33">
          <cell r="B33" t="str">
            <v>6220701-MVS MBH-VIP VIVO STORE-DD284仓库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2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1</v>
          </cell>
          <cell r="Z33">
            <v>0</v>
          </cell>
          <cell r="AA33">
            <v>0</v>
          </cell>
          <cell r="AB33">
            <v>1</v>
          </cell>
          <cell r="AC33">
            <v>0</v>
          </cell>
          <cell r="AD33">
            <v>2</v>
          </cell>
          <cell r="AE33">
            <v>1</v>
          </cell>
          <cell r="AF33">
            <v>1</v>
          </cell>
          <cell r="AG33">
            <v>0</v>
          </cell>
          <cell r="AH33">
            <v>1</v>
          </cell>
          <cell r="AI33">
            <v>0</v>
          </cell>
          <cell r="AJ33">
            <v>1</v>
          </cell>
          <cell r="AK33">
            <v>1</v>
          </cell>
          <cell r="AL33">
            <v>1</v>
          </cell>
          <cell r="AM33">
            <v>2</v>
          </cell>
          <cell r="AN33">
            <v>0</v>
          </cell>
          <cell r="AO33">
            <v>5</v>
          </cell>
          <cell r="AP33">
            <v>9</v>
          </cell>
        </row>
        <row r="34">
          <cell r="B34" t="str">
            <v>6240701-LG BLOK A-B NO. 12仓库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</v>
          </cell>
          <cell r="AA34">
            <v>0</v>
          </cell>
          <cell r="AB34">
            <v>0</v>
          </cell>
          <cell r="AC34">
            <v>2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  <cell r="AH34">
            <v>0</v>
          </cell>
          <cell r="AI34">
            <v>0</v>
          </cell>
          <cell r="AJ34">
            <v>1</v>
          </cell>
          <cell r="AK34">
            <v>1</v>
          </cell>
          <cell r="AL34">
            <v>0</v>
          </cell>
          <cell r="AM34">
            <v>1</v>
          </cell>
          <cell r="AN34">
            <v>0</v>
          </cell>
          <cell r="AO34">
            <v>5</v>
          </cell>
          <cell r="AP34">
            <v>5</v>
          </cell>
        </row>
        <row r="35">
          <cell r="B35" t="str">
            <v>6240705-CIPUTRA 2FC15仓库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</v>
          </cell>
          <cell r="H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Y35">
            <v>0</v>
          </cell>
          <cell r="Z35">
            <v>0</v>
          </cell>
          <cell r="AA35">
            <v>0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F35">
            <v>0</v>
          </cell>
          <cell r="AG35">
            <v>1</v>
          </cell>
          <cell r="AH35">
            <v>0</v>
          </cell>
          <cell r="AI35">
            <v>1</v>
          </cell>
          <cell r="AJ35">
            <v>0</v>
          </cell>
          <cell r="AK35">
            <v>1</v>
          </cell>
          <cell r="AL35">
            <v>0</v>
          </cell>
          <cell r="AM35">
            <v>1</v>
          </cell>
          <cell r="AN35">
            <v>0</v>
          </cell>
          <cell r="AO35">
            <v>7</v>
          </cell>
          <cell r="AP35">
            <v>2</v>
          </cell>
        </row>
        <row r="36">
          <cell r="B36" t="str">
            <v>6240706-SUPERMALL 1FC3A仓库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2</v>
          </cell>
          <cell r="H36">
            <v>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AC36">
            <v>2</v>
          </cell>
          <cell r="AD36">
            <v>2</v>
          </cell>
          <cell r="AE36">
            <v>2</v>
          </cell>
          <cell r="AF36">
            <v>2</v>
          </cell>
          <cell r="AI36">
            <v>0</v>
          </cell>
          <cell r="AJ36">
            <v>0</v>
          </cell>
          <cell r="AK36">
            <v>1</v>
          </cell>
          <cell r="AL36">
            <v>0</v>
          </cell>
          <cell r="AM36">
            <v>1</v>
          </cell>
          <cell r="AN36">
            <v>1</v>
          </cell>
          <cell r="AO36">
            <v>8</v>
          </cell>
          <cell r="AP36">
            <v>7</v>
          </cell>
        </row>
        <row r="37">
          <cell r="B37" t="str">
            <v>6240707-SUPERMALL UGN3A仓库</v>
          </cell>
          <cell r="E37">
            <v>0</v>
          </cell>
          <cell r="F37">
            <v>0</v>
          </cell>
          <cell r="G37">
            <v>0</v>
          </cell>
          <cell r="H37">
            <v>1</v>
          </cell>
          <cell r="AO37">
            <v>0</v>
          </cell>
          <cell r="AP37">
            <v>1</v>
          </cell>
        </row>
        <row r="38">
          <cell r="B38" t="str">
            <v>6240708-ITC BSD 1F09-14仓库</v>
          </cell>
          <cell r="C38">
            <v>0</v>
          </cell>
          <cell r="D38">
            <v>1</v>
          </cell>
          <cell r="E38">
            <v>0</v>
          </cell>
          <cell r="F38">
            <v>0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2</v>
          </cell>
          <cell r="AB38">
            <v>0</v>
          </cell>
          <cell r="AC38">
            <v>2</v>
          </cell>
          <cell r="AD38">
            <v>0</v>
          </cell>
          <cell r="AE38">
            <v>2</v>
          </cell>
          <cell r="AF38">
            <v>0</v>
          </cell>
          <cell r="AG38">
            <v>1</v>
          </cell>
          <cell r="AH38">
            <v>0</v>
          </cell>
          <cell r="AI38">
            <v>1</v>
          </cell>
          <cell r="AJ38">
            <v>0</v>
          </cell>
          <cell r="AK38">
            <v>2</v>
          </cell>
          <cell r="AL38">
            <v>0</v>
          </cell>
          <cell r="AM38">
            <v>1</v>
          </cell>
          <cell r="AN38">
            <v>1</v>
          </cell>
          <cell r="AO38">
            <v>12</v>
          </cell>
          <cell r="AP38">
            <v>2</v>
          </cell>
        </row>
        <row r="39">
          <cell r="B39" t="str">
            <v>6150702-GRANMALL SC GF-11仓库</v>
          </cell>
          <cell r="C39">
            <v>0</v>
          </cell>
          <cell r="D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0</v>
          </cell>
          <cell r="AK39">
            <v>1</v>
          </cell>
          <cell r="AL39">
            <v>0</v>
          </cell>
          <cell r="AM39">
            <v>1</v>
          </cell>
          <cell r="AN39">
            <v>0</v>
          </cell>
          <cell r="AO39">
            <v>4</v>
          </cell>
          <cell r="AP39">
            <v>2</v>
          </cell>
        </row>
        <row r="40">
          <cell r="B40" t="str">
            <v>6190708-BEC SC LGAA07仓库</v>
          </cell>
          <cell r="AC40">
            <v>0</v>
          </cell>
          <cell r="AD40">
            <v>1</v>
          </cell>
          <cell r="AO40">
            <v>0</v>
          </cell>
          <cell r="AP40">
            <v>1</v>
          </cell>
        </row>
        <row r="41">
          <cell r="B41" t="str">
            <v>6050706-AEON MALL DELTAMAS 1F081仓库</v>
          </cell>
          <cell r="G41">
            <v>2</v>
          </cell>
          <cell r="H41">
            <v>0</v>
          </cell>
          <cell r="Y41">
            <v>1</v>
          </cell>
          <cell r="Z41">
            <v>1</v>
          </cell>
          <cell r="AC41">
            <v>2</v>
          </cell>
          <cell r="AD41">
            <v>0</v>
          </cell>
          <cell r="AE41">
            <v>1</v>
          </cell>
          <cell r="AF41">
            <v>1</v>
          </cell>
          <cell r="AG41">
            <v>1</v>
          </cell>
          <cell r="AH41">
            <v>0</v>
          </cell>
          <cell r="AI41">
            <v>2</v>
          </cell>
          <cell r="AJ41">
            <v>0</v>
          </cell>
          <cell r="AK41">
            <v>1</v>
          </cell>
          <cell r="AL41">
            <v>0</v>
          </cell>
          <cell r="AM41">
            <v>2</v>
          </cell>
          <cell r="AN41">
            <v>0</v>
          </cell>
          <cell r="AO41">
            <v>12</v>
          </cell>
          <cell r="AP41">
            <v>2</v>
          </cell>
        </row>
        <row r="42">
          <cell r="A42" t="str">
            <v>Grand Total</v>
          </cell>
          <cell r="C42">
            <v>2</v>
          </cell>
          <cell r="D42">
            <v>8</v>
          </cell>
          <cell r="E42">
            <v>0</v>
          </cell>
          <cell r="F42">
            <v>3</v>
          </cell>
          <cell r="G42">
            <v>40</v>
          </cell>
          <cell r="H42">
            <v>27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4</v>
          </cell>
          <cell r="Z42">
            <v>6</v>
          </cell>
          <cell r="AA42">
            <v>6</v>
          </cell>
          <cell r="AB42">
            <v>6</v>
          </cell>
          <cell r="AC42">
            <v>41</v>
          </cell>
          <cell r="AD42">
            <v>37</v>
          </cell>
          <cell r="AE42">
            <v>52</v>
          </cell>
          <cell r="AF42">
            <v>33</v>
          </cell>
          <cell r="AG42">
            <v>17</v>
          </cell>
          <cell r="AH42">
            <v>5</v>
          </cell>
          <cell r="AI42">
            <v>24</v>
          </cell>
          <cell r="AJ42">
            <v>7</v>
          </cell>
          <cell r="AK42">
            <v>32</v>
          </cell>
          <cell r="AL42">
            <v>25</v>
          </cell>
          <cell r="AM42">
            <v>35</v>
          </cell>
          <cell r="AN42">
            <v>21</v>
          </cell>
          <cell r="AO42">
            <v>253</v>
          </cell>
          <cell r="AP42">
            <v>178</v>
          </cell>
        </row>
      </sheetData>
      <sheetData sheetId="8"/>
      <sheetData sheetId="9"/>
      <sheetData sheetId="10"/>
      <sheetData sheetId="11">
        <row r="1">
          <cell r="A1" t="str">
            <v>CATEGORY</v>
          </cell>
          <cell r="B1" t="str">
            <v>(Multiple Items)</v>
          </cell>
        </row>
        <row r="2">
          <cell r="A2" t="str">
            <v>PLACE</v>
          </cell>
          <cell r="B2" t="str">
            <v>(Multiple Items)</v>
          </cell>
        </row>
        <row r="3">
          <cell r="A3" t="str">
            <v>JENIS</v>
          </cell>
          <cell r="B3" t="str">
            <v>(Multiple Items)</v>
          </cell>
        </row>
        <row r="5">
          <cell r="B5" t="str">
            <v>TYPE</v>
          </cell>
          <cell r="C5" t="str">
            <v>规格型号
Spesifikasi dan model</v>
          </cell>
          <cell r="D5" t="str">
            <v>Values</v>
          </cell>
        </row>
        <row r="6">
          <cell r="B6" t="str">
            <v>V60 Lite</v>
          </cell>
          <cell r="F6" t="str">
            <v>V60 Lite 5G</v>
          </cell>
          <cell r="H6" t="str">
            <v>V70</v>
          </cell>
          <cell r="N6" t="str">
            <v>X300</v>
          </cell>
          <cell r="R6" t="str">
            <v>X300 PRO</v>
          </cell>
          <cell r="T6" t="str">
            <v>Y05</v>
          </cell>
          <cell r="X6" t="str">
            <v>Y11d</v>
          </cell>
          <cell r="AD6" t="str">
            <v>Y21D</v>
          </cell>
          <cell r="AL6" t="str">
            <v>Y31d</v>
          </cell>
          <cell r="AN6" t="str">
            <v>Y31d Pro</v>
          </cell>
          <cell r="AP6" t="str">
            <v>Y400</v>
          </cell>
          <cell r="AT6" t="str">
            <v xml:space="preserve">X FOLD5  </v>
          </cell>
          <cell r="AV6" t="str">
            <v xml:space="preserve">Y31d Pro </v>
          </cell>
          <cell r="BB6" t="str">
            <v xml:space="preserve">V70 FE </v>
          </cell>
          <cell r="BF6" t="str">
            <v xml:space="preserve">X300 ULTRA </v>
          </cell>
          <cell r="BJ6" t="str">
            <v xml:space="preserve">Y500 </v>
          </cell>
          <cell r="BN6" t="str">
            <v>Y05e</v>
          </cell>
          <cell r="BP6" t="str">
            <v>Total Sum of 结存数量
STOCK</v>
          </cell>
          <cell r="BQ6" t="str">
            <v>Total Sum of 出库数量
SALES OUT</v>
          </cell>
        </row>
        <row r="7">
          <cell r="B7" t="str">
            <v>8+128G</v>
          </cell>
          <cell r="D7" t="str">
            <v>8+256G</v>
          </cell>
          <cell r="F7" t="str">
            <v>8+256G</v>
          </cell>
          <cell r="H7" t="str">
            <v>12+256G</v>
          </cell>
          <cell r="J7" t="str">
            <v>12+512G</v>
          </cell>
          <cell r="L7" t="str">
            <v>8+256G</v>
          </cell>
          <cell r="N7" t="str">
            <v>12+256G</v>
          </cell>
          <cell r="P7" t="str">
            <v>16+512G</v>
          </cell>
          <cell r="R7" t="str">
            <v>16+512G</v>
          </cell>
          <cell r="T7" t="str">
            <v>4+128G</v>
          </cell>
          <cell r="V7" t="str">
            <v>4+64G</v>
          </cell>
          <cell r="X7" t="str">
            <v>4+128G</v>
          </cell>
          <cell r="Z7" t="str">
            <v>4+64G</v>
          </cell>
          <cell r="AB7" t="str">
            <v>6+128G</v>
          </cell>
          <cell r="AD7" t="str">
            <v>4+128G</v>
          </cell>
          <cell r="AF7" t="str">
            <v>6+128G</v>
          </cell>
          <cell r="AH7" t="str">
            <v>6+256G</v>
          </cell>
          <cell r="AJ7" t="str">
            <v>8+128G</v>
          </cell>
          <cell r="AL7" t="str">
            <v>4+128G</v>
          </cell>
          <cell r="AN7" t="str">
            <v>4+128G</v>
          </cell>
          <cell r="AP7" t="str">
            <v>8+128G</v>
          </cell>
          <cell r="AR7" t="str">
            <v>8+256G</v>
          </cell>
          <cell r="AT7" t="str">
            <v>16+512G</v>
          </cell>
          <cell r="AV7" t="str">
            <v>6+128G</v>
          </cell>
          <cell r="AX7" t="str">
            <v>8+128G</v>
          </cell>
          <cell r="AZ7" t="str">
            <v>8+256G</v>
          </cell>
          <cell r="BB7" t="str">
            <v>12+256G</v>
          </cell>
          <cell r="BD7" t="str">
            <v>8+256G</v>
          </cell>
          <cell r="BF7" t="str">
            <v>16+1T</v>
          </cell>
          <cell r="BH7" t="str">
            <v>16+512G</v>
          </cell>
          <cell r="BJ7" t="str">
            <v>6+128G</v>
          </cell>
          <cell r="BL7" t="str">
            <v>6+256G</v>
          </cell>
          <cell r="BN7" t="str">
            <v>4+64G</v>
          </cell>
        </row>
        <row r="8">
          <cell r="A8" t="str">
            <v>仓库名称 
Nama gudang</v>
          </cell>
          <cell r="B8" t="str">
            <v>Sum of 结存数量
STOCK</v>
          </cell>
          <cell r="C8" t="str">
            <v>Sum of 出库数量
SALES OUT</v>
          </cell>
          <cell r="D8" t="str">
            <v>Sum of 结存数量
STOCK</v>
          </cell>
          <cell r="E8" t="str">
            <v>Sum of 出库数量
SALES OUT</v>
          </cell>
          <cell r="F8" t="str">
            <v>Sum of 结存数量
STOCK</v>
          </cell>
          <cell r="G8" t="str">
            <v>Sum of 出库数量
SALES OUT</v>
          </cell>
          <cell r="H8" t="str">
            <v>Sum of 结存数量
STOCK</v>
          </cell>
          <cell r="I8" t="str">
            <v>Sum of 出库数量
SALES OUT</v>
          </cell>
          <cell r="J8" t="str">
            <v>Sum of 结存数量
STOCK</v>
          </cell>
          <cell r="K8" t="str">
            <v>Sum of 出库数量
SALES OUT</v>
          </cell>
          <cell r="L8" t="str">
            <v>Sum of 结存数量
STOCK</v>
          </cell>
          <cell r="M8" t="str">
            <v>Sum of 出库数量
SALES OUT</v>
          </cell>
          <cell r="N8" t="str">
            <v>Sum of 结存数量
STOCK</v>
          </cell>
          <cell r="O8" t="str">
            <v>Sum of 出库数量
SALES OUT</v>
          </cell>
          <cell r="P8" t="str">
            <v>Sum of 结存数量
STOCK</v>
          </cell>
          <cell r="Q8" t="str">
            <v>Sum of 出库数量
SALES OUT</v>
          </cell>
          <cell r="R8" t="str">
            <v>Sum of 结存数量
STOCK</v>
          </cell>
          <cell r="S8" t="str">
            <v>Sum of 出库数量
SALES OUT</v>
          </cell>
          <cell r="T8" t="str">
            <v>Sum of 结存数量
STOCK</v>
          </cell>
          <cell r="U8" t="str">
            <v>Sum of 出库数量
SALES OUT</v>
          </cell>
          <cell r="V8" t="str">
            <v>Sum of 结存数量
STOCK</v>
          </cell>
          <cell r="W8" t="str">
            <v>Sum of 出库数量
SALES OUT</v>
          </cell>
          <cell r="X8" t="str">
            <v>Sum of 结存数量
STOCK</v>
          </cell>
          <cell r="Y8" t="str">
            <v>Sum of 出库数量
SALES OUT</v>
          </cell>
          <cell r="Z8" t="str">
            <v>Sum of 结存数量
STOCK</v>
          </cell>
          <cell r="AA8" t="str">
            <v>Sum of 出库数量
SALES OUT</v>
          </cell>
          <cell r="AB8" t="str">
            <v>Sum of 结存数量
STOCK</v>
          </cell>
          <cell r="AC8" t="str">
            <v>Sum of 出库数量
SALES OUT</v>
          </cell>
          <cell r="AD8" t="str">
            <v>Sum of 结存数量
STOCK</v>
          </cell>
          <cell r="AE8" t="str">
            <v>Sum of 出库数量
SALES OUT</v>
          </cell>
          <cell r="AF8" t="str">
            <v>Sum of 结存数量
STOCK</v>
          </cell>
          <cell r="AG8" t="str">
            <v>Sum of 出库数量
SALES OUT</v>
          </cell>
          <cell r="AH8" t="str">
            <v>Sum of 结存数量
STOCK</v>
          </cell>
          <cell r="AI8" t="str">
            <v>Sum of 出库数量
SALES OUT</v>
          </cell>
          <cell r="AJ8" t="str">
            <v>Sum of 结存数量
STOCK</v>
          </cell>
          <cell r="AK8" t="str">
            <v>Sum of 出库数量
SALES OUT</v>
          </cell>
          <cell r="AL8" t="str">
            <v>Sum of 结存数量
STOCK</v>
          </cell>
          <cell r="AM8" t="str">
            <v>Sum of 出库数量
SALES OUT</v>
          </cell>
          <cell r="AN8" t="str">
            <v>Sum of 结存数量
STOCK</v>
          </cell>
          <cell r="AO8" t="str">
            <v>Sum of 出库数量
SALES OUT</v>
          </cell>
          <cell r="AP8" t="str">
            <v>Sum of 结存数量
STOCK</v>
          </cell>
          <cell r="AQ8" t="str">
            <v>Sum of 出库数量
SALES OUT</v>
          </cell>
          <cell r="AR8" t="str">
            <v>Sum of 结存数量
STOCK</v>
          </cell>
          <cell r="AS8" t="str">
            <v>Sum of 出库数量
SALES OUT</v>
          </cell>
          <cell r="AT8" t="str">
            <v>Sum of 结存数量
STOCK</v>
          </cell>
          <cell r="AU8" t="str">
            <v>Sum of 出库数量
SALES OUT</v>
          </cell>
          <cell r="AV8" t="str">
            <v>Sum of 结存数量
STOCK</v>
          </cell>
          <cell r="AW8" t="str">
            <v>Sum of 出库数量
SALES OUT</v>
          </cell>
          <cell r="AX8" t="str">
            <v>Sum of 结存数量
STOCK</v>
          </cell>
          <cell r="AY8" t="str">
            <v>Sum of 出库数量
SALES OUT</v>
          </cell>
          <cell r="AZ8" t="str">
            <v>Sum of 结存数量
STOCK</v>
          </cell>
          <cell r="BA8" t="str">
            <v>Sum of 出库数量
SALES OUT</v>
          </cell>
          <cell r="BB8" t="str">
            <v>Sum of 结存数量
STOCK</v>
          </cell>
          <cell r="BC8" t="str">
            <v>Sum of 出库数量
SALES OUT</v>
          </cell>
          <cell r="BD8" t="str">
            <v>Sum of 结存数量
STOCK</v>
          </cell>
          <cell r="BE8" t="str">
            <v>Sum of 出库数量
SALES OUT</v>
          </cell>
          <cell r="BF8" t="str">
            <v>Sum of 结存数量
STOCK</v>
          </cell>
          <cell r="BG8" t="str">
            <v>Sum of 出库数量
SALES OUT</v>
          </cell>
          <cell r="BH8" t="str">
            <v>Sum of 结存数量
STOCK</v>
          </cell>
          <cell r="BI8" t="str">
            <v>Sum of 出库数量
SALES OUT</v>
          </cell>
          <cell r="BJ8" t="str">
            <v>Sum of 结存数量
STOCK</v>
          </cell>
          <cell r="BK8" t="str">
            <v>Sum of 出库数量
SALES OUT</v>
          </cell>
          <cell r="BL8" t="str">
            <v>Sum of 结存数量
STOCK</v>
          </cell>
          <cell r="BM8" t="str">
            <v>Sum of 出库数量
SALES OUT</v>
          </cell>
          <cell r="BN8" t="str">
            <v>Sum of 结存数量
STOCK</v>
          </cell>
          <cell r="BO8" t="str">
            <v>Sum of 出库数量
SALES OUT</v>
          </cell>
        </row>
        <row r="9">
          <cell r="A9" t="str">
            <v>6010701-MVS ROXY SHOWROOM 21仓库</v>
          </cell>
          <cell r="B9">
            <v>0</v>
          </cell>
          <cell r="C9">
            <v>0</v>
          </cell>
          <cell r="D9">
            <v>2</v>
          </cell>
          <cell r="E9">
            <v>5</v>
          </cell>
          <cell r="F9">
            <v>1</v>
          </cell>
          <cell r="G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5</v>
          </cell>
          <cell r="M9">
            <v>8</v>
          </cell>
          <cell r="R9">
            <v>0</v>
          </cell>
          <cell r="S9">
            <v>0</v>
          </cell>
          <cell r="T9">
            <v>3</v>
          </cell>
          <cell r="U9">
            <v>24</v>
          </cell>
          <cell r="V9">
            <v>7</v>
          </cell>
          <cell r="W9">
            <v>28</v>
          </cell>
          <cell r="X9">
            <v>11</v>
          </cell>
          <cell r="Y9">
            <v>35</v>
          </cell>
          <cell r="Z9">
            <v>0</v>
          </cell>
          <cell r="AA9">
            <v>15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6</v>
          </cell>
          <cell r="AN9">
            <v>3</v>
          </cell>
          <cell r="AO9">
            <v>11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V9">
            <v>3</v>
          </cell>
          <cell r="AW9">
            <v>17</v>
          </cell>
          <cell r="AX9">
            <v>5</v>
          </cell>
          <cell r="AY9">
            <v>2</v>
          </cell>
          <cell r="AZ9">
            <v>4</v>
          </cell>
          <cell r="BA9">
            <v>1</v>
          </cell>
          <cell r="BB9">
            <v>0</v>
          </cell>
          <cell r="BC9">
            <v>1</v>
          </cell>
          <cell r="BD9">
            <v>0</v>
          </cell>
          <cell r="BE9">
            <v>5</v>
          </cell>
          <cell r="BF9">
            <v>1</v>
          </cell>
          <cell r="BG9">
            <v>0</v>
          </cell>
          <cell r="BH9">
            <v>1</v>
          </cell>
          <cell r="BI9">
            <v>0</v>
          </cell>
          <cell r="BJ9">
            <v>0</v>
          </cell>
          <cell r="BK9">
            <v>1</v>
          </cell>
          <cell r="BL9">
            <v>1</v>
          </cell>
          <cell r="BM9">
            <v>3</v>
          </cell>
          <cell r="BN9">
            <v>15</v>
          </cell>
          <cell r="BO9">
            <v>32</v>
          </cell>
          <cell r="BP9">
            <v>62</v>
          </cell>
          <cell r="BQ9">
            <v>195</v>
          </cell>
        </row>
        <row r="10">
          <cell r="A10" t="str">
            <v>6010702-ME ROXY PAMERAN TIMUR仓库</v>
          </cell>
          <cell r="B10">
            <v>0</v>
          </cell>
          <cell r="C10">
            <v>0</v>
          </cell>
          <cell r="D10">
            <v>4</v>
          </cell>
          <cell r="E10">
            <v>4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</v>
          </cell>
          <cell r="M10">
            <v>8</v>
          </cell>
          <cell r="N10">
            <v>0</v>
          </cell>
          <cell r="O10">
            <v>0</v>
          </cell>
          <cell r="R10">
            <v>0</v>
          </cell>
          <cell r="S10">
            <v>0</v>
          </cell>
          <cell r="T10">
            <v>5</v>
          </cell>
          <cell r="U10">
            <v>21</v>
          </cell>
          <cell r="V10">
            <v>3</v>
          </cell>
          <cell r="W10">
            <v>44</v>
          </cell>
          <cell r="X10">
            <v>11</v>
          </cell>
          <cell r="Y10">
            <v>29</v>
          </cell>
          <cell r="Z10">
            <v>0</v>
          </cell>
          <cell r="AA10">
            <v>13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1</v>
          </cell>
          <cell r="AN10">
            <v>0</v>
          </cell>
          <cell r="AO10">
            <v>13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1</v>
          </cell>
          <cell r="AW10">
            <v>17</v>
          </cell>
          <cell r="AX10">
            <v>5</v>
          </cell>
          <cell r="AY10">
            <v>3</v>
          </cell>
          <cell r="AZ10">
            <v>2</v>
          </cell>
          <cell r="BA10">
            <v>2</v>
          </cell>
          <cell r="BB10">
            <v>1</v>
          </cell>
          <cell r="BC10">
            <v>2</v>
          </cell>
          <cell r="BD10">
            <v>0</v>
          </cell>
          <cell r="BE10">
            <v>4</v>
          </cell>
          <cell r="BH10">
            <v>1</v>
          </cell>
          <cell r="BI10">
            <v>2</v>
          </cell>
          <cell r="BJ10">
            <v>1</v>
          </cell>
          <cell r="BK10">
            <v>2</v>
          </cell>
          <cell r="BL10">
            <v>3</v>
          </cell>
          <cell r="BM10">
            <v>1</v>
          </cell>
          <cell r="BN10">
            <v>21</v>
          </cell>
          <cell r="BO10">
            <v>43</v>
          </cell>
          <cell r="BP10">
            <v>61</v>
          </cell>
          <cell r="BQ10">
            <v>209</v>
          </cell>
        </row>
        <row r="11">
          <cell r="A11" t="str">
            <v>6010703-VIVO STORE WINSHOP仓库</v>
          </cell>
          <cell r="B11">
            <v>0</v>
          </cell>
          <cell r="C11">
            <v>0</v>
          </cell>
          <cell r="D11">
            <v>4</v>
          </cell>
          <cell r="E11">
            <v>19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3</v>
          </cell>
          <cell r="U11">
            <v>48</v>
          </cell>
          <cell r="V11">
            <v>0</v>
          </cell>
          <cell r="W11">
            <v>70</v>
          </cell>
          <cell r="X11">
            <v>13</v>
          </cell>
          <cell r="Y11">
            <v>50</v>
          </cell>
          <cell r="Z11">
            <v>5</v>
          </cell>
          <cell r="AA11">
            <v>32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14</v>
          </cell>
          <cell r="AN11">
            <v>3</v>
          </cell>
          <cell r="AO11">
            <v>30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V11">
            <v>11</v>
          </cell>
          <cell r="AW11">
            <v>28</v>
          </cell>
          <cell r="AX11">
            <v>0</v>
          </cell>
          <cell r="AY11">
            <v>4</v>
          </cell>
          <cell r="AZ11">
            <v>0</v>
          </cell>
          <cell r="BA11">
            <v>10</v>
          </cell>
          <cell r="BB11">
            <v>1</v>
          </cell>
          <cell r="BC11">
            <v>2</v>
          </cell>
          <cell r="BD11">
            <v>3</v>
          </cell>
          <cell r="BE11">
            <v>0</v>
          </cell>
          <cell r="BF11">
            <v>1</v>
          </cell>
          <cell r="BG11">
            <v>0</v>
          </cell>
          <cell r="BH11">
            <v>1</v>
          </cell>
          <cell r="BI11">
            <v>0</v>
          </cell>
          <cell r="BJ11">
            <v>0</v>
          </cell>
          <cell r="BK11">
            <v>4</v>
          </cell>
          <cell r="BL11">
            <v>0</v>
          </cell>
          <cell r="BM11">
            <v>7</v>
          </cell>
          <cell r="BN11">
            <v>33</v>
          </cell>
          <cell r="BO11">
            <v>163</v>
          </cell>
          <cell r="BP11">
            <v>82</v>
          </cell>
          <cell r="BQ11">
            <v>496</v>
          </cell>
        </row>
        <row r="12">
          <cell r="A12" t="str">
            <v>6010708-MVS SHOWROOM CENTRAL PARK仓库</v>
          </cell>
          <cell r="D12">
            <v>4</v>
          </cell>
          <cell r="E12">
            <v>5</v>
          </cell>
          <cell r="F12">
            <v>0</v>
          </cell>
          <cell r="G12">
            <v>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9</v>
          </cell>
          <cell r="M12">
            <v>8</v>
          </cell>
          <cell r="N12">
            <v>0</v>
          </cell>
          <cell r="O12">
            <v>1</v>
          </cell>
          <cell r="P12">
            <v>0</v>
          </cell>
          <cell r="Q12">
            <v>1</v>
          </cell>
          <cell r="R12">
            <v>0</v>
          </cell>
          <cell r="S12">
            <v>0</v>
          </cell>
          <cell r="T12">
            <v>2</v>
          </cell>
          <cell r="U12">
            <v>4</v>
          </cell>
          <cell r="V12">
            <v>2</v>
          </cell>
          <cell r="W12">
            <v>4</v>
          </cell>
          <cell r="X12">
            <v>2</v>
          </cell>
          <cell r="Y12">
            <v>7</v>
          </cell>
          <cell r="Z12">
            <v>6</v>
          </cell>
          <cell r="AA12">
            <v>8</v>
          </cell>
          <cell r="AB12">
            <v>1</v>
          </cell>
          <cell r="AC12">
            <v>1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4</v>
          </cell>
          <cell r="AN12">
            <v>3</v>
          </cell>
          <cell r="AO12">
            <v>2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4</v>
          </cell>
          <cell r="AW12">
            <v>0</v>
          </cell>
          <cell r="AX12">
            <v>2</v>
          </cell>
          <cell r="AY12">
            <v>0</v>
          </cell>
          <cell r="AZ12">
            <v>1</v>
          </cell>
          <cell r="BA12">
            <v>1</v>
          </cell>
          <cell r="BB12">
            <v>2</v>
          </cell>
          <cell r="BC12">
            <v>1</v>
          </cell>
          <cell r="BD12">
            <v>0</v>
          </cell>
          <cell r="BE12">
            <v>3</v>
          </cell>
          <cell r="BF12">
            <v>1</v>
          </cell>
          <cell r="BG12">
            <v>1</v>
          </cell>
          <cell r="BH12">
            <v>3</v>
          </cell>
          <cell r="BI12">
            <v>2</v>
          </cell>
          <cell r="BJ12">
            <v>1</v>
          </cell>
          <cell r="BK12">
            <v>0</v>
          </cell>
          <cell r="BL12">
            <v>2</v>
          </cell>
          <cell r="BM12">
            <v>0</v>
          </cell>
          <cell r="BN12">
            <v>6</v>
          </cell>
          <cell r="BO12">
            <v>14</v>
          </cell>
          <cell r="BP12">
            <v>51</v>
          </cell>
          <cell r="BQ12">
            <v>70</v>
          </cell>
        </row>
        <row r="13">
          <cell r="A13" t="str">
            <v>6010711-LIPPO MALL PURI 1FK02仓库</v>
          </cell>
          <cell r="B13">
            <v>0</v>
          </cell>
          <cell r="C13">
            <v>0</v>
          </cell>
          <cell r="D13">
            <v>1</v>
          </cell>
          <cell r="E13">
            <v>2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3</v>
          </cell>
          <cell r="N13">
            <v>0</v>
          </cell>
          <cell r="O13">
            <v>0</v>
          </cell>
          <cell r="R13">
            <v>0</v>
          </cell>
          <cell r="S13">
            <v>0</v>
          </cell>
          <cell r="T13">
            <v>3</v>
          </cell>
          <cell r="U13">
            <v>2</v>
          </cell>
          <cell r="V13">
            <v>3</v>
          </cell>
          <cell r="W13">
            <v>5</v>
          </cell>
          <cell r="X13">
            <v>4</v>
          </cell>
          <cell r="Y13">
            <v>2</v>
          </cell>
          <cell r="Z13">
            <v>3</v>
          </cell>
          <cell r="AA13">
            <v>0</v>
          </cell>
          <cell r="AB13">
            <v>3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1</v>
          </cell>
          <cell r="AN13">
            <v>5</v>
          </cell>
          <cell r="AO13">
            <v>1</v>
          </cell>
          <cell r="AP13">
            <v>0</v>
          </cell>
          <cell r="AQ13">
            <v>0</v>
          </cell>
          <cell r="AT13">
            <v>0</v>
          </cell>
          <cell r="AU13">
            <v>0</v>
          </cell>
          <cell r="AV13">
            <v>2</v>
          </cell>
          <cell r="AW13">
            <v>1</v>
          </cell>
          <cell r="AX13">
            <v>3</v>
          </cell>
          <cell r="AY13">
            <v>0</v>
          </cell>
          <cell r="AZ13">
            <v>1</v>
          </cell>
          <cell r="BA13">
            <v>0</v>
          </cell>
          <cell r="BB13">
            <v>1</v>
          </cell>
          <cell r="BC13">
            <v>3</v>
          </cell>
          <cell r="BD13">
            <v>2</v>
          </cell>
          <cell r="BE13">
            <v>0</v>
          </cell>
          <cell r="BF13">
            <v>2</v>
          </cell>
          <cell r="BG13">
            <v>0</v>
          </cell>
          <cell r="BH13">
            <v>1</v>
          </cell>
          <cell r="BI13">
            <v>2</v>
          </cell>
          <cell r="BJ13">
            <v>1</v>
          </cell>
          <cell r="BK13">
            <v>1</v>
          </cell>
          <cell r="BL13">
            <v>2</v>
          </cell>
          <cell r="BM13">
            <v>1</v>
          </cell>
          <cell r="BN13">
            <v>3</v>
          </cell>
          <cell r="BO13">
            <v>4</v>
          </cell>
          <cell r="BP13">
            <v>43</v>
          </cell>
          <cell r="BQ13">
            <v>28</v>
          </cell>
        </row>
        <row r="14">
          <cell r="A14" t="str">
            <v>6020706-MVS CEMPAKA SHOWROOM 2 (454)仓库</v>
          </cell>
          <cell r="B14">
            <v>0</v>
          </cell>
          <cell r="C14">
            <v>0</v>
          </cell>
          <cell r="D14">
            <v>3</v>
          </cell>
          <cell r="E14">
            <v>12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6</v>
          </cell>
          <cell r="N14">
            <v>0</v>
          </cell>
          <cell r="O14">
            <v>0</v>
          </cell>
          <cell r="T14">
            <v>0</v>
          </cell>
          <cell r="U14">
            <v>24</v>
          </cell>
          <cell r="V14">
            <v>3</v>
          </cell>
          <cell r="W14">
            <v>16</v>
          </cell>
          <cell r="X14">
            <v>5</v>
          </cell>
          <cell r="Y14">
            <v>14</v>
          </cell>
          <cell r="Z14">
            <v>6</v>
          </cell>
          <cell r="AA14">
            <v>10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3</v>
          </cell>
          <cell r="AN14">
            <v>5</v>
          </cell>
          <cell r="AO14">
            <v>8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V14">
            <v>4</v>
          </cell>
          <cell r="AW14">
            <v>11</v>
          </cell>
          <cell r="AX14">
            <v>2</v>
          </cell>
          <cell r="AY14">
            <v>1</v>
          </cell>
          <cell r="AZ14">
            <v>5</v>
          </cell>
          <cell r="BA14">
            <v>2</v>
          </cell>
          <cell r="BB14">
            <v>0</v>
          </cell>
          <cell r="BC14">
            <v>1</v>
          </cell>
          <cell r="BD14">
            <v>0</v>
          </cell>
          <cell r="BE14">
            <v>0</v>
          </cell>
          <cell r="BJ14">
            <v>2</v>
          </cell>
          <cell r="BK14">
            <v>0</v>
          </cell>
          <cell r="BL14">
            <v>0</v>
          </cell>
          <cell r="BM14">
            <v>1</v>
          </cell>
          <cell r="BN14">
            <v>13</v>
          </cell>
          <cell r="BO14">
            <v>11</v>
          </cell>
          <cell r="BP14">
            <v>52</v>
          </cell>
          <cell r="BQ14">
            <v>120</v>
          </cell>
        </row>
        <row r="15">
          <cell r="A15" t="str">
            <v>6020711-vivostore emporium仓库</v>
          </cell>
          <cell r="D15">
            <v>4</v>
          </cell>
          <cell r="E15">
            <v>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9</v>
          </cell>
          <cell r="M15">
            <v>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10</v>
          </cell>
          <cell r="V15">
            <v>3</v>
          </cell>
          <cell r="W15">
            <v>8</v>
          </cell>
          <cell r="X15">
            <v>4</v>
          </cell>
          <cell r="Y15">
            <v>9</v>
          </cell>
          <cell r="Z15">
            <v>4</v>
          </cell>
          <cell r="AA15">
            <v>5</v>
          </cell>
          <cell r="AB15">
            <v>3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3</v>
          </cell>
          <cell r="AM15">
            <v>1</v>
          </cell>
          <cell r="AN15">
            <v>3</v>
          </cell>
          <cell r="AO15">
            <v>2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3</v>
          </cell>
          <cell r="AW15">
            <v>5</v>
          </cell>
          <cell r="AX15">
            <v>3</v>
          </cell>
          <cell r="AY15">
            <v>2</v>
          </cell>
          <cell r="AZ15">
            <v>2</v>
          </cell>
          <cell r="BA15">
            <v>3</v>
          </cell>
          <cell r="BB15">
            <v>0</v>
          </cell>
          <cell r="BC15">
            <v>5</v>
          </cell>
          <cell r="BD15">
            <v>4</v>
          </cell>
          <cell r="BE15">
            <v>1</v>
          </cell>
          <cell r="BF15">
            <v>1</v>
          </cell>
          <cell r="BG15">
            <v>0</v>
          </cell>
          <cell r="BH15">
            <v>3</v>
          </cell>
          <cell r="BI15">
            <v>2</v>
          </cell>
          <cell r="BJ15">
            <v>1</v>
          </cell>
          <cell r="BK15">
            <v>2</v>
          </cell>
          <cell r="BL15">
            <v>2</v>
          </cell>
          <cell r="BM15">
            <v>3</v>
          </cell>
          <cell r="BN15">
            <v>5</v>
          </cell>
          <cell r="BO15">
            <v>3</v>
          </cell>
          <cell r="BP15">
            <v>58</v>
          </cell>
          <cell r="BQ15">
            <v>73</v>
          </cell>
        </row>
        <row r="16">
          <cell r="A16" t="str">
            <v>6040702-TRAN STUDIO MALL 2F059仓库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2</v>
          </cell>
          <cell r="N16">
            <v>0</v>
          </cell>
          <cell r="O16">
            <v>0</v>
          </cell>
          <cell r="R16">
            <v>0</v>
          </cell>
          <cell r="S16">
            <v>0</v>
          </cell>
          <cell r="T16">
            <v>3</v>
          </cell>
          <cell r="U16">
            <v>0</v>
          </cell>
          <cell r="V16">
            <v>2</v>
          </cell>
          <cell r="W16">
            <v>2</v>
          </cell>
          <cell r="X16">
            <v>3</v>
          </cell>
          <cell r="Y16">
            <v>3</v>
          </cell>
          <cell r="Z16">
            <v>1</v>
          </cell>
          <cell r="AA16">
            <v>3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</v>
          </cell>
          <cell r="AM16">
            <v>1</v>
          </cell>
          <cell r="AN16">
            <v>2</v>
          </cell>
          <cell r="AO16">
            <v>1</v>
          </cell>
          <cell r="AR16">
            <v>0</v>
          </cell>
          <cell r="AS16">
            <v>0</v>
          </cell>
          <cell r="AV16">
            <v>2</v>
          </cell>
          <cell r="AW16">
            <v>1</v>
          </cell>
          <cell r="AX16">
            <v>1</v>
          </cell>
          <cell r="AY16">
            <v>0</v>
          </cell>
          <cell r="AZ16">
            <v>2</v>
          </cell>
          <cell r="BA16">
            <v>1</v>
          </cell>
          <cell r="BB16">
            <v>1</v>
          </cell>
          <cell r="BC16">
            <v>0</v>
          </cell>
          <cell r="BD16">
            <v>0</v>
          </cell>
          <cell r="BE16">
            <v>0</v>
          </cell>
          <cell r="BF16">
            <v>1</v>
          </cell>
          <cell r="BG16">
            <v>0</v>
          </cell>
          <cell r="BH16">
            <v>1</v>
          </cell>
          <cell r="BI16">
            <v>0</v>
          </cell>
          <cell r="BJ16">
            <v>2</v>
          </cell>
          <cell r="BK16">
            <v>0</v>
          </cell>
          <cell r="BL16">
            <v>2</v>
          </cell>
          <cell r="BM16">
            <v>0</v>
          </cell>
          <cell r="BN16">
            <v>4</v>
          </cell>
          <cell r="BO16">
            <v>3</v>
          </cell>
          <cell r="BP16">
            <v>33</v>
          </cell>
          <cell r="BQ16">
            <v>18</v>
          </cell>
        </row>
        <row r="17">
          <cell r="A17" t="str">
            <v>6040703-SAWANGAN 1F1-0320仓库</v>
          </cell>
          <cell r="D17">
            <v>2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1</v>
          </cell>
          <cell r="R17">
            <v>0</v>
          </cell>
          <cell r="S17">
            <v>0</v>
          </cell>
          <cell r="T17">
            <v>3</v>
          </cell>
          <cell r="U17">
            <v>1</v>
          </cell>
          <cell r="V17">
            <v>1</v>
          </cell>
          <cell r="W17">
            <v>2</v>
          </cell>
          <cell r="X17">
            <v>4</v>
          </cell>
          <cell r="Y17">
            <v>0</v>
          </cell>
          <cell r="Z17">
            <v>4</v>
          </cell>
          <cell r="AA17">
            <v>2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</v>
          </cell>
          <cell r="AM17">
            <v>2</v>
          </cell>
          <cell r="AN17">
            <v>1</v>
          </cell>
          <cell r="AO17">
            <v>2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V17">
            <v>3</v>
          </cell>
          <cell r="AW17">
            <v>2</v>
          </cell>
          <cell r="AX17">
            <v>2</v>
          </cell>
          <cell r="AY17">
            <v>1</v>
          </cell>
          <cell r="AZ17">
            <v>2</v>
          </cell>
          <cell r="BA17">
            <v>1</v>
          </cell>
          <cell r="BB17">
            <v>0</v>
          </cell>
          <cell r="BC17">
            <v>0</v>
          </cell>
          <cell r="BD17">
            <v>1</v>
          </cell>
          <cell r="BE17">
            <v>1</v>
          </cell>
          <cell r="BH17">
            <v>0</v>
          </cell>
          <cell r="BI17">
            <v>1</v>
          </cell>
          <cell r="BJ17">
            <v>2</v>
          </cell>
          <cell r="BK17">
            <v>0</v>
          </cell>
          <cell r="BL17">
            <v>2</v>
          </cell>
          <cell r="BM17">
            <v>0</v>
          </cell>
          <cell r="BN17">
            <v>3</v>
          </cell>
          <cell r="BO17">
            <v>1</v>
          </cell>
          <cell r="BP17">
            <v>35</v>
          </cell>
          <cell r="BQ17">
            <v>20</v>
          </cell>
        </row>
        <row r="18">
          <cell r="A18" t="str">
            <v>6050701-MVS X6 DS0824仓库</v>
          </cell>
          <cell r="B18">
            <v>0</v>
          </cell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5</v>
          </cell>
          <cell r="M18">
            <v>5</v>
          </cell>
          <cell r="N18">
            <v>0</v>
          </cell>
          <cell r="O18">
            <v>0</v>
          </cell>
          <cell r="R18">
            <v>0</v>
          </cell>
          <cell r="S18">
            <v>0</v>
          </cell>
          <cell r="T18">
            <v>2</v>
          </cell>
          <cell r="U18">
            <v>4</v>
          </cell>
          <cell r="V18">
            <v>3</v>
          </cell>
          <cell r="W18">
            <v>6</v>
          </cell>
          <cell r="X18">
            <v>1</v>
          </cell>
          <cell r="Y18">
            <v>6</v>
          </cell>
          <cell r="Z18">
            <v>1</v>
          </cell>
          <cell r="AA18">
            <v>3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4</v>
          </cell>
          <cell r="AN18">
            <v>3</v>
          </cell>
          <cell r="AO18">
            <v>2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V18">
            <v>4</v>
          </cell>
          <cell r="AW18">
            <v>5</v>
          </cell>
          <cell r="AX18">
            <v>2</v>
          </cell>
          <cell r="AY18">
            <v>1</v>
          </cell>
          <cell r="AZ18">
            <v>1</v>
          </cell>
          <cell r="BA18">
            <v>3</v>
          </cell>
          <cell r="BB18">
            <v>0</v>
          </cell>
          <cell r="BC18">
            <v>3</v>
          </cell>
          <cell r="BD18">
            <v>0</v>
          </cell>
          <cell r="BE18">
            <v>0</v>
          </cell>
          <cell r="BH18">
            <v>1</v>
          </cell>
          <cell r="BI18">
            <v>0</v>
          </cell>
          <cell r="BJ18">
            <v>3</v>
          </cell>
          <cell r="BK18">
            <v>0</v>
          </cell>
          <cell r="BL18">
            <v>3</v>
          </cell>
          <cell r="BM18">
            <v>0</v>
          </cell>
          <cell r="BN18">
            <v>5</v>
          </cell>
          <cell r="BO18">
            <v>3</v>
          </cell>
          <cell r="BP18">
            <v>35</v>
          </cell>
          <cell r="BQ18">
            <v>48</v>
          </cell>
        </row>
        <row r="19">
          <cell r="A19" t="str">
            <v>6050705-MBH 2F009仓库</v>
          </cell>
          <cell r="L19">
            <v>0</v>
          </cell>
          <cell r="M19">
            <v>1</v>
          </cell>
          <cell r="T19">
            <v>0</v>
          </cell>
          <cell r="U19">
            <v>1</v>
          </cell>
          <cell r="V19">
            <v>0</v>
          </cell>
          <cell r="W19">
            <v>1</v>
          </cell>
          <cell r="X19">
            <v>0</v>
          </cell>
          <cell r="Y19">
            <v>6</v>
          </cell>
          <cell r="Z19">
            <v>0</v>
          </cell>
          <cell r="AA19">
            <v>2</v>
          </cell>
          <cell r="AN19">
            <v>0</v>
          </cell>
          <cell r="AO19">
            <v>1</v>
          </cell>
          <cell r="AV19">
            <v>0</v>
          </cell>
          <cell r="AW19">
            <v>3</v>
          </cell>
          <cell r="AX19">
            <v>0</v>
          </cell>
          <cell r="AY19">
            <v>2</v>
          </cell>
          <cell r="AZ19">
            <v>0</v>
          </cell>
          <cell r="BA19">
            <v>2</v>
          </cell>
          <cell r="BB19">
            <v>0</v>
          </cell>
          <cell r="BC19">
            <v>2</v>
          </cell>
          <cell r="BN19">
            <v>0</v>
          </cell>
          <cell r="BO19">
            <v>2</v>
          </cell>
          <cell r="BP19">
            <v>0</v>
          </cell>
          <cell r="BQ19">
            <v>23</v>
          </cell>
        </row>
        <row r="20">
          <cell r="A20" t="str">
            <v>6080712-MVS ITC DEPOK VIVO STORE 2仓库</v>
          </cell>
          <cell r="B20">
            <v>0</v>
          </cell>
          <cell r="C20">
            <v>0</v>
          </cell>
          <cell r="D20">
            <v>1</v>
          </cell>
          <cell r="E20">
            <v>11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4</v>
          </cell>
          <cell r="M20">
            <v>8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3</v>
          </cell>
          <cell r="U20">
            <v>10</v>
          </cell>
          <cell r="V20">
            <v>2</v>
          </cell>
          <cell r="W20">
            <v>8</v>
          </cell>
          <cell r="X20">
            <v>2</v>
          </cell>
          <cell r="Y20">
            <v>11</v>
          </cell>
          <cell r="Z20">
            <v>4</v>
          </cell>
          <cell r="AA20">
            <v>3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</v>
          </cell>
          <cell r="AN20">
            <v>0</v>
          </cell>
          <cell r="AO20">
            <v>7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2</v>
          </cell>
          <cell r="AW20">
            <v>7</v>
          </cell>
          <cell r="AX20">
            <v>2</v>
          </cell>
          <cell r="AY20">
            <v>0</v>
          </cell>
          <cell r="AZ20">
            <v>1</v>
          </cell>
          <cell r="BA20">
            <v>5</v>
          </cell>
          <cell r="BB20">
            <v>2</v>
          </cell>
          <cell r="BC20">
            <v>2</v>
          </cell>
          <cell r="BD20">
            <v>0</v>
          </cell>
          <cell r="BE20">
            <v>4</v>
          </cell>
          <cell r="BH20">
            <v>0</v>
          </cell>
          <cell r="BI20">
            <v>1</v>
          </cell>
          <cell r="BJ20">
            <v>1</v>
          </cell>
          <cell r="BK20">
            <v>3</v>
          </cell>
          <cell r="BL20">
            <v>2</v>
          </cell>
          <cell r="BM20">
            <v>0</v>
          </cell>
          <cell r="BN20">
            <v>4</v>
          </cell>
          <cell r="BO20">
            <v>13</v>
          </cell>
          <cell r="BP20">
            <v>30</v>
          </cell>
          <cell r="BQ20">
            <v>95</v>
          </cell>
        </row>
        <row r="21">
          <cell r="A21" t="str">
            <v>6100702-VS Jogja City Mall仓库</v>
          </cell>
          <cell r="D21">
            <v>3</v>
          </cell>
          <cell r="E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4</v>
          </cell>
          <cell r="M21">
            <v>2</v>
          </cell>
          <cell r="N21">
            <v>0</v>
          </cell>
          <cell r="O21">
            <v>0</v>
          </cell>
          <cell r="R21">
            <v>0</v>
          </cell>
          <cell r="S21">
            <v>0</v>
          </cell>
          <cell r="T21">
            <v>0</v>
          </cell>
          <cell r="U21">
            <v>3</v>
          </cell>
          <cell r="V21">
            <v>1</v>
          </cell>
          <cell r="W21">
            <v>2</v>
          </cell>
          <cell r="X21">
            <v>2</v>
          </cell>
          <cell r="Y21">
            <v>0</v>
          </cell>
          <cell r="Z21">
            <v>1</v>
          </cell>
          <cell r="AA21">
            <v>1</v>
          </cell>
          <cell r="AB21">
            <v>3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3</v>
          </cell>
          <cell r="AN21">
            <v>1</v>
          </cell>
          <cell r="AO21">
            <v>1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V21">
            <v>2</v>
          </cell>
          <cell r="AW21">
            <v>0</v>
          </cell>
          <cell r="AX21">
            <v>2</v>
          </cell>
          <cell r="AY21">
            <v>0</v>
          </cell>
          <cell r="AZ21">
            <v>1</v>
          </cell>
          <cell r="BA21">
            <v>0</v>
          </cell>
          <cell r="BB21">
            <v>2</v>
          </cell>
          <cell r="BC21">
            <v>0</v>
          </cell>
          <cell r="BD21">
            <v>1</v>
          </cell>
          <cell r="BE21">
            <v>2</v>
          </cell>
          <cell r="BF21">
            <v>0</v>
          </cell>
          <cell r="BG21">
            <v>0</v>
          </cell>
          <cell r="BH21">
            <v>2</v>
          </cell>
          <cell r="BI21">
            <v>0</v>
          </cell>
          <cell r="BJ21">
            <v>2</v>
          </cell>
          <cell r="BK21">
            <v>1</v>
          </cell>
          <cell r="BL21">
            <v>2</v>
          </cell>
          <cell r="BM21">
            <v>2</v>
          </cell>
          <cell r="BN21">
            <v>2</v>
          </cell>
          <cell r="BO21">
            <v>3</v>
          </cell>
          <cell r="BP21">
            <v>31</v>
          </cell>
          <cell r="BQ21">
            <v>20</v>
          </cell>
        </row>
        <row r="22">
          <cell r="A22" t="str">
            <v>6130702-RITA SUPERMALL SF36-37仓库</v>
          </cell>
          <cell r="D22">
            <v>3</v>
          </cell>
          <cell r="E22">
            <v>4</v>
          </cell>
          <cell r="H22">
            <v>0</v>
          </cell>
          <cell r="I22">
            <v>0</v>
          </cell>
          <cell r="L22">
            <v>4</v>
          </cell>
          <cell r="M22">
            <v>2</v>
          </cell>
          <cell r="R22">
            <v>0</v>
          </cell>
          <cell r="S22">
            <v>0</v>
          </cell>
          <cell r="T22">
            <v>1</v>
          </cell>
          <cell r="U22">
            <v>4</v>
          </cell>
          <cell r="V22">
            <v>1</v>
          </cell>
          <cell r="W22">
            <v>7</v>
          </cell>
          <cell r="X22">
            <v>3</v>
          </cell>
          <cell r="Y22">
            <v>5</v>
          </cell>
          <cell r="Z22">
            <v>1</v>
          </cell>
          <cell r="AA22">
            <v>4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</v>
          </cell>
          <cell r="AM22">
            <v>1</v>
          </cell>
          <cell r="AN22">
            <v>2</v>
          </cell>
          <cell r="AO22">
            <v>2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V22">
            <v>2</v>
          </cell>
          <cell r="AW22">
            <v>2</v>
          </cell>
          <cell r="AX22">
            <v>1</v>
          </cell>
          <cell r="AY22">
            <v>1</v>
          </cell>
          <cell r="AZ22">
            <v>1</v>
          </cell>
          <cell r="BA22">
            <v>0</v>
          </cell>
          <cell r="BB22">
            <v>1</v>
          </cell>
          <cell r="BC22">
            <v>3</v>
          </cell>
          <cell r="BD22">
            <v>0</v>
          </cell>
          <cell r="BE22">
            <v>0</v>
          </cell>
          <cell r="BH22">
            <v>1</v>
          </cell>
          <cell r="BI22">
            <v>0</v>
          </cell>
          <cell r="BJ22">
            <v>4</v>
          </cell>
          <cell r="BK22">
            <v>0</v>
          </cell>
          <cell r="BL22">
            <v>2</v>
          </cell>
          <cell r="BM22">
            <v>0</v>
          </cell>
          <cell r="BN22">
            <v>5</v>
          </cell>
          <cell r="BO22">
            <v>0</v>
          </cell>
          <cell r="BP22">
            <v>34</v>
          </cell>
          <cell r="BQ22">
            <v>35</v>
          </cell>
        </row>
        <row r="23">
          <cell r="A23" t="str">
            <v>6140703-ML-VIVO STORE MEGA STORE仓库</v>
          </cell>
          <cell r="D23">
            <v>5</v>
          </cell>
          <cell r="E23">
            <v>3</v>
          </cell>
          <cell r="L23">
            <v>3</v>
          </cell>
          <cell r="M23">
            <v>0</v>
          </cell>
          <cell r="T23">
            <v>0</v>
          </cell>
          <cell r="U23">
            <v>3</v>
          </cell>
          <cell r="V23">
            <v>1</v>
          </cell>
          <cell r="W23">
            <v>0</v>
          </cell>
          <cell r="X23">
            <v>0</v>
          </cell>
          <cell r="Y23">
            <v>1</v>
          </cell>
          <cell r="Z23">
            <v>0</v>
          </cell>
          <cell r="AA23">
            <v>3</v>
          </cell>
          <cell r="AD23">
            <v>0</v>
          </cell>
          <cell r="AE23">
            <v>0</v>
          </cell>
          <cell r="AH23">
            <v>0</v>
          </cell>
          <cell r="AI23">
            <v>0</v>
          </cell>
          <cell r="AL23">
            <v>2</v>
          </cell>
          <cell r="AM23">
            <v>1</v>
          </cell>
          <cell r="AN23">
            <v>2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V23">
            <v>1</v>
          </cell>
          <cell r="AW23">
            <v>1</v>
          </cell>
          <cell r="AZ23">
            <v>1</v>
          </cell>
          <cell r="BA23">
            <v>0</v>
          </cell>
          <cell r="BB23">
            <v>1</v>
          </cell>
          <cell r="BC23">
            <v>0</v>
          </cell>
          <cell r="BH23">
            <v>1</v>
          </cell>
          <cell r="BI23">
            <v>0</v>
          </cell>
          <cell r="BJ23">
            <v>1</v>
          </cell>
          <cell r="BK23">
            <v>0</v>
          </cell>
          <cell r="BL23">
            <v>1</v>
          </cell>
          <cell r="BM23">
            <v>0</v>
          </cell>
          <cell r="BN23">
            <v>2</v>
          </cell>
          <cell r="BO23">
            <v>1</v>
          </cell>
          <cell r="BP23">
            <v>21</v>
          </cell>
          <cell r="BQ23">
            <v>13</v>
          </cell>
        </row>
        <row r="24">
          <cell r="A24" t="str">
            <v>6140705-QUEENCITY 2F027仓库</v>
          </cell>
          <cell r="D24">
            <v>3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5</v>
          </cell>
          <cell r="M24">
            <v>6</v>
          </cell>
          <cell r="N24">
            <v>0</v>
          </cell>
          <cell r="O24">
            <v>0</v>
          </cell>
          <cell r="R24">
            <v>0</v>
          </cell>
          <cell r="S24">
            <v>0</v>
          </cell>
          <cell r="T24">
            <v>1</v>
          </cell>
          <cell r="U24">
            <v>2</v>
          </cell>
          <cell r="V24">
            <v>4</v>
          </cell>
          <cell r="W24">
            <v>0</v>
          </cell>
          <cell r="X24">
            <v>1</v>
          </cell>
          <cell r="Y24">
            <v>4</v>
          </cell>
          <cell r="Z24">
            <v>2</v>
          </cell>
          <cell r="AA24">
            <v>2</v>
          </cell>
          <cell r="AB24">
            <v>4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2</v>
          </cell>
          <cell r="AM24">
            <v>1</v>
          </cell>
          <cell r="AN24">
            <v>6</v>
          </cell>
          <cell r="AO24">
            <v>3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2</v>
          </cell>
          <cell r="AW24">
            <v>1</v>
          </cell>
          <cell r="AX24">
            <v>3</v>
          </cell>
          <cell r="AY24">
            <v>0</v>
          </cell>
          <cell r="AZ24">
            <v>4</v>
          </cell>
          <cell r="BA24">
            <v>4</v>
          </cell>
          <cell r="BB24">
            <v>1</v>
          </cell>
          <cell r="BC24">
            <v>3</v>
          </cell>
          <cell r="BD24">
            <v>19</v>
          </cell>
          <cell r="BE24">
            <v>4</v>
          </cell>
          <cell r="BF24">
            <v>2</v>
          </cell>
          <cell r="BG24">
            <v>0</v>
          </cell>
          <cell r="BH24">
            <v>2</v>
          </cell>
          <cell r="BI24">
            <v>2</v>
          </cell>
          <cell r="BJ24">
            <v>3</v>
          </cell>
          <cell r="BK24">
            <v>0</v>
          </cell>
          <cell r="BL24">
            <v>0</v>
          </cell>
          <cell r="BM24">
            <v>2</v>
          </cell>
          <cell r="BN24">
            <v>3</v>
          </cell>
          <cell r="BO24">
            <v>0</v>
          </cell>
          <cell r="BP24">
            <v>67</v>
          </cell>
          <cell r="BQ24">
            <v>35</v>
          </cell>
        </row>
        <row r="25">
          <cell r="A25" t="str">
            <v>6140706-23 SEMARANG MALL 1F065-66仓库</v>
          </cell>
          <cell r="D25">
            <v>2</v>
          </cell>
          <cell r="E25">
            <v>0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3</v>
          </cell>
          <cell r="M25">
            <v>2</v>
          </cell>
          <cell r="R25">
            <v>0</v>
          </cell>
          <cell r="S25">
            <v>0</v>
          </cell>
          <cell r="T25">
            <v>2</v>
          </cell>
          <cell r="U25">
            <v>1</v>
          </cell>
          <cell r="V25">
            <v>2</v>
          </cell>
          <cell r="W25">
            <v>0</v>
          </cell>
          <cell r="X25">
            <v>2</v>
          </cell>
          <cell r="Y25">
            <v>1</v>
          </cell>
          <cell r="Z25">
            <v>2</v>
          </cell>
          <cell r="AA25">
            <v>2</v>
          </cell>
          <cell r="AB25">
            <v>1</v>
          </cell>
          <cell r="AC25">
            <v>2</v>
          </cell>
          <cell r="AL25">
            <v>4</v>
          </cell>
          <cell r="AM25">
            <v>0</v>
          </cell>
          <cell r="AN25">
            <v>1</v>
          </cell>
          <cell r="AO25">
            <v>2</v>
          </cell>
          <cell r="AV25">
            <v>2</v>
          </cell>
          <cell r="AW25">
            <v>0</v>
          </cell>
          <cell r="AX25">
            <v>3</v>
          </cell>
          <cell r="AY25">
            <v>0</v>
          </cell>
          <cell r="AZ25">
            <v>2</v>
          </cell>
          <cell r="BA25">
            <v>0</v>
          </cell>
          <cell r="BB25">
            <v>6</v>
          </cell>
          <cell r="BC25">
            <v>0</v>
          </cell>
          <cell r="BD25">
            <v>0</v>
          </cell>
          <cell r="BE25">
            <v>3</v>
          </cell>
          <cell r="BF25">
            <v>1</v>
          </cell>
          <cell r="BG25">
            <v>0</v>
          </cell>
          <cell r="BH25">
            <v>2</v>
          </cell>
          <cell r="BI25">
            <v>0</v>
          </cell>
          <cell r="BJ25">
            <v>4</v>
          </cell>
          <cell r="BK25">
            <v>0</v>
          </cell>
          <cell r="BL25">
            <v>1</v>
          </cell>
          <cell r="BM25">
            <v>1</v>
          </cell>
          <cell r="BN25">
            <v>2</v>
          </cell>
          <cell r="BO25">
            <v>1</v>
          </cell>
          <cell r="BP25">
            <v>43</v>
          </cell>
          <cell r="BQ25">
            <v>15</v>
          </cell>
        </row>
        <row r="26">
          <cell r="A26" t="str">
            <v>6170703-4004 MVS-BNT-CCM STORE仓库</v>
          </cell>
          <cell r="B26">
            <v>0</v>
          </cell>
          <cell r="C26">
            <v>0</v>
          </cell>
          <cell r="D26">
            <v>2</v>
          </cell>
          <cell r="E26">
            <v>0</v>
          </cell>
          <cell r="H26">
            <v>0</v>
          </cell>
          <cell r="I26">
            <v>0</v>
          </cell>
          <cell r="L26">
            <v>3</v>
          </cell>
          <cell r="M26">
            <v>0</v>
          </cell>
          <cell r="R26">
            <v>0</v>
          </cell>
          <cell r="S26">
            <v>0</v>
          </cell>
          <cell r="T26">
            <v>1</v>
          </cell>
          <cell r="U26">
            <v>2</v>
          </cell>
          <cell r="V26">
            <v>2</v>
          </cell>
          <cell r="W26">
            <v>1</v>
          </cell>
          <cell r="X26">
            <v>2</v>
          </cell>
          <cell r="Y26">
            <v>0</v>
          </cell>
          <cell r="Z26">
            <v>2</v>
          </cell>
          <cell r="AA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2</v>
          </cell>
          <cell r="AM26">
            <v>0</v>
          </cell>
          <cell r="AN26">
            <v>0</v>
          </cell>
          <cell r="AO26">
            <v>1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V26">
            <v>2</v>
          </cell>
          <cell r="AW26">
            <v>0</v>
          </cell>
          <cell r="AX26">
            <v>1</v>
          </cell>
          <cell r="AY26">
            <v>0</v>
          </cell>
          <cell r="AZ26">
            <v>2</v>
          </cell>
          <cell r="BA26">
            <v>0</v>
          </cell>
          <cell r="BB26">
            <v>2</v>
          </cell>
          <cell r="BC26">
            <v>0</v>
          </cell>
          <cell r="BD26">
            <v>0</v>
          </cell>
          <cell r="BE26">
            <v>0</v>
          </cell>
          <cell r="BH26">
            <v>1</v>
          </cell>
          <cell r="BI26">
            <v>1</v>
          </cell>
          <cell r="BJ26">
            <v>0</v>
          </cell>
          <cell r="BK26">
            <v>1</v>
          </cell>
          <cell r="BL26">
            <v>2</v>
          </cell>
          <cell r="BM26">
            <v>0</v>
          </cell>
          <cell r="BN26">
            <v>1</v>
          </cell>
          <cell r="BO26">
            <v>1</v>
          </cell>
          <cell r="BP26">
            <v>25</v>
          </cell>
          <cell r="BQ26">
            <v>7</v>
          </cell>
        </row>
        <row r="27">
          <cell r="A27" t="str">
            <v>6170707-LG BLOK D NO. 01D仓库</v>
          </cell>
          <cell r="B27">
            <v>0</v>
          </cell>
          <cell r="C27">
            <v>0</v>
          </cell>
          <cell r="D27">
            <v>3</v>
          </cell>
          <cell r="E27">
            <v>17</v>
          </cell>
          <cell r="F27">
            <v>0</v>
          </cell>
          <cell r="G27">
            <v>0</v>
          </cell>
          <cell r="H27">
            <v>0</v>
          </cell>
          <cell r="I27">
            <v>7</v>
          </cell>
          <cell r="J27">
            <v>0</v>
          </cell>
          <cell r="K27">
            <v>0</v>
          </cell>
          <cell r="L27">
            <v>5</v>
          </cell>
          <cell r="M27">
            <v>8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</v>
          </cell>
          <cell r="U27">
            <v>31</v>
          </cell>
          <cell r="V27">
            <v>0</v>
          </cell>
          <cell r="W27">
            <v>33</v>
          </cell>
          <cell r="X27">
            <v>4</v>
          </cell>
          <cell r="Y27">
            <v>30</v>
          </cell>
          <cell r="Z27">
            <v>0</v>
          </cell>
          <cell r="AA27">
            <v>14</v>
          </cell>
          <cell r="AB27">
            <v>0</v>
          </cell>
          <cell r="AC27">
            <v>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  <cell r="AO27">
            <v>11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4</v>
          </cell>
          <cell r="AW27">
            <v>7</v>
          </cell>
          <cell r="AX27">
            <v>5</v>
          </cell>
          <cell r="AY27">
            <v>2</v>
          </cell>
          <cell r="AZ27">
            <v>1</v>
          </cell>
          <cell r="BA27">
            <v>2</v>
          </cell>
          <cell r="BB27">
            <v>4</v>
          </cell>
          <cell r="BC27">
            <v>1</v>
          </cell>
          <cell r="BD27">
            <v>0</v>
          </cell>
          <cell r="BE27">
            <v>4</v>
          </cell>
          <cell r="BF27">
            <v>0</v>
          </cell>
          <cell r="BG27">
            <v>1</v>
          </cell>
          <cell r="BH27">
            <v>1</v>
          </cell>
          <cell r="BI27">
            <v>0</v>
          </cell>
          <cell r="BJ27">
            <v>3</v>
          </cell>
          <cell r="BK27">
            <v>0</v>
          </cell>
          <cell r="BL27">
            <v>2</v>
          </cell>
          <cell r="BM27">
            <v>0</v>
          </cell>
          <cell r="BN27">
            <v>7</v>
          </cell>
          <cell r="BO27">
            <v>17</v>
          </cell>
          <cell r="BP27">
            <v>40</v>
          </cell>
          <cell r="BQ27">
            <v>188</v>
          </cell>
        </row>
        <row r="28">
          <cell r="A28" t="str">
            <v>6180706-MVS MALL CCM仓库</v>
          </cell>
          <cell r="B28">
            <v>0</v>
          </cell>
          <cell r="C28">
            <v>0</v>
          </cell>
          <cell r="D28">
            <v>1</v>
          </cell>
          <cell r="E28">
            <v>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</v>
          </cell>
          <cell r="M28">
            <v>4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</v>
          </cell>
          <cell r="U28">
            <v>6</v>
          </cell>
          <cell r="V28">
            <v>0</v>
          </cell>
          <cell r="W28">
            <v>9</v>
          </cell>
          <cell r="X28">
            <v>5</v>
          </cell>
          <cell r="Y28">
            <v>14</v>
          </cell>
          <cell r="Z28">
            <v>2</v>
          </cell>
          <cell r="AA28">
            <v>3</v>
          </cell>
          <cell r="AB28">
            <v>1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3</v>
          </cell>
          <cell r="AN28">
            <v>0</v>
          </cell>
          <cell r="AO28">
            <v>2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V28">
            <v>1</v>
          </cell>
          <cell r="AW28">
            <v>6</v>
          </cell>
          <cell r="AX28">
            <v>2</v>
          </cell>
          <cell r="AY28">
            <v>2</v>
          </cell>
          <cell r="AZ28">
            <v>0</v>
          </cell>
          <cell r="BA28">
            <v>2</v>
          </cell>
          <cell r="BB28">
            <v>0</v>
          </cell>
          <cell r="BC28">
            <v>1</v>
          </cell>
          <cell r="BD28">
            <v>2</v>
          </cell>
          <cell r="BE28">
            <v>0</v>
          </cell>
          <cell r="BF28">
            <v>2</v>
          </cell>
          <cell r="BG28">
            <v>0</v>
          </cell>
          <cell r="BH28">
            <v>2</v>
          </cell>
          <cell r="BI28">
            <v>0</v>
          </cell>
          <cell r="BJ28">
            <v>1</v>
          </cell>
          <cell r="BK28">
            <v>1</v>
          </cell>
          <cell r="BL28">
            <v>2</v>
          </cell>
          <cell r="BM28">
            <v>0</v>
          </cell>
          <cell r="BN28">
            <v>4</v>
          </cell>
          <cell r="BO28">
            <v>8</v>
          </cell>
          <cell r="BP28">
            <v>30</v>
          </cell>
          <cell r="BQ28">
            <v>68</v>
          </cell>
        </row>
        <row r="29">
          <cell r="A29" t="str">
            <v>6180707-SC BTM仓库</v>
          </cell>
          <cell r="D29">
            <v>0</v>
          </cell>
          <cell r="E29">
            <v>2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</v>
          </cell>
          <cell r="T29">
            <v>1</v>
          </cell>
          <cell r="U29">
            <v>2</v>
          </cell>
          <cell r="V29">
            <v>2</v>
          </cell>
          <cell r="W29">
            <v>3</v>
          </cell>
          <cell r="X29">
            <v>2</v>
          </cell>
          <cell r="Y29">
            <v>4</v>
          </cell>
          <cell r="Z29">
            <v>1</v>
          </cell>
          <cell r="AA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2</v>
          </cell>
          <cell r="AN29">
            <v>1</v>
          </cell>
          <cell r="AO29">
            <v>0</v>
          </cell>
          <cell r="AP29">
            <v>0</v>
          </cell>
          <cell r="AQ29">
            <v>0</v>
          </cell>
          <cell r="AV29">
            <v>2</v>
          </cell>
          <cell r="AW29">
            <v>2</v>
          </cell>
          <cell r="AX29">
            <v>1</v>
          </cell>
          <cell r="AY29">
            <v>1</v>
          </cell>
          <cell r="BB29">
            <v>0</v>
          </cell>
          <cell r="BC29">
            <v>0</v>
          </cell>
          <cell r="BD29">
            <v>1</v>
          </cell>
          <cell r="BE29">
            <v>0</v>
          </cell>
          <cell r="BJ29">
            <v>0</v>
          </cell>
          <cell r="BK29">
            <v>1</v>
          </cell>
          <cell r="BL29">
            <v>1</v>
          </cell>
          <cell r="BM29">
            <v>1</v>
          </cell>
          <cell r="BN29">
            <v>1</v>
          </cell>
          <cell r="BO29">
            <v>2</v>
          </cell>
          <cell r="BP29">
            <v>13</v>
          </cell>
          <cell r="BQ29">
            <v>23</v>
          </cell>
        </row>
        <row r="30">
          <cell r="A30" t="str">
            <v>6190701-VIVO STORE UG仓库</v>
          </cell>
          <cell r="D30">
            <v>3</v>
          </cell>
          <cell r="E30">
            <v>10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4</v>
          </cell>
          <cell r="M30">
            <v>8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4</v>
          </cell>
          <cell r="U30">
            <v>20</v>
          </cell>
          <cell r="V30">
            <v>7</v>
          </cell>
          <cell r="W30">
            <v>19</v>
          </cell>
          <cell r="X30">
            <v>4</v>
          </cell>
          <cell r="Y30">
            <v>23</v>
          </cell>
          <cell r="Z30">
            <v>4</v>
          </cell>
          <cell r="AA30">
            <v>8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5</v>
          </cell>
          <cell r="AN30">
            <v>3</v>
          </cell>
          <cell r="AO30">
            <v>7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4</v>
          </cell>
          <cell r="AW30">
            <v>11</v>
          </cell>
          <cell r="AX30">
            <v>4</v>
          </cell>
          <cell r="AY30">
            <v>1</v>
          </cell>
          <cell r="AZ30">
            <v>4</v>
          </cell>
          <cell r="BA30">
            <v>4</v>
          </cell>
          <cell r="BB30">
            <v>0</v>
          </cell>
          <cell r="BC30">
            <v>6</v>
          </cell>
          <cell r="BD30">
            <v>0</v>
          </cell>
          <cell r="BE30">
            <v>4</v>
          </cell>
          <cell r="BH30">
            <v>1</v>
          </cell>
          <cell r="BI30">
            <v>0</v>
          </cell>
          <cell r="BJ30">
            <v>2</v>
          </cell>
          <cell r="BK30">
            <v>3</v>
          </cell>
          <cell r="BL30">
            <v>2</v>
          </cell>
          <cell r="BM30">
            <v>0</v>
          </cell>
          <cell r="BN30">
            <v>8</v>
          </cell>
          <cell r="BO30">
            <v>14</v>
          </cell>
          <cell r="BP30">
            <v>54</v>
          </cell>
          <cell r="BQ30">
            <v>143</v>
          </cell>
        </row>
        <row r="31">
          <cell r="A31" t="str">
            <v>6190704-VIVO STORE 1 BEC仓库</v>
          </cell>
          <cell r="D31">
            <v>3</v>
          </cell>
          <cell r="E31">
            <v>25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2</v>
          </cell>
          <cell r="M31">
            <v>11</v>
          </cell>
          <cell r="N31">
            <v>0</v>
          </cell>
          <cell r="O31">
            <v>0</v>
          </cell>
          <cell r="R31">
            <v>0</v>
          </cell>
          <cell r="S31">
            <v>0</v>
          </cell>
          <cell r="T31">
            <v>0</v>
          </cell>
          <cell r="U31">
            <v>34</v>
          </cell>
          <cell r="V31">
            <v>4</v>
          </cell>
          <cell r="W31">
            <v>38</v>
          </cell>
          <cell r="X31">
            <v>9</v>
          </cell>
          <cell r="Y31">
            <v>36</v>
          </cell>
          <cell r="Z31">
            <v>6</v>
          </cell>
          <cell r="AA31">
            <v>15</v>
          </cell>
          <cell r="AB31">
            <v>0</v>
          </cell>
          <cell r="AC31">
            <v>1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21</v>
          </cell>
          <cell r="AN31">
            <v>2</v>
          </cell>
          <cell r="AO31">
            <v>11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V31">
            <v>4</v>
          </cell>
          <cell r="AW31">
            <v>16</v>
          </cell>
          <cell r="AX31">
            <v>4</v>
          </cell>
          <cell r="AY31">
            <v>2</v>
          </cell>
          <cell r="AZ31">
            <v>2</v>
          </cell>
          <cell r="BA31">
            <v>4</v>
          </cell>
          <cell r="BB31">
            <v>0</v>
          </cell>
          <cell r="BC31">
            <v>6</v>
          </cell>
          <cell r="BD31">
            <v>0</v>
          </cell>
          <cell r="BE31">
            <v>5</v>
          </cell>
          <cell r="BH31">
            <v>1</v>
          </cell>
          <cell r="BI31">
            <v>0</v>
          </cell>
          <cell r="BJ31">
            <v>3</v>
          </cell>
          <cell r="BK31">
            <v>5</v>
          </cell>
          <cell r="BL31">
            <v>2</v>
          </cell>
          <cell r="BM31">
            <v>3</v>
          </cell>
          <cell r="BN31">
            <v>8</v>
          </cell>
          <cell r="BO31">
            <v>28</v>
          </cell>
          <cell r="BP31">
            <v>50</v>
          </cell>
          <cell r="BQ31">
            <v>261</v>
          </cell>
        </row>
        <row r="32">
          <cell r="A32" t="str">
            <v>6220701-MVS MBH-VIP VIVO STORE-DD284仓库</v>
          </cell>
          <cell r="B32">
            <v>0</v>
          </cell>
          <cell r="C32">
            <v>0</v>
          </cell>
          <cell r="D32">
            <v>1</v>
          </cell>
          <cell r="E32">
            <v>3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4</v>
          </cell>
          <cell r="M32">
            <v>5</v>
          </cell>
          <cell r="R32">
            <v>0</v>
          </cell>
          <cell r="S32">
            <v>0</v>
          </cell>
          <cell r="T32">
            <v>5</v>
          </cell>
          <cell r="U32">
            <v>10</v>
          </cell>
          <cell r="V32">
            <v>4</v>
          </cell>
          <cell r="W32">
            <v>7</v>
          </cell>
          <cell r="X32">
            <v>2</v>
          </cell>
          <cell r="Y32">
            <v>11</v>
          </cell>
          <cell r="Z32">
            <v>1</v>
          </cell>
          <cell r="AA32">
            <v>4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8</v>
          </cell>
          <cell r="AN32">
            <v>2</v>
          </cell>
          <cell r="AO32">
            <v>3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V32">
            <v>1</v>
          </cell>
          <cell r="AW32">
            <v>10</v>
          </cell>
          <cell r="AX32">
            <v>2</v>
          </cell>
          <cell r="AY32">
            <v>3</v>
          </cell>
          <cell r="AZ32">
            <v>2</v>
          </cell>
          <cell r="BA32">
            <v>3</v>
          </cell>
          <cell r="BB32">
            <v>1</v>
          </cell>
          <cell r="BC32">
            <v>3</v>
          </cell>
          <cell r="BD32">
            <v>1</v>
          </cell>
          <cell r="BE32">
            <v>1</v>
          </cell>
          <cell r="BH32">
            <v>1</v>
          </cell>
          <cell r="BI32">
            <v>0</v>
          </cell>
          <cell r="BJ32">
            <v>1</v>
          </cell>
          <cell r="BK32">
            <v>3</v>
          </cell>
          <cell r="BL32">
            <v>4</v>
          </cell>
          <cell r="BM32">
            <v>0</v>
          </cell>
          <cell r="BN32">
            <v>9</v>
          </cell>
          <cell r="BO32">
            <v>5</v>
          </cell>
          <cell r="BP32">
            <v>41</v>
          </cell>
          <cell r="BQ32">
            <v>79</v>
          </cell>
        </row>
        <row r="33">
          <cell r="A33" t="str">
            <v>6240701-LG BLOK A-B NO. 12仓库</v>
          </cell>
          <cell r="B33">
            <v>0</v>
          </cell>
          <cell r="C33">
            <v>0</v>
          </cell>
          <cell r="D33">
            <v>3</v>
          </cell>
          <cell r="E33">
            <v>9</v>
          </cell>
          <cell r="F33">
            <v>0</v>
          </cell>
          <cell r="G33">
            <v>0</v>
          </cell>
          <cell r="H33">
            <v>0</v>
          </cell>
          <cell r="I33">
            <v>5</v>
          </cell>
          <cell r="J33">
            <v>0</v>
          </cell>
          <cell r="K33">
            <v>0</v>
          </cell>
          <cell r="L33">
            <v>6</v>
          </cell>
          <cell r="M33">
            <v>4</v>
          </cell>
          <cell r="N33">
            <v>0</v>
          </cell>
          <cell r="O33">
            <v>0</v>
          </cell>
          <cell r="R33">
            <v>0</v>
          </cell>
          <cell r="S33">
            <v>0</v>
          </cell>
          <cell r="T33">
            <v>2</v>
          </cell>
          <cell r="U33">
            <v>25</v>
          </cell>
          <cell r="V33">
            <v>1</v>
          </cell>
          <cell r="W33">
            <v>28</v>
          </cell>
          <cell r="X33">
            <v>11</v>
          </cell>
          <cell r="Y33">
            <v>38</v>
          </cell>
          <cell r="Z33">
            <v>5</v>
          </cell>
          <cell r="AA33">
            <v>14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6</v>
          </cell>
          <cell r="AN33">
            <v>2</v>
          </cell>
          <cell r="AO33">
            <v>13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V33">
            <v>4</v>
          </cell>
          <cell r="AW33">
            <v>10</v>
          </cell>
          <cell r="AX33">
            <v>2</v>
          </cell>
          <cell r="AY33">
            <v>2</v>
          </cell>
          <cell r="AZ33">
            <v>0</v>
          </cell>
          <cell r="BA33">
            <v>3</v>
          </cell>
          <cell r="BB33">
            <v>1</v>
          </cell>
          <cell r="BC33">
            <v>0</v>
          </cell>
          <cell r="BD33">
            <v>1</v>
          </cell>
          <cell r="BE33">
            <v>3</v>
          </cell>
          <cell r="BF33">
            <v>2</v>
          </cell>
          <cell r="BG33">
            <v>0</v>
          </cell>
          <cell r="BH33">
            <v>0</v>
          </cell>
          <cell r="BI33">
            <v>0</v>
          </cell>
          <cell r="BJ33">
            <v>2</v>
          </cell>
          <cell r="BK33">
            <v>1</v>
          </cell>
          <cell r="BL33">
            <v>2</v>
          </cell>
          <cell r="BM33">
            <v>0</v>
          </cell>
          <cell r="BN33">
            <v>9</v>
          </cell>
          <cell r="BO33">
            <v>21</v>
          </cell>
          <cell r="BP33">
            <v>53</v>
          </cell>
          <cell r="BQ33">
            <v>182</v>
          </cell>
        </row>
        <row r="34">
          <cell r="A34" t="str">
            <v>6240705-CIPUTRA 2FC15仓库</v>
          </cell>
          <cell r="B34">
            <v>0</v>
          </cell>
          <cell r="C34">
            <v>0</v>
          </cell>
          <cell r="D34">
            <v>1</v>
          </cell>
          <cell r="E34">
            <v>2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6</v>
          </cell>
          <cell r="M34">
            <v>1</v>
          </cell>
          <cell r="N34">
            <v>0</v>
          </cell>
          <cell r="O34">
            <v>0</v>
          </cell>
          <cell r="R34">
            <v>0</v>
          </cell>
          <cell r="S34">
            <v>0</v>
          </cell>
          <cell r="T34">
            <v>2</v>
          </cell>
          <cell r="U34">
            <v>3</v>
          </cell>
          <cell r="V34">
            <v>3</v>
          </cell>
          <cell r="W34">
            <v>1</v>
          </cell>
          <cell r="X34">
            <v>3</v>
          </cell>
          <cell r="Y34">
            <v>2</v>
          </cell>
          <cell r="Z34">
            <v>4</v>
          </cell>
          <cell r="AA34">
            <v>0</v>
          </cell>
          <cell r="AB34">
            <v>1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2</v>
          </cell>
          <cell r="AN34">
            <v>4</v>
          </cell>
          <cell r="AO34">
            <v>2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V34">
            <v>0</v>
          </cell>
          <cell r="AW34">
            <v>2</v>
          </cell>
          <cell r="AX34">
            <v>2</v>
          </cell>
          <cell r="AY34">
            <v>0</v>
          </cell>
          <cell r="AZ34">
            <v>1</v>
          </cell>
          <cell r="BA34">
            <v>0</v>
          </cell>
          <cell r="BB34">
            <v>2</v>
          </cell>
          <cell r="BC34">
            <v>0</v>
          </cell>
          <cell r="BD34">
            <v>0</v>
          </cell>
          <cell r="BE34">
            <v>2</v>
          </cell>
          <cell r="BH34">
            <v>1</v>
          </cell>
          <cell r="BI34">
            <v>0</v>
          </cell>
          <cell r="BJ34">
            <v>2</v>
          </cell>
          <cell r="BK34">
            <v>1</v>
          </cell>
          <cell r="BL34">
            <v>1</v>
          </cell>
          <cell r="BM34">
            <v>1</v>
          </cell>
          <cell r="BN34">
            <v>2</v>
          </cell>
          <cell r="BO34">
            <v>2</v>
          </cell>
          <cell r="BP34">
            <v>35</v>
          </cell>
          <cell r="BQ34">
            <v>21</v>
          </cell>
        </row>
        <row r="35">
          <cell r="A35" t="str">
            <v>6240706-SUPERMALL 1FC3A仓库</v>
          </cell>
          <cell r="D35">
            <v>0</v>
          </cell>
          <cell r="E35">
            <v>3</v>
          </cell>
          <cell r="F35">
            <v>2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3</v>
          </cell>
          <cell r="M35">
            <v>2</v>
          </cell>
          <cell r="N35">
            <v>0</v>
          </cell>
          <cell r="O35">
            <v>0</v>
          </cell>
          <cell r="R35">
            <v>0</v>
          </cell>
          <cell r="S35">
            <v>0</v>
          </cell>
          <cell r="T35">
            <v>4</v>
          </cell>
          <cell r="U35">
            <v>4</v>
          </cell>
          <cell r="V35">
            <v>2</v>
          </cell>
          <cell r="W35">
            <v>4</v>
          </cell>
          <cell r="X35">
            <v>4</v>
          </cell>
          <cell r="Y35">
            <v>3</v>
          </cell>
          <cell r="Z35">
            <v>2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2</v>
          </cell>
          <cell r="AN35">
            <v>1</v>
          </cell>
          <cell r="AO35">
            <v>1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V35">
            <v>2</v>
          </cell>
          <cell r="AW35">
            <v>1</v>
          </cell>
          <cell r="AX35">
            <v>3</v>
          </cell>
          <cell r="AY35">
            <v>0</v>
          </cell>
          <cell r="AZ35">
            <v>2</v>
          </cell>
          <cell r="BA35">
            <v>0</v>
          </cell>
          <cell r="BB35">
            <v>0</v>
          </cell>
          <cell r="BC35">
            <v>1</v>
          </cell>
          <cell r="BD35">
            <v>1</v>
          </cell>
          <cell r="BE35">
            <v>2</v>
          </cell>
          <cell r="BF35">
            <v>1</v>
          </cell>
          <cell r="BG35">
            <v>0</v>
          </cell>
          <cell r="BH35">
            <v>1</v>
          </cell>
          <cell r="BI35">
            <v>0</v>
          </cell>
          <cell r="BJ35">
            <v>0</v>
          </cell>
          <cell r="BK35">
            <v>1</v>
          </cell>
          <cell r="BL35">
            <v>0</v>
          </cell>
          <cell r="BM35">
            <v>1</v>
          </cell>
          <cell r="BN35">
            <v>5</v>
          </cell>
          <cell r="BO35">
            <v>3</v>
          </cell>
          <cell r="BP35">
            <v>33</v>
          </cell>
          <cell r="BQ35">
            <v>30</v>
          </cell>
        </row>
        <row r="36">
          <cell r="A36" t="str">
            <v>6240707-SUPERMALL UGN3A仓库</v>
          </cell>
          <cell r="D36">
            <v>0</v>
          </cell>
          <cell r="E36">
            <v>1</v>
          </cell>
          <cell r="T36">
            <v>0</v>
          </cell>
          <cell r="U36">
            <v>2</v>
          </cell>
          <cell r="V36">
            <v>0</v>
          </cell>
          <cell r="W36">
            <v>2</v>
          </cell>
          <cell r="X36">
            <v>0</v>
          </cell>
          <cell r="Y36">
            <v>2</v>
          </cell>
          <cell r="AN36">
            <v>0</v>
          </cell>
          <cell r="AO36">
            <v>1</v>
          </cell>
          <cell r="BD36">
            <v>0</v>
          </cell>
          <cell r="BE36">
            <v>0</v>
          </cell>
          <cell r="BJ36">
            <v>0</v>
          </cell>
          <cell r="BK36">
            <v>1</v>
          </cell>
          <cell r="BL36">
            <v>0</v>
          </cell>
          <cell r="BM36">
            <v>1</v>
          </cell>
          <cell r="BN36">
            <v>0</v>
          </cell>
          <cell r="BO36">
            <v>1</v>
          </cell>
          <cell r="BP36">
            <v>0</v>
          </cell>
          <cell r="BQ36">
            <v>11</v>
          </cell>
        </row>
        <row r="37">
          <cell r="A37" t="str">
            <v>6240708-ITC BSD 1F09-14仓库</v>
          </cell>
          <cell r="B37">
            <v>0</v>
          </cell>
          <cell r="C37">
            <v>0</v>
          </cell>
          <cell r="D37">
            <v>2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2</v>
          </cell>
          <cell r="J37">
            <v>0</v>
          </cell>
          <cell r="K37">
            <v>0</v>
          </cell>
          <cell r="L37">
            <v>3</v>
          </cell>
          <cell r="M37">
            <v>3</v>
          </cell>
          <cell r="R37">
            <v>0</v>
          </cell>
          <cell r="S37">
            <v>0</v>
          </cell>
          <cell r="T37">
            <v>1</v>
          </cell>
          <cell r="U37">
            <v>4</v>
          </cell>
          <cell r="V37">
            <v>4</v>
          </cell>
          <cell r="W37">
            <v>6</v>
          </cell>
          <cell r="X37">
            <v>2</v>
          </cell>
          <cell r="Y37">
            <v>3</v>
          </cell>
          <cell r="Z37">
            <v>4</v>
          </cell>
          <cell r="AA37">
            <v>1</v>
          </cell>
          <cell r="AB37">
            <v>0</v>
          </cell>
          <cell r="AC37">
            <v>2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2</v>
          </cell>
          <cell r="AM37">
            <v>1</v>
          </cell>
          <cell r="AN37">
            <v>3</v>
          </cell>
          <cell r="AO37">
            <v>1</v>
          </cell>
          <cell r="AP37">
            <v>0</v>
          </cell>
          <cell r="AQ37">
            <v>0</v>
          </cell>
          <cell r="AV37">
            <v>4</v>
          </cell>
          <cell r="AW37">
            <v>0</v>
          </cell>
          <cell r="AX37">
            <v>2</v>
          </cell>
          <cell r="AY37">
            <v>0</v>
          </cell>
          <cell r="AZ37">
            <v>2</v>
          </cell>
          <cell r="BA37">
            <v>0</v>
          </cell>
          <cell r="BB37">
            <v>1</v>
          </cell>
          <cell r="BC37">
            <v>1</v>
          </cell>
          <cell r="BD37">
            <v>1</v>
          </cell>
          <cell r="BE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6</v>
          </cell>
          <cell r="BO37">
            <v>3</v>
          </cell>
          <cell r="BP37">
            <v>40</v>
          </cell>
          <cell r="BQ37">
            <v>32</v>
          </cell>
        </row>
        <row r="38">
          <cell r="A38" t="str">
            <v>6240709-ITC BSD 1F49-50仓库</v>
          </cell>
          <cell r="D38">
            <v>0</v>
          </cell>
          <cell r="E38">
            <v>1</v>
          </cell>
          <cell r="H38">
            <v>0</v>
          </cell>
          <cell r="I38">
            <v>1</v>
          </cell>
          <cell r="L38">
            <v>0</v>
          </cell>
          <cell r="M38">
            <v>2</v>
          </cell>
          <cell r="T38">
            <v>0</v>
          </cell>
          <cell r="U38">
            <v>3</v>
          </cell>
          <cell r="V38">
            <v>0</v>
          </cell>
          <cell r="W38">
            <v>2</v>
          </cell>
          <cell r="X38">
            <v>0</v>
          </cell>
          <cell r="Y38">
            <v>1</v>
          </cell>
          <cell r="AB38">
            <v>0</v>
          </cell>
          <cell r="AC38">
            <v>2</v>
          </cell>
          <cell r="AF38">
            <v>0</v>
          </cell>
          <cell r="AG38">
            <v>0</v>
          </cell>
          <cell r="AL38">
            <v>0</v>
          </cell>
          <cell r="AM38">
            <v>1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BB38">
            <v>0</v>
          </cell>
          <cell r="BC38">
            <v>1</v>
          </cell>
          <cell r="BD38">
            <v>0</v>
          </cell>
          <cell r="BE38">
            <v>0</v>
          </cell>
          <cell r="BJ38">
            <v>0</v>
          </cell>
          <cell r="BK38">
            <v>1</v>
          </cell>
          <cell r="BN38">
            <v>0</v>
          </cell>
          <cell r="BO38">
            <v>1</v>
          </cell>
          <cell r="BP38">
            <v>0</v>
          </cell>
          <cell r="BQ38">
            <v>16</v>
          </cell>
        </row>
        <row r="39">
          <cell r="A39" t="str">
            <v>6240710-BSD SC 1F210仓库</v>
          </cell>
          <cell r="AD39">
            <v>0</v>
          </cell>
          <cell r="AE39">
            <v>0</v>
          </cell>
          <cell r="BP39">
            <v>0</v>
          </cell>
          <cell r="BQ39">
            <v>0</v>
          </cell>
        </row>
        <row r="40">
          <cell r="A40" t="str">
            <v>6150702-GRANMALL SC GF-11仓库</v>
          </cell>
          <cell r="D40">
            <v>1</v>
          </cell>
          <cell r="E40">
            <v>3</v>
          </cell>
          <cell r="L40">
            <v>1</v>
          </cell>
          <cell r="M40">
            <v>1</v>
          </cell>
          <cell r="T40">
            <v>2</v>
          </cell>
          <cell r="U40">
            <v>0</v>
          </cell>
          <cell r="V40">
            <v>2</v>
          </cell>
          <cell r="W40">
            <v>0</v>
          </cell>
          <cell r="X40">
            <v>1</v>
          </cell>
          <cell r="Y40">
            <v>2</v>
          </cell>
          <cell r="Z40">
            <v>2</v>
          </cell>
          <cell r="AA40">
            <v>0</v>
          </cell>
          <cell r="AL40">
            <v>2</v>
          </cell>
          <cell r="AM40">
            <v>1</v>
          </cell>
          <cell r="AN40">
            <v>2</v>
          </cell>
          <cell r="AO40">
            <v>0</v>
          </cell>
          <cell r="AV40">
            <v>2</v>
          </cell>
          <cell r="AW40">
            <v>1</v>
          </cell>
          <cell r="AX40">
            <v>2</v>
          </cell>
          <cell r="AY40">
            <v>0</v>
          </cell>
          <cell r="AZ40">
            <v>2</v>
          </cell>
          <cell r="BA40">
            <v>0</v>
          </cell>
          <cell r="BD40">
            <v>1</v>
          </cell>
          <cell r="BE40">
            <v>0</v>
          </cell>
          <cell r="BH40">
            <v>1</v>
          </cell>
          <cell r="BI40">
            <v>0</v>
          </cell>
          <cell r="BJ40">
            <v>2</v>
          </cell>
          <cell r="BK40">
            <v>0</v>
          </cell>
          <cell r="BL40">
            <v>2</v>
          </cell>
          <cell r="BM40">
            <v>0</v>
          </cell>
          <cell r="BN40">
            <v>2</v>
          </cell>
          <cell r="BO40">
            <v>0</v>
          </cell>
          <cell r="BP40">
            <v>27</v>
          </cell>
          <cell r="BQ40">
            <v>8</v>
          </cell>
        </row>
        <row r="41">
          <cell r="A41" t="str">
            <v>6190708-BEC SC LGAA07仓库</v>
          </cell>
          <cell r="D41">
            <v>0</v>
          </cell>
          <cell r="E41">
            <v>1</v>
          </cell>
          <cell r="L41">
            <v>0</v>
          </cell>
          <cell r="M41">
            <v>2</v>
          </cell>
          <cell r="T41">
            <v>0</v>
          </cell>
          <cell r="U41">
            <v>2</v>
          </cell>
          <cell r="V41">
            <v>0</v>
          </cell>
          <cell r="W41">
            <v>3</v>
          </cell>
          <cell r="X41">
            <v>0</v>
          </cell>
          <cell r="Y41">
            <v>2</v>
          </cell>
          <cell r="AL41">
            <v>0</v>
          </cell>
          <cell r="AM41">
            <v>3</v>
          </cell>
          <cell r="AV41">
            <v>0</v>
          </cell>
          <cell r="AW41">
            <v>8</v>
          </cell>
          <cell r="BP41">
            <v>0</v>
          </cell>
          <cell r="BQ41">
            <v>21</v>
          </cell>
        </row>
        <row r="42">
          <cell r="A42" t="str">
            <v>6050706-AEON MALL DELTAMAS 1F081仓库</v>
          </cell>
          <cell r="D42">
            <v>0</v>
          </cell>
          <cell r="E42">
            <v>4</v>
          </cell>
          <cell r="L42">
            <v>6</v>
          </cell>
          <cell r="M42">
            <v>2</v>
          </cell>
          <cell r="T42">
            <v>4</v>
          </cell>
          <cell r="U42">
            <v>1</v>
          </cell>
          <cell r="V42">
            <v>3</v>
          </cell>
          <cell r="W42">
            <v>1</v>
          </cell>
          <cell r="X42">
            <v>4</v>
          </cell>
          <cell r="Y42">
            <v>4</v>
          </cell>
          <cell r="Z42">
            <v>2</v>
          </cell>
          <cell r="AA42">
            <v>2</v>
          </cell>
          <cell r="AL42">
            <v>2</v>
          </cell>
          <cell r="AM42">
            <v>2</v>
          </cell>
          <cell r="AN42">
            <v>4</v>
          </cell>
          <cell r="AO42">
            <v>2</v>
          </cell>
          <cell r="AV42">
            <v>5</v>
          </cell>
          <cell r="AW42">
            <v>1</v>
          </cell>
          <cell r="AX42">
            <v>2</v>
          </cell>
          <cell r="AY42">
            <v>0</v>
          </cell>
          <cell r="AZ42">
            <v>2</v>
          </cell>
          <cell r="BA42">
            <v>0</v>
          </cell>
          <cell r="BB42">
            <v>2</v>
          </cell>
          <cell r="BC42">
            <v>2</v>
          </cell>
          <cell r="BD42">
            <v>3</v>
          </cell>
          <cell r="BE42">
            <v>0</v>
          </cell>
          <cell r="BH42">
            <v>1</v>
          </cell>
          <cell r="BI42">
            <v>0</v>
          </cell>
          <cell r="BJ42">
            <v>3</v>
          </cell>
          <cell r="BK42">
            <v>0</v>
          </cell>
          <cell r="BL42">
            <v>3</v>
          </cell>
          <cell r="BM42">
            <v>2</v>
          </cell>
          <cell r="BN42">
            <v>4</v>
          </cell>
          <cell r="BO42">
            <v>3</v>
          </cell>
          <cell r="BP42">
            <v>50</v>
          </cell>
          <cell r="BQ42">
            <v>26</v>
          </cell>
        </row>
        <row r="43">
          <cell r="A43" t="str">
            <v>6130703-SC TEGAL PWKT仓库</v>
          </cell>
          <cell r="L43">
            <v>2</v>
          </cell>
          <cell r="M43">
            <v>0</v>
          </cell>
          <cell r="T43">
            <v>1</v>
          </cell>
          <cell r="U43">
            <v>2</v>
          </cell>
          <cell r="V43">
            <v>1</v>
          </cell>
          <cell r="W43">
            <v>3</v>
          </cell>
          <cell r="X43">
            <v>2</v>
          </cell>
          <cell r="Y43">
            <v>1</v>
          </cell>
          <cell r="Z43">
            <v>3</v>
          </cell>
          <cell r="AA43">
            <v>1</v>
          </cell>
          <cell r="AL43">
            <v>1</v>
          </cell>
          <cell r="AM43">
            <v>0</v>
          </cell>
          <cell r="AN43">
            <v>1</v>
          </cell>
          <cell r="AO43">
            <v>0</v>
          </cell>
          <cell r="AX43">
            <v>1</v>
          </cell>
          <cell r="AY43">
            <v>0</v>
          </cell>
          <cell r="AZ43">
            <v>1</v>
          </cell>
          <cell r="BA43">
            <v>0</v>
          </cell>
          <cell r="BB43">
            <v>0</v>
          </cell>
          <cell r="BC43">
            <v>1</v>
          </cell>
          <cell r="BJ43">
            <v>1</v>
          </cell>
          <cell r="BK43">
            <v>0</v>
          </cell>
          <cell r="BL43">
            <v>1</v>
          </cell>
          <cell r="BM43">
            <v>0</v>
          </cell>
          <cell r="BN43">
            <v>2</v>
          </cell>
          <cell r="BO43">
            <v>0</v>
          </cell>
          <cell r="BP43">
            <v>17</v>
          </cell>
          <cell r="BQ43">
            <v>8</v>
          </cell>
        </row>
        <row r="44">
          <cell r="A44" t="str">
            <v>Grand Total</v>
          </cell>
          <cell r="B44">
            <v>0</v>
          </cell>
          <cell r="C44">
            <v>0</v>
          </cell>
          <cell r="D44">
            <v>64</v>
          </cell>
          <cell r="E44">
            <v>166</v>
          </cell>
          <cell r="F44">
            <v>4</v>
          </cell>
          <cell r="G44">
            <v>7</v>
          </cell>
          <cell r="H44">
            <v>1</v>
          </cell>
          <cell r="I44">
            <v>15</v>
          </cell>
          <cell r="J44">
            <v>0</v>
          </cell>
          <cell r="K44">
            <v>0</v>
          </cell>
          <cell r="L44">
            <v>120</v>
          </cell>
          <cell r="M44">
            <v>136</v>
          </cell>
          <cell r="N44">
            <v>0</v>
          </cell>
          <cell r="O44">
            <v>1</v>
          </cell>
          <cell r="P44">
            <v>0</v>
          </cell>
          <cell r="Q44">
            <v>1</v>
          </cell>
          <cell r="R44">
            <v>0</v>
          </cell>
          <cell r="S44">
            <v>0</v>
          </cell>
          <cell r="T44">
            <v>61</v>
          </cell>
          <cell r="U44">
            <v>313</v>
          </cell>
          <cell r="V44">
            <v>73</v>
          </cell>
          <cell r="W44">
            <v>363</v>
          </cell>
          <cell r="X44">
            <v>123</v>
          </cell>
          <cell r="Y44">
            <v>359</v>
          </cell>
          <cell r="Z44">
            <v>78</v>
          </cell>
          <cell r="AA44">
            <v>171</v>
          </cell>
          <cell r="AB44">
            <v>18</v>
          </cell>
          <cell r="AC44">
            <v>13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23</v>
          </cell>
          <cell r="AM44">
            <v>103</v>
          </cell>
          <cell r="AN44">
            <v>65</v>
          </cell>
          <cell r="AO44">
            <v>143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83</v>
          </cell>
          <cell r="AW44">
            <v>176</v>
          </cell>
          <cell r="AX44">
            <v>69</v>
          </cell>
          <cell r="AY44">
            <v>30</v>
          </cell>
          <cell r="AZ44">
            <v>51</v>
          </cell>
          <cell r="BA44">
            <v>53</v>
          </cell>
          <cell r="BB44">
            <v>32</v>
          </cell>
          <cell r="BC44">
            <v>51</v>
          </cell>
          <cell r="BD44">
            <v>41</v>
          </cell>
          <cell r="BE44">
            <v>49</v>
          </cell>
          <cell r="BF44">
            <v>15</v>
          </cell>
          <cell r="BG44">
            <v>2</v>
          </cell>
          <cell r="BH44">
            <v>32</v>
          </cell>
          <cell r="BI44">
            <v>14</v>
          </cell>
          <cell r="BJ44">
            <v>49</v>
          </cell>
          <cell r="BK44">
            <v>34</v>
          </cell>
          <cell r="BL44">
            <v>50</v>
          </cell>
          <cell r="BM44">
            <v>31</v>
          </cell>
          <cell r="BN44">
            <v>194</v>
          </cell>
          <cell r="BO44">
            <v>406</v>
          </cell>
          <cell r="BP44">
            <v>1246</v>
          </cell>
          <cell r="BQ44">
            <v>2637</v>
          </cell>
        </row>
        <row r="45">
          <cell r="R45">
            <v>26099130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V60LITE|8+128|STOCK</v>
          </cell>
          <cell r="C1" t="str">
            <v>V60LITE|8+128|SALES</v>
          </cell>
          <cell r="D1" t="str">
            <v>V60LITE|8+256|STOCK</v>
          </cell>
          <cell r="E1" t="str">
            <v>V60LITE|8+256|SALES</v>
          </cell>
          <cell r="F1" t="str">
            <v>V60LITE5G|8+256|STOCK</v>
          </cell>
          <cell r="G1" t="str">
            <v>V60LITE5G|8+256|SALES</v>
          </cell>
          <cell r="H1" t="str">
            <v>V70|12+256|STOCK</v>
          </cell>
          <cell r="I1" t="str">
            <v>V70|12+256|SALES</v>
          </cell>
          <cell r="J1" t="str">
            <v>V70|12+512|STOCK</v>
          </cell>
          <cell r="K1" t="str">
            <v>V70|12+512|SALES</v>
          </cell>
          <cell r="L1" t="str">
            <v>V70|8+256|STOCK</v>
          </cell>
          <cell r="M1" t="str">
            <v>V70|8+256|SALES</v>
          </cell>
          <cell r="N1" t="str">
            <v>X300|12+256|STOCK</v>
          </cell>
          <cell r="O1" t="str">
            <v>X300|12+256|SALES</v>
          </cell>
          <cell r="P1" t="str">
            <v>X300|16+512|STOCK</v>
          </cell>
          <cell r="Q1" t="str">
            <v>X300|16+512|SALES</v>
          </cell>
          <cell r="R1" t="str">
            <v>X300PRO|16+512|STOCK</v>
          </cell>
          <cell r="S1" t="str">
            <v>X300PRO|16+512|SALES</v>
          </cell>
          <cell r="T1" t="str">
            <v>Y05|4+128|STOCK</v>
          </cell>
          <cell r="U1" t="str">
            <v>Y05|4+128|SALES</v>
          </cell>
          <cell r="V1" t="str">
            <v>Y05|4+64|STOCK</v>
          </cell>
          <cell r="W1" t="str">
            <v>Y05|4+64|SALES</v>
          </cell>
          <cell r="X1" t="str">
            <v>Y11D|4+128|STOCK</v>
          </cell>
          <cell r="Y1" t="str">
            <v>Y11D|4+128|SALES</v>
          </cell>
          <cell r="Z1" t="str">
            <v>Y11D|4+64|STOCK</v>
          </cell>
          <cell r="AA1" t="str">
            <v>Y11D|4+64|SALES</v>
          </cell>
          <cell r="AB1" t="str">
            <v>Y11D|6+128|STOCK</v>
          </cell>
          <cell r="AC1" t="str">
            <v>Y11D|6+128|SALES</v>
          </cell>
          <cell r="AD1" t="str">
            <v>Y21D|4+128|STOCK</v>
          </cell>
          <cell r="AE1" t="str">
            <v>Y21D|4+128|SALES</v>
          </cell>
          <cell r="AF1" t="str">
            <v>Y21D|6+128|STOCK</v>
          </cell>
          <cell r="AG1" t="str">
            <v>Y21D|6+128|SALES</v>
          </cell>
          <cell r="AH1" t="str">
            <v>Y21D|6+256|STOCK</v>
          </cell>
          <cell r="AI1" t="str">
            <v>Y21D|6+256|SALES</v>
          </cell>
          <cell r="AJ1" t="str">
            <v>Y21D|8+128|STOCK</v>
          </cell>
          <cell r="AK1" t="str">
            <v>Y21D|8+128|SALES</v>
          </cell>
          <cell r="AL1" t="str">
            <v>Y31D|4+128|STOCK</v>
          </cell>
          <cell r="AM1" t="str">
            <v>Y31D|4+128|SALES</v>
          </cell>
          <cell r="AN1" t="str">
            <v>Y31DPRO|4+128|STOCK</v>
          </cell>
          <cell r="AO1" t="str">
            <v>Y31DPRO|4+128|SALES</v>
          </cell>
          <cell r="AP1" t="str">
            <v>Y400|8+128|STOCK</v>
          </cell>
          <cell r="AQ1" t="str">
            <v>Y400|8+128|SALES</v>
          </cell>
          <cell r="AR1" t="str">
            <v>Y400|8+256|STOCK</v>
          </cell>
          <cell r="AS1" t="str">
            <v>Y400|8+256|SALES</v>
          </cell>
          <cell r="AT1" t="str">
            <v>FOLD5|16+512|STOCK</v>
          </cell>
          <cell r="AU1" t="str">
            <v>FOLD5|16+512|SALES</v>
          </cell>
          <cell r="AV1" t="str">
            <v>Y31DPRO|6+128|STOCK</v>
          </cell>
          <cell r="AW1" t="str">
            <v>Y31DPRO|6+128|SALES</v>
          </cell>
          <cell r="AX1" t="str">
            <v>Y31DPRO|8+128|STOCK</v>
          </cell>
          <cell r="AY1" t="str">
            <v>Y31DPRO|8+128|SALES</v>
          </cell>
          <cell r="AZ1" t="str">
            <v>Y31DPRO|8+256|STOCK</v>
          </cell>
          <cell r="BA1" t="str">
            <v>Y31DPRO|8+256|SALES</v>
          </cell>
          <cell r="BB1" t="str">
            <v>V70FE|12+256|STOCK</v>
          </cell>
          <cell r="BC1" t="str">
            <v>V70FE|12+256|SALES</v>
          </cell>
          <cell r="BD1" t="str">
            <v>V70FE|8+256|STOCK</v>
          </cell>
          <cell r="BE1" t="str">
            <v>V70FE|8+256|SALES</v>
          </cell>
          <cell r="BF1" t="str">
            <v>X300ULTRA|16+1T|STOCK</v>
          </cell>
          <cell r="BG1" t="str">
            <v>X300ULTRA|16+1T|SALES</v>
          </cell>
          <cell r="BH1" t="str">
            <v>X300ULTRA|16+512|STOCK</v>
          </cell>
          <cell r="BI1" t="str">
            <v>X300ULTRA|16+512|SALES</v>
          </cell>
          <cell r="BJ1" t="str">
            <v>Y500|6+128|STOCK</v>
          </cell>
          <cell r="BK1" t="str">
            <v>Y500|6+128|SALES</v>
          </cell>
          <cell r="BL1" t="str">
            <v>Y500|6+256|STOCK</v>
          </cell>
          <cell r="BM1" t="str">
            <v>Y500|6+256|SALES</v>
          </cell>
          <cell r="BN1" t="str">
            <v>Y05E|4+64|STOCK</v>
          </cell>
          <cell r="BO1" t="str">
            <v>Y05E|4+64|SALES</v>
          </cell>
          <cell r="BP1" t="str">
            <v>TOTALSUMOF结存数量
STOCK|4+64|</v>
          </cell>
          <cell r="BQ1" t="str">
            <v>TOTALSUMOF出库数量
SALESOUT|4+64|</v>
          </cell>
          <cell r="BR1" t="str">
            <v>TOTALSUMOF出库数量
SALESOUT|4+64|</v>
          </cell>
          <cell r="BS1" t="str">
            <v>TOTALSUMOF出库数量
SALESOUT|4+64|</v>
          </cell>
          <cell r="BT1" t="str">
            <v>TOTALSUMOF出库数量
SALESOUT|4+64|</v>
          </cell>
          <cell r="BU1" t="str">
            <v>TOTALSUMOF出库数量
SALESOUT|4+64|</v>
          </cell>
          <cell r="BV1" t="str">
            <v>TOTALSUMOF出库数量
SALESOUT|4+64|</v>
          </cell>
          <cell r="BW1" t="str">
            <v>TOTALSUMOF出库数量
SALESOUT|4+64|</v>
          </cell>
          <cell r="BX1" t="str">
            <v>TOTALSUMOF出库数量
SALESOUT|4+64|</v>
          </cell>
          <cell r="BY1" t="str">
            <v>TOTALSUMOF出库数量
SALESOUT|4+64|</v>
          </cell>
          <cell r="BZ1" t="str">
            <v>TOTALSUMOF出库数量
SALESOUT|4+64|</v>
          </cell>
          <cell r="CA1" t="str">
            <v>TOTALSUMOF出库数量
SALESOUT|4+64|</v>
          </cell>
          <cell r="CB1" t="str">
            <v>TOTALSUMOF出库数量
SALESOUT|4+64|</v>
          </cell>
          <cell r="CC1" t="str">
            <v>TOTALSUMOF出库数量
SALESOUT|4+64|</v>
          </cell>
          <cell r="CD1" t="str">
            <v>TOTALSUMOF出库数量
SALESOUT|4+64|</v>
          </cell>
          <cell r="CE1" t="str">
            <v>TOTALSUMOF出库数量
SALESOUT|4+64|</v>
          </cell>
          <cell r="CF1" t="str">
            <v>TOTALSUMOF出库数量
SALESOUT|4+64|</v>
          </cell>
          <cell r="CG1" t="str">
            <v>TOTALSUMOF出库数量
SALESOUT|4+64|</v>
          </cell>
          <cell r="CH1" t="str">
            <v>TOTALSUMOF出库数量
SALESOUT|4+64|</v>
          </cell>
          <cell r="CI1" t="str">
            <v>TOTALSUMOF出库数量
SALESOUT|4+64|</v>
          </cell>
          <cell r="CJ1" t="str">
            <v>TOTALSUMOF出库数量
SALESOUT|4+64|</v>
          </cell>
          <cell r="CK1" t="str">
            <v>TOTALSUMOF出库数量
SALESOUT|4+64|</v>
          </cell>
          <cell r="CL1" t="str">
            <v>TOTALSUMOF出库数量
SALESOUT|4+64|</v>
          </cell>
          <cell r="CM1" t="str">
            <v>TOTALSUMOF出库数量
SALESOUT|4+64|</v>
          </cell>
          <cell r="CN1" t="str">
            <v>TOTALSUMOF出库数量
SALESOUT|4+64|</v>
          </cell>
          <cell r="CO1" t="str">
            <v>TOTALSUMOF出库数量
SALESOUT|4+64|</v>
          </cell>
          <cell r="CP1" t="str">
            <v>TOTALSUMOF出库数量
SALESOUT|4+64|</v>
          </cell>
          <cell r="CQ1" t="str">
            <v>TOTALSUMOF出库数量
SALESOUT|4+64|</v>
          </cell>
          <cell r="CR1" t="str">
            <v>TOTALSUMOF出库数量
SALESOUT|4+64|</v>
          </cell>
          <cell r="CS1" t="str">
            <v>TOTALSUMOF出库数量
SALESOUT|4+64|</v>
          </cell>
          <cell r="CT1" t="str">
            <v>TOTALSUMOF出库数量
SALESOUT|4+64|</v>
          </cell>
          <cell r="CU1" t="str">
            <v>TOTALSUMOF出库数量
SALESOUT|4+64|</v>
          </cell>
          <cell r="CV1" t="str">
            <v>TOTALSUMOF出库数量
SALESOUT|4+64|</v>
          </cell>
        </row>
        <row r="5">
          <cell r="B5" t="str">
            <v>V60LITE|STOCK</v>
          </cell>
          <cell r="C5" t="str">
            <v>V60LITE|SALES</v>
          </cell>
          <cell r="D5" t="str">
            <v>V60LITE|STOCK</v>
          </cell>
          <cell r="E5" t="str">
            <v>V60LITE|SALES</v>
          </cell>
          <cell r="F5" t="str">
            <v>V60LITE5G|STOCK</v>
          </cell>
          <cell r="G5" t="str">
            <v>V60LITE5G|SALES</v>
          </cell>
          <cell r="H5" t="str">
            <v>V70|STOCK</v>
          </cell>
          <cell r="I5" t="str">
            <v>V70|SALES</v>
          </cell>
          <cell r="J5" t="str">
            <v>V70|STOCK</v>
          </cell>
          <cell r="K5" t="str">
            <v>V70|SALES</v>
          </cell>
          <cell r="L5" t="str">
            <v>V70|STOCK</v>
          </cell>
          <cell r="M5" t="str">
            <v>V70|SALES</v>
          </cell>
          <cell r="N5" t="str">
            <v>X300|STOCK</v>
          </cell>
          <cell r="O5" t="str">
            <v>X300|SALES</v>
          </cell>
          <cell r="P5" t="str">
            <v>X300|STOCK</v>
          </cell>
          <cell r="Q5" t="str">
            <v>X300|SALES</v>
          </cell>
          <cell r="R5" t="str">
            <v>X300PRO|STOCK</v>
          </cell>
          <cell r="S5" t="str">
            <v>X300PRO|SALES</v>
          </cell>
          <cell r="T5" t="str">
            <v>Y05|STOCK</v>
          </cell>
          <cell r="U5" t="str">
            <v>Y05|SALES</v>
          </cell>
          <cell r="V5" t="str">
            <v>Y05|STOCK</v>
          </cell>
          <cell r="W5" t="str">
            <v>Y05|SALES</v>
          </cell>
          <cell r="X5" t="str">
            <v>Y11D|STOCK</v>
          </cell>
          <cell r="Y5" t="str">
            <v>Y11D|SALES</v>
          </cell>
          <cell r="Z5" t="str">
            <v>Y11D|STOCK</v>
          </cell>
          <cell r="AA5" t="str">
            <v>Y11D|SALES</v>
          </cell>
          <cell r="AB5" t="str">
            <v>Y11D|STOCK</v>
          </cell>
          <cell r="AC5" t="str">
            <v>Y11D|SALES</v>
          </cell>
          <cell r="AD5" t="str">
            <v>Y21D|STOCK</v>
          </cell>
          <cell r="AE5" t="str">
            <v>Y21D|SALES</v>
          </cell>
          <cell r="AF5" t="str">
            <v>Y21D|STOCK</v>
          </cell>
          <cell r="AG5" t="str">
            <v>Y21D|SALES</v>
          </cell>
          <cell r="AH5" t="str">
            <v>Y21D|STOCK</v>
          </cell>
          <cell r="AI5" t="str">
            <v>Y21D|SALES</v>
          </cell>
          <cell r="AJ5" t="str">
            <v>Y21D|STOCK</v>
          </cell>
          <cell r="AK5" t="str">
            <v>Y21D|SALES</v>
          </cell>
          <cell r="AL5" t="str">
            <v>Y31D|STOCK</v>
          </cell>
          <cell r="AM5" t="str">
            <v>Y31D|SALES</v>
          </cell>
          <cell r="AN5" t="str">
            <v>Y31DPRO|STOCK</v>
          </cell>
          <cell r="AO5" t="str">
            <v>Y31DPRO|SALES</v>
          </cell>
          <cell r="AP5" t="str">
            <v>Y400|STOCK</v>
          </cell>
          <cell r="AQ5" t="str">
            <v>Y400|SALES</v>
          </cell>
          <cell r="AR5" t="str">
            <v>Y400|STOCK</v>
          </cell>
          <cell r="AS5" t="str">
            <v>Y400|SALES</v>
          </cell>
          <cell r="AT5" t="str">
            <v>FOLD5|STOCK</v>
          </cell>
          <cell r="AU5" t="str">
            <v>FOLD5|SALES</v>
          </cell>
          <cell r="AV5" t="str">
            <v>Y31DPRO|STOCK</v>
          </cell>
          <cell r="AW5" t="str">
            <v>Y31DPRO|SALES</v>
          </cell>
          <cell r="AX5" t="str">
            <v>Y31DPRO|STOCK</v>
          </cell>
          <cell r="AY5" t="str">
            <v>Y31DPRO|SALES</v>
          </cell>
          <cell r="AZ5" t="str">
            <v>Y31DPRO|STOCK</v>
          </cell>
          <cell r="BA5" t="str">
            <v>Y31DPRO|SALES</v>
          </cell>
          <cell r="BB5" t="str">
            <v>V70FE|STOCK</v>
          </cell>
          <cell r="BC5" t="str">
            <v>V70FE|SALES</v>
          </cell>
          <cell r="BD5" t="str">
            <v>V70FE|STOCK</v>
          </cell>
          <cell r="BE5" t="str">
            <v>V70FE|SALES</v>
          </cell>
          <cell r="BF5" t="str">
            <v>X300ULTRA|STOCK</v>
          </cell>
          <cell r="BG5" t="str">
            <v>X300ULTRA|SALES</v>
          </cell>
          <cell r="BH5" t="str">
            <v>X300ULTRA|STOCK</v>
          </cell>
          <cell r="BI5" t="str">
            <v>X300ULTRA|SALES</v>
          </cell>
          <cell r="BJ5" t="str">
            <v>Y500|STOCK</v>
          </cell>
          <cell r="BK5" t="str">
            <v>Y500|SALES</v>
          </cell>
          <cell r="BL5" t="str">
            <v>Y500|STOCK</v>
          </cell>
          <cell r="BM5" t="str">
            <v>Y500|SALES</v>
          </cell>
          <cell r="BN5" t="str">
            <v>Y05E|STOCK</v>
          </cell>
          <cell r="BO5" t="str">
            <v>Y05E|SALES</v>
          </cell>
          <cell r="BP5" t="str">
            <v>TOTALSUMOF结存数量
STOCK|</v>
          </cell>
          <cell r="BQ5" t="str">
            <v>TOTALSUMOF出库数量
SALESOUT|</v>
          </cell>
          <cell r="BR5" t="str">
            <v>TOTALSUMOF出库数量
SALESOUT|</v>
          </cell>
          <cell r="BS5" t="str">
            <v>TOTALSUMOF出库数量
SALESOUT|</v>
          </cell>
          <cell r="BT5" t="str">
            <v>TOTALSUMOF出库数量
SALESOUT|</v>
          </cell>
          <cell r="BU5" t="str">
            <v>TOTALSUMOF出库数量
SALESOUT|</v>
          </cell>
          <cell r="BV5" t="str">
            <v>TOTALSUMOF出库数量
SALESOUT|</v>
          </cell>
          <cell r="BW5" t="str">
            <v>TOTALSUMOF出库数量
SALESOUT|</v>
          </cell>
          <cell r="BX5" t="str">
            <v>TOTALSUMOF出库数量
SALESOUT|</v>
          </cell>
          <cell r="BY5" t="str">
            <v>TOTALSUMOF出库数量
SALESOUT|</v>
          </cell>
          <cell r="BZ5" t="str">
            <v>TOTALSUMOF出库数量
SALESOUT|</v>
          </cell>
          <cell r="CA5" t="str">
            <v>TOTALSUMOF出库数量
SALESOUT|</v>
          </cell>
          <cell r="CB5" t="str">
            <v>TOTALSUMOF出库数量
SALESOUT|</v>
          </cell>
          <cell r="CC5" t="str">
            <v>TOTALSUMOF出库数量
SALESOUT|</v>
          </cell>
          <cell r="CD5" t="str">
            <v>TOTALSUMOF出库数量
SALESOUT|</v>
          </cell>
          <cell r="CE5" t="str">
            <v>TOTALSUMOF出库数量
SALESOUT|</v>
          </cell>
          <cell r="CF5" t="str">
            <v>TOTALSUMOF出库数量
SALESOUT|</v>
          </cell>
          <cell r="CG5" t="str">
            <v>TOTALSUMOF出库数量
SALESOUT|</v>
          </cell>
          <cell r="CH5" t="str">
            <v>TOTALSUMOF出库数量
SALESOUT|</v>
          </cell>
          <cell r="CI5" t="str">
            <v>TOTALSUMOF出库数量
SALESOUT|</v>
          </cell>
          <cell r="CJ5" t="str">
            <v>TOTALSUMOF出库数量
SALESOUT|</v>
          </cell>
          <cell r="CK5" t="str">
            <v>TOTALSUMOF出库数量
SALESOUT|</v>
          </cell>
          <cell r="CL5" t="str">
            <v>TOTALSUMOF出库数量
SALESOUT|</v>
          </cell>
          <cell r="CM5" t="str">
            <v>TOTALSUMOF出库数量
SALESOUT|</v>
          </cell>
          <cell r="CN5" t="str">
            <v>TOTALSUMOF出库数量
SALESOUT|</v>
          </cell>
          <cell r="CO5" t="str">
            <v>TOTALSUMOF出库数量
SALESOUT|</v>
          </cell>
          <cell r="CP5" t="str">
            <v>TOTALSUMOF出库数量
SALESOUT|</v>
          </cell>
          <cell r="CQ5" t="str">
            <v>TOTALSUMOF出库数量
SALESOUT|</v>
          </cell>
          <cell r="CR5" t="str">
            <v>TOTALSUMOF出库数量
SALESOUT|</v>
          </cell>
          <cell r="CS5" t="str">
            <v>TOTALSUMOF出库数量
SALESOUT|</v>
          </cell>
          <cell r="CT5" t="str">
            <v>TOTALSUMOF出库数量
SALESOUT|</v>
          </cell>
          <cell r="CU5" t="str">
            <v>TOTALSUMOF出库数量
SALESOUT|</v>
          </cell>
          <cell r="CV5" t="str">
            <v>TOTALSUMOF出库数量
SALESOUT|</v>
          </cell>
        </row>
      </sheetData>
      <sheetData sheetId="22">
        <row r="1">
          <cell r="C1" t="str">
            <v>IQOO15R|12+512|BLACK|STOCK</v>
          </cell>
          <cell r="D1" t="str">
            <v>IQOO15R|12+512|BLACK|SALES</v>
          </cell>
          <cell r="E1" t="str">
            <v>IQOO15R|12+512|SILVER|STOCK</v>
          </cell>
          <cell r="F1" t="str">
            <v>IQOO15R|12+512|SILVER|SALES</v>
          </cell>
          <cell r="G1" t="str">
            <v>IQOONEO10|12+256|WHITE|STOCK</v>
          </cell>
          <cell r="H1" t="str">
            <v>IQOONEO10|12+256|WHITE|SALES</v>
          </cell>
          <cell r="I1" t="str">
            <v>IQOONEO10|16+512|BLACK|STOCK</v>
          </cell>
          <cell r="J1" t="str">
            <v>IQOONEO10|16+512|BLACK|SALES</v>
          </cell>
          <cell r="K1" t="str">
            <v>IQOONEO10|16+512|ORANGE|STOCK</v>
          </cell>
          <cell r="L1" t="str">
            <v>IQOONEO10|16+512|ORANGE|SALES</v>
          </cell>
          <cell r="M1" t="str">
            <v>IQOOZ10|12+256|BLACK|STOCK</v>
          </cell>
          <cell r="N1" t="str">
            <v>IQOOZ10|12+256|BLACK|SALES</v>
          </cell>
          <cell r="O1" t="str">
            <v>IQOOZ10|12+256|SILVER|STOCK</v>
          </cell>
          <cell r="P1" t="str">
            <v>IQOOZ10|12+256|SILVER|SALES</v>
          </cell>
          <cell r="Q1" t="str">
            <v>IQOOZ10|12+512|BLACK|STOCK</v>
          </cell>
          <cell r="R1" t="str">
            <v>IQOOZ10|12+512|BLACK|SALES</v>
          </cell>
          <cell r="S1" t="str">
            <v>IQOOZ10|12+512|SILVER|STOCK</v>
          </cell>
          <cell r="T1" t="str">
            <v>IQOOZ10|12+512|SILVER|SALES</v>
          </cell>
          <cell r="U1" t="str">
            <v>IQOO15|16+1T|LEGEND|STOCK</v>
          </cell>
          <cell r="V1" t="str">
            <v>IQOO15|16+1T|LEGEND|SALES</v>
          </cell>
          <cell r="W1" t="str">
            <v>IQOO15|16+512|LEGEND|STOCK</v>
          </cell>
          <cell r="X1" t="str">
            <v>IQOO15|16+512|LEGEND|SALES</v>
          </cell>
          <cell r="Y1" t="str">
            <v>IQOOZ11X|8+256|BLACK|STOCK</v>
          </cell>
          <cell r="Z1" t="str">
            <v>IQOOZ11X|8+256|BLACK|SALES</v>
          </cell>
          <cell r="AA1" t="str">
            <v>IQOOZ11X|8+256|SILVER|STOCK</v>
          </cell>
          <cell r="AB1" t="str">
            <v>IQOOZ11X|8+256|SILVER|SALES</v>
          </cell>
          <cell r="AC1" t="str">
            <v>IQOOZ11|8+256|BLACK|STOCK</v>
          </cell>
          <cell r="AD1" t="str">
            <v>IQOOZ11|8+256|BLACK|SALES</v>
          </cell>
          <cell r="AE1" t="str">
            <v>IQOOZ11|8+256|BLUE|STOCK</v>
          </cell>
          <cell r="AF1" t="str">
            <v>IQOOZ11|8+256|BLUE|SALES</v>
          </cell>
          <cell r="AG1" t="str">
            <v>IQOOZ11|12+256|BLACK|STOCK</v>
          </cell>
          <cell r="AH1" t="str">
            <v>IQOOZ11|12+256|BLACK|SALES</v>
          </cell>
          <cell r="AI1" t="str">
            <v>IQOOZ11|12+256|BLUE|STOCK</v>
          </cell>
          <cell r="AJ1" t="str">
            <v>IQOOZ11|12+256|BLUE|SALES</v>
          </cell>
          <cell r="AK1" t="str">
            <v>IQOOZ11X|8+128|BLACK|STOCK</v>
          </cell>
          <cell r="AL1" t="str">
            <v>IQOOZ11X|8+128|BLACK|SALES</v>
          </cell>
          <cell r="AM1" t="str">
            <v>IQOOZ11X|8+128|SILVER|STOCK</v>
          </cell>
          <cell r="AN1" t="str">
            <v>IQOOZ11X|8+128|SILVER|SALES</v>
          </cell>
          <cell r="AO1" t="str">
            <v>TOTALSUMOF结存数量
STOCK|8+128|SILVER|</v>
          </cell>
          <cell r="AP1" t="str">
            <v>TOTALSUMOF出库数量
SALESOUT|8+128|SILVER|</v>
          </cell>
          <cell r="AQ1" t="str">
            <v>TOTALSUMOF出库数量
SALESOUT|8+128|SILVER|</v>
          </cell>
          <cell r="AR1" t="str">
            <v>TOTALSUMOF出库数量
SALESOUT|8+128|SILVER|</v>
          </cell>
          <cell r="AS1" t="str">
            <v>TOTALSUMOF出库数量
SALESOUT|8+128|SILVER|</v>
          </cell>
          <cell r="AT1" t="str">
            <v>TOTALSUMOF出库数量
SALESOUT|8+128|SILVER|</v>
          </cell>
          <cell r="AU1" t="str">
            <v>TOTALSUMOF出库数量
SALESOUT|8+128|SILVER|</v>
          </cell>
          <cell r="AV1" t="str">
            <v>TOTALSUMOF出库数量
SALESOUT|8+128|SILVER|</v>
          </cell>
          <cell r="AW1" t="str">
            <v>TOTALSUMOF出库数量
SALESOUT|8+128|SILVER|</v>
          </cell>
          <cell r="AX1" t="str">
            <v>TOTALSUMOF出库数量
SALESOUT|8+128|SILVER|</v>
          </cell>
          <cell r="AY1" t="str">
            <v>TOTALSUMOF出库数量
SALESOUT|8+128|SILVER|</v>
          </cell>
          <cell r="AZ1" t="str">
            <v>TOTALSUMOF出库数量
SALESOUT|8+128|SILVER|</v>
          </cell>
          <cell r="BA1" t="str">
            <v>TOTALSUMOF出库数量
SALESOUT|8+128|SILVER|</v>
          </cell>
          <cell r="BB1" t="str">
            <v>TOTALSUMOF出库数量
SALESOUT|8+128|SILVER|</v>
          </cell>
          <cell r="BC1" t="str">
            <v>TOTALSUMOF出库数量
SALESOUT|8+128|SILVER|</v>
          </cell>
          <cell r="BD1" t="str">
            <v>TOTALSUMOF出库数量
SALESOUT|8+128|SILVER|</v>
          </cell>
          <cell r="BE1" t="str">
            <v>TOTALSUMOF出库数量
SALESOUT|8+128|SILVER|</v>
          </cell>
          <cell r="BF1" t="str">
            <v>TOTALSUMOF出库数量
SALESOUT|8+128|SILVER|</v>
          </cell>
          <cell r="BG1" t="str">
            <v>TOTALSUMOF出库数量
SALESOUT|8+128|SILVER|</v>
          </cell>
          <cell r="BH1" t="str">
            <v>TOTALSUMOF出库数量
SALESOUT|8+128|SILVER|</v>
          </cell>
          <cell r="BI1" t="str">
            <v>TOTALSUMOF出库数量
SALESOUT|8+128|SILVER|</v>
          </cell>
          <cell r="BJ1" t="str">
            <v>TOTALSUMOF出库数量
SALESOUT|8+128|SILVER|</v>
          </cell>
          <cell r="BK1" t="str">
            <v>TOTALSUMOF出库数量
SALESOUT|8+128|SILVER|</v>
          </cell>
          <cell r="BL1" t="str">
            <v>TOTALSUMOF出库数量
SALESOUT|8+128|SILVER|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7"/>
  <sheetViews>
    <sheetView tabSelected="1" zoomScale="114" zoomScaleNormal="114" workbookViewId="0">
      <pane xSplit="1" topLeftCell="B1" activePane="topRight" state="frozen"/>
      <selection pane="topRight" sqref="A1:BE37"/>
    </sheetView>
  </sheetViews>
  <sheetFormatPr baseColWidth="10" defaultColWidth="10.33203125" defaultRowHeight="15" x14ac:dyDescent="0.2"/>
  <cols>
    <col min="1" max="1" width="38.83203125" style="19" customWidth="1"/>
    <col min="2" max="2" width="5.6640625" style="19" customWidth="1"/>
    <col min="3" max="3" width="8.6640625" style="19" customWidth="1"/>
    <col min="4" max="4" width="3.6640625" style="19" customWidth="1"/>
    <col min="5" max="5" width="5.6640625" style="19" customWidth="1"/>
    <col min="6" max="6" width="8.6640625" style="19" customWidth="1"/>
    <col min="7" max="7" width="3.6640625" style="19" customWidth="1"/>
    <col min="8" max="8" width="5.6640625" style="19" customWidth="1"/>
    <col min="9" max="9" width="8.6640625" style="19" customWidth="1"/>
    <col min="10" max="10" width="3.83203125" style="19" customWidth="1"/>
    <col min="11" max="11" width="5.6640625" style="19" customWidth="1"/>
    <col min="12" max="12" width="8.6640625" style="19" customWidth="1"/>
    <col min="13" max="13" width="3.83203125" style="19" customWidth="1"/>
    <col min="14" max="14" width="5.6640625" style="19" customWidth="1"/>
    <col min="15" max="15" width="8.6640625" style="19" customWidth="1"/>
    <col min="16" max="16" width="3.83203125" style="19" customWidth="1"/>
    <col min="17" max="17" width="5.6640625" style="19" customWidth="1"/>
    <col min="18" max="18" width="8.6640625" style="19" customWidth="1"/>
    <col min="19" max="19" width="3.83203125" style="19" customWidth="1"/>
    <col min="20" max="20" width="5.6640625" style="19" customWidth="1"/>
    <col min="21" max="21" width="8.6640625" style="19" customWidth="1"/>
    <col min="22" max="22" width="3.83203125" style="19" customWidth="1"/>
    <col min="23" max="23" width="8.33203125" style="19" customWidth="1"/>
    <col min="24" max="24" width="5.6640625" style="19" customWidth="1"/>
    <col min="25" max="25" width="8.6640625" style="19" customWidth="1"/>
    <col min="26" max="26" width="3.83203125" style="19" customWidth="1"/>
    <col min="27" max="27" width="8.33203125" style="19" customWidth="1"/>
    <col min="28" max="28" width="5.6640625" style="19" customWidth="1"/>
    <col min="29" max="29" width="8.6640625" style="19" customWidth="1"/>
    <col min="30" max="30" width="3.83203125" style="19" customWidth="1"/>
    <col min="31" max="31" width="8.33203125" style="19" customWidth="1"/>
    <col min="32" max="32" width="5.6640625" style="19" customWidth="1"/>
    <col min="33" max="33" width="8.6640625" style="19" customWidth="1"/>
    <col min="34" max="34" width="3.83203125" style="19" customWidth="1"/>
    <col min="35" max="35" width="8.33203125" style="19" customWidth="1"/>
    <col min="36" max="36" width="5.6640625" style="19" customWidth="1"/>
    <col min="37" max="37" width="8.6640625" style="19" customWidth="1"/>
    <col min="38" max="38" width="3.83203125" style="19" customWidth="1"/>
    <col min="39" max="45" width="8.33203125" style="19" customWidth="1"/>
    <col min="46" max="46" width="5.6640625" style="19" customWidth="1"/>
    <col min="47" max="47" width="8.6640625" style="19" customWidth="1"/>
    <col min="48" max="48" width="5.33203125" style="19" customWidth="1"/>
    <col min="49" max="16384" width="10.33203125" style="19"/>
  </cols>
  <sheetData>
    <row r="1" spans="1:57" x14ac:dyDescent="0.2">
      <c r="A1" s="17" t="s">
        <v>0</v>
      </c>
      <c r="B1" s="18">
        <v>30</v>
      </c>
    </row>
    <row r="2" spans="1:57" x14ac:dyDescent="0.2">
      <c r="A2" s="17" t="s">
        <v>1</v>
      </c>
      <c r="B2" s="18">
        <v>27</v>
      </c>
      <c r="W2" s="6" t="s">
        <v>2</v>
      </c>
      <c r="AA2" s="6" t="s">
        <v>2</v>
      </c>
      <c r="AE2" s="6" t="s">
        <v>2</v>
      </c>
      <c r="AI2" s="6" t="s">
        <v>2</v>
      </c>
      <c r="AM2" s="6" t="s">
        <v>2</v>
      </c>
      <c r="AN2" s="6"/>
      <c r="AO2" s="6"/>
      <c r="AP2" s="6"/>
      <c r="AQ2" s="6"/>
      <c r="AR2" s="6"/>
      <c r="AS2" s="6"/>
    </row>
    <row r="3" spans="1:57" x14ac:dyDescent="0.2">
      <c r="A3" s="17" t="s">
        <v>3</v>
      </c>
      <c r="B3" s="18">
        <f>B1-B2</f>
        <v>3</v>
      </c>
      <c r="W3" s="7">
        <v>10</v>
      </c>
      <c r="AA3" s="7">
        <v>10</v>
      </c>
      <c r="AE3" s="7">
        <v>10</v>
      </c>
      <c r="AI3" s="7">
        <v>10</v>
      </c>
      <c r="AM3" s="7">
        <v>10</v>
      </c>
      <c r="AN3" s="7"/>
      <c r="AO3" s="7"/>
      <c r="AP3" s="7"/>
      <c r="AQ3" s="7"/>
      <c r="AR3" s="7"/>
      <c r="AS3" s="7"/>
    </row>
    <row r="4" spans="1:57" ht="15" customHeight="1" x14ac:dyDescent="0.2">
      <c r="A4" s="50" t="s">
        <v>4</v>
      </c>
      <c r="B4" s="41" t="s">
        <v>5</v>
      </c>
      <c r="C4" s="42"/>
      <c r="D4" s="42"/>
      <c r="E4" s="42"/>
      <c r="F4" s="42"/>
      <c r="G4" s="43"/>
      <c r="H4" s="41" t="s">
        <v>6</v>
      </c>
      <c r="I4" s="42"/>
      <c r="J4" s="42"/>
      <c r="K4" s="42"/>
      <c r="L4" s="42"/>
      <c r="M4" s="43"/>
      <c r="N4" s="41" t="s">
        <v>7</v>
      </c>
      <c r="O4" s="42"/>
      <c r="P4" s="42"/>
      <c r="Q4" s="42"/>
      <c r="R4" s="42"/>
      <c r="S4" s="43"/>
      <c r="T4" s="41" t="s">
        <v>8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3"/>
      <c r="AF4" s="41" t="s">
        <v>9</v>
      </c>
      <c r="AG4" s="42"/>
      <c r="AH4" s="42"/>
      <c r="AI4" s="42"/>
      <c r="AJ4" s="42"/>
      <c r="AK4" s="42"/>
      <c r="AL4" s="42"/>
      <c r="AM4" s="43"/>
      <c r="AN4" s="41" t="s">
        <v>7</v>
      </c>
      <c r="AO4" s="42"/>
      <c r="AP4" s="42"/>
      <c r="AQ4" s="42"/>
      <c r="AR4" s="42"/>
      <c r="AS4" s="43"/>
      <c r="AT4" s="41" t="s">
        <v>5</v>
      </c>
      <c r="AU4" s="42"/>
      <c r="AV4" s="42"/>
      <c r="AW4" s="41" t="s">
        <v>6</v>
      </c>
      <c r="AX4" s="42"/>
      <c r="AY4" s="42"/>
      <c r="AZ4" s="42"/>
      <c r="BA4" s="42"/>
      <c r="BB4" s="43"/>
      <c r="BC4" s="32" t="s">
        <v>79</v>
      </c>
      <c r="BD4" s="32" t="s">
        <v>80</v>
      </c>
      <c r="BE4" s="32" t="s">
        <v>81</v>
      </c>
    </row>
    <row r="5" spans="1:57" ht="15" customHeight="1" x14ac:dyDescent="0.2">
      <c r="A5" s="51"/>
      <c r="B5" s="44" t="s">
        <v>10</v>
      </c>
      <c r="C5" s="45"/>
      <c r="D5" s="45"/>
      <c r="E5" s="45"/>
      <c r="F5" s="45"/>
      <c r="G5" s="46"/>
      <c r="H5" s="44" t="s">
        <v>11</v>
      </c>
      <c r="I5" s="45"/>
      <c r="J5" s="45"/>
      <c r="K5" s="45"/>
      <c r="L5" s="45"/>
      <c r="M5" s="46"/>
      <c r="N5" s="44" t="s">
        <v>11</v>
      </c>
      <c r="O5" s="45"/>
      <c r="P5" s="45"/>
      <c r="Q5" s="45"/>
      <c r="R5" s="45"/>
      <c r="S5" s="46"/>
      <c r="T5" s="44" t="s">
        <v>12</v>
      </c>
      <c r="U5" s="45"/>
      <c r="V5" s="45"/>
      <c r="W5" s="45"/>
      <c r="X5" s="45"/>
      <c r="Y5" s="45"/>
      <c r="Z5" s="45"/>
      <c r="AA5" s="46"/>
      <c r="AB5" s="44" t="s">
        <v>13</v>
      </c>
      <c r="AC5" s="45"/>
      <c r="AD5" s="45"/>
      <c r="AE5" s="46"/>
      <c r="AF5" s="44" t="s">
        <v>14</v>
      </c>
      <c r="AG5" s="45"/>
      <c r="AH5" s="45"/>
      <c r="AI5" s="45"/>
      <c r="AJ5" s="45"/>
      <c r="AK5" s="45"/>
      <c r="AL5" s="45"/>
      <c r="AM5" s="46"/>
      <c r="AN5" s="44" t="s">
        <v>15</v>
      </c>
      <c r="AO5" s="45"/>
      <c r="AP5" s="45"/>
      <c r="AQ5" s="45"/>
      <c r="AR5" s="45"/>
      <c r="AS5" s="46"/>
      <c r="AT5" s="44" t="s">
        <v>15</v>
      </c>
      <c r="AU5" s="45"/>
      <c r="AV5" s="45"/>
      <c r="AW5" s="44" t="s">
        <v>75</v>
      </c>
      <c r="AX5" s="45"/>
      <c r="AY5" s="45"/>
      <c r="AZ5" s="45"/>
      <c r="BA5" s="45"/>
      <c r="BB5" s="46"/>
      <c r="BC5" s="33"/>
      <c r="BD5" s="33"/>
      <c r="BE5" s="33"/>
    </row>
    <row r="6" spans="1:57" ht="15" customHeight="1" x14ac:dyDescent="0.2">
      <c r="A6" s="51"/>
      <c r="B6" s="47" t="s">
        <v>16</v>
      </c>
      <c r="C6" s="48"/>
      <c r="D6" s="49"/>
      <c r="E6" s="47" t="s">
        <v>17</v>
      </c>
      <c r="F6" s="48"/>
      <c r="G6" s="49"/>
      <c r="H6" s="47" t="s">
        <v>16</v>
      </c>
      <c r="I6" s="48"/>
      <c r="J6" s="49"/>
      <c r="K6" s="47" t="s">
        <v>18</v>
      </c>
      <c r="L6" s="48"/>
      <c r="M6" s="49"/>
      <c r="N6" s="47" t="s">
        <v>16</v>
      </c>
      <c r="O6" s="48"/>
      <c r="P6" s="49"/>
      <c r="Q6" s="47" t="s">
        <v>19</v>
      </c>
      <c r="R6" s="48"/>
      <c r="S6" s="49"/>
      <c r="T6" s="47" t="s">
        <v>20</v>
      </c>
      <c r="U6" s="48"/>
      <c r="V6" s="48"/>
      <c r="W6" s="49"/>
      <c r="X6" s="47" t="s">
        <v>21</v>
      </c>
      <c r="Y6" s="48"/>
      <c r="Z6" s="48"/>
      <c r="AA6" s="49"/>
      <c r="AB6" s="47" t="s">
        <v>21</v>
      </c>
      <c r="AC6" s="48"/>
      <c r="AD6" s="48"/>
      <c r="AE6" s="49"/>
      <c r="AF6" s="47" t="s">
        <v>16</v>
      </c>
      <c r="AG6" s="48"/>
      <c r="AH6" s="48"/>
      <c r="AI6" s="49"/>
      <c r="AJ6" s="47" t="s">
        <v>18</v>
      </c>
      <c r="AK6" s="48"/>
      <c r="AL6" s="48"/>
      <c r="AM6" s="49"/>
      <c r="AN6" s="47" t="s">
        <v>16</v>
      </c>
      <c r="AO6" s="48"/>
      <c r="AP6" s="49"/>
      <c r="AQ6" s="47" t="s">
        <v>19</v>
      </c>
      <c r="AR6" s="48"/>
      <c r="AS6" s="49"/>
      <c r="AT6" s="47" t="s">
        <v>97</v>
      </c>
      <c r="AU6" s="48"/>
      <c r="AV6" s="49"/>
      <c r="AW6" s="47" t="s">
        <v>16</v>
      </c>
      <c r="AX6" s="48"/>
      <c r="AY6" s="49"/>
      <c r="AZ6" s="47" t="s">
        <v>18</v>
      </c>
      <c r="BA6" s="48"/>
      <c r="BB6" s="49"/>
      <c r="BC6" s="33"/>
      <c r="BD6" s="33"/>
      <c r="BE6" s="33"/>
    </row>
    <row r="7" spans="1:57" x14ac:dyDescent="0.2">
      <c r="A7" s="52"/>
      <c r="B7" s="20" t="s">
        <v>22</v>
      </c>
      <c r="C7" s="20" t="s">
        <v>23</v>
      </c>
      <c r="D7" s="20" t="s">
        <v>24</v>
      </c>
      <c r="E7" s="20" t="s">
        <v>22</v>
      </c>
      <c r="F7" s="20" t="s">
        <v>23</v>
      </c>
      <c r="G7" s="20" t="s">
        <v>24</v>
      </c>
      <c r="H7" s="20" t="s">
        <v>22</v>
      </c>
      <c r="I7" s="20" t="s">
        <v>23</v>
      </c>
      <c r="J7" s="20" t="s">
        <v>24</v>
      </c>
      <c r="K7" s="20" t="s">
        <v>22</v>
      </c>
      <c r="L7" s="20" t="s">
        <v>23</v>
      </c>
      <c r="M7" s="20" t="s">
        <v>24</v>
      </c>
      <c r="N7" s="20" t="s">
        <v>22</v>
      </c>
      <c r="O7" s="20" t="s">
        <v>23</v>
      </c>
      <c r="P7" s="20" t="s">
        <v>24</v>
      </c>
      <c r="Q7" s="20" t="s">
        <v>22</v>
      </c>
      <c r="R7" s="20" t="s">
        <v>23</v>
      </c>
      <c r="S7" s="20" t="s">
        <v>24</v>
      </c>
      <c r="T7" s="20" t="s">
        <v>22</v>
      </c>
      <c r="U7" s="20" t="s">
        <v>23</v>
      </c>
      <c r="V7" s="20" t="s">
        <v>24</v>
      </c>
      <c r="W7" s="20" t="s">
        <v>25</v>
      </c>
      <c r="X7" s="20" t="s">
        <v>22</v>
      </c>
      <c r="Y7" s="20" t="s">
        <v>23</v>
      </c>
      <c r="Z7" s="20" t="s">
        <v>24</v>
      </c>
      <c r="AA7" s="20" t="s">
        <v>25</v>
      </c>
      <c r="AB7" s="20" t="s">
        <v>22</v>
      </c>
      <c r="AC7" s="20" t="s">
        <v>23</v>
      </c>
      <c r="AD7" s="20" t="s">
        <v>24</v>
      </c>
      <c r="AE7" s="20" t="s">
        <v>25</v>
      </c>
      <c r="AF7" s="20" t="s">
        <v>22</v>
      </c>
      <c r="AG7" s="20" t="s">
        <v>23</v>
      </c>
      <c r="AH7" s="20" t="s">
        <v>24</v>
      </c>
      <c r="AI7" s="20" t="s">
        <v>25</v>
      </c>
      <c r="AJ7" s="20" t="s">
        <v>22</v>
      </c>
      <c r="AK7" s="20" t="s">
        <v>23</v>
      </c>
      <c r="AL7" s="20" t="s">
        <v>24</v>
      </c>
      <c r="AM7" s="20" t="s">
        <v>25</v>
      </c>
      <c r="AN7" s="20" t="s">
        <v>22</v>
      </c>
      <c r="AO7" s="20" t="s">
        <v>23</v>
      </c>
      <c r="AP7" s="20" t="s">
        <v>24</v>
      </c>
      <c r="AQ7" s="20" t="s">
        <v>22</v>
      </c>
      <c r="AR7" s="20" t="s">
        <v>23</v>
      </c>
      <c r="AS7" s="20" t="s">
        <v>24</v>
      </c>
      <c r="AT7" s="20" t="s">
        <v>22</v>
      </c>
      <c r="AU7" s="20" t="s">
        <v>23</v>
      </c>
      <c r="AV7" s="20" t="s">
        <v>24</v>
      </c>
      <c r="AW7" s="20" t="s">
        <v>22</v>
      </c>
      <c r="AX7" s="20" t="s">
        <v>23</v>
      </c>
      <c r="AY7" s="20" t="s">
        <v>24</v>
      </c>
      <c r="AZ7" s="20" t="s">
        <v>22</v>
      </c>
      <c r="BA7" s="20" t="s">
        <v>23</v>
      </c>
      <c r="BB7" s="20" t="s">
        <v>24</v>
      </c>
      <c r="BC7" s="34"/>
      <c r="BD7" s="34"/>
      <c r="BE7" s="34"/>
    </row>
    <row r="8" spans="1:57" x14ac:dyDescent="0.2">
      <c r="A8" s="21" t="s">
        <v>26</v>
      </c>
      <c r="B8" s="10">
        <f>IFERROR(INDEX([2]PV.iQOO!$A:$BL,MATCH($A8,[2]PV.iQOO!$B:$B,0),MATCH("IQOONEO10|16+512|BLACK|STOCK",[2]PVKEYIQOO!$1:$1,0)),0)</f>
        <v>0</v>
      </c>
      <c r="C8" s="22">
        <f>IFERROR(INDEX([2]PV.iQOO!$A:$BL,MATCH($A8,[2]PV.iQOO!$B:$B,0),MATCH("IQOONEO10|16+512|BLACK|SALES",[2]PVKEYIQOO!$1:$1,0)),0)</f>
        <v>0</v>
      </c>
      <c r="D8" s="12" t="str">
        <f t="shared" ref="D8:D37" si="0">IF(OR(C8="",C8=0),"",ROUND(B8/C8*$B$2,1))</f>
        <v/>
      </c>
      <c r="E8" s="10">
        <f>IFERROR(INDEX([2]PV.iQOO!$A:$BL,MATCH($A8,[2]PV.iQOO!$B:$B,0),MATCH("IQOONEO10|16+512|ORANGE|STOCK",[2]PVKEYIQOO!$1:$1,0)),0)</f>
        <v>0</v>
      </c>
      <c r="F8" s="22">
        <f>IFERROR(INDEX([2]PV.iQOO!$A:$BL,MATCH($A8,[2]PV.iQOO!$B:$B,0),MATCH("IQOONEO10|16+512|ORANGE|SALES",[2]PVKEYIQOO!$1:$1,0)),0)</f>
        <v>0</v>
      </c>
      <c r="G8" s="12" t="str">
        <f t="shared" ref="G8:G37" si="1">IF(OR(F8="",F8=0),"",ROUND(E8/F8*$B$2,1))</f>
        <v/>
      </c>
      <c r="H8" s="10">
        <f>IFERROR(INDEX([2]PV.iQOO!$A:$BL,MATCH($A8,[2]PV.iQOO!$B:$B,0),MATCH("IQOOZ11X|8+256|BLACK|STOCK",[2]PVKEYIQOO!$1:$1,0)),0)</f>
        <v>0</v>
      </c>
      <c r="I8" s="22">
        <f>IFERROR(INDEX([2]PV.iQOO!$A:$BL,MATCH($A8,[2]PV.iQOO!$B:$B,0),MATCH("IQOOZ11X|8+256|BLACK|SALES",[2]PVKEYIQOO!$1:$1,0)),0)</f>
        <v>0</v>
      </c>
      <c r="J8" s="12" t="str">
        <f t="shared" ref="J8:J37" si="2">IF(OR(I8="",I8=0),"",ROUND(H8/I8*$B$2,1))</f>
        <v/>
      </c>
      <c r="K8" s="10">
        <f>IFERROR(INDEX([2]PV.iQOO!$A:$BL,MATCH($A8,[2]PV.iQOO!$B:$B,0),MATCH("IQOOZ11X|8+256|SILVER|STOCK",[2]PVKEYIQOO!$1:$1,0)),0)</f>
        <v>0</v>
      </c>
      <c r="L8" s="22">
        <f>IFERROR(INDEX([2]PV.iQOO!$A:$BL,MATCH($A8,[2]PV.iQOO!$B:$B,0),MATCH("IQOOZ11X|8+256|SILVER|SALES",[2]PVKEYIQOO!$1:$1,0)),0)</f>
        <v>0</v>
      </c>
      <c r="M8" s="12" t="str">
        <f t="shared" ref="M8:M37" si="3">IF(OR(L8="",L8=0),"",ROUND(K8/L8*$B$2,1))</f>
        <v/>
      </c>
      <c r="N8" s="10">
        <f>IFERROR(INDEX([2]PV.iQOO!$A:$BL,MATCH($A8,[2]PV.iQOO!$B:$B,0),MATCH("IQOOZ11|8+256|BLACK|STOCK",[2]PVKEYIQOO!$1:$1,0)),0)</f>
        <v>1</v>
      </c>
      <c r="O8" s="22">
        <f>IFERROR(INDEX([2]PV.iQOO!$A:$BL,MATCH($A8,[2]PV.iQOO!$B:$B,0),MATCH("IQOOZ11|8+256|BLACK|SALES",[2]PVKEYIQOO!$1:$1,0)),0)</f>
        <v>3</v>
      </c>
      <c r="P8" s="12">
        <f t="shared" ref="P8:P37" si="4">IF(OR(O8="",O8=0),"",ROUND(N8/O8*$B$2,1))</f>
        <v>9</v>
      </c>
      <c r="Q8" s="10">
        <f>IFERROR(INDEX([2]PV.iQOO!$A:$BL,MATCH($A8,[2]PV.iQOO!$B:$B,0),MATCH("IQOOZ11|8+256|BLUE|STOCK",[2]PVKEYIQOO!$1:$1,0)),0)</f>
        <v>3</v>
      </c>
      <c r="R8" s="22">
        <f>IFERROR(INDEX([2]PV.iQOO!$A:$BL,MATCH($A8,[2]PV.iQOO!$B:$B,0),MATCH("IQOOZ11|8+256|BLUE|SALES",[2]PVKEYIQOO!$1:$1,0)),0)</f>
        <v>3</v>
      </c>
      <c r="S8" s="12">
        <f t="shared" ref="S8:S37" si="5">IF(OR(R8="",R8=0),"",ROUND(Q8/R8*$B$2,1))</f>
        <v>27</v>
      </c>
      <c r="T8" s="10">
        <f>IFERROR(INDEX([2]PV.iQOO!$A:$BL,MATCH($A8,[2]PV.iQOO!$B:$B,0),MATCH("IQOO15|16+512|ALPHA|STOCK",[2]PVKEYIQOO!$1:$1,0)),0)</f>
        <v>0</v>
      </c>
      <c r="U8" s="22">
        <f>IFERROR(INDEX([2]PV.iQOO!$A:$BL,MATCH($A8,[2]PV.iQOO!$B:$B,0),MATCH("IQOO15|16+512|ALPHA|SALES",[2]PVKEYIQOO!$1:$1,0)),0)</f>
        <v>0</v>
      </c>
      <c r="V8" s="12" t="str">
        <f t="shared" ref="V8:V37" si="6">IF(OR(U8="",U8=0),"",ROUND(T8/U8*$B$2,1))</f>
        <v/>
      </c>
      <c r="W8" s="22">
        <f t="shared" ref="W8:W36" si="7">(U8/$B$2)*10</f>
        <v>0</v>
      </c>
      <c r="X8" s="10">
        <f>IFERROR(INDEX([2]PV.iQOO!$A:$BL,MATCH($A8,[2]PV.iQOO!$B:$B,0),MATCH("IQOO15|16+512|LEGEND|STOCK",[2]PVKEYIQOO!$1:$1,0)),0)</f>
        <v>0</v>
      </c>
      <c r="Y8" s="22">
        <f>IFERROR(INDEX([2]PV.iQOO!$A:$BL,MATCH($A8,[2]PV.iQOO!$B:$B,0),MATCH("IQOO15|16+512|LEGEND|SALES",[2]PVKEYIQOO!$1:$1,0)),0)</f>
        <v>0</v>
      </c>
      <c r="Z8" s="12" t="str">
        <f t="shared" ref="Z8:Z37" si="8">IF(OR(Y8="",Y8=0),"",ROUND(X8/Y8*$B$2,1))</f>
        <v/>
      </c>
      <c r="AA8" s="22">
        <f t="shared" ref="AA8:AA36" si="9">(Y8/$B$2)*10</f>
        <v>0</v>
      </c>
      <c r="AB8" s="10">
        <f>IFERROR(INDEX([2]PV.iQOO!$A:$BL,MATCH($A8,[2]PV.iQOO!$B:$B,0),MATCH("IQOO15|16+1T|LEGEND|STOCK",[2]PVKEYIQOO!$1:$1,0)),0)</f>
        <v>0</v>
      </c>
      <c r="AC8" s="22">
        <f>IFERROR(INDEX([2]PV.iQOO!$A:$BL,MATCH($A8,[2]PV.iQOO!$B:$B,0),MATCH("IQOO15|16+1T|LEGEND|SALES",[2]PVKEYIQOO!$1:$1,0)),0)</f>
        <v>0</v>
      </c>
      <c r="AD8" s="12" t="str">
        <f t="shared" ref="AD8:AD37" si="10">IF(OR(AC8="",AC8=0),"",ROUND(AB8/AC8*$B$2,1))</f>
        <v/>
      </c>
      <c r="AE8" s="22">
        <f t="shared" ref="AE8:AE36" si="11">(AC8/$B$2)*10</f>
        <v>0</v>
      </c>
      <c r="AF8" s="10">
        <f>IFERROR(INDEX([2]PV.iQOO!$A:$BL,MATCH($A8,[2]PV.iQOO!$B:$B,0),MATCH("IQOO15R|12+512|BLACK|STOCK",[2]PVKEYIQOO!$1:$1,0)),0)</f>
        <v>0</v>
      </c>
      <c r="AG8" s="22">
        <f>IFERROR(INDEX([2]PV.iQOO!$A:$BL,MATCH($A8,[2]PV.iQOO!$B:$B,0),MATCH("IQOO15R|12+512|BLACK|SALES",[2]PVKEYIQOO!$1:$1,0)),0)</f>
        <v>0</v>
      </c>
      <c r="AH8" s="12" t="str">
        <f t="shared" ref="AH8:AH37" si="12">IF(OR(AG8="",AG8=0),"",ROUND(AF8/AG8*$B$2,1))</f>
        <v/>
      </c>
      <c r="AI8" s="22">
        <f t="shared" ref="AI8:AI36" si="13">(AG8/$B$2)*10</f>
        <v>0</v>
      </c>
      <c r="AJ8" s="10">
        <f>IFERROR(INDEX([2]PV.iQOO!$A:$BL,MATCH($A8,[2]PV.iQOO!$B:$B,0),MATCH("IQOO15R|12+512|SILVER|STOCK",[2]PVKEYIQOO!$1:$1,0)),0)</f>
        <v>0</v>
      </c>
      <c r="AK8" s="22">
        <f>IFERROR(INDEX([2]PV.iQOO!$A:$BL,MATCH($A8,[2]PV.iQOO!$B:$B,0),MATCH("IQOO15R|12+512|SILVER|SALES",[2]PVKEYIQOO!$1:$1,0)),0)</f>
        <v>0</v>
      </c>
      <c r="AL8" s="12" t="str">
        <f t="shared" ref="AL8:AL37" si="14">IF(OR(AK8="",AK8=0),"",ROUND(AJ8/AK8*$B$2,1))</f>
        <v/>
      </c>
      <c r="AM8" s="22">
        <f t="shared" ref="AM8:AM36" si="15">(AK8/$B$2)*10</f>
        <v>0</v>
      </c>
      <c r="AN8" s="10">
        <f>IFERROR(INDEX([2]PV.iQOO!$A:$BL,MATCH($A8,[2]PV.iQOO!$B:$B,0),MATCH("IQOOZ11|12+256|BLACK|STOCK",[2]PVKEYIQOO!$1:$1,0)),0)</f>
        <v>1</v>
      </c>
      <c r="AO8" s="22">
        <f>IFERROR(INDEX([2]PV.iQOO!$A:$BL,MATCH($A8,[2]PV.iQOO!$B:$B,0),MATCH("IQOOZ11|12+256|BLACK|SALES",[2]PVKEYIQOO!$1:$1,0)),0)</f>
        <v>0</v>
      </c>
      <c r="AP8" s="12" t="str">
        <f t="shared" ref="AP8:AP37" si="16">IF(OR(AO8="",AO8=0),"",ROUND(AN8/AO8*$B$2,1))</f>
        <v/>
      </c>
      <c r="AQ8" s="10">
        <f>IFERROR(INDEX([2]PV.iQOO!$A:$BL,MATCH($A8,[2]PV.iQOO!$B:$B,0),MATCH("IQOOZ11|12+256|BLUE|STOCK",[2]PVKEYIQOO!$1:$1,0)),0)</f>
        <v>1</v>
      </c>
      <c r="AR8" s="22">
        <f>IFERROR(INDEX([2]PV.iQOO!$A:$BL,MATCH($A8,[2]PV.iQOO!$B:$B,0),MATCH("IQOOZ11|12+256|BLUE|SALES",[2]PVKEYIQOO!$1:$1,0)),0)</f>
        <v>0</v>
      </c>
      <c r="AS8" s="12" t="str">
        <f t="shared" ref="AS8:AS37" si="17">IF(OR(AR8="",AR8=0),"",ROUND(AQ8/AR8*$B$2,1))</f>
        <v/>
      </c>
      <c r="AT8" s="10">
        <f>IFERROR(INDEX([2]PV.iQOO!$A:$BL,MATCH($A8,[2]PV.iQOO!$B:$B,0),MATCH("IQOONEO10|12+256|WHITE|STOCK",[2]PVKEYIQOO!$1:$1,0)),0)</f>
        <v>2</v>
      </c>
      <c r="AU8" s="22">
        <f>IFERROR(INDEX([2]PV.iQOO!$A:$BL,MATCH($A8,[2]PV.iQOO!$B:$B,0),MATCH("IQOONEO10|12+256|WHITE|SALES",[2]PVKEYIQOO!$1:$1,0)),0)</f>
        <v>0</v>
      </c>
      <c r="AV8" s="12" t="str">
        <f>IF(OR(AU8="",AU8=0),"",ROUND(AT8/AU8*$B$2,1))</f>
        <v/>
      </c>
      <c r="AW8" s="10">
        <f>IFERROR(INDEX([2]PV.iQOO!$A:$BL,MATCH($A8,[2]PV.iQOO!$B:$B,0),MATCH("IQOOZ11X|8+128|BLACK|STOCK",[2]PVKEYIQOO!$1:$1,0)),0)</f>
        <v>2</v>
      </c>
      <c r="AX8" s="22">
        <f>IFERROR(INDEX([2]PV.iQOO!$A:$BL,MATCH($A8,[2]PV.iQOO!$B:$B,0),MATCH("IQOOZ11X|8+128|BLACK|SALES",[2]PVKEYIQOO!$1:$1,0)),0)</f>
        <v>0</v>
      </c>
      <c r="AY8" s="12" t="str">
        <f>IF(OR(AX8="",AX8=0),"",ROUND(AW8/AX8*$B$2,1))</f>
        <v/>
      </c>
      <c r="AZ8" s="10">
        <f>IFERROR(INDEX([2]PV.iQOO!$A:$BL,MATCH($A8,[2]PV.iQOO!$B:$B,0),MATCH("IQOOZ11X|8+128|SILVER|STOCK",[2]PVKEYIQOO!$1:$1,0)),0)</f>
        <v>1</v>
      </c>
      <c r="BA8" s="22">
        <f>IFERROR(INDEX([2]PV.iQOO!$A:$BL,MATCH($A8,[2]PV.iQOO!$B:$B,0),MATCH("IQOOZ11X|8+128|SILVER|SALES",[2]PVKEYIQOO!$1:$1,0)),0)</f>
        <v>1</v>
      </c>
      <c r="BB8" s="12">
        <f>IF(OR(BA8="",BA8=0),"",ROUND(AZ8/BA8*$B$2,1))</f>
        <v>27</v>
      </c>
      <c r="BC8" s="13">
        <f>SUM(B8,E8,H8,K8,N8,Q8,T8,X8,AB8,AF8,AJ8,AN8,AQ8,AT8,AW8,AZ8)</f>
        <v>11</v>
      </c>
      <c r="BD8" s="13">
        <f>SUM(C8,F8,I8,L8,O8,R8,U8,Y8,AC8,AG8,AK8,AO8,AR8,AU8,AX8,BA8)</f>
        <v>7</v>
      </c>
      <c r="BE8" s="13">
        <f t="shared" ref="BE8:BE37" si="18">IFERROR(BC8/(BD8/$B$2),1000)</f>
        <v>42.428571428571431</v>
      </c>
    </row>
    <row r="9" spans="1:57" x14ac:dyDescent="0.2">
      <c r="A9" s="21" t="s">
        <v>27</v>
      </c>
      <c r="B9" s="10">
        <f>IFERROR(INDEX([2]PV.iQOO!$A:$BL,MATCH($A9,[2]PV.iQOO!$B:$B,0),MATCH("IQOONEO10|16+512|BLACK|STOCK",[2]PVKEYIQOO!$1:$1,0)),0)</f>
        <v>0</v>
      </c>
      <c r="C9" s="22">
        <f>IFERROR(INDEX([2]PV.iQOO!$A:$BL,MATCH($A9,[2]PV.iQOO!$B:$B,0),MATCH("IQOONEO10|16+512|BLACK|SALES",[2]PVKEYIQOO!$1:$1,0)),0)</f>
        <v>0</v>
      </c>
      <c r="D9" s="12" t="str">
        <f t="shared" si="0"/>
        <v/>
      </c>
      <c r="E9" s="10">
        <f>IFERROR(INDEX([2]PV.iQOO!$A:$BL,MATCH($A9,[2]PV.iQOO!$B:$B,0),MATCH("IQOONEO10|16+512|ORANGE|STOCK",[2]PVKEYIQOO!$1:$1,0)),0)</f>
        <v>0</v>
      </c>
      <c r="F9" s="22">
        <f>IFERROR(INDEX([2]PV.iQOO!$A:$BL,MATCH($A9,[2]PV.iQOO!$B:$B,0),MATCH("IQOONEO10|16+512|ORANGE|SALES",[2]PVKEYIQOO!$1:$1,0)),0)</f>
        <v>0</v>
      </c>
      <c r="G9" s="12" t="str">
        <f t="shared" si="1"/>
        <v/>
      </c>
      <c r="H9" s="10">
        <f>IFERROR(INDEX([2]PV.iQOO!$A:$BL,MATCH($A9,[2]PV.iQOO!$B:$B,0),MATCH("IQOOZ11X|8+256|BLACK|STOCK",[2]PVKEYIQOO!$1:$1,0)),0)</f>
        <v>0</v>
      </c>
      <c r="I9" s="22">
        <f>IFERROR(INDEX([2]PV.iQOO!$A:$BL,MATCH($A9,[2]PV.iQOO!$B:$B,0),MATCH("IQOOZ11X|8+256|BLACK|SALES",[2]PVKEYIQOO!$1:$1,0)),0)</f>
        <v>0</v>
      </c>
      <c r="J9" s="12" t="str">
        <f t="shared" si="2"/>
        <v/>
      </c>
      <c r="K9" s="10">
        <f>IFERROR(INDEX([2]PV.iQOO!$A:$BL,MATCH($A9,[2]PV.iQOO!$B:$B,0),MATCH("IQOOZ11X|8+256|SILVER|STOCK",[2]PVKEYIQOO!$1:$1,0)),0)</f>
        <v>0</v>
      </c>
      <c r="L9" s="22">
        <f>IFERROR(INDEX([2]PV.iQOO!$A:$BL,MATCH($A9,[2]PV.iQOO!$B:$B,0),MATCH("IQOOZ11X|8+256|SILVER|SALES",[2]PVKEYIQOO!$1:$1,0)),0)</f>
        <v>0</v>
      </c>
      <c r="M9" s="12" t="str">
        <f t="shared" si="3"/>
        <v/>
      </c>
      <c r="N9" s="10">
        <f>IFERROR(INDEX([2]PV.iQOO!$A:$BL,MATCH($A9,[2]PV.iQOO!$B:$B,0),MATCH("IQOOZ11|8+256|BLACK|STOCK",[2]PVKEYIQOO!$1:$1,0)),0)</f>
        <v>2</v>
      </c>
      <c r="O9" s="22">
        <f>IFERROR(INDEX([2]PV.iQOO!$A:$BL,MATCH($A9,[2]PV.iQOO!$B:$B,0),MATCH("IQOOZ11|8+256|BLACK|SALES",[2]PVKEYIQOO!$1:$1,0)),0)</f>
        <v>2</v>
      </c>
      <c r="P9" s="12">
        <f t="shared" si="4"/>
        <v>27</v>
      </c>
      <c r="Q9" s="10">
        <f>IFERROR(INDEX([2]PV.iQOO!$A:$BL,MATCH($A9,[2]PV.iQOO!$B:$B,0),MATCH("IQOOZ11|8+256|BLUE|STOCK",[2]PVKEYIQOO!$1:$1,0)),0)</f>
        <v>3</v>
      </c>
      <c r="R9" s="22">
        <f>IFERROR(INDEX([2]PV.iQOO!$A:$BL,MATCH($A9,[2]PV.iQOO!$B:$B,0),MATCH("IQOOZ11|8+256|BLUE|SALES",[2]PVKEYIQOO!$1:$1,0)),0)</f>
        <v>3</v>
      </c>
      <c r="S9" s="12">
        <f t="shared" si="5"/>
        <v>27</v>
      </c>
      <c r="T9" s="10">
        <f>IFERROR(INDEX([2]PV.iQOO!$A:$BL,MATCH($A9,[2]PV.iQOO!$B:$B,0),MATCH("IQOO15|16+512|ALPHA|STOCK",[2]PVKEYIQOO!$1:$1,0)),0)</f>
        <v>0</v>
      </c>
      <c r="U9" s="22">
        <f>IFERROR(INDEX([2]PV.iQOO!$A:$BL,MATCH($A9,[2]PV.iQOO!$B:$B,0),MATCH("IQOO15|16+512|ALPHA|SALES",[2]PVKEYIQOO!$1:$1,0)),0)</f>
        <v>0</v>
      </c>
      <c r="V9" s="12" t="str">
        <f t="shared" si="6"/>
        <v/>
      </c>
      <c r="W9" s="22">
        <f t="shared" si="7"/>
        <v>0</v>
      </c>
      <c r="X9" s="10">
        <f>IFERROR(INDEX([2]PV.iQOO!$A:$BL,MATCH($A9,[2]PV.iQOO!$B:$B,0),MATCH("IQOO15|16+512|LEGEND|STOCK",[2]PVKEYIQOO!$1:$1,0)),0)</f>
        <v>0</v>
      </c>
      <c r="Y9" s="22">
        <f>IFERROR(INDEX([2]PV.iQOO!$A:$BL,MATCH($A9,[2]PV.iQOO!$B:$B,0),MATCH("IQOO15|16+512|LEGEND|SALES",[2]PVKEYIQOO!$1:$1,0)),0)</f>
        <v>0</v>
      </c>
      <c r="Z9" s="12" t="str">
        <f t="shared" si="8"/>
        <v/>
      </c>
      <c r="AA9" s="22">
        <f t="shared" si="9"/>
        <v>0</v>
      </c>
      <c r="AB9" s="10">
        <f>IFERROR(INDEX([2]PV.iQOO!$A:$BL,MATCH($A9,[2]PV.iQOO!$B:$B,0),MATCH("IQOO15|16+1T|LEGEND|STOCK",[2]PVKEYIQOO!$1:$1,0)),0)</f>
        <v>0</v>
      </c>
      <c r="AC9" s="22">
        <f>IFERROR(INDEX([2]PV.iQOO!$A:$BL,MATCH($A9,[2]PV.iQOO!$B:$B,0),MATCH("IQOO15|16+1T|LEGEND|SALES",[2]PVKEYIQOO!$1:$1,0)),0)</f>
        <v>0</v>
      </c>
      <c r="AD9" s="12" t="str">
        <f t="shared" si="10"/>
        <v/>
      </c>
      <c r="AE9" s="22">
        <f t="shared" si="11"/>
        <v>0</v>
      </c>
      <c r="AF9" s="10">
        <f>IFERROR(INDEX([2]PV.iQOO!$A:$BL,MATCH($A9,[2]PV.iQOO!$B:$B,0),MATCH("IQOO15R|12+512|BLACK|STOCK",[2]PVKEYIQOO!$1:$1,0)),0)</f>
        <v>0</v>
      </c>
      <c r="AG9" s="22">
        <f>IFERROR(INDEX([2]PV.iQOO!$A:$BL,MATCH($A9,[2]PV.iQOO!$B:$B,0),MATCH("IQOO15R|12+512|BLACK|SALES",[2]PVKEYIQOO!$1:$1,0)),0)</f>
        <v>0</v>
      </c>
      <c r="AH9" s="12" t="str">
        <f t="shared" si="12"/>
        <v/>
      </c>
      <c r="AI9" s="22">
        <f t="shared" si="13"/>
        <v>0</v>
      </c>
      <c r="AJ9" s="10">
        <f>IFERROR(INDEX([2]PV.iQOO!$A:$BL,MATCH($A9,[2]PV.iQOO!$B:$B,0),MATCH("IQOO15R|12+512|SILVER|STOCK",[2]PVKEYIQOO!$1:$1,0)),0)</f>
        <v>0</v>
      </c>
      <c r="AK9" s="22">
        <f>IFERROR(INDEX([2]PV.iQOO!$A:$BL,MATCH($A9,[2]PV.iQOO!$B:$B,0),MATCH("IQOO15R|12+512|SILVER|SALES",[2]PVKEYIQOO!$1:$1,0)),0)</f>
        <v>0</v>
      </c>
      <c r="AL9" s="12" t="str">
        <f t="shared" si="14"/>
        <v/>
      </c>
      <c r="AM9" s="22">
        <f t="shared" si="15"/>
        <v>0</v>
      </c>
      <c r="AN9" s="10">
        <f>IFERROR(INDEX([2]PV.iQOO!$A:$BL,MATCH($A9,[2]PV.iQOO!$B:$B,0),MATCH("IQOOZ11|12+256|BLACK|STOCK",[2]PVKEYIQOO!$1:$1,0)),0)</f>
        <v>0</v>
      </c>
      <c r="AO9" s="22">
        <f>IFERROR(INDEX([2]PV.iQOO!$A:$BL,MATCH($A9,[2]PV.iQOO!$B:$B,0),MATCH("IQOOZ11|12+256|BLACK|SALES",[2]PVKEYIQOO!$1:$1,0)),0)</f>
        <v>0</v>
      </c>
      <c r="AP9" s="12" t="str">
        <f t="shared" si="16"/>
        <v/>
      </c>
      <c r="AQ9" s="10">
        <f>IFERROR(INDEX([2]PV.iQOO!$A:$BL,MATCH($A9,[2]PV.iQOO!$B:$B,0),MATCH("IQOOZ11|12+256|BLUE|STOCK",[2]PVKEYIQOO!$1:$1,0)),0)</f>
        <v>1</v>
      </c>
      <c r="AR9" s="22">
        <f>IFERROR(INDEX([2]PV.iQOO!$A:$BL,MATCH($A9,[2]PV.iQOO!$B:$B,0),MATCH("IQOOZ11|12+256|BLUE|SALES",[2]PVKEYIQOO!$1:$1,0)),0)</f>
        <v>0</v>
      </c>
      <c r="AS9" s="12" t="str">
        <f t="shared" si="17"/>
        <v/>
      </c>
      <c r="AT9" s="10">
        <f>IFERROR(INDEX([2]PV.iQOO!$A:$BL,MATCH($A9,[2]PV.iQOO!$B:$B,0),MATCH("IQOONEO10|12+256|WHITE|STOCK",[2]PVKEYIQOO!$1:$1,0)),0)</f>
        <v>0</v>
      </c>
      <c r="AU9" s="22">
        <f>IFERROR(INDEX([2]PV.iQOO!$A:$BL,MATCH($A9,[2]PV.iQOO!$B:$B,0),MATCH("IQOONEO10|12+256|WHITE|SALES",[2]PVKEYIQOO!$1:$1,0)),0)</f>
        <v>1</v>
      </c>
      <c r="AV9" s="12">
        <f t="shared" ref="AV9:AV36" si="19">IF(OR(AU9="",AU9=0),"",ROUND(AT9/AU9*$B$2,1))</f>
        <v>0</v>
      </c>
      <c r="AW9" s="10">
        <f>IFERROR(INDEX([2]PV.iQOO!$A:$BL,MATCH($A9,[2]PV.iQOO!$B:$B,0),MATCH("IQOOZ11X|8+128|BLACK|STOCK",[2]PVKEYIQOO!$1:$1,0)),0)</f>
        <v>2</v>
      </c>
      <c r="AX9" s="22">
        <f>IFERROR(INDEX([2]PV.iQOO!$A:$BL,MATCH($A9,[2]PV.iQOO!$B:$B,0),MATCH("IQOOZ11X|8+128|BLACK|SALES",[2]PVKEYIQOO!$1:$1,0)),0)</f>
        <v>0</v>
      </c>
      <c r="AY9" s="12" t="str">
        <f t="shared" ref="AY9:AY36" si="20">IF(OR(AX9="",AX9=0),"",ROUND(AW9/AX9*$B$2,1))</f>
        <v/>
      </c>
      <c r="AZ9" s="10">
        <f>IFERROR(INDEX([2]PV.iQOO!$A:$BL,MATCH($A9,[2]PV.iQOO!$B:$B,0),MATCH("IQOOZ11X|8+128|SILVER|STOCK",[2]PVKEYIQOO!$1:$1,0)),0)</f>
        <v>1</v>
      </c>
      <c r="BA9" s="22">
        <f>IFERROR(INDEX([2]PV.iQOO!$A:$BL,MATCH($A9,[2]PV.iQOO!$B:$B,0),MATCH("IQOOZ11X|8+128|SILVER|SALES",[2]PVKEYIQOO!$1:$1,0)),0)</f>
        <v>1</v>
      </c>
      <c r="BB9" s="12">
        <f t="shared" ref="BB9:BB36" si="21">IF(OR(BA9="",BA9=0),"",ROUND(AZ9/BA9*$B$2,1))</f>
        <v>27</v>
      </c>
      <c r="BC9" s="13">
        <f t="shared" ref="BC9:BD36" si="22">SUM(B9,E9,H9,K9,N9,Q9,T9,X9,AB9,AF9,AJ9,AN9,AQ9,AT9,AW9,AZ9)</f>
        <v>9</v>
      </c>
      <c r="BD9" s="13">
        <f t="shared" si="22"/>
        <v>7</v>
      </c>
      <c r="BE9" s="13">
        <f t="shared" si="18"/>
        <v>34.714285714285715</v>
      </c>
    </row>
    <row r="10" spans="1:57" x14ac:dyDescent="0.2">
      <c r="A10" s="21" t="s">
        <v>28</v>
      </c>
      <c r="B10" s="10">
        <f>IFERROR(INDEX([2]PV.iQOO!$A:$BL,MATCH($A10,[2]PV.iQOO!$B:$B,0),MATCH("IQOONEO10|16+512|BLACK|STOCK",[2]PVKEYIQOO!$1:$1,0)),0)</f>
        <v>0</v>
      </c>
      <c r="C10" s="22">
        <f>IFERROR(INDEX([2]PV.iQOO!$A:$BL,MATCH($A10,[2]PV.iQOO!$B:$B,0),MATCH("IQOONEO10|16+512|BLACK|SALES",[2]PVKEYIQOO!$1:$1,0)),0)</f>
        <v>0</v>
      </c>
      <c r="D10" s="12" t="str">
        <f t="shared" si="0"/>
        <v/>
      </c>
      <c r="E10" s="10">
        <f>IFERROR(INDEX([2]PV.iQOO!$A:$BL,MATCH($A10,[2]PV.iQOO!$B:$B,0),MATCH("IQOONEO10|16+512|ORANGE|STOCK",[2]PVKEYIQOO!$1:$1,0)),0)</f>
        <v>0</v>
      </c>
      <c r="F10" s="22">
        <f>IFERROR(INDEX([2]PV.iQOO!$A:$BL,MATCH($A10,[2]PV.iQOO!$B:$B,0),MATCH("IQOONEO10|16+512|ORANGE|SALES",[2]PVKEYIQOO!$1:$1,0)),0)</f>
        <v>0</v>
      </c>
      <c r="G10" s="12" t="str">
        <f t="shared" si="1"/>
        <v/>
      </c>
      <c r="H10" s="10">
        <f>IFERROR(INDEX([2]PV.iQOO!$A:$BL,MATCH($A10,[2]PV.iQOO!$B:$B,0),MATCH("IQOOZ11X|8+256|BLACK|STOCK",[2]PVKEYIQOO!$1:$1,0)),0)</f>
        <v>0</v>
      </c>
      <c r="I10" s="22">
        <f>IFERROR(INDEX([2]PV.iQOO!$A:$BL,MATCH($A10,[2]PV.iQOO!$B:$B,0),MATCH("IQOOZ11X|8+256|BLACK|SALES",[2]PVKEYIQOO!$1:$1,0)),0)</f>
        <v>0</v>
      </c>
      <c r="J10" s="12" t="str">
        <f t="shared" si="2"/>
        <v/>
      </c>
      <c r="K10" s="10">
        <f>IFERROR(INDEX([2]PV.iQOO!$A:$BL,MATCH($A10,[2]PV.iQOO!$B:$B,0),MATCH("IQOOZ11X|8+256|SILVER|STOCK",[2]PVKEYIQOO!$1:$1,0)),0)</f>
        <v>0</v>
      </c>
      <c r="L10" s="22">
        <f>IFERROR(INDEX([2]PV.iQOO!$A:$BL,MATCH($A10,[2]PV.iQOO!$B:$B,0),MATCH("IQOOZ11X|8+256|SILVER|SALES",[2]PVKEYIQOO!$1:$1,0)),0)</f>
        <v>1</v>
      </c>
      <c r="M10" s="12">
        <f t="shared" si="3"/>
        <v>0</v>
      </c>
      <c r="N10" s="10">
        <f>IFERROR(INDEX([2]PV.iQOO!$A:$BL,MATCH($A10,[2]PV.iQOO!$B:$B,0),MATCH("IQOOZ11|8+256|BLACK|STOCK",[2]PVKEYIQOO!$1:$1,0)),0)</f>
        <v>4</v>
      </c>
      <c r="O10" s="22">
        <f>IFERROR(INDEX([2]PV.iQOO!$A:$BL,MATCH($A10,[2]PV.iQOO!$B:$B,0),MATCH("IQOOZ11|8+256|BLACK|SALES",[2]PVKEYIQOO!$1:$1,0)),0)</f>
        <v>4</v>
      </c>
      <c r="P10" s="12">
        <f t="shared" si="4"/>
        <v>27</v>
      </c>
      <c r="Q10" s="10">
        <f>IFERROR(INDEX([2]PV.iQOO!$A:$BL,MATCH($A10,[2]PV.iQOO!$B:$B,0),MATCH("IQOOZ11|8+256|BLUE|STOCK",[2]PVKEYIQOO!$1:$1,0)),0)</f>
        <v>5</v>
      </c>
      <c r="R10" s="22">
        <f>IFERROR(INDEX([2]PV.iQOO!$A:$BL,MATCH($A10,[2]PV.iQOO!$B:$B,0),MATCH("IQOOZ11|8+256|BLUE|SALES",[2]PVKEYIQOO!$1:$1,0)),0)</f>
        <v>5</v>
      </c>
      <c r="S10" s="12">
        <f t="shared" si="5"/>
        <v>27</v>
      </c>
      <c r="T10" s="10">
        <f>IFERROR(INDEX([2]PV.iQOO!$A:$BL,MATCH($A10,[2]PV.iQOO!$B:$B,0),MATCH("IQOO15|16+512|ALPHA|STOCK",[2]PVKEYIQOO!$1:$1,0)),0)</f>
        <v>0</v>
      </c>
      <c r="U10" s="22">
        <f>IFERROR(INDEX([2]PV.iQOO!$A:$BL,MATCH($A10,[2]PV.iQOO!$B:$B,0),MATCH("IQOO15|16+512|ALPHA|SALES",[2]PVKEYIQOO!$1:$1,0)),0)</f>
        <v>0</v>
      </c>
      <c r="V10" s="12" t="str">
        <f t="shared" si="6"/>
        <v/>
      </c>
      <c r="W10" s="22">
        <f t="shared" si="7"/>
        <v>0</v>
      </c>
      <c r="X10" s="10">
        <f>IFERROR(INDEX([2]PV.iQOO!$A:$BL,MATCH($A10,[2]PV.iQOO!$B:$B,0),MATCH("IQOO15|16+512|LEGEND|STOCK",[2]PVKEYIQOO!$1:$1,0)),0)</f>
        <v>0</v>
      </c>
      <c r="Y10" s="22">
        <f>IFERROR(INDEX([2]PV.iQOO!$A:$BL,MATCH($A10,[2]PV.iQOO!$B:$B,0),MATCH("IQOO15|16+512|LEGEND|SALES",[2]PVKEYIQOO!$1:$1,0)),0)</f>
        <v>0</v>
      </c>
      <c r="Z10" s="12" t="str">
        <f t="shared" si="8"/>
        <v/>
      </c>
      <c r="AA10" s="22">
        <f t="shared" si="9"/>
        <v>0</v>
      </c>
      <c r="AB10" s="10">
        <f>IFERROR(INDEX([2]PV.iQOO!$A:$BL,MATCH($A10,[2]PV.iQOO!$B:$B,0),MATCH("IQOO15|16+1T|LEGEND|STOCK",[2]PVKEYIQOO!$1:$1,0)),0)</f>
        <v>0</v>
      </c>
      <c r="AC10" s="22">
        <f>IFERROR(INDEX([2]PV.iQOO!$A:$BL,MATCH($A10,[2]PV.iQOO!$B:$B,0),MATCH("IQOO15|16+1T|LEGEND|SALES",[2]PVKEYIQOO!$1:$1,0)),0)</f>
        <v>0</v>
      </c>
      <c r="AD10" s="12" t="str">
        <f t="shared" si="10"/>
        <v/>
      </c>
      <c r="AE10" s="22">
        <f t="shared" si="11"/>
        <v>0</v>
      </c>
      <c r="AF10" s="10">
        <f>IFERROR(INDEX([2]PV.iQOO!$A:$BL,MATCH($A10,[2]PV.iQOO!$B:$B,0),MATCH("IQOO15R|12+512|BLACK|STOCK",[2]PVKEYIQOO!$1:$1,0)),0)</f>
        <v>0</v>
      </c>
      <c r="AG10" s="22">
        <f>IFERROR(INDEX([2]PV.iQOO!$A:$BL,MATCH($A10,[2]PV.iQOO!$B:$B,0),MATCH("IQOO15R|12+512|BLACK|SALES",[2]PVKEYIQOO!$1:$1,0)),0)</f>
        <v>0</v>
      </c>
      <c r="AH10" s="12" t="str">
        <f t="shared" si="12"/>
        <v/>
      </c>
      <c r="AI10" s="22">
        <f t="shared" si="13"/>
        <v>0</v>
      </c>
      <c r="AJ10" s="10">
        <f>IFERROR(INDEX([2]PV.iQOO!$A:$BL,MATCH($A10,[2]PV.iQOO!$B:$B,0),MATCH("IQOO15R|12+512|SILVER|STOCK",[2]PVKEYIQOO!$1:$1,0)),0)</f>
        <v>0</v>
      </c>
      <c r="AK10" s="22">
        <f>IFERROR(INDEX([2]PV.iQOO!$A:$BL,MATCH($A10,[2]PV.iQOO!$B:$B,0),MATCH("IQOO15R|12+512|SILVER|SALES",[2]PVKEYIQOO!$1:$1,0)),0)</f>
        <v>0</v>
      </c>
      <c r="AL10" s="12" t="str">
        <f t="shared" si="14"/>
        <v/>
      </c>
      <c r="AM10" s="22">
        <f t="shared" si="15"/>
        <v>0</v>
      </c>
      <c r="AN10" s="10">
        <f>IFERROR(INDEX([2]PV.iQOO!$A:$BL,MATCH($A10,[2]PV.iQOO!$B:$B,0),MATCH("IQOOZ11|12+256|BLACK|STOCK",[2]PVKEYIQOO!$1:$1,0)),0)</f>
        <v>0</v>
      </c>
      <c r="AO10" s="22">
        <f>IFERROR(INDEX([2]PV.iQOO!$A:$BL,MATCH($A10,[2]PV.iQOO!$B:$B,0),MATCH("IQOOZ11|12+256|BLACK|SALES",[2]PVKEYIQOO!$1:$1,0)),0)</f>
        <v>0</v>
      </c>
      <c r="AP10" s="12" t="str">
        <f t="shared" si="16"/>
        <v/>
      </c>
      <c r="AQ10" s="10">
        <f>IFERROR(INDEX([2]PV.iQOO!$A:$BL,MATCH($A10,[2]PV.iQOO!$B:$B,0),MATCH("IQOOZ11|12+256|BLUE|STOCK",[2]PVKEYIQOO!$1:$1,0)),0)</f>
        <v>0</v>
      </c>
      <c r="AR10" s="22">
        <f>IFERROR(INDEX([2]PV.iQOO!$A:$BL,MATCH($A10,[2]PV.iQOO!$B:$B,0),MATCH("IQOOZ11|12+256|BLUE|SALES",[2]PVKEYIQOO!$1:$1,0)),0)</f>
        <v>0</v>
      </c>
      <c r="AS10" s="12" t="str">
        <f t="shared" si="17"/>
        <v/>
      </c>
      <c r="AT10" s="10">
        <f>IFERROR(INDEX([2]PV.iQOO!$A:$BL,MATCH($A10,[2]PV.iQOO!$B:$B,0),MATCH("IQOONEO10|12+256|WHITE|STOCK",[2]PVKEYIQOO!$1:$1,0)),0)</f>
        <v>1</v>
      </c>
      <c r="AU10" s="22">
        <f>IFERROR(INDEX([2]PV.iQOO!$A:$BL,MATCH($A10,[2]PV.iQOO!$B:$B,0),MATCH("IQOONEO10|12+256|WHITE|SALES",[2]PVKEYIQOO!$1:$1,0)),0)</f>
        <v>2</v>
      </c>
      <c r="AV10" s="12">
        <f t="shared" si="19"/>
        <v>13.5</v>
      </c>
      <c r="AW10" s="10">
        <f>IFERROR(INDEX([2]PV.iQOO!$A:$BL,MATCH($A10,[2]PV.iQOO!$B:$B,0),MATCH("IQOOZ11X|8+128|BLACK|STOCK",[2]PVKEYIQOO!$1:$1,0)),0)</f>
        <v>4</v>
      </c>
      <c r="AX10" s="22">
        <f>IFERROR(INDEX([2]PV.iQOO!$A:$BL,MATCH($A10,[2]PV.iQOO!$B:$B,0),MATCH("IQOOZ11X|8+128|BLACK|SALES",[2]PVKEYIQOO!$1:$1,0)),0)</f>
        <v>2</v>
      </c>
      <c r="AY10" s="12">
        <f t="shared" si="20"/>
        <v>54</v>
      </c>
      <c r="AZ10" s="10">
        <f>IFERROR(INDEX([2]PV.iQOO!$A:$BL,MATCH($A10,[2]PV.iQOO!$B:$B,0),MATCH("IQOOZ11X|8+128|SILVER|STOCK",[2]PVKEYIQOO!$1:$1,0)),0)</f>
        <v>4</v>
      </c>
      <c r="BA10" s="22">
        <f>IFERROR(INDEX([2]PV.iQOO!$A:$BL,MATCH($A10,[2]PV.iQOO!$B:$B,0),MATCH("IQOOZ11X|8+128|SILVER|SALES",[2]PVKEYIQOO!$1:$1,0)),0)</f>
        <v>2</v>
      </c>
      <c r="BB10" s="12">
        <f t="shared" si="21"/>
        <v>54</v>
      </c>
      <c r="BC10" s="13">
        <f t="shared" si="22"/>
        <v>18</v>
      </c>
      <c r="BD10" s="13">
        <f t="shared" si="22"/>
        <v>16</v>
      </c>
      <c r="BE10" s="13">
        <f t="shared" si="18"/>
        <v>30.375</v>
      </c>
    </row>
    <row r="11" spans="1:57" x14ac:dyDescent="0.2">
      <c r="A11" s="21" t="s">
        <v>29</v>
      </c>
      <c r="B11" s="10">
        <f>IFERROR(INDEX([2]PV.iQOO!$A:$BL,MATCH($A11,[2]PV.iQOO!$B:$B,0),MATCH("IQOONEO10|16+512|BLACK|STOCK",[2]PVKEYIQOO!$1:$1,0)),0)</f>
        <v>0</v>
      </c>
      <c r="C11" s="22">
        <f>IFERROR(INDEX([2]PV.iQOO!$A:$BL,MATCH($A11,[2]PV.iQOO!$B:$B,0),MATCH("IQOONEO10|16+512|BLACK|SALES",[2]PVKEYIQOO!$1:$1,0)),0)</f>
        <v>0</v>
      </c>
      <c r="D11" s="12" t="str">
        <f t="shared" si="0"/>
        <v/>
      </c>
      <c r="E11" s="10">
        <f>IFERROR(INDEX([2]PV.iQOO!$A:$BL,MATCH($A11,[2]PV.iQOO!$B:$B,0),MATCH("IQOONEO10|16+512|ORANGE|STOCK",[2]PVKEYIQOO!$1:$1,0)),0)</f>
        <v>0</v>
      </c>
      <c r="F11" s="22">
        <f>IFERROR(INDEX([2]PV.iQOO!$A:$BL,MATCH($A11,[2]PV.iQOO!$B:$B,0),MATCH("IQOONEO10|16+512|ORANGE|SALES",[2]PVKEYIQOO!$1:$1,0)),0)</f>
        <v>0</v>
      </c>
      <c r="G11" s="12" t="str">
        <f t="shared" si="1"/>
        <v/>
      </c>
      <c r="H11" s="10">
        <f>IFERROR(INDEX([2]PV.iQOO!$A:$BL,MATCH($A11,[2]PV.iQOO!$B:$B,0),MATCH("IQOOZ11X|8+256|BLACK|STOCK",[2]PVKEYIQOO!$1:$1,0)),0)</f>
        <v>0</v>
      </c>
      <c r="I11" s="22">
        <f>IFERROR(INDEX([2]PV.iQOO!$A:$BL,MATCH($A11,[2]PV.iQOO!$B:$B,0),MATCH("IQOOZ11X|8+256|BLACK|SALES",[2]PVKEYIQOO!$1:$1,0)),0)</f>
        <v>0</v>
      </c>
      <c r="J11" s="12" t="str">
        <f t="shared" si="2"/>
        <v/>
      </c>
      <c r="K11" s="10">
        <f>IFERROR(INDEX([2]PV.iQOO!$A:$BL,MATCH($A11,[2]PV.iQOO!$B:$B,0),MATCH("IQOOZ11X|8+256|SILVER|STOCK",[2]PVKEYIQOO!$1:$1,0)),0)</f>
        <v>0</v>
      </c>
      <c r="L11" s="22">
        <f>IFERROR(INDEX([2]PV.iQOO!$A:$BL,MATCH($A11,[2]PV.iQOO!$B:$B,0),MATCH("IQOOZ11X|8+256|SILVER|SALES",[2]PVKEYIQOO!$1:$1,0)),0)</f>
        <v>0</v>
      </c>
      <c r="M11" s="12" t="str">
        <f t="shared" si="3"/>
        <v/>
      </c>
      <c r="N11" s="10">
        <f>IFERROR(INDEX([2]PV.iQOO!$A:$BL,MATCH($A11,[2]PV.iQOO!$B:$B,0),MATCH("IQOOZ11|8+256|BLACK|STOCK",[2]PVKEYIQOO!$1:$1,0)),0)</f>
        <v>2</v>
      </c>
      <c r="O11" s="22">
        <f>IFERROR(INDEX([2]PV.iQOO!$A:$BL,MATCH($A11,[2]PV.iQOO!$B:$B,0),MATCH("IQOOZ11|8+256|BLACK|SALES",[2]PVKEYIQOO!$1:$1,0)),0)</f>
        <v>1</v>
      </c>
      <c r="P11" s="12">
        <f t="shared" si="4"/>
        <v>54</v>
      </c>
      <c r="Q11" s="10">
        <f>IFERROR(INDEX([2]PV.iQOO!$A:$BL,MATCH($A11,[2]PV.iQOO!$B:$B,0),MATCH("IQOOZ11|8+256|BLUE|STOCK",[2]PVKEYIQOO!$1:$1,0)),0)</f>
        <v>2</v>
      </c>
      <c r="R11" s="22">
        <f>IFERROR(INDEX([2]PV.iQOO!$A:$BL,MATCH($A11,[2]PV.iQOO!$B:$B,0),MATCH("IQOOZ11|8+256|BLUE|SALES",[2]PVKEYIQOO!$1:$1,0)),0)</f>
        <v>2</v>
      </c>
      <c r="S11" s="12">
        <f t="shared" si="5"/>
        <v>27</v>
      </c>
      <c r="T11" s="10">
        <f>IFERROR(INDEX([2]PV.iQOO!$A:$BL,MATCH($A11,[2]PV.iQOO!$B:$B,0),MATCH("IQOO15|16+512|ALPHA|STOCK",[2]PVKEYIQOO!$1:$1,0)),0)</f>
        <v>0</v>
      </c>
      <c r="U11" s="22">
        <f>IFERROR(INDEX([2]PV.iQOO!$A:$BL,MATCH($A11,[2]PV.iQOO!$B:$B,0),MATCH("IQOO15|16+512|ALPHA|SALES",[2]PVKEYIQOO!$1:$1,0)),0)</f>
        <v>0</v>
      </c>
      <c r="V11" s="12" t="str">
        <f t="shared" si="6"/>
        <v/>
      </c>
      <c r="W11" s="22">
        <f t="shared" si="7"/>
        <v>0</v>
      </c>
      <c r="X11" s="10">
        <f>IFERROR(INDEX([2]PV.iQOO!$A:$BL,MATCH($A11,[2]PV.iQOO!$B:$B,0),MATCH("IQOO15|16+512|LEGEND|STOCK",[2]PVKEYIQOO!$1:$1,0)),0)</f>
        <v>0</v>
      </c>
      <c r="Y11" s="22">
        <f>IFERROR(INDEX([2]PV.iQOO!$A:$BL,MATCH($A11,[2]PV.iQOO!$B:$B,0),MATCH("IQOO15|16+512|LEGEND|SALES",[2]PVKEYIQOO!$1:$1,0)),0)</f>
        <v>0</v>
      </c>
      <c r="Z11" s="12" t="str">
        <f t="shared" si="8"/>
        <v/>
      </c>
      <c r="AA11" s="22">
        <f t="shared" si="9"/>
        <v>0</v>
      </c>
      <c r="AB11" s="10">
        <f>IFERROR(INDEX([2]PV.iQOO!$A:$BL,MATCH($A11,[2]PV.iQOO!$B:$B,0),MATCH("IQOO15|16+1T|LEGEND|STOCK",[2]PVKEYIQOO!$1:$1,0)),0)</f>
        <v>0</v>
      </c>
      <c r="AC11" s="22">
        <f>IFERROR(INDEX([2]PV.iQOO!$A:$BL,MATCH($A11,[2]PV.iQOO!$B:$B,0),MATCH("IQOO15|16+1T|LEGEND|SALES",[2]PVKEYIQOO!$1:$1,0)),0)</f>
        <v>0</v>
      </c>
      <c r="AD11" s="12" t="str">
        <f t="shared" si="10"/>
        <v/>
      </c>
      <c r="AE11" s="22">
        <f t="shared" si="11"/>
        <v>0</v>
      </c>
      <c r="AF11" s="10">
        <f>IFERROR(INDEX([2]PV.iQOO!$A:$BL,MATCH($A11,[2]PV.iQOO!$B:$B,0),MATCH("IQOO15R|12+512|BLACK|STOCK",[2]PVKEYIQOO!$1:$1,0)),0)</f>
        <v>0</v>
      </c>
      <c r="AG11" s="22">
        <f>IFERROR(INDEX([2]PV.iQOO!$A:$BL,MATCH($A11,[2]PV.iQOO!$B:$B,0),MATCH("IQOO15R|12+512|BLACK|SALES",[2]PVKEYIQOO!$1:$1,0)),0)</f>
        <v>1</v>
      </c>
      <c r="AH11" s="12">
        <f t="shared" si="12"/>
        <v>0</v>
      </c>
      <c r="AI11" s="22">
        <f t="shared" si="13"/>
        <v>0.37037037037037035</v>
      </c>
      <c r="AJ11" s="10">
        <f>IFERROR(INDEX([2]PV.iQOO!$A:$BL,MATCH($A11,[2]PV.iQOO!$B:$B,0),MATCH("IQOO15R|12+512|SILVER|STOCK",[2]PVKEYIQOO!$1:$1,0)),0)</f>
        <v>0</v>
      </c>
      <c r="AK11" s="22">
        <f>IFERROR(INDEX([2]PV.iQOO!$A:$BL,MATCH($A11,[2]PV.iQOO!$B:$B,0),MATCH("IQOO15R|12+512|SILVER|SALES",[2]PVKEYIQOO!$1:$1,0)),0)</f>
        <v>0</v>
      </c>
      <c r="AL11" s="12" t="str">
        <f t="shared" si="14"/>
        <v/>
      </c>
      <c r="AM11" s="22">
        <f t="shared" si="15"/>
        <v>0</v>
      </c>
      <c r="AN11" s="10">
        <f>IFERROR(INDEX([2]PV.iQOO!$A:$BL,MATCH($A11,[2]PV.iQOO!$B:$B,0),MATCH("IQOOZ11|12+256|BLACK|STOCK",[2]PVKEYIQOO!$1:$1,0)),0)</f>
        <v>1</v>
      </c>
      <c r="AO11" s="22">
        <f>IFERROR(INDEX([2]PV.iQOO!$A:$BL,MATCH($A11,[2]PV.iQOO!$B:$B,0),MATCH("IQOOZ11|12+256|BLACK|SALES",[2]PVKEYIQOO!$1:$1,0)),0)</f>
        <v>0</v>
      </c>
      <c r="AP11" s="12" t="str">
        <f t="shared" si="16"/>
        <v/>
      </c>
      <c r="AQ11" s="10">
        <f>IFERROR(INDEX([2]PV.iQOO!$A:$BL,MATCH($A11,[2]PV.iQOO!$B:$B,0),MATCH("IQOOZ11|12+256|BLUE|STOCK",[2]PVKEYIQOO!$1:$1,0)),0)</f>
        <v>3</v>
      </c>
      <c r="AR11" s="22">
        <f>IFERROR(INDEX([2]PV.iQOO!$A:$BL,MATCH($A11,[2]PV.iQOO!$B:$B,0),MATCH("IQOOZ11|12+256|BLUE|SALES",[2]PVKEYIQOO!$1:$1,0)),0)</f>
        <v>0</v>
      </c>
      <c r="AS11" s="12" t="str">
        <f t="shared" si="17"/>
        <v/>
      </c>
      <c r="AT11" s="10">
        <f>IFERROR(INDEX([2]PV.iQOO!$A:$BL,MATCH($A11,[2]PV.iQOO!$B:$B,0),MATCH("IQOONEO10|12+256|WHITE|STOCK",[2]PVKEYIQOO!$1:$1,0)),0)</f>
        <v>3</v>
      </c>
      <c r="AU11" s="22">
        <f>IFERROR(INDEX([2]PV.iQOO!$A:$BL,MATCH($A11,[2]PV.iQOO!$B:$B,0),MATCH("IQOONEO10|12+256|WHITE|SALES",[2]PVKEYIQOO!$1:$1,0)),0)</f>
        <v>1</v>
      </c>
      <c r="AV11" s="12">
        <f t="shared" si="19"/>
        <v>81</v>
      </c>
      <c r="AW11" s="10">
        <f>IFERROR(INDEX([2]PV.iQOO!$A:$BL,MATCH($A11,[2]PV.iQOO!$B:$B,0),MATCH("IQOOZ11X|8+128|BLACK|STOCK",[2]PVKEYIQOO!$1:$1,0)),0)</f>
        <v>2</v>
      </c>
      <c r="AX11" s="22">
        <f>IFERROR(INDEX([2]PV.iQOO!$A:$BL,MATCH($A11,[2]PV.iQOO!$B:$B,0),MATCH("IQOOZ11X|8+128|BLACK|SALES",[2]PVKEYIQOO!$1:$1,0)),0)</f>
        <v>0</v>
      </c>
      <c r="AY11" s="12" t="str">
        <f t="shared" si="20"/>
        <v/>
      </c>
      <c r="AZ11" s="10">
        <f>IFERROR(INDEX([2]PV.iQOO!$A:$BL,MATCH($A11,[2]PV.iQOO!$B:$B,0),MATCH("IQOOZ11X|8+128|SILVER|STOCK",[2]PVKEYIQOO!$1:$1,0)),0)</f>
        <v>1</v>
      </c>
      <c r="BA11" s="22">
        <f>IFERROR(INDEX([2]PV.iQOO!$A:$BL,MATCH($A11,[2]PV.iQOO!$B:$B,0),MATCH("IQOOZ11X|8+128|SILVER|SALES",[2]PVKEYIQOO!$1:$1,0)),0)</f>
        <v>0</v>
      </c>
      <c r="BB11" s="12" t="str">
        <f t="shared" si="21"/>
        <v/>
      </c>
      <c r="BC11" s="13">
        <f t="shared" si="22"/>
        <v>14</v>
      </c>
      <c r="BD11" s="13">
        <f t="shared" si="22"/>
        <v>5</v>
      </c>
      <c r="BE11" s="13">
        <f t="shared" si="18"/>
        <v>75.600000000000009</v>
      </c>
    </row>
    <row r="12" spans="1:57" x14ac:dyDescent="0.2">
      <c r="A12" s="21" t="s">
        <v>30</v>
      </c>
      <c r="B12" s="10">
        <f>IFERROR(INDEX([2]PV.iQOO!$A:$BL,MATCH($A12,[2]PV.iQOO!$B:$B,0),MATCH("IQOONEO10|16+512|BLACK|STOCK",[2]PVKEYIQOO!$1:$1,0)),0)</f>
        <v>0</v>
      </c>
      <c r="C12" s="22">
        <f>IFERROR(INDEX([2]PV.iQOO!$A:$BL,MATCH($A12,[2]PV.iQOO!$B:$B,0),MATCH("IQOONEO10|16+512|BLACK|SALES",[2]PVKEYIQOO!$1:$1,0)),0)</f>
        <v>0</v>
      </c>
      <c r="D12" s="12" t="str">
        <f t="shared" si="0"/>
        <v/>
      </c>
      <c r="E12" s="10">
        <f>IFERROR(INDEX([2]PV.iQOO!$A:$BL,MATCH($A12,[2]PV.iQOO!$B:$B,0),MATCH("IQOONEO10|16+512|ORANGE|STOCK",[2]PVKEYIQOO!$1:$1,0)),0)</f>
        <v>0</v>
      </c>
      <c r="F12" s="22">
        <f>IFERROR(INDEX([2]PV.iQOO!$A:$BL,MATCH($A12,[2]PV.iQOO!$B:$B,0),MATCH("IQOONEO10|16+512|ORANGE|SALES",[2]PVKEYIQOO!$1:$1,0)),0)</f>
        <v>0</v>
      </c>
      <c r="G12" s="12" t="str">
        <f t="shared" si="1"/>
        <v/>
      </c>
      <c r="H12" s="10">
        <f>IFERROR(INDEX([2]PV.iQOO!$A:$BL,MATCH($A12,[2]PV.iQOO!$B:$B,0),MATCH("IQOOZ11X|8+256|BLACK|STOCK",[2]PVKEYIQOO!$1:$1,0)),0)</f>
        <v>0</v>
      </c>
      <c r="I12" s="22">
        <f>IFERROR(INDEX([2]PV.iQOO!$A:$BL,MATCH($A12,[2]PV.iQOO!$B:$B,0),MATCH("IQOOZ11X|8+256|BLACK|SALES",[2]PVKEYIQOO!$1:$1,0)),0)</f>
        <v>0</v>
      </c>
      <c r="J12" s="12" t="str">
        <f t="shared" si="2"/>
        <v/>
      </c>
      <c r="K12" s="10">
        <f>IFERROR(INDEX([2]PV.iQOO!$A:$BL,MATCH($A12,[2]PV.iQOO!$B:$B,0),MATCH("IQOOZ11X|8+256|SILVER|STOCK",[2]PVKEYIQOO!$1:$1,0)),0)</f>
        <v>0</v>
      </c>
      <c r="L12" s="22">
        <f>IFERROR(INDEX([2]PV.iQOO!$A:$BL,MATCH($A12,[2]PV.iQOO!$B:$B,0),MATCH("IQOOZ11X|8+256|SILVER|SALES",[2]PVKEYIQOO!$1:$1,0)),0)</f>
        <v>0</v>
      </c>
      <c r="M12" s="12" t="str">
        <f t="shared" si="3"/>
        <v/>
      </c>
      <c r="N12" s="10">
        <f>IFERROR(INDEX([2]PV.iQOO!$A:$BL,MATCH($A12,[2]PV.iQOO!$B:$B,0),MATCH("IQOOZ11|8+256|BLACK|STOCK",[2]PVKEYIQOO!$1:$1,0)),0)</f>
        <v>1</v>
      </c>
      <c r="O12" s="22">
        <f>IFERROR(INDEX([2]PV.iQOO!$A:$BL,MATCH($A12,[2]PV.iQOO!$B:$B,0),MATCH("IQOOZ11|8+256|BLACK|SALES",[2]PVKEYIQOO!$1:$1,0)),0)</f>
        <v>0</v>
      </c>
      <c r="P12" s="12" t="str">
        <f t="shared" si="4"/>
        <v/>
      </c>
      <c r="Q12" s="10">
        <f>IFERROR(INDEX([2]PV.iQOO!$A:$BL,MATCH($A12,[2]PV.iQOO!$B:$B,0),MATCH("IQOOZ11|8+256|BLUE|STOCK",[2]PVKEYIQOO!$1:$1,0)),0)</f>
        <v>2</v>
      </c>
      <c r="R12" s="22">
        <f>IFERROR(INDEX([2]PV.iQOO!$A:$BL,MATCH($A12,[2]PV.iQOO!$B:$B,0),MATCH("IQOOZ11|8+256|BLUE|SALES",[2]PVKEYIQOO!$1:$1,0)),0)</f>
        <v>2</v>
      </c>
      <c r="S12" s="12">
        <f t="shared" si="5"/>
        <v>27</v>
      </c>
      <c r="T12" s="10">
        <f>IFERROR(INDEX([2]PV.iQOO!$A:$BL,MATCH($A12,[2]PV.iQOO!$B:$B,0),MATCH("IQOO15|16+512|ALPHA|STOCK",[2]PVKEYIQOO!$1:$1,0)),0)</f>
        <v>0</v>
      </c>
      <c r="U12" s="22">
        <f>IFERROR(INDEX([2]PV.iQOO!$A:$BL,MATCH($A12,[2]PV.iQOO!$B:$B,0),MATCH("IQOO15|16+512|ALPHA|SALES",[2]PVKEYIQOO!$1:$1,0)),0)</f>
        <v>0</v>
      </c>
      <c r="V12" s="12" t="str">
        <f t="shared" si="6"/>
        <v/>
      </c>
      <c r="W12" s="22">
        <f t="shared" si="7"/>
        <v>0</v>
      </c>
      <c r="X12" s="10">
        <f>IFERROR(INDEX([2]PV.iQOO!$A:$BL,MATCH($A12,[2]PV.iQOO!$B:$B,0),MATCH("IQOO15|16+512|LEGEND|STOCK",[2]PVKEYIQOO!$1:$1,0)),0)</f>
        <v>0</v>
      </c>
      <c r="Y12" s="22">
        <f>IFERROR(INDEX([2]PV.iQOO!$A:$BL,MATCH($A12,[2]PV.iQOO!$B:$B,0),MATCH("IQOO15|16+512|LEGEND|SALES",[2]PVKEYIQOO!$1:$1,0)),0)</f>
        <v>0</v>
      </c>
      <c r="Z12" s="12" t="str">
        <f t="shared" si="8"/>
        <v/>
      </c>
      <c r="AA12" s="22">
        <f t="shared" si="9"/>
        <v>0</v>
      </c>
      <c r="AB12" s="10">
        <f>IFERROR(INDEX([2]PV.iQOO!$A:$BL,MATCH($A12,[2]PV.iQOO!$B:$B,0),MATCH("IQOO15|16+1T|LEGEND|STOCK",[2]PVKEYIQOO!$1:$1,0)),0)</f>
        <v>0</v>
      </c>
      <c r="AC12" s="22">
        <f>IFERROR(INDEX([2]PV.iQOO!$A:$BL,MATCH($A12,[2]PV.iQOO!$B:$B,0),MATCH("IQOO15|16+1T|LEGEND|SALES",[2]PVKEYIQOO!$1:$1,0)),0)</f>
        <v>0</v>
      </c>
      <c r="AD12" s="12" t="str">
        <f t="shared" si="10"/>
        <v/>
      </c>
      <c r="AE12" s="22">
        <f t="shared" si="11"/>
        <v>0</v>
      </c>
      <c r="AF12" s="10">
        <f>IFERROR(INDEX([2]PV.iQOO!$A:$BL,MATCH($A12,[2]PV.iQOO!$B:$B,0),MATCH("IQOO15R|12+512|BLACK|STOCK",[2]PVKEYIQOO!$1:$1,0)),0)</f>
        <v>0</v>
      </c>
      <c r="AG12" s="22">
        <f>IFERROR(INDEX([2]PV.iQOO!$A:$BL,MATCH($A12,[2]PV.iQOO!$B:$B,0),MATCH("IQOO15R|12+512|BLACK|SALES",[2]PVKEYIQOO!$1:$1,0)),0)</f>
        <v>0</v>
      </c>
      <c r="AH12" s="12" t="str">
        <f t="shared" si="12"/>
        <v/>
      </c>
      <c r="AI12" s="22">
        <f t="shared" si="13"/>
        <v>0</v>
      </c>
      <c r="AJ12" s="10">
        <f>IFERROR(INDEX([2]PV.iQOO!$A:$BL,MATCH($A12,[2]PV.iQOO!$B:$B,0),MATCH("IQOO15R|12+512|SILVER|STOCK",[2]PVKEYIQOO!$1:$1,0)),0)</f>
        <v>0</v>
      </c>
      <c r="AK12" s="22">
        <f>IFERROR(INDEX([2]PV.iQOO!$A:$BL,MATCH($A12,[2]PV.iQOO!$B:$B,0),MATCH("IQOO15R|12+512|SILVER|SALES",[2]PVKEYIQOO!$1:$1,0)),0)</f>
        <v>0</v>
      </c>
      <c r="AL12" s="12" t="str">
        <f t="shared" si="14"/>
        <v/>
      </c>
      <c r="AM12" s="22">
        <f t="shared" si="15"/>
        <v>0</v>
      </c>
      <c r="AN12" s="10">
        <f>IFERROR(INDEX([2]PV.iQOO!$A:$BL,MATCH($A12,[2]PV.iQOO!$B:$B,0),MATCH("IQOOZ11|12+256|BLACK|STOCK",[2]PVKEYIQOO!$1:$1,0)),0)</f>
        <v>0</v>
      </c>
      <c r="AO12" s="22">
        <f>IFERROR(INDEX([2]PV.iQOO!$A:$BL,MATCH($A12,[2]PV.iQOO!$B:$B,0),MATCH("IQOOZ11|12+256|BLACK|SALES",[2]PVKEYIQOO!$1:$1,0)),0)</f>
        <v>0</v>
      </c>
      <c r="AP12" s="12" t="str">
        <f t="shared" si="16"/>
        <v/>
      </c>
      <c r="AQ12" s="10">
        <f>IFERROR(INDEX([2]PV.iQOO!$A:$BL,MATCH($A12,[2]PV.iQOO!$B:$B,0),MATCH("IQOOZ11|12+256|BLUE|STOCK",[2]PVKEYIQOO!$1:$1,0)),0)</f>
        <v>0</v>
      </c>
      <c r="AR12" s="22">
        <f>IFERROR(INDEX([2]PV.iQOO!$A:$BL,MATCH($A12,[2]PV.iQOO!$B:$B,0),MATCH("IQOOZ11|12+256|BLUE|SALES",[2]PVKEYIQOO!$1:$1,0)),0)</f>
        <v>0</v>
      </c>
      <c r="AS12" s="12" t="str">
        <f t="shared" si="17"/>
        <v/>
      </c>
      <c r="AT12" s="10">
        <f>IFERROR(INDEX([2]PV.iQOO!$A:$BL,MATCH($A12,[2]PV.iQOO!$B:$B,0),MATCH("IQOONEO10|12+256|WHITE|STOCK",[2]PVKEYIQOO!$1:$1,0)),0)</f>
        <v>0</v>
      </c>
      <c r="AU12" s="22">
        <f>IFERROR(INDEX([2]PV.iQOO!$A:$BL,MATCH($A12,[2]PV.iQOO!$B:$B,0),MATCH("IQOONEO10|12+256|WHITE|SALES",[2]PVKEYIQOO!$1:$1,0)),0)</f>
        <v>2</v>
      </c>
      <c r="AV12" s="12">
        <f t="shared" si="19"/>
        <v>0</v>
      </c>
      <c r="AW12" s="10">
        <f>IFERROR(INDEX([2]PV.iQOO!$A:$BL,MATCH($A12,[2]PV.iQOO!$B:$B,0),MATCH("IQOOZ11X|8+128|BLACK|STOCK",[2]PVKEYIQOO!$1:$1,0)),0)</f>
        <v>0</v>
      </c>
      <c r="AX12" s="22">
        <f>IFERROR(INDEX([2]PV.iQOO!$A:$BL,MATCH($A12,[2]PV.iQOO!$B:$B,0),MATCH("IQOOZ11X|8+128|BLACK|SALES",[2]PVKEYIQOO!$1:$1,0)),0)</f>
        <v>1</v>
      </c>
      <c r="AY12" s="12">
        <f t="shared" si="20"/>
        <v>0</v>
      </c>
      <c r="AZ12" s="10">
        <f>IFERROR(INDEX([2]PV.iQOO!$A:$BL,MATCH($A12,[2]PV.iQOO!$B:$B,0),MATCH("IQOOZ11X|8+128|SILVER|STOCK",[2]PVKEYIQOO!$1:$1,0)),0)</f>
        <v>0</v>
      </c>
      <c r="BA12" s="22">
        <f>IFERROR(INDEX([2]PV.iQOO!$A:$BL,MATCH($A12,[2]PV.iQOO!$B:$B,0),MATCH("IQOOZ11X|8+128|SILVER|SALES",[2]PVKEYIQOO!$1:$1,0)),0)</f>
        <v>1</v>
      </c>
      <c r="BB12" s="12">
        <f t="shared" si="21"/>
        <v>0</v>
      </c>
      <c r="BC12" s="13">
        <f t="shared" si="22"/>
        <v>3</v>
      </c>
      <c r="BD12" s="13">
        <f t="shared" si="22"/>
        <v>6</v>
      </c>
      <c r="BE12" s="13">
        <f t="shared" si="18"/>
        <v>13.5</v>
      </c>
    </row>
    <row r="13" spans="1:57" x14ac:dyDescent="0.2">
      <c r="A13" s="21" t="s">
        <v>31</v>
      </c>
      <c r="B13" s="10">
        <f>IFERROR(INDEX([2]PV.iQOO!$A:$BL,MATCH($A13,[2]PV.iQOO!$B:$B,0),MATCH("IQOONEO10|16+512|BLACK|STOCK",[2]PVKEYIQOO!$1:$1,0)),0)</f>
        <v>0</v>
      </c>
      <c r="C13" s="22">
        <f>IFERROR(INDEX([2]PV.iQOO!$A:$BL,MATCH($A13,[2]PV.iQOO!$B:$B,0),MATCH("IQOONEO10|16+512|BLACK|SALES",[2]PVKEYIQOO!$1:$1,0)),0)</f>
        <v>0</v>
      </c>
      <c r="D13" s="12" t="str">
        <f t="shared" si="0"/>
        <v/>
      </c>
      <c r="E13" s="10">
        <f>IFERROR(INDEX([2]PV.iQOO!$A:$BL,MATCH($A13,[2]PV.iQOO!$B:$B,0),MATCH("IQOONEO10|16+512|ORANGE|STOCK",[2]PVKEYIQOO!$1:$1,0)),0)</f>
        <v>0</v>
      </c>
      <c r="F13" s="22">
        <f>IFERROR(INDEX([2]PV.iQOO!$A:$BL,MATCH($A13,[2]PV.iQOO!$B:$B,0),MATCH("IQOONEO10|16+512|ORANGE|SALES",[2]PVKEYIQOO!$1:$1,0)),0)</f>
        <v>0</v>
      </c>
      <c r="G13" s="12" t="str">
        <f t="shared" si="1"/>
        <v/>
      </c>
      <c r="H13" s="10">
        <f>IFERROR(INDEX([2]PV.iQOO!$A:$BL,MATCH($A13,[2]PV.iQOO!$B:$B,0),MATCH("IQOOZ11X|8+256|BLACK|STOCK",[2]PVKEYIQOO!$1:$1,0)),0)</f>
        <v>1</v>
      </c>
      <c r="I13" s="22">
        <f>IFERROR(INDEX([2]PV.iQOO!$A:$BL,MATCH($A13,[2]PV.iQOO!$B:$B,0),MATCH("IQOOZ11X|8+256|BLACK|SALES",[2]PVKEYIQOO!$1:$1,0)),0)</f>
        <v>2</v>
      </c>
      <c r="J13" s="12">
        <f t="shared" si="2"/>
        <v>13.5</v>
      </c>
      <c r="K13" s="10">
        <f>IFERROR(INDEX([2]PV.iQOO!$A:$BL,MATCH($A13,[2]PV.iQOO!$B:$B,0),MATCH("IQOOZ11X|8+256|SILVER|STOCK",[2]PVKEYIQOO!$1:$1,0)),0)</f>
        <v>0</v>
      </c>
      <c r="L13" s="22">
        <f>IFERROR(INDEX([2]PV.iQOO!$A:$BL,MATCH($A13,[2]PV.iQOO!$B:$B,0),MATCH("IQOOZ11X|8+256|SILVER|SALES",[2]PVKEYIQOO!$1:$1,0)),0)</f>
        <v>0</v>
      </c>
      <c r="M13" s="12" t="str">
        <f t="shared" si="3"/>
        <v/>
      </c>
      <c r="N13" s="10">
        <f>IFERROR(INDEX([2]PV.iQOO!$A:$BL,MATCH($A13,[2]PV.iQOO!$B:$B,0),MATCH("IQOOZ11|8+256|BLACK|STOCK",[2]PVKEYIQOO!$1:$1,0)),0)</f>
        <v>2</v>
      </c>
      <c r="O13" s="22">
        <f>IFERROR(INDEX([2]PV.iQOO!$A:$BL,MATCH($A13,[2]PV.iQOO!$B:$B,0),MATCH("IQOOZ11|8+256|BLACK|SALES",[2]PVKEYIQOO!$1:$1,0)),0)</f>
        <v>2</v>
      </c>
      <c r="P13" s="12">
        <f t="shared" si="4"/>
        <v>27</v>
      </c>
      <c r="Q13" s="10">
        <f>IFERROR(INDEX([2]PV.iQOO!$A:$BL,MATCH($A13,[2]PV.iQOO!$B:$B,0),MATCH("IQOOZ11|8+256|BLUE|STOCK",[2]PVKEYIQOO!$1:$1,0)),0)</f>
        <v>4</v>
      </c>
      <c r="R13" s="22">
        <f>IFERROR(INDEX([2]PV.iQOO!$A:$BL,MATCH($A13,[2]PV.iQOO!$B:$B,0),MATCH("IQOOZ11|8+256|BLUE|SALES",[2]PVKEYIQOO!$1:$1,0)),0)</f>
        <v>0</v>
      </c>
      <c r="S13" s="12" t="str">
        <f t="shared" si="5"/>
        <v/>
      </c>
      <c r="T13" s="10">
        <f>IFERROR(INDEX([2]PV.iQOO!$A:$BL,MATCH($A13,[2]PV.iQOO!$B:$B,0),MATCH("IQOO15|16+512|ALPHA|STOCK",[2]PVKEYIQOO!$1:$1,0)),0)</f>
        <v>0</v>
      </c>
      <c r="U13" s="22">
        <f>IFERROR(INDEX([2]PV.iQOO!$A:$BL,MATCH($A13,[2]PV.iQOO!$B:$B,0),MATCH("IQOO15|16+512|ALPHA|SALES",[2]PVKEYIQOO!$1:$1,0)),0)</f>
        <v>0</v>
      </c>
      <c r="V13" s="12" t="str">
        <f t="shared" si="6"/>
        <v/>
      </c>
      <c r="W13" s="22">
        <f t="shared" si="7"/>
        <v>0</v>
      </c>
      <c r="X13" s="10">
        <f>IFERROR(INDEX([2]PV.iQOO!$A:$BL,MATCH($A13,[2]PV.iQOO!$B:$B,0),MATCH("IQOO15|16+512|LEGEND|STOCK",[2]PVKEYIQOO!$1:$1,0)),0)</f>
        <v>0</v>
      </c>
      <c r="Y13" s="22">
        <f>IFERROR(INDEX([2]PV.iQOO!$A:$BL,MATCH($A13,[2]PV.iQOO!$B:$B,0),MATCH("IQOO15|16+512|LEGEND|SALES",[2]PVKEYIQOO!$1:$1,0)),0)</f>
        <v>0</v>
      </c>
      <c r="Z13" s="12" t="str">
        <f t="shared" si="8"/>
        <v/>
      </c>
      <c r="AA13" s="22">
        <f t="shared" si="9"/>
        <v>0</v>
      </c>
      <c r="AB13" s="10">
        <f>IFERROR(INDEX([2]PV.iQOO!$A:$BL,MATCH($A13,[2]PV.iQOO!$B:$B,0),MATCH("IQOO15|16+1T|LEGEND|STOCK",[2]PVKEYIQOO!$1:$1,0)),0)</f>
        <v>0</v>
      </c>
      <c r="AC13" s="22">
        <f>IFERROR(INDEX([2]PV.iQOO!$A:$BL,MATCH($A13,[2]PV.iQOO!$B:$B,0),MATCH("IQOO15|16+1T|LEGEND|SALES",[2]PVKEYIQOO!$1:$1,0)),0)</f>
        <v>0</v>
      </c>
      <c r="AD13" s="12" t="str">
        <f t="shared" si="10"/>
        <v/>
      </c>
      <c r="AE13" s="22">
        <f t="shared" si="11"/>
        <v>0</v>
      </c>
      <c r="AF13" s="10">
        <f>IFERROR(INDEX([2]PV.iQOO!$A:$BL,MATCH($A13,[2]PV.iQOO!$B:$B,0),MATCH("IQOO15R|12+512|BLACK|STOCK",[2]PVKEYIQOO!$1:$1,0)),0)</f>
        <v>1</v>
      </c>
      <c r="AG13" s="22">
        <f>IFERROR(INDEX([2]PV.iQOO!$A:$BL,MATCH($A13,[2]PV.iQOO!$B:$B,0),MATCH("IQOO15R|12+512|BLACK|SALES",[2]PVKEYIQOO!$1:$1,0)),0)</f>
        <v>0</v>
      </c>
      <c r="AH13" s="12" t="str">
        <f t="shared" si="12"/>
        <v/>
      </c>
      <c r="AI13" s="22">
        <f t="shared" si="13"/>
        <v>0</v>
      </c>
      <c r="AJ13" s="10">
        <f>IFERROR(INDEX([2]PV.iQOO!$A:$BL,MATCH($A13,[2]PV.iQOO!$B:$B,0),MATCH("IQOO15R|12+512|SILVER|STOCK",[2]PVKEYIQOO!$1:$1,0)),0)</f>
        <v>0</v>
      </c>
      <c r="AK13" s="22">
        <f>IFERROR(INDEX([2]PV.iQOO!$A:$BL,MATCH($A13,[2]PV.iQOO!$B:$B,0),MATCH("IQOO15R|12+512|SILVER|SALES",[2]PVKEYIQOO!$1:$1,0)),0)</f>
        <v>0</v>
      </c>
      <c r="AL13" s="12" t="str">
        <f t="shared" si="14"/>
        <v/>
      </c>
      <c r="AM13" s="22">
        <f t="shared" si="15"/>
        <v>0</v>
      </c>
      <c r="AN13" s="10">
        <f>IFERROR(INDEX([2]PV.iQOO!$A:$BL,MATCH($A13,[2]PV.iQOO!$B:$B,0),MATCH("IQOOZ11|12+256|BLACK|STOCK",[2]PVKEYIQOO!$1:$1,0)),0)</f>
        <v>0</v>
      </c>
      <c r="AO13" s="22">
        <f>IFERROR(INDEX([2]PV.iQOO!$A:$BL,MATCH($A13,[2]PV.iQOO!$B:$B,0),MATCH("IQOOZ11|12+256|BLACK|SALES",[2]PVKEYIQOO!$1:$1,0)),0)</f>
        <v>0</v>
      </c>
      <c r="AP13" s="12" t="str">
        <f t="shared" si="16"/>
        <v/>
      </c>
      <c r="AQ13" s="10">
        <f>IFERROR(INDEX([2]PV.iQOO!$A:$BL,MATCH($A13,[2]PV.iQOO!$B:$B,0),MATCH("IQOOZ11|12+256|BLUE|STOCK",[2]PVKEYIQOO!$1:$1,0)),0)</f>
        <v>1</v>
      </c>
      <c r="AR13" s="22">
        <f>IFERROR(INDEX([2]PV.iQOO!$A:$BL,MATCH($A13,[2]PV.iQOO!$B:$B,0),MATCH("IQOOZ11|12+256|BLUE|SALES",[2]PVKEYIQOO!$1:$1,0)),0)</f>
        <v>0</v>
      </c>
      <c r="AS13" s="12" t="str">
        <f t="shared" si="17"/>
        <v/>
      </c>
      <c r="AT13" s="10">
        <f>IFERROR(INDEX([2]PV.iQOO!$A:$BL,MATCH($A13,[2]PV.iQOO!$B:$B,0),MATCH("IQOONEO10|12+256|WHITE|STOCK",[2]PVKEYIQOO!$1:$1,0)),0)</f>
        <v>3</v>
      </c>
      <c r="AU13" s="22">
        <f>IFERROR(INDEX([2]PV.iQOO!$A:$BL,MATCH($A13,[2]PV.iQOO!$B:$B,0),MATCH("IQOONEO10|12+256|WHITE|SALES",[2]PVKEYIQOO!$1:$1,0)),0)</f>
        <v>0</v>
      </c>
      <c r="AV13" s="12" t="str">
        <f t="shared" si="19"/>
        <v/>
      </c>
      <c r="AW13" s="10">
        <f>IFERROR(INDEX([2]PV.iQOO!$A:$BL,MATCH($A13,[2]PV.iQOO!$B:$B,0),MATCH("IQOOZ11X|8+128|BLACK|STOCK",[2]PVKEYIQOO!$1:$1,0)),0)</f>
        <v>2</v>
      </c>
      <c r="AX13" s="22">
        <f>IFERROR(INDEX([2]PV.iQOO!$A:$BL,MATCH($A13,[2]PV.iQOO!$B:$B,0),MATCH("IQOOZ11X|8+128|BLACK|SALES",[2]PVKEYIQOO!$1:$1,0)),0)</f>
        <v>1</v>
      </c>
      <c r="AY13" s="12">
        <f t="shared" si="20"/>
        <v>54</v>
      </c>
      <c r="AZ13" s="10">
        <f>IFERROR(INDEX([2]PV.iQOO!$A:$BL,MATCH($A13,[2]PV.iQOO!$B:$B,0),MATCH("IQOOZ11X|8+128|SILVER|STOCK",[2]PVKEYIQOO!$1:$1,0)),0)</f>
        <v>0</v>
      </c>
      <c r="BA13" s="22">
        <f>IFERROR(INDEX([2]PV.iQOO!$A:$BL,MATCH($A13,[2]PV.iQOO!$B:$B,0),MATCH("IQOOZ11X|8+128|SILVER|SALES",[2]PVKEYIQOO!$1:$1,0)),0)</f>
        <v>3</v>
      </c>
      <c r="BB13" s="12">
        <f t="shared" si="21"/>
        <v>0</v>
      </c>
      <c r="BC13" s="13">
        <f t="shared" si="22"/>
        <v>14</v>
      </c>
      <c r="BD13" s="13">
        <f t="shared" si="22"/>
        <v>8</v>
      </c>
      <c r="BE13" s="13">
        <f t="shared" si="18"/>
        <v>47.25</v>
      </c>
    </row>
    <row r="14" spans="1:57" x14ac:dyDescent="0.2">
      <c r="A14" s="21" t="s">
        <v>32</v>
      </c>
      <c r="B14" s="10">
        <f>IFERROR(INDEX([2]PV.iQOO!$A:$BL,MATCH($A14,[2]PV.iQOO!$B:$B,0),MATCH("IQOONEO10|16+512|BLACK|STOCK",[2]PVKEYIQOO!$1:$1,0)),0)</f>
        <v>0</v>
      </c>
      <c r="C14" s="22">
        <f>IFERROR(INDEX([2]PV.iQOO!$A:$BL,MATCH($A14,[2]PV.iQOO!$B:$B,0),MATCH("IQOONEO10|16+512|BLACK|SALES",[2]PVKEYIQOO!$1:$1,0)),0)</f>
        <v>0</v>
      </c>
      <c r="D14" s="12" t="str">
        <f t="shared" si="0"/>
        <v/>
      </c>
      <c r="E14" s="10">
        <f>IFERROR(INDEX([2]PV.iQOO!$A:$BL,MATCH($A14,[2]PV.iQOO!$B:$B,0),MATCH("IQOONEO10|16+512|ORANGE|STOCK",[2]PVKEYIQOO!$1:$1,0)),0)</f>
        <v>0</v>
      </c>
      <c r="F14" s="22">
        <f>IFERROR(INDEX([2]PV.iQOO!$A:$BL,MATCH($A14,[2]PV.iQOO!$B:$B,0),MATCH("IQOONEO10|16+512|ORANGE|SALES",[2]PVKEYIQOO!$1:$1,0)),0)</f>
        <v>0</v>
      </c>
      <c r="G14" s="12" t="str">
        <f t="shared" si="1"/>
        <v/>
      </c>
      <c r="H14" s="10">
        <f>IFERROR(INDEX([2]PV.iQOO!$A:$BL,MATCH($A14,[2]PV.iQOO!$B:$B,0),MATCH("IQOOZ11X|8+256|BLACK|STOCK",[2]PVKEYIQOO!$1:$1,0)),0)</f>
        <v>0</v>
      </c>
      <c r="I14" s="22">
        <f>IFERROR(INDEX([2]PV.iQOO!$A:$BL,MATCH($A14,[2]PV.iQOO!$B:$B,0),MATCH("IQOOZ11X|8+256|BLACK|SALES",[2]PVKEYIQOO!$1:$1,0)),0)</f>
        <v>0</v>
      </c>
      <c r="J14" s="12" t="str">
        <f t="shared" si="2"/>
        <v/>
      </c>
      <c r="K14" s="10">
        <f>IFERROR(INDEX([2]PV.iQOO!$A:$BL,MATCH($A14,[2]PV.iQOO!$B:$B,0),MATCH("IQOOZ11X|8+256|SILVER|STOCK",[2]PVKEYIQOO!$1:$1,0)),0)</f>
        <v>0</v>
      </c>
      <c r="L14" s="22">
        <f>IFERROR(INDEX([2]PV.iQOO!$A:$BL,MATCH($A14,[2]PV.iQOO!$B:$B,0),MATCH("IQOOZ11X|8+256|SILVER|SALES",[2]PVKEYIQOO!$1:$1,0)),0)</f>
        <v>0</v>
      </c>
      <c r="M14" s="12" t="str">
        <f t="shared" si="3"/>
        <v/>
      </c>
      <c r="N14" s="10">
        <f>IFERROR(INDEX([2]PV.iQOO!$A:$BL,MATCH($A14,[2]PV.iQOO!$B:$B,0),MATCH("IQOOZ11|8+256|BLACK|STOCK",[2]PVKEYIQOO!$1:$1,0)),0)</f>
        <v>0</v>
      </c>
      <c r="O14" s="22">
        <f>IFERROR(INDEX([2]PV.iQOO!$A:$BL,MATCH($A14,[2]PV.iQOO!$B:$B,0),MATCH("IQOOZ11|8+256|BLACK|SALES",[2]PVKEYIQOO!$1:$1,0)),0)</f>
        <v>2</v>
      </c>
      <c r="P14" s="12">
        <f t="shared" si="4"/>
        <v>0</v>
      </c>
      <c r="Q14" s="10">
        <f>IFERROR(INDEX([2]PV.iQOO!$A:$BL,MATCH($A14,[2]PV.iQOO!$B:$B,0),MATCH("IQOOZ11|8+256|BLUE|STOCK",[2]PVKEYIQOO!$1:$1,0)),0)</f>
        <v>1</v>
      </c>
      <c r="R14" s="22">
        <f>IFERROR(INDEX([2]PV.iQOO!$A:$BL,MATCH($A14,[2]PV.iQOO!$B:$B,0),MATCH("IQOOZ11|8+256|BLUE|SALES",[2]PVKEYIQOO!$1:$1,0)),0)</f>
        <v>1</v>
      </c>
      <c r="S14" s="12">
        <f t="shared" si="5"/>
        <v>27</v>
      </c>
      <c r="T14" s="10">
        <f>IFERROR(INDEX([2]PV.iQOO!$A:$BL,MATCH($A14,[2]PV.iQOO!$B:$B,0),MATCH("IQOO15|16+512|ALPHA|STOCK",[2]PVKEYIQOO!$1:$1,0)),0)</f>
        <v>0</v>
      </c>
      <c r="U14" s="22">
        <f>IFERROR(INDEX([2]PV.iQOO!$A:$BL,MATCH($A14,[2]PV.iQOO!$B:$B,0),MATCH("IQOO15|16+512|ALPHA|SALES",[2]PVKEYIQOO!$1:$1,0)),0)</f>
        <v>0</v>
      </c>
      <c r="V14" s="12" t="str">
        <f t="shared" si="6"/>
        <v/>
      </c>
      <c r="W14" s="22">
        <f t="shared" si="7"/>
        <v>0</v>
      </c>
      <c r="X14" s="10">
        <f>IFERROR(INDEX([2]PV.iQOO!$A:$BL,MATCH($A14,[2]PV.iQOO!$B:$B,0),MATCH("IQOO15|16+512|LEGEND|STOCK",[2]PVKEYIQOO!$1:$1,0)),0)</f>
        <v>0</v>
      </c>
      <c r="Y14" s="22">
        <f>IFERROR(INDEX([2]PV.iQOO!$A:$BL,MATCH($A14,[2]PV.iQOO!$B:$B,0),MATCH("IQOO15|16+512|LEGEND|SALES",[2]PVKEYIQOO!$1:$1,0)),0)</f>
        <v>0</v>
      </c>
      <c r="Z14" s="12" t="str">
        <f t="shared" si="8"/>
        <v/>
      </c>
      <c r="AA14" s="22">
        <f t="shared" si="9"/>
        <v>0</v>
      </c>
      <c r="AB14" s="10">
        <f>IFERROR(INDEX([2]PV.iQOO!$A:$BL,MATCH($A14,[2]PV.iQOO!$B:$B,0),MATCH("IQOO15|16+1T|LEGEND|STOCK",[2]PVKEYIQOO!$1:$1,0)),0)</f>
        <v>0</v>
      </c>
      <c r="AC14" s="22">
        <f>IFERROR(INDEX([2]PV.iQOO!$A:$BL,MATCH($A14,[2]PV.iQOO!$B:$B,0),MATCH("IQOO15|16+1T|LEGEND|SALES",[2]PVKEYIQOO!$1:$1,0)),0)</f>
        <v>0</v>
      </c>
      <c r="AD14" s="12" t="str">
        <f t="shared" si="10"/>
        <v/>
      </c>
      <c r="AE14" s="22">
        <f t="shared" si="11"/>
        <v>0</v>
      </c>
      <c r="AF14" s="10">
        <f>IFERROR(INDEX([2]PV.iQOO!$A:$BL,MATCH($A14,[2]PV.iQOO!$B:$B,0),MATCH("IQOO15R|12+512|BLACK|STOCK",[2]PVKEYIQOO!$1:$1,0)),0)</f>
        <v>0</v>
      </c>
      <c r="AG14" s="22">
        <f>IFERROR(INDEX([2]PV.iQOO!$A:$BL,MATCH($A14,[2]PV.iQOO!$B:$B,0),MATCH("IQOO15R|12+512|BLACK|SALES",[2]PVKEYIQOO!$1:$1,0)),0)</f>
        <v>0</v>
      </c>
      <c r="AH14" s="12" t="str">
        <f t="shared" si="12"/>
        <v/>
      </c>
      <c r="AI14" s="22">
        <f t="shared" si="13"/>
        <v>0</v>
      </c>
      <c r="AJ14" s="10">
        <f>IFERROR(INDEX([2]PV.iQOO!$A:$BL,MATCH($A14,[2]PV.iQOO!$B:$B,0),MATCH("IQOO15R|12+512|SILVER|STOCK",[2]PVKEYIQOO!$1:$1,0)),0)</f>
        <v>0</v>
      </c>
      <c r="AK14" s="22">
        <f>IFERROR(INDEX([2]PV.iQOO!$A:$BL,MATCH($A14,[2]PV.iQOO!$B:$B,0),MATCH("IQOO15R|12+512|SILVER|SALES",[2]PVKEYIQOO!$1:$1,0)),0)</f>
        <v>0</v>
      </c>
      <c r="AL14" s="12" t="str">
        <f t="shared" si="14"/>
        <v/>
      </c>
      <c r="AM14" s="22">
        <f t="shared" si="15"/>
        <v>0</v>
      </c>
      <c r="AN14" s="10">
        <f>IFERROR(INDEX([2]PV.iQOO!$A:$BL,MATCH($A14,[2]PV.iQOO!$B:$B,0),MATCH("IQOOZ11|12+256|BLACK|STOCK",[2]PVKEYIQOO!$1:$1,0)),0)</f>
        <v>2</v>
      </c>
      <c r="AO14" s="22">
        <f>IFERROR(INDEX([2]PV.iQOO!$A:$BL,MATCH($A14,[2]PV.iQOO!$B:$B,0),MATCH("IQOOZ11|12+256|BLACK|SALES",[2]PVKEYIQOO!$1:$1,0)),0)</f>
        <v>0</v>
      </c>
      <c r="AP14" s="12" t="str">
        <f t="shared" si="16"/>
        <v/>
      </c>
      <c r="AQ14" s="10">
        <f>IFERROR(INDEX([2]PV.iQOO!$A:$BL,MATCH($A14,[2]PV.iQOO!$B:$B,0),MATCH("IQOOZ11|12+256|BLUE|STOCK",[2]PVKEYIQOO!$1:$1,0)),0)</f>
        <v>0</v>
      </c>
      <c r="AR14" s="22">
        <f>IFERROR(INDEX([2]PV.iQOO!$A:$BL,MATCH($A14,[2]PV.iQOO!$B:$B,0),MATCH("IQOOZ11|12+256|BLUE|SALES",[2]PVKEYIQOO!$1:$1,0)),0)</f>
        <v>1</v>
      </c>
      <c r="AS14" s="12">
        <f t="shared" si="17"/>
        <v>0</v>
      </c>
      <c r="AT14" s="10">
        <f>IFERROR(INDEX([2]PV.iQOO!$A:$BL,MATCH($A14,[2]PV.iQOO!$B:$B,0),MATCH("IQOONEO10|12+256|WHITE|STOCK",[2]PVKEYIQOO!$1:$1,0)),0)</f>
        <v>0</v>
      </c>
      <c r="AU14" s="22">
        <f>IFERROR(INDEX([2]PV.iQOO!$A:$BL,MATCH($A14,[2]PV.iQOO!$B:$B,0),MATCH("IQOONEO10|12+256|WHITE|SALES",[2]PVKEYIQOO!$1:$1,0)),0)</f>
        <v>2</v>
      </c>
      <c r="AV14" s="12">
        <f t="shared" si="19"/>
        <v>0</v>
      </c>
      <c r="AW14" s="10">
        <f>IFERROR(INDEX([2]PV.iQOO!$A:$BL,MATCH($A14,[2]PV.iQOO!$B:$B,0),MATCH("IQOOZ11X|8+128|BLACK|STOCK",[2]PVKEYIQOO!$1:$1,0)),0)</f>
        <v>1</v>
      </c>
      <c r="AX14" s="22">
        <f>IFERROR(INDEX([2]PV.iQOO!$A:$BL,MATCH($A14,[2]PV.iQOO!$B:$B,0),MATCH("IQOOZ11X|8+128|BLACK|SALES",[2]PVKEYIQOO!$1:$1,0)),0)</f>
        <v>0</v>
      </c>
      <c r="AY14" s="12" t="str">
        <f t="shared" si="20"/>
        <v/>
      </c>
      <c r="AZ14" s="10">
        <f>IFERROR(INDEX([2]PV.iQOO!$A:$BL,MATCH($A14,[2]PV.iQOO!$B:$B,0),MATCH("IQOOZ11X|8+128|SILVER|STOCK",[2]PVKEYIQOO!$1:$1,0)),0)</f>
        <v>0</v>
      </c>
      <c r="BA14" s="22">
        <f>IFERROR(INDEX([2]PV.iQOO!$A:$BL,MATCH($A14,[2]PV.iQOO!$B:$B,0),MATCH("IQOOZ11X|8+128|SILVER|SALES",[2]PVKEYIQOO!$1:$1,0)),0)</f>
        <v>1</v>
      </c>
      <c r="BB14" s="12">
        <f t="shared" si="21"/>
        <v>0</v>
      </c>
      <c r="BC14" s="13">
        <f t="shared" si="22"/>
        <v>4</v>
      </c>
      <c r="BD14" s="13">
        <f t="shared" si="22"/>
        <v>7</v>
      </c>
      <c r="BE14" s="13">
        <f t="shared" si="18"/>
        <v>15.428571428571429</v>
      </c>
    </row>
    <row r="15" spans="1:57" x14ac:dyDescent="0.2">
      <c r="A15" s="21" t="s">
        <v>33</v>
      </c>
      <c r="B15" s="10">
        <f>IFERROR(INDEX([2]PV.iQOO!$A:$BL,MATCH($A15,[2]PV.iQOO!$B:$B,0),MATCH("IQOONEO10|16+512|BLACK|STOCK",[2]PVKEYIQOO!$1:$1,0)),0)</f>
        <v>0</v>
      </c>
      <c r="C15" s="22">
        <f>IFERROR(INDEX([2]PV.iQOO!$A:$BL,MATCH($A15,[2]PV.iQOO!$B:$B,0),MATCH("IQOONEO10|16+512|BLACK|SALES",[2]PVKEYIQOO!$1:$1,0)),0)</f>
        <v>0</v>
      </c>
      <c r="D15" s="12" t="str">
        <f t="shared" si="0"/>
        <v/>
      </c>
      <c r="E15" s="10">
        <f>IFERROR(INDEX([2]PV.iQOO!$A:$BL,MATCH($A15,[2]PV.iQOO!$B:$B,0),MATCH("IQOONEO10|16+512|ORANGE|STOCK",[2]PVKEYIQOO!$1:$1,0)),0)</f>
        <v>0</v>
      </c>
      <c r="F15" s="22">
        <f>IFERROR(INDEX([2]PV.iQOO!$A:$BL,MATCH($A15,[2]PV.iQOO!$B:$B,0),MATCH("IQOONEO10|16+512|ORANGE|SALES",[2]PVKEYIQOO!$1:$1,0)),0)</f>
        <v>0</v>
      </c>
      <c r="G15" s="12" t="str">
        <f t="shared" si="1"/>
        <v/>
      </c>
      <c r="H15" s="10">
        <f>IFERROR(INDEX([2]PV.iQOO!$A:$BL,MATCH($A15,[2]PV.iQOO!$B:$B,0),MATCH("IQOOZ11X|8+256|BLACK|STOCK",[2]PVKEYIQOO!$1:$1,0)),0)</f>
        <v>0</v>
      </c>
      <c r="I15" s="22">
        <f>IFERROR(INDEX([2]PV.iQOO!$A:$BL,MATCH($A15,[2]PV.iQOO!$B:$B,0),MATCH("IQOOZ11X|8+256|BLACK|SALES",[2]PVKEYIQOO!$1:$1,0)),0)</f>
        <v>0</v>
      </c>
      <c r="J15" s="12" t="str">
        <f t="shared" si="2"/>
        <v/>
      </c>
      <c r="K15" s="10">
        <f>IFERROR(INDEX([2]PV.iQOO!$A:$BL,MATCH($A15,[2]PV.iQOO!$B:$B,0),MATCH("IQOOZ11X|8+256|SILVER|STOCK",[2]PVKEYIQOO!$1:$1,0)),0)</f>
        <v>0</v>
      </c>
      <c r="L15" s="22">
        <f>IFERROR(INDEX([2]PV.iQOO!$A:$BL,MATCH($A15,[2]PV.iQOO!$B:$B,0),MATCH("IQOOZ11X|8+256|SILVER|SALES",[2]PVKEYIQOO!$1:$1,0)),0)</f>
        <v>1</v>
      </c>
      <c r="M15" s="12">
        <f t="shared" si="3"/>
        <v>0</v>
      </c>
      <c r="N15" s="10">
        <f>IFERROR(INDEX([2]PV.iQOO!$A:$BL,MATCH($A15,[2]PV.iQOO!$B:$B,0),MATCH("IQOOZ11|8+256|BLACK|STOCK",[2]PVKEYIQOO!$1:$1,0)),0)</f>
        <v>1</v>
      </c>
      <c r="O15" s="22">
        <f>IFERROR(INDEX([2]PV.iQOO!$A:$BL,MATCH($A15,[2]PV.iQOO!$B:$B,0),MATCH("IQOOZ11|8+256|BLACK|SALES",[2]PVKEYIQOO!$1:$1,0)),0)</f>
        <v>0</v>
      </c>
      <c r="P15" s="12" t="str">
        <f t="shared" si="4"/>
        <v/>
      </c>
      <c r="Q15" s="10">
        <f>IFERROR(INDEX([2]PV.iQOO!$A:$BL,MATCH($A15,[2]PV.iQOO!$B:$B,0),MATCH("IQOOZ11|8+256|BLUE|STOCK",[2]PVKEYIQOO!$1:$1,0)),0)</f>
        <v>1</v>
      </c>
      <c r="R15" s="22">
        <f>IFERROR(INDEX([2]PV.iQOO!$A:$BL,MATCH($A15,[2]PV.iQOO!$B:$B,0),MATCH("IQOOZ11|8+256|BLUE|SALES",[2]PVKEYIQOO!$1:$1,0)),0)</f>
        <v>0</v>
      </c>
      <c r="S15" s="12" t="str">
        <f t="shared" si="5"/>
        <v/>
      </c>
      <c r="T15" s="10">
        <f>IFERROR(INDEX([2]PV.iQOO!$A:$BL,MATCH($A15,[2]PV.iQOO!$B:$B,0),MATCH("IQOO15|16+512|ALPHA|STOCK",[2]PVKEYIQOO!$1:$1,0)),0)</f>
        <v>0</v>
      </c>
      <c r="U15" s="22">
        <f>IFERROR(INDEX([2]PV.iQOO!$A:$BL,MATCH($A15,[2]PV.iQOO!$B:$B,0),MATCH("IQOO15|16+512|ALPHA|SALES",[2]PVKEYIQOO!$1:$1,0)),0)</f>
        <v>0</v>
      </c>
      <c r="V15" s="12" t="str">
        <f t="shared" si="6"/>
        <v/>
      </c>
      <c r="W15" s="22">
        <f t="shared" si="7"/>
        <v>0</v>
      </c>
      <c r="X15" s="10">
        <f>IFERROR(INDEX([2]PV.iQOO!$A:$BL,MATCH($A15,[2]PV.iQOO!$B:$B,0),MATCH("IQOO15|16+512|LEGEND|STOCK",[2]PVKEYIQOO!$1:$1,0)),0)</f>
        <v>0</v>
      </c>
      <c r="Y15" s="22">
        <f>IFERROR(INDEX([2]PV.iQOO!$A:$BL,MATCH($A15,[2]PV.iQOO!$B:$B,0),MATCH("IQOO15|16+512|LEGEND|SALES",[2]PVKEYIQOO!$1:$1,0)),0)</f>
        <v>0</v>
      </c>
      <c r="Z15" s="12" t="str">
        <f t="shared" si="8"/>
        <v/>
      </c>
      <c r="AA15" s="22">
        <f t="shared" si="9"/>
        <v>0</v>
      </c>
      <c r="AB15" s="10">
        <f>IFERROR(INDEX([2]PV.iQOO!$A:$BL,MATCH($A15,[2]PV.iQOO!$B:$B,0),MATCH("IQOO15|16+1T|LEGEND|STOCK",[2]PVKEYIQOO!$1:$1,0)),0)</f>
        <v>0</v>
      </c>
      <c r="AC15" s="22">
        <f>IFERROR(INDEX([2]PV.iQOO!$A:$BL,MATCH($A15,[2]PV.iQOO!$B:$B,0),MATCH("IQOO15|16+1T|LEGEND|SALES",[2]PVKEYIQOO!$1:$1,0)),0)</f>
        <v>0</v>
      </c>
      <c r="AD15" s="12" t="str">
        <f t="shared" si="10"/>
        <v/>
      </c>
      <c r="AE15" s="22">
        <f t="shared" si="11"/>
        <v>0</v>
      </c>
      <c r="AF15" s="10">
        <f>IFERROR(INDEX([2]PV.iQOO!$A:$BL,MATCH($A15,[2]PV.iQOO!$B:$B,0),MATCH("IQOO15R|12+512|BLACK|STOCK",[2]PVKEYIQOO!$1:$1,0)),0)</f>
        <v>0</v>
      </c>
      <c r="AG15" s="22">
        <f>IFERROR(INDEX([2]PV.iQOO!$A:$BL,MATCH($A15,[2]PV.iQOO!$B:$B,0),MATCH("IQOO15R|12+512|BLACK|SALES",[2]PVKEYIQOO!$1:$1,0)),0)</f>
        <v>0</v>
      </c>
      <c r="AH15" s="12" t="str">
        <f t="shared" si="12"/>
        <v/>
      </c>
      <c r="AI15" s="22">
        <f t="shared" si="13"/>
        <v>0</v>
      </c>
      <c r="AJ15" s="10">
        <f>IFERROR(INDEX([2]PV.iQOO!$A:$BL,MATCH($A15,[2]PV.iQOO!$B:$B,0),MATCH("IQOO15R|12+512|SILVER|STOCK",[2]PVKEYIQOO!$1:$1,0)),0)</f>
        <v>0</v>
      </c>
      <c r="AK15" s="22">
        <f>IFERROR(INDEX([2]PV.iQOO!$A:$BL,MATCH($A15,[2]PV.iQOO!$B:$B,0),MATCH("IQOO15R|12+512|SILVER|SALES",[2]PVKEYIQOO!$1:$1,0)),0)</f>
        <v>1</v>
      </c>
      <c r="AL15" s="12">
        <f t="shared" si="14"/>
        <v>0</v>
      </c>
      <c r="AM15" s="22">
        <f t="shared" si="15"/>
        <v>0.37037037037037035</v>
      </c>
      <c r="AN15" s="10">
        <f>IFERROR(INDEX([2]PV.iQOO!$A:$BL,MATCH($A15,[2]PV.iQOO!$B:$B,0),MATCH("IQOOZ11|12+256|BLACK|STOCK",[2]PVKEYIQOO!$1:$1,0)),0)</f>
        <v>0</v>
      </c>
      <c r="AO15" s="22">
        <f>IFERROR(INDEX([2]PV.iQOO!$A:$BL,MATCH($A15,[2]PV.iQOO!$B:$B,0),MATCH("IQOOZ11|12+256|BLACK|SALES",[2]PVKEYIQOO!$1:$1,0)),0)</f>
        <v>0</v>
      </c>
      <c r="AP15" s="12" t="str">
        <f t="shared" si="16"/>
        <v/>
      </c>
      <c r="AQ15" s="10">
        <f>IFERROR(INDEX([2]PV.iQOO!$A:$BL,MATCH($A15,[2]PV.iQOO!$B:$B,0),MATCH("IQOOZ11|12+256|BLUE|STOCK",[2]PVKEYIQOO!$1:$1,0)),0)</f>
        <v>0</v>
      </c>
      <c r="AR15" s="22">
        <f>IFERROR(INDEX([2]PV.iQOO!$A:$BL,MATCH($A15,[2]PV.iQOO!$B:$B,0),MATCH("IQOOZ11|12+256|BLUE|SALES",[2]PVKEYIQOO!$1:$1,0)),0)</f>
        <v>0</v>
      </c>
      <c r="AS15" s="12" t="str">
        <f t="shared" si="17"/>
        <v/>
      </c>
      <c r="AT15" s="10">
        <f>IFERROR(INDEX([2]PV.iQOO!$A:$BL,MATCH($A15,[2]PV.iQOO!$B:$B,0),MATCH("IQOONEO10|12+256|WHITE|STOCK",[2]PVKEYIQOO!$1:$1,0)),0)</f>
        <v>2</v>
      </c>
      <c r="AU15" s="22">
        <f>IFERROR(INDEX([2]PV.iQOO!$A:$BL,MATCH($A15,[2]PV.iQOO!$B:$B,0),MATCH("IQOONEO10|12+256|WHITE|SALES",[2]PVKEYIQOO!$1:$1,0)),0)</f>
        <v>2</v>
      </c>
      <c r="AV15" s="12">
        <f t="shared" si="19"/>
        <v>27</v>
      </c>
      <c r="AW15" s="10">
        <f>IFERROR(INDEX([2]PV.iQOO!$A:$BL,MATCH($A15,[2]PV.iQOO!$B:$B,0),MATCH("IQOOZ11X|8+128|BLACK|STOCK",[2]PVKEYIQOO!$1:$1,0)),0)</f>
        <v>1</v>
      </c>
      <c r="AX15" s="22">
        <f>IFERROR(INDEX([2]PV.iQOO!$A:$BL,MATCH($A15,[2]PV.iQOO!$B:$B,0),MATCH("IQOOZ11X|8+128|BLACK|SALES",[2]PVKEYIQOO!$1:$1,0)),0)</f>
        <v>1</v>
      </c>
      <c r="AY15" s="12">
        <f t="shared" si="20"/>
        <v>27</v>
      </c>
      <c r="AZ15" s="10">
        <f>IFERROR(INDEX([2]PV.iQOO!$A:$BL,MATCH($A15,[2]PV.iQOO!$B:$B,0),MATCH("IQOOZ11X|8+128|SILVER|STOCK",[2]PVKEYIQOO!$1:$1,0)),0)</f>
        <v>3</v>
      </c>
      <c r="BA15" s="22">
        <f>IFERROR(INDEX([2]PV.iQOO!$A:$BL,MATCH($A15,[2]PV.iQOO!$B:$B,0),MATCH("IQOOZ11X|8+128|SILVER|SALES",[2]PVKEYIQOO!$1:$1,0)),0)</f>
        <v>0</v>
      </c>
      <c r="BB15" s="12" t="str">
        <f t="shared" si="21"/>
        <v/>
      </c>
      <c r="BC15" s="13">
        <f t="shared" si="22"/>
        <v>8</v>
      </c>
      <c r="BD15" s="13">
        <f t="shared" si="22"/>
        <v>5</v>
      </c>
      <c r="BE15" s="13">
        <f t="shared" si="18"/>
        <v>43.2</v>
      </c>
    </row>
    <row r="16" spans="1:57" x14ac:dyDescent="0.2">
      <c r="A16" s="21" t="s">
        <v>34</v>
      </c>
      <c r="B16" s="10">
        <f>IFERROR(INDEX([2]PV.iQOO!$A:$BL,MATCH($A16,[2]PV.iQOO!$B:$B,0),MATCH("IQOONEO10|16+512|BLACK|STOCK",[2]PVKEYIQOO!$1:$1,0)),0)</f>
        <v>0</v>
      </c>
      <c r="C16" s="22">
        <f>IFERROR(INDEX([2]PV.iQOO!$A:$BL,MATCH($A16,[2]PV.iQOO!$B:$B,0),MATCH("IQOONEO10|16+512|BLACK|SALES",[2]PVKEYIQOO!$1:$1,0)),0)</f>
        <v>0</v>
      </c>
      <c r="D16" s="12" t="str">
        <f t="shared" si="0"/>
        <v/>
      </c>
      <c r="E16" s="10">
        <f>IFERROR(INDEX([2]PV.iQOO!$A:$BL,MATCH($A16,[2]PV.iQOO!$B:$B,0),MATCH("IQOONEO10|16+512|ORANGE|STOCK",[2]PVKEYIQOO!$1:$1,0)),0)</f>
        <v>0</v>
      </c>
      <c r="F16" s="22">
        <f>IFERROR(INDEX([2]PV.iQOO!$A:$BL,MATCH($A16,[2]PV.iQOO!$B:$B,0),MATCH("IQOONEO10|16+512|ORANGE|SALES",[2]PVKEYIQOO!$1:$1,0)),0)</f>
        <v>0</v>
      </c>
      <c r="G16" s="12" t="str">
        <f t="shared" si="1"/>
        <v/>
      </c>
      <c r="H16" s="10">
        <f>IFERROR(INDEX([2]PV.iQOO!$A:$BL,MATCH($A16,[2]PV.iQOO!$B:$B,0),MATCH("IQOOZ11X|8+256|BLACK|STOCK",[2]PVKEYIQOO!$1:$1,0)),0)</f>
        <v>0</v>
      </c>
      <c r="I16" s="22">
        <f>IFERROR(INDEX([2]PV.iQOO!$A:$BL,MATCH($A16,[2]PV.iQOO!$B:$B,0),MATCH("IQOOZ11X|8+256|BLACK|SALES",[2]PVKEYIQOO!$1:$1,0)),0)</f>
        <v>0</v>
      </c>
      <c r="J16" s="12" t="str">
        <f t="shared" si="2"/>
        <v/>
      </c>
      <c r="K16" s="10">
        <f>IFERROR(INDEX([2]PV.iQOO!$A:$BL,MATCH($A16,[2]PV.iQOO!$B:$B,0),MATCH("IQOOZ11X|8+256|SILVER|STOCK",[2]PVKEYIQOO!$1:$1,0)),0)</f>
        <v>0</v>
      </c>
      <c r="L16" s="22">
        <f>IFERROR(INDEX([2]PV.iQOO!$A:$BL,MATCH($A16,[2]PV.iQOO!$B:$B,0),MATCH("IQOOZ11X|8+256|SILVER|SALES",[2]PVKEYIQOO!$1:$1,0)),0)</f>
        <v>0</v>
      </c>
      <c r="M16" s="12" t="str">
        <f t="shared" si="3"/>
        <v/>
      </c>
      <c r="N16" s="10">
        <f>IFERROR(INDEX([2]PV.iQOO!$A:$BL,MATCH($A16,[2]PV.iQOO!$B:$B,0),MATCH("IQOOZ11|8+256|BLACK|STOCK",[2]PVKEYIQOO!$1:$1,0)),0)</f>
        <v>1</v>
      </c>
      <c r="O16" s="22">
        <f>IFERROR(INDEX([2]PV.iQOO!$A:$BL,MATCH($A16,[2]PV.iQOO!$B:$B,0),MATCH("IQOOZ11|8+256|BLACK|SALES",[2]PVKEYIQOO!$1:$1,0)),0)</f>
        <v>0</v>
      </c>
      <c r="P16" s="12" t="str">
        <f t="shared" si="4"/>
        <v/>
      </c>
      <c r="Q16" s="10">
        <f>IFERROR(INDEX([2]PV.iQOO!$A:$BL,MATCH($A16,[2]PV.iQOO!$B:$B,0),MATCH("IQOOZ11|8+256|BLUE|STOCK",[2]PVKEYIQOO!$1:$1,0)),0)</f>
        <v>1</v>
      </c>
      <c r="R16" s="22">
        <f>IFERROR(INDEX([2]PV.iQOO!$A:$BL,MATCH($A16,[2]PV.iQOO!$B:$B,0),MATCH("IQOOZ11|8+256|BLUE|SALES",[2]PVKEYIQOO!$1:$1,0)),0)</f>
        <v>0</v>
      </c>
      <c r="S16" s="12" t="str">
        <f t="shared" si="5"/>
        <v/>
      </c>
      <c r="T16" s="10">
        <f>IFERROR(INDEX([2]PV.iQOO!$A:$BL,MATCH($A16,[2]PV.iQOO!$B:$B,0),MATCH("IQOO15|16+512|ALPHA|STOCK",[2]PVKEYIQOO!$1:$1,0)),0)</f>
        <v>0</v>
      </c>
      <c r="U16" s="22">
        <f>IFERROR(INDEX([2]PV.iQOO!$A:$BL,MATCH($A16,[2]PV.iQOO!$B:$B,0),MATCH("IQOO15|16+512|ALPHA|SALES",[2]PVKEYIQOO!$1:$1,0)),0)</f>
        <v>0</v>
      </c>
      <c r="V16" s="12" t="str">
        <f t="shared" si="6"/>
        <v/>
      </c>
      <c r="W16" s="22">
        <f t="shared" si="7"/>
        <v>0</v>
      </c>
      <c r="X16" s="10">
        <f>IFERROR(INDEX([2]PV.iQOO!$A:$BL,MATCH($A16,[2]PV.iQOO!$B:$B,0),MATCH("IQOO15|16+512|LEGEND|STOCK",[2]PVKEYIQOO!$1:$1,0)),0)</f>
        <v>0</v>
      </c>
      <c r="Y16" s="22">
        <f>IFERROR(INDEX([2]PV.iQOO!$A:$BL,MATCH($A16,[2]PV.iQOO!$B:$B,0),MATCH("IQOO15|16+512|LEGEND|SALES",[2]PVKEYIQOO!$1:$1,0)),0)</f>
        <v>0</v>
      </c>
      <c r="Z16" s="12" t="str">
        <f t="shared" si="8"/>
        <v/>
      </c>
      <c r="AA16" s="22">
        <f t="shared" si="9"/>
        <v>0</v>
      </c>
      <c r="AB16" s="10">
        <f>IFERROR(INDEX([2]PV.iQOO!$A:$BL,MATCH($A16,[2]PV.iQOO!$B:$B,0),MATCH("IQOO15|16+1T|LEGEND|STOCK",[2]PVKEYIQOO!$1:$1,0)),0)</f>
        <v>0</v>
      </c>
      <c r="AC16" s="22">
        <f>IFERROR(INDEX([2]PV.iQOO!$A:$BL,MATCH($A16,[2]PV.iQOO!$B:$B,0),MATCH("IQOO15|16+1T|LEGEND|SALES",[2]PVKEYIQOO!$1:$1,0)),0)</f>
        <v>0</v>
      </c>
      <c r="AD16" s="12" t="str">
        <f t="shared" si="10"/>
        <v/>
      </c>
      <c r="AE16" s="22">
        <f t="shared" si="11"/>
        <v>0</v>
      </c>
      <c r="AF16" s="10">
        <f>IFERROR(INDEX([2]PV.iQOO!$A:$BL,MATCH($A16,[2]PV.iQOO!$B:$B,0),MATCH("IQOO15R|12+512|BLACK|STOCK",[2]PVKEYIQOO!$1:$1,0)),0)</f>
        <v>0</v>
      </c>
      <c r="AG16" s="22">
        <f>IFERROR(INDEX([2]PV.iQOO!$A:$BL,MATCH($A16,[2]PV.iQOO!$B:$B,0),MATCH("IQOO15R|12+512|BLACK|SALES",[2]PVKEYIQOO!$1:$1,0)),0)</f>
        <v>1</v>
      </c>
      <c r="AH16" s="12">
        <f t="shared" si="12"/>
        <v>0</v>
      </c>
      <c r="AI16" s="22">
        <f t="shared" si="13"/>
        <v>0.37037037037037035</v>
      </c>
      <c r="AJ16" s="10">
        <f>IFERROR(INDEX([2]PV.iQOO!$A:$BL,MATCH($A16,[2]PV.iQOO!$B:$B,0),MATCH("IQOO15R|12+512|SILVER|STOCK",[2]PVKEYIQOO!$1:$1,0)),0)</f>
        <v>0</v>
      </c>
      <c r="AK16" s="22">
        <f>IFERROR(INDEX([2]PV.iQOO!$A:$BL,MATCH($A16,[2]PV.iQOO!$B:$B,0),MATCH("IQOO15R|12+512|SILVER|SALES",[2]PVKEYIQOO!$1:$1,0)),0)</f>
        <v>0</v>
      </c>
      <c r="AL16" s="12" t="str">
        <f t="shared" si="14"/>
        <v/>
      </c>
      <c r="AM16" s="22">
        <f t="shared" si="15"/>
        <v>0</v>
      </c>
      <c r="AN16" s="10">
        <f>IFERROR(INDEX([2]PV.iQOO!$A:$BL,MATCH($A16,[2]PV.iQOO!$B:$B,0),MATCH("IQOOZ11|12+256|BLACK|STOCK",[2]PVKEYIQOO!$1:$1,0)),0)</f>
        <v>2</v>
      </c>
      <c r="AO16" s="22">
        <f>IFERROR(INDEX([2]PV.iQOO!$A:$BL,MATCH($A16,[2]PV.iQOO!$B:$B,0),MATCH("IQOOZ11|12+256|BLACK|SALES",[2]PVKEYIQOO!$1:$1,0)),0)</f>
        <v>0</v>
      </c>
      <c r="AP16" s="12" t="str">
        <f t="shared" si="16"/>
        <v/>
      </c>
      <c r="AQ16" s="10">
        <f>IFERROR(INDEX([2]PV.iQOO!$A:$BL,MATCH($A16,[2]PV.iQOO!$B:$B,0),MATCH("IQOOZ11|12+256|BLUE|STOCK",[2]PVKEYIQOO!$1:$1,0)),0)</f>
        <v>1</v>
      </c>
      <c r="AR16" s="22">
        <f>IFERROR(INDEX([2]PV.iQOO!$A:$BL,MATCH($A16,[2]PV.iQOO!$B:$B,0),MATCH("IQOOZ11|12+256|BLUE|SALES",[2]PVKEYIQOO!$1:$1,0)),0)</f>
        <v>0</v>
      </c>
      <c r="AS16" s="12" t="str">
        <f t="shared" si="17"/>
        <v/>
      </c>
      <c r="AT16" s="10">
        <f>IFERROR(INDEX([2]PV.iQOO!$A:$BL,MATCH($A16,[2]PV.iQOO!$B:$B,0),MATCH("IQOONEO10|12+256|WHITE|STOCK",[2]PVKEYIQOO!$1:$1,0)),0)</f>
        <v>0</v>
      </c>
      <c r="AU16" s="22">
        <f>IFERROR(INDEX([2]PV.iQOO!$A:$BL,MATCH($A16,[2]PV.iQOO!$B:$B,0),MATCH("IQOONEO10|12+256|WHITE|SALES",[2]PVKEYIQOO!$1:$1,0)),0)</f>
        <v>2</v>
      </c>
      <c r="AV16" s="12">
        <f t="shared" si="19"/>
        <v>0</v>
      </c>
      <c r="AW16" s="10">
        <f>IFERROR(INDEX([2]PV.iQOO!$A:$BL,MATCH($A16,[2]PV.iQOO!$B:$B,0),MATCH("IQOOZ11X|8+128|BLACK|STOCK",[2]PVKEYIQOO!$1:$1,0)),0)</f>
        <v>1</v>
      </c>
      <c r="AX16" s="22">
        <f>IFERROR(INDEX([2]PV.iQOO!$A:$BL,MATCH($A16,[2]PV.iQOO!$B:$B,0),MATCH("IQOOZ11X|8+128|BLACK|SALES",[2]PVKEYIQOO!$1:$1,0)),0)</f>
        <v>0</v>
      </c>
      <c r="AY16" s="12" t="str">
        <f t="shared" si="20"/>
        <v/>
      </c>
      <c r="AZ16" s="10">
        <f>IFERROR(INDEX([2]PV.iQOO!$A:$BL,MATCH($A16,[2]PV.iQOO!$B:$B,0),MATCH("IQOOZ11X|8+128|SILVER|STOCK",[2]PVKEYIQOO!$1:$1,0)),0)</f>
        <v>1</v>
      </c>
      <c r="BA16" s="22">
        <f>IFERROR(INDEX([2]PV.iQOO!$A:$BL,MATCH($A16,[2]PV.iQOO!$B:$B,0),MATCH("IQOOZ11X|8+128|SILVER|SALES",[2]PVKEYIQOO!$1:$1,0)),0)</f>
        <v>0</v>
      </c>
      <c r="BB16" s="12" t="str">
        <f t="shared" si="21"/>
        <v/>
      </c>
      <c r="BC16" s="13">
        <f t="shared" si="22"/>
        <v>7</v>
      </c>
      <c r="BD16" s="13">
        <f t="shared" si="22"/>
        <v>3</v>
      </c>
      <c r="BE16" s="13">
        <f t="shared" si="18"/>
        <v>63</v>
      </c>
    </row>
    <row r="17" spans="1:57" x14ac:dyDescent="0.2">
      <c r="A17" s="21" t="s">
        <v>35</v>
      </c>
      <c r="B17" s="10">
        <f>IFERROR(INDEX([2]PV.iQOO!$A:$BL,MATCH($A17,[2]PV.iQOO!$B:$B,0),MATCH("IQOONEO10|16+512|BLACK|STOCK",[2]PVKEYIQOO!$1:$1,0)),0)</f>
        <v>0</v>
      </c>
      <c r="C17" s="22">
        <f>IFERROR(INDEX([2]PV.iQOO!$A:$BL,MATCH($A17,[2]PV.iQOO!$B:$B,0),MATCH("IQOONEO10|16+512|BLACK|SALES",[2]PVKEYIQOO!$1:$1,0)),0)</f>
        <v>0</v>
      </c>
      <c r="D17" s="12" t="str">
        <f t="shared" si="0"/>
        <v/>
      </c>
      <c r="E17" s="10">
        <f>IFERROR(INDEX([2]PV.iQOO!$A:$BL,MATCH($A17,[2]PV.iQOO!$B:$B,0),MATCH("IQOONEO10|16+512|ORANGE|STOCK",[2]PVKEYIQOO!$1:$1,0)),0)</f>
        <v>0</v>
      </c>
      <c r="F17" s="22">
        <f>IFERROR(INDEX([2]PV.iQOO!$A:$BL,MATCH($A17,[2]PV.iQOO!$B:$B,0),MATCH("IQOONEO10|16+512|ORANGE|SALES",[2]PVKEYIQOO!$1:$1,0)),0)</f>
        <v>0</v>
      </c>
      <c r="G17" s="12" t="str">
        <f t="shared" si="1"/>
        <v/>
      </c>
      <c r="H17" s="10">
        <f>IFERROR(INDEX([2]PV.iQOO!$A:$BL,MATCH($A17,[2]PV.iQOO!$B:$B,0),MATCH("IQOOZ11X|8+256|BLACK|STOCK",[2]PVKEYIQOO!$1:$1,0)),0)</f>
        <v>0</v>
      </c>
      <c r="I17" s="22">
        <f>IFERROR(INDEX([2]PV.iQOO!$A:$BL,MATCH($A17,[2]PV.iQOO!$B:$B,0),MATCH("IQOOZ11X|8+256|BLACK|SALES",[2]PVKEYIQOO!$1:$1,0)),0)</f>
        <v>0</v>
      </c>
      <c r="J17" s="12" t="str">
        <f t="shared" si="2"/>
        <v/>
      </c>
      <c r="K17" s="10">
        <f>IFERROR(INDEX([2]PV.iQOO!$A:$BL,MATCH($A17,[2]PV.iQOO!$B:$B,0),MATCH("IQOOZ11X|8+256|SILVER|STOCK",[2]PVKEYIQOO!$1:$1,0)),0)</f>
        <v>1</v>
      </c>
      <c r="L17" s="22">
        <f>IFERROR(INDEX([2]PV.iQOO!$A:$BL,MATCH($A17,[2]PV.iQOO!$B:$B,0),MATCH("IQOOZ11X|8+256|SILVER|SALES",[2]PVKEYIQOO!$1:$1,0)),0)</f>
        <v>0</v>
      </c>
      <c r="M17" s="12" t="str">
        <f t="shared" si="3"/>
        <v/>
      </c>
      <c r="N17" s="10">
        <f>IFERROR(INDEX([2]PV.iQOO!$A:$BL,MATCH($A17,[2]PV.iQOO!$B:$B,0),MATCH("IQOOZ11|8+256|BLACK|STOCK",[2]PVKEYIQOO!$1:$1,0)),0)</f>
        <v>0</v>
      </c>
      <c r="O17" s="22">
        <f>IFERROR(INDEX([2]PV.iQOO!$A:$BL,MATCH($A17,[2]PV.iQOO!$B:$B,0),MATCH("IQOOZ11|8+256|BLACK|SALES",[2]PVKEYIQOO!$1:$1,0)),0)</f>
        <v>0</v>
      </c>
      <c r="P17" s="12" t="str">
        <f t="shared" si="4"/>
        <v/>
      </c>
      <c r="Q17" s="10">
        <f>IFERROR(INDEX([2]PV.iQOO!$A:$BL,MATCH($A17,[2]PV.iQOO!$B:$B,0),MATCH("IQOOZ11|8+256|BLUE|STOCK",[2]PVKEYIQOO!$1:$1,0)),0)</f>
        <v>1</v>
      </c>
      <c r="R17" s="22">
        <f>IFERROR(INDEX([2]PV.iQOO!$A:$BL,MATCH($A17,[2]PV.iQOO!$B:$B,0),MATCH("IQOOZ11|8+256|BLUE|SALES",[2]PVKEYIQOO!$1:$1,0)),0)</f>
        <v>0</v>
      </c>
      <c r="S17" s="12" t="str">
        <f t="shared" si="5"/>
        <v/>
      </c>
      <c r="T17" s="10">
        <f>IFERROR(INDEX([2]PV.iQOO!$A:$BL,MATCH($A17,[2]PV.iQOO!$B:$B,0),MATCH("IQOO15|16+512|ALPHA|STOCK",[2]PVKEYIQOO!$1:$1,0)),0)</f>
        <v>0</v>
      </c>
      <c r="U17" s="22">
        <f>IFERROR(INDEX([2]PV.iQOO!$A:$BL,MATCH($A17,[2]PV.iQOO!$B:$B,0),MATCH("IQOO15|16+512|ALPHA|SALES",[2]PVKEYIQOO!$1:$1,0)),0)</f>
        <v>0</v>
      </c>
      <c r="V17" s="12" t="str">
        <f t="shared" si="6"/>
        <v/>
      </c>
      <c r="W17" s="22">
        <f t="shared" si="7"/>
        <v>0</v>
      </c>
      <c r="X17" s="10">
        <f>IFERROR(INDEX([2]PV.iQOO!$A:$BL,MATCH($A17,[2]PV.iQOO!$B:$B,0),MATCH("IQOO15|16+512|LEGEND|STOCK",[2]PVKEYIQOO!$1:$1,0)),0)</f>
        <v>0</v>
      </c>
      <c r="Y17" s="22">
        <f>IFERROR(INDEX([2]PV.iQOO!$A:$BL,MATCH($A17,[2]PV.iQOO!$B:$B,0),MATCH("IQOO15|16+512|LEGEND|SALES",[2]PVKEYIQOO!$1:$1,0)),0)</f>
        <v>0</v>
      </c>
      <c r="Z17" s="12" t="str">
        <f t="shared" si="8"/>
        <v/>
      </c>
      <c r="AA17" s="22">
        <f t="shared" si="9"/>
        <v>0</v>
      </c>
      <c r="AB17" s="10">
        <f>IFERROR(INDEX([2]PV.iQOO!$A:$BL,MATCH($A17,[2]PV.iQOO!$B:$B,0),MATCH("IQOO15|16+1T|LEGEND|STOCK",[2]PVKEYIQOO!$1:$1,0)),0)</f>
        <v>0</v>
      </c>
      <c r="AC17" s="22">
        <f>IFERROR(INDEX([2]PV.iQOO!$A:$BL,MATCH($A17,[2]PV.iQOO!$B:$B,0),MATCH("IQOO15|16+1T|LEGEND|SALES",[2]PVKEYIQOO!$1:$1,0)),0)</f>
        <v>0</v>
      </c>
      <c r="AD17" s="12" t="str">
        <f t="shared" si="10"/>
        <v/>
      </c>
      <c r="AE17" s="22">
        <f t="shared" si="11"/>
        <v>0</v>
      </c>
      <c r="AF17" s="10">
        <f>IFERROR(INDEX([2]PV.iQOO!$A:$BL,MATCH($A17,[2]PV.iQOO!$B:$B,0),MATCH("IQOO15R|12+512|BLACK|STOCK",[2]PVKEYIQOO!$1:$1,0)),0)</f>
        <v>0</v>
      </c>
      <c r="AG17" s="22">
        <f>IFERROR(INDEX([2]PV.iQOO!$A:$BL,MATCH($A17,[2]PV.iQOO!$B:$B,0),MATCH("IQOO15R|12+512|BLACK|SALES",[2]PVKEYIQOO!$1:$1,0)),0)</f>
        <v>0</v>
      </c>
      <c r="AH17" s="12" t="str">
        <f t="shared" si="12"/>
        <v/>
      </c>
      <c r="AI17" s="22">
        <f t="shared" si="13"/>
        <v>0</v>
      </c>
      <c r="AJ17" s="10">
        <f>IFERROR(INDEX([2]PV.iQOO!$A:$BL,MATCH($A17,[2]PV.iQOO!$B:$B,0),MATCH("IQOO15R|12+512|SILVER|STOCK",[2]PVKEYIQOO!$1:$1,0)),0)</f>
        <v>0</v>
      </c>
      <c r="AK17" s="22">
        <f>IFERROR(INDEX([2]PV.iQOO!$A:$BL,MATCH($A17,[2]PV.iQOO!$B:$B,0),MATCH("IQOO15R|12+512|SILVER|SALES",[2]PVKEYIQOO!$1:$1,0)),0)</f>
        <v>0</v>
      </c>
      <c r="AL17" s="12" t="str">
        <f t="shared" si="14"/>
        <v/>
      </c>
      <c r="AM17" s="22">
        <f t="shared" si="15"/>
        <v>0</v>
      </c>
      <c r="AN17" s="10">
        <f>IFERROR(INDEX([2]PV.iQOO!$A:$BL,MATCH($A17,[2]PV.iQOO!$B:$B,0),MATCH("IQOOZ11|12+256|BLACK|STOCK",[2]PVKEYIQOO!$1:$1,0)),0)</f>
        <v>0</v>
      </c>
      <c r="AO17" s="22">
        <f>IFERROR(INDEX([2]PV.iQOO!$A:$BL,MATCH($A17,[2]PV.iQOO!$B:$B,0),MATCH("IQOOZ11|12+256|BLACK|SALES",[2]PVKEYIQOO!$1:$1,0)),0)</f>
        <v>0</v>
      </c>
      <c r="AP17" s="12" t="str">
        <f t="shared" si="16"/>
        <v/>
      </c>
      <c r="AQ17" s="10">
        <f>IFERROR(INDEX([2]PV.iQOO!$A:$BL,MATCH($A17,[2]PV.iQOO!$B:$B,0),MATCH("IQOOZ11|12+256|BLUE|STOCK",[2]PVKEYIQOO!$1:$1,0)),0)</f>
        <v>0</v>
      </c>
      <c r="AR17" s="22">
        <f>IFERROR(INDEX([2]PV.iQOO!$A:$BL,MATCH($A17,[2]PV.iQOO!$B:$B,0),MATCH("IQOOZ11|12+256|BLUE|SALES",[2]PVKEYIQOO!$1:$1,0)),0)</f>
        <v>0</v>
      </c>
      <c r="AS17" s="12" t="str">
        <f t="shared" si="17"/>
        <v/>
      </c>
      <c r="AT17" s="10">
        <f>IFERROR(INDEX([2]PV.iQOO!$A:$BL,MATCH($A17,[2]PV.iQOO!$B:$B,0),MATCH("IQOONEO10|12+256|WHITE|STOCK",[2]PVKEYIQOO!$1:$1,0)),0)</f>
        <v>1</v>
      </c>
      <c r="AU17" s="22">
        <f>IFERROR(INDEX([2]PV.iQOO!$A:$BL,MATCH($A17,[2]PV.iQOO!$B:$B,0),MATCH("IQOONEO10|12+256|WHITE|SALES",[2]PVKEYIQOO!$1:$1,0)),0)</f>
        <v>0</v>
      </c>
      <c r="AV17" s="12" t="str">
        <f t="shared" si="19"/>
        <v/>
      </c>
      <c r="AW17" s="10">
        <f>IFERROR(INDEX([2]PV.iQOO!$A:$BL,MATCH($A17,[2]PV.iQOO!$B:$B,0),MATCH("IQOOZ11X|8+128|BLACK|STOCK",[2]PVKEYIQOO!$1:$1,0)),0)</f>
        <v>1</v>
      </c>
      <c r="AX17" s="22">
        <f>IFERROR(INDEX([2]PV.iQOO!$A:$BL,MATCH($A17,[2]PV.iQOO!$B:$B,0),MATCH("IQOOZ11X|8+128|BLACK|SALES",[2]PVKEYIQOO!$1:$1,0)),0)</f>
        <v>0</v>
      </c>
      <c r="AY17" s="12" t="str">
        <f t="shared" si="20"/>
        <v/>
      </c>
      <c r="AZ17" s="10">
        <f>IFERROR(INDEX([2]PV.iQOO!$A:$BL,MATCH($A17,[2]PV.iQOO!$B:$B,0),MATCH("IQOOZ11X|8+128|SILVER|STOCK",[2]PVKEYIQOO!$1:$1,0)),0)</f>
        <v>0</v>
      </c>
      <c r="BA17" s="22">
        <f>IFERROR(INDEX([2]PV.iQOO!$A:$BL,MATCH($A17,[2]PV.iQOO!$B:$B,0),MATCH("IQOOZ11X|8+128|SILVER|SALES",[2]PVKEYIQOO!$1:$1,0)),0)</f>
        <v>0</v>
      </c>
      <c r="BB17" s="12" t="str">
        <f t="shared" si="21"/>
        <v/>
      </c>
      <c r="BC17" s="13">
        <f t="shared" si="22"/>
        <v>4</v>
      </c>
      <c r="BD17" s="13">
        <f t="shared" si="22"/>
        <v>0</v>
      </c>
      <c r="BE17" s="13">
        <f t="shared" si="18"/>
        <v>1000</v>
      </c>
    </row>
    <row r="18" spans="1:57" x14ac:dyDescent="0.2">
      <c r="A18" s="21" t="s">
        <v>36</v>
      </c>
      <c r="B18" s="10">
        <f>IFERROR(INDEX([2]PV.iQOO!$A:$BL,MATCH($A18,[2]PV.iQOO!$B:$B,0),MATCH("IQOONEO10|16+512|BLACK|STOCK",[2]PVKEYIQOO!$1:$1,0)),0)</f>
        <v>0</v>
      </c>
      <c r="C18" s="22">
        <f>IFERROR(INDEX([2]PV.iQOO!$A:$BL,MATCH($A18,[2]PV.iQOO!$B:$B,0),MATCH("IQOONEO10|16+512|BLACK|SALES",[2]PVKEYIQOO!$1:$1,0)),0)</f>
        <v>0</v>
      </c>
      <c r="D18" s="12" t="str">
        <f t="shared" si="0"/>
        <v/>
      </c>
      <c r="E18" s="10">
        <f>IFERROR(INDEX([2]PV.iQOO!$A:$BL,MATCH($A18,[2]PV.iQOO!$B:$B,0),MATCH("IQOONEO10|16+512|ORANGE|STOCK",[2]PVKEYIQOO!$1:$1,0)),0)</f>
        <v>0</v>
      </c>
      <c r="F18" s="22">
        <f>IFERROR(INDEX([2]PV.iQOO!$A:$BL,MATCH($A18,[2]PV.iQOO!$B:$B,0),MATCH("IQOONEO10|16+512|ORANGE|SALES",[2]PVKEYIQOO!$1:$1,0)),0)</f>
        <v>0</v>
      </c>
      <c r="G18" s="12" t="str">
        <f t="shared" si="1"/>
        <v/>
      </c>
      <c r="H18" s="10">
        <f>IFERROR(INDEX([2]PV.iQOO!$A:$BL,MATCH($A18,[2]PV.iQOO!$B:$B,0),MATCH("IQOOZ11X|8+256|BLACK|STOCK",[2]PVKEYIQOO!$1:$1,0)),0)</f>
        <v>0</v>
      </c>
      <c r="I18" s="22">
        <f>IFERROR(INDEX([2]PV.iQOO!$A:$BL,MATCH($A18,[2]PV.iQOO!$B:$B,0),MATCH("IQOOZ11X|8+256|BLACK|SALES",[2]PVKEYIQOO!$1:$1,0)),0)</f>
        <v>0</v>
      </c>
      <c r="J18" s="12" t="str">
        <f t="shared" si="2"/>
        <v/>
      </c>
      <c r="K18" s="10">
        <f>IFERROR(INDEX([2]PV.iQOO!$A:$BL,MATCH($A18,[2]PV.iQOO!$B:$B,0),MATCH("IQOOZ11X|8+256|SILVER|STOCK",[2]PVKEYIQOO!$1:$1,0)),0)</f>
        <v>0</v>
      </c>
      <c r="L18" s="22">
        <f>IFERROR(INDEX([2]PV.iQOO!$A:$BL,MATCH($A18,[2]PV.iQOO!$B:$B,0),MATCH("IQOOZ11X|8+256|SILVER|SALES",[2]PVKEYIQOO!$1:$1,0)),0)</f>
        <v>0</v>
      </c>
      <c r="M18" s="12" t="str">
        <f t="shared" si="3"/>
        <v/>
      </c>
      <c r="N18" s="10">
        <f>IFERROR(INDEX([2]PV.iQOO!$A:$BL,MATCH($A18,[2]PV.iQOO!$B:$B,0),MATCH("IQOOZ11|8+256|BLACK|STOCK",[2]PVKEYIQOO!$1:$1,0)),0)</f>
        <v>2</v>
      </c>
      <c r="O18" s="22">
        <f>IFERROR(INDEX([2]PV.iQOO!$A:$BL,MATCH($A18,[2]PV.iQOO!$B:$B,0),MATCH("IQOOZ11|8+256|BLACK|SALES",[2]PVKEYIQOO!$1:$1,0)),0)</f>
        <v>1</v>
      </c>
      <c r="P18" s="12">
        <f t="shared" si="4"/>
        <v>54</v>
      </c>
      <c r="Q18" s="10">
        <f>IFERROR(INDEX([2]PV.iQOO!$A:$BL,MATCH($A18,[2]PV.iQOO!$B:$B,0),MATCH("IQOOZ11|8+256|BLUE|STOCK",[2]PVKEYIQOO!$1:$1,0)),0)</f>
        <v>2</v>
      </c>
      <c r="R18" s="22">
        <f>IFERROR(INDEX([2]PV.iQOO!$A:$BL,MATCH($A18,[2]PV.iQOO!$B:$B,0),MATCH("IQOOZ11|8+256|BLUE|SALES",[2]PVKEYIQOO!$1:$1,0)),0)</f>
        <v>4</v>
      </c>
      <c r="S18" s="12">
        <f t="shared" si="5"/>
        <v>13.5</v>
      </c>
      <c r="T18" s="10">
        <f>IFERROR(INDEX([2]PV.iQOO!$A:$BL,MATCH($A18,[2]PV.iQOO!$B:$B,0),MATCH("IQOO15|16+512|ALPHA|STOCK",[2]PVKEYIQOO!$1:$1,0)),0)</f>
        <v>0</v>
      </c>
      <c r="U18" s="22">
        <f>IFERROR(INDEX([2]PV.iQOO!$A:$BL,MATCH($A18,[2]PV.iQOO!$B:$B,0),MATCH("IQOO15|16+512|ALPHA|SALES",[2]PVKEYIQOO!$1:$1,0)),0)</f>
        <v>0</v>
      </c>
      <c r="V18" s="12" t="str">
        <f t="shared" si="6"/>
        <v/>
      </c>
      <c r="W18" s="22">
        <f t="shared" si="7"/>
        <v>0</v>
      </c>
      <c r="X18" s="10">
        <f>IFERROR(INDEX([2]PV.iQOO!$A:$BL,MATCH($A18,[2]PV.iQOO!$B:$B,0),MATCH("IQOO15|16+512|LEGEND|STOCK",[2]PVKEYIQOO!$1:$1,0)),0)</f>
        <v>0</v>
      </c>
      <c r="Y18" s="22">
        <f>IFERROR(INDEX([2]PV.iQOO!$A:$BL,MATCH($A18,[2]PV.iQOO!$B:$B,0),MATCH("IQOO15|16+512|LEGEND|SALES",[2]PVKEYIQOO!$1:$1,0)),0)</f>
        <v>0</v>
      </c>
      <c r="Z18" s="12" t="str">
        <f t="shared" si="8"/>
        <v/>
      </c>
      <c r="AA18" s="22">
        <f t="shared" si="9"/>
        <v>0</v>
      </c>
      <c r="AB18" s="10">
        <f>IFERROR(INDEX([2]PV.iQOO!$A:$BL,MATCH($A18,[2]PV.iQOO!$B:$B,0),MATCH("IQOO15|16+1T|LEGEND|STOCK",[2]PVKEYIQOO!$1:$1,0)),0)</f>
        <v>0</v>
      </c>
      <c r="AC18" s="22">
        <f>IFERROR(INDEX([2]PV.iQOO!$A:$BL,MATCH($A18,[2]PV.iQOO!$B:$B,0),MATCH("IQOO15|16+1T|LEGEND|SALES",[2]PVKEYIQOO!$1:$1,0)),0)</f>
        <v>0</v>
      </c>
      <c r="AD18" s="12" t="str">
        <f t="shared" si="10"/>
        <v/>
      </c>
      <c r="AE18" s="22">
        <f t="shared" si="11"/>
        <v>0</v>
      </c>
      <c r="AF18" s="10">
        <f>IFERROR(INDEX([2]PV.iQOO!$A:$BL,MATCH($A18,[2]PV.iQOO!$B:$B,0),MATCH("IQOO15R|12+512|BLACK|STOCK",[2]PVKEYIQOO!$1:$1,0)),0)</f>
        <v>0</v>
      </c>
      <c r="AG18" s="22">
        <f>IFERROR(INDEX([2]PV.iQOO!$A:$BL,MATCH($A18,[2]PV.iQOO!$B:$B,0),MATCH("IQOO15R|12+512|BLACK|SALES",[2]PVKEYIQOO!$1:$1,0)),0)</f>
        <v>1</v>
      </c>
      <c r="AH18" s="12">
        <f t="shared" si="12"/>
        <v>0</v>
      </c>
      <c r="AI18" s="22">
        <f t="shared" si="13"/>
        <v>0.37037037037037035</v>
      </c>
      <c r="AJ18" s="10">
        <f>IFERROR(INDEX([2]PV.iQOO!$A:$BL,MATCH($A18,[2]PV.iQOO!$B:$B,0),MATCH("IQOO15R|12+512|SILVER|STOCK",[2]PVKEYIQOO!$1:$1,0)),0)</f>
        <v>0</v>
      </c>
      <c r="AK18" s="22">
        <f>IFERROR(INDEX([2]PV.iQOO!$A:$BL,MATCH($A18,[2]PV.iQOO!$B:$B,0),MATCH("IQOO15R|12+512|SILVER|SALES",[2]PVKEYIQOO!$1:$1,0)),0)</f>
        <v>0</v>
      </c>
      <c r="AL18" s="12" t="str">
        <f t="shared" si="14"/>
        <v/>
      </c>
      <c r="AM18" s="22">
        <f t="shared" si="15"/>
        <v>0</v>
      </c>
      <c r="AN18" s="10">
        <f>IFERROR(INDEX([2]PV.iQOO!$A:$BL,MATCH($A18,[2]PV.iQOO!$B:$B,0),MATCH("IQOOZ11|12+256|BLACK|STOCK",[2]PVKEYIQOO!$1:$1,0)),0)</f>
        <v>1</v>
      </c>
      <c r="AO18" s="22">
        <f>IFERROR(INDEX([2]PV.iQOO!$A:$BL,MATCH($A18,[2]PV.iQOO!$B:$B,0),MATCH("IQOOZ11|12+256|BLACK|SALES",[2]PVKEYIQOO!$1:$1,0)),0)</f>
        <v>0</v>
      </c>
      <c r="AP18" s="12" t="str">
        <f t="shared" si="16"/>
        <v/>
      </c>
      <c r="AQ18" s="10">
        <f>IFERROR(INDEX([2]PV.iQOO!$A:$BL,MATCH($A18,[2]PV.iQOO!$B:$B,0),MATCH("IQOOZ11|12+256|BLUE|STOCK",[2]PVKEYIQOO!$1:$1,0)),0)</f>
        <v>1</v>
      </c>
      <c r="AR18" s="22">
        <f>IFERROR(INDEX([2]PV.iQOO!$A:$BL,MATCH($A18,[2]PV.iQOO!$B:$B,0),MATCH("IQOOZ11|12+256|BLUE|SALES",[2]PVKEYIQOO!$1:$1,0)),0)</f>
        <v>0</v>
      </c>
      <c r="AS18" s="12" t="str">
        <f t="shared" si="17"/>
        <v/>
      </c>
      <c r="AT18" s="10">
        <f>IFERROR(INDEX([2]PV.iQOO!$A:$BL,MATCH($A18,[2]PV.iQOO!$B:$B,0),MATCH("IQOONEO10|12+256|WHITE|STOCK",[2]PVKEYIQOO!$1:$1,0)),0)</f>
        <v>3</v>
      </c>
      <c r="AU18" s="22">
        <f>IFERROR(INDEX([2]PV.iQOO!$A:$BL,MATCH($A18,[2]PV.iQOO!$B:$B,0),MATCH("IQOONEO10|12+256|WHITE|SALES",[2]PVKEYIQOO!$1:$1,0)),0)</f>
        <v>0</v>
      </c>
      <c r="AV18" s="12" t="str">
        <f t="shared" si="19"/>
        <v/>
      </c>
      <c r="AW18" s="10">
        <f>IFERROR(INDEX([2]PV.iQOO!$A:$BL,MATCH($A18,[2]PV.iQOO!$B:$B,0),MATCH("IQOOZ11X|8+128|BLACK|STOCK",[2]PVKEYIQOO!$1:$1,0)),0)</f>
        <v>0</v>
      </c>
      <c r="AX18" s="22">
        <f>IFERROR(INDEX([2]PV.iQOO!$A:$BL,MATCH($A18,[2]PV.iQOO!$B:$B,0),MATCH("IQOOZ11X|8+128|BLACK|SALES",[2]PVKEYIQOO!$1:$1,0)),0)</f>
        <v>2</v>
      </c>
      <c r="AY18" s="12">
        <f t="shared" si="20"/>
        <v>0</v>
      </c>
      <c r="AZ18" s="10">
        <f>IFERROR(INDEX([2]PV.iQOO!$A:$BL,MATCH($A18,[2]PV.iQOO!$B:$B,0),MATCH("IQOOZ11X|8+128|SILVER|STOCK",[2]PVKEYIQOO!$1:$1,0)),0)</f>
        <v>0</v>
      </c>
      <c r="BA18" s="22">
        <f>IFERROR(INDEX([2]PV.iQOO!$A:$BL,MATCH($A18,[2]PV.iQOO!$B:$B,0),MATCH("IQOOZ11X|8+128|SILVER|SALES",[2]PVKEYIQOO!$1:$1,0)),0)</f>
        <v>1</v>
      </c>
      <c r="BB18" s="12">
        <f t="shared" si="21"/>
        <v>0</v>
      </c>
      <c r="BC18" s="13">
        <f t="shared" si="22"/>
        <v>9</v>
      </c>
      <c r="BD18" s="13">
        <f t="shared" si="22"/>
        <v>9</v>
      </c>
      <c r="BE18" s="13">
        <f t="shared" si="18"/>
        <v>27</v>
      </c>
    </row>
    <row r="19" spans="1:57" x14ac:dyDescent="0.2">
      <c r="A19" s="21" t="s">
        <v>37</v>
      </c>
      <c r="B19" s="10">
        <f>IFERROR(INDEX([2]PV.iQOO!$A:$BL,MATCH($A19,[2]PV.iQOO!$B:$B,0),MATCH("IQOONEO10|16+512|BLACK|STOCK",[2]PVKEYIQOO!$1:$1,0)),0)</f>
        <v>0</v>
      </c>
      <c r="C19" s="22">
        <f>IFERROR(INDEX([2]PV.iQOO!$A:$BL,MATCH($A19,[2]PV.iQOO!$B:$B,0),MATCH("IQOONEO10|16+512|BLACK|SALES",[2]PVKEYIQOO!$1:$1,0)),0)</f>
        <v>0</v>
      </c>
      <c r="D19" s="12" t="str">
        <f t="shared" si="0"/>
        <v/>
      </c>
      <c r="E19" s="10">
        <f>IFERROR(INDEX([2]PV.iQOO!$A:$BL,MATCH($A19,[2]PV.iQOO!$B:$B,0),MATCH("IQOONEO10|16+512|ORANGE|STOCK",[2]PVKEYIQOO!$1:$1,0)),0)</f>
        <v>0</v>
      </c>
      <c r="F19" s="22">
        <f>IFERROR(INDEX([2]PV.iQOO!$A:$BL,MATCH($A19,[2]PV.iQOO!$B:$B,0),MATCH("IQOONEO10|16+512|ORANGE|SALES",[2]PVKEYIQOO!$1:$1,0)),0)</f>
        <v>0</v>
      </c>
      <c r="G19" s="12" t="str">
        <f t="shared" si="1"/>
        <v/>
      </c>
      <c r="H19" s="10">
        <f>IFERROR(INDEX([2]PV.iQOO!$A:$BL,MATCH($A19,[2]PV.iQOO!$B:$B,0),MATCH("IQOOZ11X|8+256|BLACK|STOCK",[2]PVKEYIQOO!$1:$1,0)),0)</f>
        <v>0</v>
      </c>
      <c r="I19" s="22">
        <f>IFERROR(INDEX([2]PV.iQOO!$A:$BL,MATCH($A19,[2]PV.iQOO!$B:$B,0),MATCH("IQOOZ11X|8+256|BLACK|SALES",[2]PVKEYIQOO!$1:$1,0)),0)</f>
        <v>0</v>
      </c>
      <c r="J19" s="12" t="str">
        <f t="shared" si="2"/>
        <v/>
      </c>
      <c r="K19" s="10">
        <f>IFERROR(INDEX([2]PV.iQOO!$A:$BL,MATCH($A19,[2]PV.iQOO!$B:$B,0),MATCH("IQOOZ11X|8+256|SILVER|STOCK",[2]PVKEYIQOO!$1:$1,0)),0)</f>
        <v>0</v>
      </c>
      <c r="L19" s="22">
        <f>IFERROR(INDEX([2]PV.iQOO!$A:$BL,MATCH($A19,[2]PV.iQOO!$B:$B,0),MATCH("IQOOZ11X|8+256|SILVER|SALES",[2]PVKEYIQOO!$1:$1,0)),0)</f>
        <v>0</v>
      </c>
      <c r="M19" s="12" t="str">
        <f t="shared" si="3"/>
        <v/>
      </c>
      <c r="N19" s="10">
        <f>IFERROR(INDEX([2]PV.iQOO!$A:$BL,MATCH($A19,[2]PV.iQOO!$B:$B,0),MATCH("IQOOZ11|8+256|BLACK|STOCK",[2]PVKEYIQOO!$1:$1,0)),0)</f>
        <v>2</v>
      </c>
      <c r="O19" s="22">
        <f>IFERROR(INDEX([2]PV.iQOO!$A:$BL,MATCH($A19,[2]PV.iQOO!$B:$B,0),MATCH("IQOOZ11|8+256|BLACK|SALES",[2]PVKEYIQOO!$1:$1,0)),0)</f>
        <v>2</v>
      </c>
      <c r="P19" s="12">
        <f t="shared" si="4"/>
        <v>27</v>
      </c>
      <c r="Q19" s="10">
        <f>IFERROR(INDEX([2]PV.iQOO!$A:$BL,MATCH($A19,[2]PV.iQOO!$B:$B,0),MATCH("IQOOZ11|8+256|BLUE|STOCK",[2]PVKEYIQOO!$1:$1,0)),0)</f>
        <v>2</v>
      </c>
      <c r="R19" s="22">
        <f>IFERROR(INDEX([2]PV.iQOO!$A:$BL,MATCH($A19,[2]PV.iQOO!$B:$B,0),MATCH("IQOOZ11|8+256|BLUE|SALES",[2]PVKEYIQOO!$1:$1,0)),0)</f>
        <v>1</v>
      </c>
      <c r="S19" s="12">
        <f t="shared" si="5"/>
        <v>54</v>
      </c>
      <c r="T19" s="10">
        <f>IFERROR(INDEX([2]PV.iQOO!$A:$BL,MATCH($A19,[2]PV.iQOO!$B:$B,0),MATCH("IQOO15|16+512|ALPHA|STOCK",[2]PVKEYIQOO!$1:$1,0)),0)</f>
        <v>0</v>
      </c>
      <c r="U19" s="22">
        <f>IFERROR(INDEX([2]PV.iQOO!$A:$BL,MATCH($A19,[2]PV.iQOO!$B:$B,0),MATCH("IQOO15|16+512|ALPHA|SALES",[2]PVKEYIQOO!$1:$1,0)),0)</f>
        <v>0</v>
      </c>
      <c r="V19" s="12" t="str">
        <f t="shared" si="6"/>
        <v/>
      </c>
      <c r="W19" s="22">
        <f t="shared" si="7"/>
        <v>0</v>
      </c>
      <c r="X19" s="10">
        <f>IFERROR(INDEX([2]PV.iQOO!$A:$BL,MATCH($A19,[2]PV.iQOO!$B:$B,0),MATCH("IQOO15|16+512|LEGEND|STOCK",[2]PVKEYIQOO!$1:$1,0)),0)</f>
        <v>0</v>
      </c>
      <c r="Y19" s="22">
        <f>IFERROR(INDEX([2]PV.iQOO!$A:$BL,MATCH($A19,[2]PV.iQOO!$B:$B,0),MATCH("IQOO15|16+512|LEGEND|SALES",[2]PVKEYIQOO!$1:$1,0)),0)</f>
        <v>0</v>
      </c>
      <c r="Z19" s="12" t="str">
        <f t="shared" si="8"/>
        <v/>
      </c>
      <c r="AA19" s="22">
        <f t="shared" si="9"/>
        <v>0</v>
      </c>
      <c r="AB19" s="10">
        <f>IFERROR(INDEX([2]PV.iQOO!$A:$BL,MATCH($A19,[2]PV.iQOO!$B:$B,0),MATCH("IQOO15|16+1T|LEGEND|STOCK",[2]PVKEYIQOO!$1:$1,0)),0)</f>
        <v>0</v>
      </c>
      <c r="AC19" s="22">
        <f>IFERROR(INDEX([2]PV.iQOO!$A:$BL,MATCH($A19,[2]PV.iQOO!$B:$B,0),MATCH("IQOO15|16+1T|LEGEND|SALES",[2]PVKEYIQOO!$1:$1,0)),0)</f>
        <v>0</v>
      </c>
      <c r="AD19" s="12" t="str">
        <f t="shared" si="10"/>
        <v/>
      </c>
      <c r="AE19" s="22">
        <f t="shared" si="11"/>
        <v>0</v>
      </c>
      <c r="AF19" s="10">
        <f>IFERROR(INDEX([2]PV.iQOO!$A:$BL,MATCH($A19,[2]PV.iQOO!$B:$B,0),MATCH("IQOO15R|12+512|BLACK|STOCK",[2]PVKEYIQOO!$1:$1,0)),0)</f>
        <v>0</v>
      </c>
      <c r="AG19" s="22">
        <f>IFERROR(INDEX([2]PV.iQOO!$A:$BL,MATCH($A19,[2]PV.iQOO!$B:$B,0),MATCH("IQOO15R|12+512|BLACK|SALES",[2]PVKEYIQOO!$1:$1,0)),0)</f>
        <v>0</v>
      </c>
      <c r="AH19" s="12" t="str">
        <f t="shared" si="12"/>
        <v/>
      </c>
      <c r="AI19" s="22">
        <f t="shared" si="13"/>
        <v>0</v>
      </c>
      <c r="AJ19" s="10">
        <f>IFERROR(INDEX([2]PV.iQOO!$A:$BL,MATCH($A19,[2]PV.iQOO!$B:$B,0),MATCH("IQOO15R|12+512|SILVER|STOCK",[2]PVKEYIQOO!$1:$1,0)),0)</f>
        <v>0</v>
      </c>
      <c r="AK19" s="22">
        <f>IFERROR(INDEX([2]PV.iQOO!$A:$BL,MATCH($A19,[2]PV.iQOO!$B:$B,0),MATCH("IQOO15R|12+512|SILVER|SALES",[2]PVKEYIQOO!$1:$1,0)),0)</f>
        <v>0</v>
      </c>
      <c r="AL19" s="12" t="str">
        <f t="shared" si="14"/>
        <v/>
      </c>
      <c r="AM19" s="22">
        <f t="shared" si="15"/>
        <v>0</v>
      </c>
      <c r="AN19" s="10">
        <f>IFERROR(INDEX([2]PV.iQOO!$A:$BL,MATCH($A19,[2]PV.iQOO!$B:$B,0),MATCH("IQOOZ11|12+256|BLACK|STOCK",[2]PVKEYIQOO!$1:$1,0)),0)</f>
        <v>0</v>
      </c>
      <c r="AO19" s="22">
        <f>IFERROR(INDEX([2]PV.iQOO!$A:$BL,MATCH($A19,[2]PV.iQOO!$B:$B,0),MATCH("IQOOZ11|12+256|BLACK|SALES",[2]PVKEYIQOO!$1:$1,0)),0)</f>
        <v>1</v>
      </c>
      <c r="AP19" s="12">
        <f t="shared" si="16"/>
        <v>0</v>
      </c>
      <c r="AQ19" s="10">
        <f>IFERROR(INDEX([2]PV.iQOO!$A:$BL,MATCH($A19,[2]PV.iQOO!$B:$B,0),MATCH("IQOOZ11|12+256|BLUE|STOCK",[2]PVKEYIQOO!$1:$1,0)),0)</f>
        <v>0</v>
      </c>
      <c r="AR19" s="22">
        <f>IFERROR(INDEX([2]PV.iQOO!$A:$BL,MATCH($A19,[2]PV.iQOO!$B:$B,0),MATCH("IQOOZ11|12+256|BLUE|SALES",[2]PVKEYIQOO!$1:$1,0)),0)</f>
        <v>2</v>
      </c>
      <c r="AS19" s="12">
        <f t="shared" si="17"/>
        <v>0</v>
      </c>
      <c r="AT19" s="10">
        <f>IFERROR(INDEX([2]PV.iQOO!$A:$BL,MATCH($A19,[2]PV.iQOO!$B:$B,0),MATCH("IQOONEO10|12+256|WHITE|STOCK",[2]PVKEYIQOO!$1:$1,0)),0)</f>
        <v>1</v>
      </c>
      <c r="AU19" s="22">
        <f>IFERROR(INDEX([2]PV.iQOO!$A:$BL,MATCH($A19,[2]PV.iQOO!$B:$B,0),MATCH("IQOONEO10|12+256|WHITE|SALES",[2]PVKEYIQOO!$1:$1,0)),0)</f>
        <v>3</v>
      </c>
      <c r="AV19" s="12">
        <f t="shared" si="19"/>
        <v>9</v>
      </c>
      <c r="AW19" s="10">
        <f>IFERROR(INDEX([2]PV.iQOO!$A:$BL,MATCH($A19,[2]PV.iQOO!$B:$B,0),MATCH("IQOOZ11X|8+128|BLACK|STOCK",[2]PVKEYIQOO!$1:$1,0)),0)</f>
        <v>2</v>
      </c>
      <c r="AX19" s="22">
        <f>IFERROR(INDEX([2]PV.iQOO!$A:$BL,MATCH($A19,[2]PV.iQOO!$B:$B,0),MATCH("IQOOZ11X|8+128|BLACK|SALES",[2]PVKEYIQOO!$1:$1,0)),0)</f>
        <v>4</v>
      </c>
      <c r="AY19" s="12">
        <f t="shared" si="20"/>
        <v>13.5</v>
      </c>
      <c r="AZ19" s="10">
        <f>IFERROR(INDEX([2]PV.iQOO!$A:$BL,MATCH($A19,[2]PV.iQOO!$B:$B,0),MATCH("IQOOZ11X|8+128|SILVER|STOCK",[2]PVKEYIQOO!$1:$1,0)),0)</f>
        <v>2</v>
      </c>
      <c r="BA19" s="22">
        <f>IFERROR(INDEX([2]PV.iQOO!$A:$BL,MATCH($A19,[2]PV.iQOO!$B:$B,0),MATCH("IQOOZ11X|8+128|SILVER|SALES",[2]PVKEYIQOO!$1:$1,0)),0)</f>
        <v>3</v>
      </c>
      <c r="BB19" s="12">
        <f t="shared" si="21"/>
        <v>18</v>
      </c>
      <c r="BC19" s="13">
        <f t="shared" si="22"/>
        <v>9</v>
      </c>
      <c r="BD19" s="13">
        <f t="shared" si="22"/>
        <v>16</v>
      </c>
      <c r="BE19" s="13">
        <f t="shared" si="18"/>
        <v>15.1875</v>
      </c>
    </row>
    <row r="20" spans="1:57" x14ac:dyDescent="0.2">
      <c r="A20" s="21" t="s">
        <v>38</v>
      </c>
      <c r="B20" s="10">
        <f>IFERROR(INDEX([2]PV.iQOO!$A:$BL,MATCH($A20,[2]PV.iQOO!$B:$B,0),MATCH("IQOONEO10|16+512|BLACK|STOCK",[2]PVKEYIQOO!$1:$1,0)),0)</f>
        <v>0</v>
      </c>
      <c r="C20" s="22">
        <f>IFERROR(INDEX([2]PV.iQOO!$A:$BL,MATCH($A20,[2]PV.iQOO!$B:$B,0),MATCH("IQOONEO10|16+512|BLACK|SALES",[2]PVKEYIQOO!$1:$1,0)),0)</f>
        <v>0</v>
      </c>
      <c r="D20" s="12" t="str">
        <f t="shared" si="0"/>
        <v/>
      </c>
      <c r="E20" s="10">
        <f>IFERROR(INDEX([2]PV.iQOO!$A:$BL,MATCH($A20,[2]PV.iQOO!$B:$B,0),MATCH("IQOONEO10|16+512|ORANGE|STOCK",[2]PVKEYIQOO!$1:$1,0)),0)</f>
        <v>0</v>
      </c>
      <c r="F20" s="22">
        <f>IFERROR(INDEX([2]PV.iQOO!$A:$BL,MATCH($A20,[2]PV.iQOO!$B:$B,0),MATCH("IQOONEO10|16+512|ORANGE|SALES",[2]PVKEYIQOO!$1:$1,0)),0)</f>
        <v>0</v>
      </c>
      <c r="G20" s="12" t="str">
        <f t="shared" si="1"/>
        <v/>
      </c>
      <c r="H20" s="10">
        <f>IFERROR(INDEX([2]PV.iQOO!$A:$BL,MATCH($A20,[2]PV.iQOO!$B:$B,0),MATCH("IQOOZ11X|8+256|BLACK|STOCK",[2]PVKEYIQOO!$1:$1,0)),0)</f>
        <v>0</v>
      </c>
      <c r="I20" s="22">
        <f>IFERROR(INDEX([2]PV.iQOO!$A:$BL,MATCH($A20,[2]PV.iQOO!$B:$B,0),MATCH("IQOOZ11X|8+256|BLACK|SALES",[2]PVKEYIQOO!$1:$1,0)),0)</f>
        <v>0</v>
      </c>
      <c r="J20" s="12" t="str">
        <f t="shared" si="2"/>
        <v/>
      </c>
      <c r="K20" s="10">
        <f>IFERROR(INDEX([2]PV.iQOO!$A:$BL,MATCH($A20,[2]PV.iQOO!$B:$B,0),MATCH("IQOOZ11X|8+256|SILVER|STOCK",[2]PVKEYIQOO!$1:$1,0)),0)</f>
        <v>0</v>
      </c>
      <c r="L20" s="22">
        <f>IFERROR(INDEX([2]PV.iQOO!$A:$BL,MATCH($A20,[2]PV.iQOO!$B:$B,0),MATCH("IQOOZ11X|8+256|SILVER|SALES",[2]PVKEYIQOO!$1:$1,0)),0)</f>
        <v>0</v>
      </c>
      <c r="M20" s="12" t="str">
        <f t="shared" si="3"/>
        <v/>
      </c>
      <c r="N20" s="10">
        <f>IFERROR(INDEX([2]PV.iQOO!$A:$BL,MATCH($A20,[2]PV.iQOO!$B:$B,0),MATCH("IQOOZ11|8+256|BLACK|STOCK",[2]PVKEYIQOO!$1:$1,0)),0)</f>
        <v>0</v>
      </c>
      <c r="O20" s="22">
        <f>IFERROR(INDEX([2]PV.iQOO!$A:$BL,MATCH($A20,[2]PV.iQOO!$B:$B,0),MATCH("IQOOZ11|8+256|BLACK|SALES",[2]PVKEYIQOO!$1:$1,0)),0)</f>
        <v>0</v>
      </c>
      <c r="P20" s="12" t="str">
        <f t="shared" si="4"/>
        <v/>
      </c>
      <c r="Q20" s="10">
        <f>IFERROR(INDEX([2]PV.iQOO!$A:$BL,MATCH($A20,[2]PV.iQOO!$B:$B,0),MATCH("IQOOZ11|8+256|BLUE|STOCK",[2]PVKEYIQOO!$1:$1,0)),0)</f>
        <v>0</v>
      </c>
      <c r="R20" s="22">
        <f>IFERROR(INDEX([2]PV.iQOO!$A:$BL,MATCH($A20,[2]PV.iQOO!$B:$B,0),MATCH("IQOOZ11|8+256|BLUE|SALES",[2]PVKEYIQOO!$1:$1,0)),0)</f>
        <v>0</v>
      </c>
      <c r="S20" s="12" t="str">
        <f t="shared" si="5"/>
        <v/>
      </c>
      <c r="T20" s="10">
        <f>IFERROR(INDEX([2]PV.iQOO!$A:$BL,MATCH($A20,[2]PV.iQOO!$B:$B,0),MATCH("IQOO15|16+512|ALPHA|STOCK",[2]PVKEYIQOO!$1:$1,0)),0)</f>
        <v>0</v>
      </c>
      <c r="U20" s="22">
        <f>IFERROR(INDEX([2]PV.iQOO!$A:$BL,MATCH($A20,[2]PV.iQOO!$B:$B,0),MATCH("IQOO15|16+512|ALPHA|SALES",[2]PVKEYIQOO!$1:$1,0)),0)</f>
        <v>0</v>
      </c>
      <c r="V20" s="12" t="str">
        <f t="shared" si="6"/>
        <v/>
      </c>
      <c r="W20" s="22">
        <f t="shared" si="7"/>
        <v>0</v>
      </c>
      <c r="X20" s="10">
        <f>IFERROR(INDEX([2]PV.iQOO!$A:$BL,MATCH($A20,[2]PV.iQOO!$B:$B,0),MATCH("IQOO15|16+512|LEGEND|STOCK",[2]PVKEYIQOO!$1:$1,0)),0)</f>
        <v>0</v>
      </c>
      <c r="Y20" s="22">
        <f>IFERROR(INDEX([2]PV.iQOO!$A:$BL,MATCH($A20,[2]PV.iQOO!$B:$B,0),MATCH("IQOO15|16+512|LEGEND|SALES",[2]PVKEYIQOO!$1:$1,0)),0)</f>
        <v>0</v>
      </c>
      <c r="Z20" s="12" t="str">
        <f t="shared" si="8"/>
        <v/>
      </c>
      <c r="AA20" s="22">
        <f t="shared" si="9"/>
        <v>0</v>
      </c>
      <c r="AB20" s="10">
        <f>IFERROR(INDEX([2]PV.iQOO!$A:$BL,MATCH($A20,[2]PV.iQOO!$B:$B,0),MATCH("IQOO15|16+1T|LEGEND|STOCK",[2]PVKEYIQOO!$1:$1,0)),0)</f>
        <v>0</v>
      </c>
      <c r="AC20" s="22">
        <f>IFERROR(INDEX([2]PV.iQOO!$A:$BL,MATCH($A20,[2]PV.iQOO!$B:$B,0),MATCH("IQOO15|16+1T|LEGEND|SALES",[2]PVKEYIQOO!$1:$1,0)),0)</f>
        <v>0</v>
      </c>
      <c r="AD20" s="12" t="str">
        <f t="shared" si="10"/>
        <v/>
      </c>
      <c r="AE20" s="22">
        <f t="shared" si="11"/>
        <v>0</v>
      </c>
      <c r="AF20" s="10">
        <f>IFERROR(INDEX([2]PV.iQOO!$A:$BL,MATCH($A20,[2]PV.iQOO!$B:$B,0),MATCH("IQOO15R|12+512|BLACK|STOCK",[2]PVKEYIQOO!$1:$1,0)),0)</f>
        <v>0</v>
      </c>
      <c r="AG20" s="22">
        <f>IFERROR(INDEX([2]PV.iQOO!$A:$BL,MATCH($A20,[2]PV.iQOO!$B:$B,0),MATCH("IQOO15R|12+512|BLACK|SALES",[2]PVKEYIQOO!$1:$1,0)),0)</f>
        <v>0</v>
      </c>
      <c r="AH20" s="12" t="str">
        <f t="shared" si="12"/>
        <v/>
      </c>
      <c r="AI20" s="22">
        <f t="shared" si="13"/>
        <v>0</v>
      </c>
      <c r="AJ20" s="10">
        <f>IFERROR(INDEX([2]PV.iQOO!$A:$BL,MATCH($A20,[2]PV.iQOO!$B:$B,0),MATCH("IQOO15R|12+512|SILVER|STOCK",[2]PVKEYIQOO!$1:$1,0)),0)</f>
        <v>0</v>
      </c>
      <c r="AK20" s="22">
        <f>IFERROR(INDEX([2]PV.iQOO!$A:$BL,MATCH($A20,[2]PV.iQOO!$B:$B,0),MATCH("IQOO15R|12+512|SILVER|SALES",[2]PVKEYIQOO!$1:$1,0)),0)</f>
        <v>0</v>
      </c>
      <c r="AL20" s="12" t="str">
        <f t="shared" si="14"/>
        <v/>
      </c>
      <c r="AM20" s="22">
        <f t="shared" si="15"/>
        <v>0</v>
      </c>
      <c r="AN20" s="10">
        <f>IFERROR(INDEX([2]PV.iQOO!$A:$BL,MATCH($A20,[2]PV.iQOO!$B:$B,0),MATCH("IQOOZ11|12+256|BLACK|STOCK",[2]PVKEYIQOO!$1:$1,0)),0)</f>
        <v>0</v>
      </c>
      <c r="AO20" s="22">
        <f>IFERROR(INDEX([2]PV.iQOO!$A:$BL,MATCH($A20,[2]PV.iQOO!$B:$B,0),MATCH("IQOOZ11|12+256|BLACK|SALES",[2]PVKEYIQOO!$1:$1,0)),0)</f>
        <v>0</v>
      </c>
      <c r="AP20" s="12" t="str">
        <f t="shared" si="16"/>
        <v/>
      </c>
      <c r="AQ20" s="10">
        <f>IFERROR(INDEX([2]PV.iQOO!$A:$BL,MATCH($A20,[2]PV.iQOO!$B:$B,0),MATCH("IQOOZ11|12+256|BLUE|STOCK",[2]PVKEYIQOO!$1:$1,0)),0)</f>
        <v>0</v>
      </c>
      <c r="AR20" s="22">
        <f>IFERROR(INDEX([2]PV.iQOO!$A:$BL,MATCH($A20,[2]PV.iQOO!$B:$B,0),MATCH("IQOOZ11|12+256|BLUE|SALES",[2]PVKEYIQOO!$1:$1,0)),0)</f>
        <v>0</v>
      </c>
      <c r="AS20" s="12" t="str">
        <f t="shared" si="17"/>
        <v/>
      </c>
      <c r="AT20" s="10">
        <f>IFERROR(INDEX([2]PV.iQOO!$A:$BL,MATCH($A20,[2]PV.iQOO!$B:$B,0),MATCH("IQOONEO10|12+256|WHITE|STOCK",[2]PVKEYIQOO!$1:$1,0)),0)</f>
        <v>0</v>
      </c>
      <c r="AU20" s="22">
        <f>IFERROR(INDEX([2]PV.iQOO!$A:$BL,MATCH($A20,[2]PV.iQOO!$B:$B,0),MATCH("IQOONEO10|12+256|WHITE|SALES",[2]PVKEYIQOO!$1:$1,0)),0)</f>
        <v>0</v>
      </c>
      <c r="AV20" s="12" t="str">
        <f t="shared" si="19"/>
        <v/>
      </c>
      <c r="AW20" s="10">
        <f>IFERROR(INDEX([2]PV.iQOO!$A:$BL,MATCH($A20,[2]PV.iQOO!$B:$B,0),MATCH("IQOOZ11X|8+128|BLACK|STOCK",[2]PVKEYIQOO!$1:$1,0)),0)</f>
        <v>0</v>
      </c>
      <c r="AX20" s="22">
        <f>IFERROR(INDEX([2]PV.iQOO!$A:$BL,MATCH($A20,[2]PV.iQOO!$B:$B,0),MATCH("IQOOZ11X|8+128|BLACK|SALES",[2]PVKEYIQOO!$1:$1,0)),0)</f>
        <v>0</v>
      </c>
      <c r="AY20" s="12" t="str">
        <f t="shared" si="20"/>
        <v/>
      </c>
      <c r="AZ20" s="10">
        <f>IFERROR(INDEX([2]PV.iQOO!$A:$BL,MATCH($A20,[2]PV.iQOO!$B:$B,0),MATCH("IQOOZ11X|8+128|SILVER|STOCK",[2]PVKEYIQOO!$1:$1,0)),0)</f>
        <v>0</v>
      </c>
      <c r="BA20" s="22">
        <f>IFERROR(INDEX([2]PV.iQOO!$A:$BL,MATCH($A20,[2]PV.iQOO!$B:$B,0),MATCH("IQOOZ11X|8+128|SILVER|SALES",[2]PVKEYIQOO!$1:$1,0)),0)</f>
        <v>0</v>
      </c>
      <c r="BB20" s="12" t="str">
        <f t="shared" si="21"/>
        <v/>
      </c>
      <c r="BC20" s="13">
        <f t="shared" si="22"/>
        <v>0</v>
      </c>
      <c r="BD20" s="13">
        <f t="shared" si="22"/>
        <v>0</v>
      </c>
      <c r="BE20" s="13">
        <f t="shared" si="18"/>
        <v>1000</v>
      </c>
    </row>
    <row r="21" spans="1:57" x14ac:dyDescent="0.2">
      <c r="A21" s="23" t="s">
        <v>39</v>
      </c>
      <c r="B21" s="10">
        <f>IFERROR(INDEX([2]PV.iQOO!$A:$BL,MATCH($A21,[2]PV.iQOO!$B:$B,0),MATCH("IQOONEO10|16+512|BLACK|STOCK",[2]PVKEYIQOO!$1:$1,0)),0)</f>
        <v>0</v>
      </c>
      <c r="C21" s="22">
        <f>IFERROR(INDEX([2]PV.iQOO!$A:$BL,MATCH($A21,[2]PV.iQOO!$B:$B,0),MATCH("IQOONEO10|16+512|BLACK|SALES",[2]PVKEYIQOO!$1:$1,0)),0)</f>
        <v>0</v>
      </c>
      <c r="D21" s="12" t="str">
        <f t="shared" si="0"/>
        <v/>
      </c>
      <c r="E21" s="10">
        <f>IFERROR(INDEX([2]PV.iQOO!$A:$BL,MATCH($A21,[2]PV.iQOO!$B:$B,0),MATCH("IQOONEO10|16+512|ORANGE|STOCK",[2]PVKEYIQOO!$1:$1,0)),0)</f>
        <v>0</v>
      </c>
      <c r="F21" s="22">
        <f>IFERROR(INDEX([2]PV.iQOO!$A:$BL,MATCH($A21,[2]PV.iQOO!$B:$B,0),MATCH("IQOONEO10|16+512|ORANGE|SALES",[2]PVKEYIQOO!$1:$1,0)),0)</f>
        <v>0</v>
      </c>
      <c r="G21" s="12" t="str">
        <f t="shared" si="1"/>
        <v/>
      </c>
      <c r="H21" s="10">
        <f>IFERROR(INDEX([2]PV.iQOO!$A:$BL,MATCH($A21,[2]PV.iQOO!$B:$B,0),MATCH("IQOOZ11X|8+256|BLACK|STOCK",[2]PVKEYIQOO!$1:$1,0)),0)</f>
        <v>0</v>
      </c>
      <c r="I21" s="22">
        <f>IFERROR(INDEX([2]PV.iQOO!$A:$BL,MATCH($A21,[2]PV.iQOO!$B:$B,0),MATCH("IQOOZ11X|8+256|BLACK|SALES",[2]PVKEYIQOO!$1:$1,0)),0)</f>
        <v>0</v>
      </c>
      <c r="J21" s="12" t="str">
        <f t="shared" si="2"/>
        <v/>
      </c>
      <c r="K21" s="10">
        <f>IFERROR(INDEX([2]PV.iQOO!$A:$BL,MATCH($A21,[2]PV.iQOO!$B:$B,0),MATCH("IQOOZ11X|8+256|SILVER|STOCK",[2]PVKEYIQOO!$1:$1,0)),0)</f>
        <v>0</v>
      </c>
      <c r="L21" s="22">
        <f>IFERROR(INDEX([2]PV.iQOO!$A:$BL,MATCH($A21,[2]PV.iQOO!$B:$B,0),MATCH("IQOOZ11X|8+256|SILVER|SALES",[2]PVKEYIQOO!$1:$1,0)),0)</f>
        <v>0</v>
      </c>
      <c r="M21" s="12" t="str">
        <f t="shared" si="3"/>
        <v/>
      </c>
      <c r="N21" s="10">
        <f>IFERROR(INDEX([2]PV.iQOO!$A:$BL,MATCH($A21,[2]PV.iQOO!$B:$B,0),MATCH("IQOOZ11|8+256|BLACK|STOCK",[2]PVKEYIQOO!$1:$1,0)),0)</f>
        <v>2</v>
      </c>
      <c r="O21" s="22">
        <f>IFERROR(INDEX([2]PV.iQOO!$A:$BL,MATCH($A21,[2]PV.iQOO!$B:$B,0),MATCH("IQOOZ11|8+256|BLACK|SALES",[2]PVKEYIQOO!$1:$1,0)),0)</f>
        <v>3</v>
      </c>
      <c r="P21" s="12">
        <f t="shared" si="4"/>
        <v>18</v>
      </c>
      <c r="Q21" s="10">
        <f>IFERROR(INDEX([2]PV.iQOO!$A:$BL,MATCH($A21,[2]PV.iQOO!$B:$B,0),MATCH("IQOOZ11|8+256|BLUE|STOCK",[2]PVKEYIQOO!$1:$1,0)),0)</f>
        <v>3</v>
      </c>
      <c r="R21" s="22">
        <f>IFERROR(INDEX([2]PV.iQOO!$A:$BL,MATCH($A21,[2]PV.iQOO!$B:$B,0),MATCH("IQOOZ11|8+256|BLUE|SALES",[2]PVKEYIQOO!$1:$1,0)),0)</f>
        <v>3</v>
      </c>
      <c r="S21" s="12">
        <f t="shared" si="5"/>
        <v>27</v>
      </c>
      <c r="T21" s="10">
        <f>IFERROR(INDEX([2]PV.iQOO!$A:$BL,MATCH($A21,[2]PV.iQOO!$B:$B,0),MATCH("IQOO15|16+512|ALPHA|STOCK",[2]PVKEYIQOO!$1:$1,0)),0)</f>
        <v>0</v>
      </c>
      <c r="U21" s="22">
        <f>IFERROR(INDEX([2]PV.iQOO!$A:$BL,MATCH($A21,[2]PV.iQOO!$B:$B,0),MATCH("IQOO15|16+512|ALPHA|SALES",[2]PVKEYIQOO!$1:$1,0)),0)</f>
        <v>0</v>
      </c>
      <c r="V21" s="12" t="str">
        <f t="shared" si="6"/>
        <v/>
      </c>
      <c r="W21" s="22">
        <f t="shared" si="7"/>
        <v>0</v>
      </c>
      <c r="X21" s="10">
        <f>IFERROR(INDEX([2]PV.iQOO!$A:$BL,MATCH($A21,[2]PV.iQOO!$B:$B,0),MATCH("IQOO15|16+512|LEGEND|STOCK",[2]PVKEYIQOO!$1:$1,0)),0)</f>
        <v>0</v>
      </c>
      <c r="Y21" s="22">
        <f>IFERROR(INDEX([2]PV.iQOO!$A:$BL,MATCH($A21,[2]PV.iQOO!$B:$B,0),MATCH("IQOO15|16+512|LEGEND|SALES",[2]PVKEYIQOO!$1:$1,0)),0)</f>
        <v>0</v>
      </c>
      <c r="Z21" s="12" t="str">
        <f t="shared" si="8"/>
        <v/>
      </c>
      <c r="AA21" s="22">
        <f t="shared" si="9"/>
        <v>0</v>
      </c>
      <c r="AB21" s="10">
        <f>IFERROR(INDEX([2]PV.iQOO!$A:$BL,MATCH($A21,[2]PV.iQOO!$B:$B,0),MATCH("IQOO15|16+1T|LEGEND|STOCK",[2]PVKEYIQOO!$1:$1,0)),0)</f>
        <v>0</v>
      </c>
      <c r="AC21" s="22">
        <f>IFERROR(INDEX([2]PV.iQOO!$A:$BL,MATCH($A21,[2]PV.iQOO!$B:$B,0),MATCH("IQOO15|16+1T|LEGEND|SALES",[2]PVKEYIQOO!$1:$1,0)),0)</f>
        <v>0</v>
      </c>
      <c r="AD21" s="12" t="str">
        <f t="shared" si="10"/>
        <v/>
      </c>
      <c r="AE21" s="22">
        <f t="shared" si="11"/>
        <v>0</v>
      </c>
      <c r="AF21" s="10">
        <f>IFERROR(INDEX([2]PV.iQOO!$A:$BL,MATCH($A21,[2]PV.iQOO!$B:$B,0),MATCH("IQOO15R|12+512|BLACK|STOCK",[2]PVKEYIQOO!$1:$1,0)),0)</f>
        <v>0</v>
      </c>
      <c r="AG21" s="22">
        <f>IFERROR(INDEX([2]PV.iQOO!$A:$BL,MATCH($A21,[2]PV.iQOO!$B:$B,0),MATCH("IQOO15R|12+512|BLACK|SALES",[2]PVKEYIQOO!$1:$1,0)),0)</f>
        <v>0</v>
      </c>
      <c r="AH21" s="12" t="str">
        <f t="shared" si="12"/>
        <v/>
      </c>
      <c r="AI21" s="22">
        <f t="shared" si="13"/>
        <v>0</v>
      </c>
      <c r="AJ21" s="10">
        <f>IFERROR(INDEX([2]PV.iQOO!$A:$BL,MATCH($A21,[2]PV.iQOO!$B:$B,0),MATCH("IQOO15R|12+512|SILVER|STOCK",[2]PVKEYIQOO!$1:$1,0)),0)</f>
        <v>0</v>
      </c>
      <c r="AK21" s="22">
        <f>IFERROR(INDEX([2]PV.iQOO!$A:$BL,MATCH($A21,[2]PV.iQOO!$B:$B,0),MATCH("IQOO15R|12+512|SILVER|SALES",[2]PVKEYIQOO!$1:$1,0)),0)</f>
        <v>0</v>
      </c>
      <c r="AL21" s="12" t="str">
        <f t="shared" si="14"/>
        <v/>
      </c>
      <c r="AM21" s="22">
        <f t="shared" si="15"/>
        <v>0</v>
      </c>
      <c r="AN21" s="10">
        <f>IFERROR(INDEX([2]PV.iQOO!$A:$BL,MATCH($A21,[2]PV.iQOO!$B:$B,0),MATCH("IQOOZ11|12+256|BLACK|STOCK",[2]PVKEYIQOO!$1:$1,0)),0)</f>
        <v>2</v>
      </c>
      <c r="AO21" s="22">
        <f>IFERROR(INDEX([2]PV.iQOO!$A:$BL,MATCH($A21,[2]PV.iQOO!$B:$B,0),MATCH("IQOOZ11|12+256|BLACK|SALES",[2]PVKEYIQOO!$1:$1,0)),0)</f>
        <v>0</v>
      </c>
      <c r="AP21" s="12" t="str">
        <f t="shared" si="16"/>
        <v/>
      </c>
      <c r="AQ21" s="10">
        <f>IFERROR(INDEX([2]PV.iQOO!$A:$BL,MATCH($A21,[2]PV.iQOO!$B:$B,0),MATCH("IQOOZ11|12+256|BLUE|STOCK",[2]PVKEYIQOO!$1:$1,0)),0)</f>
        <v>3</v>
      </c>
      <c r="AR21" s="22">
        <f>IFERROR(INDEX([2]PV.iQOO!$A:$BL,MATCH($A21,[2]PV.iQOO!$B:$B,0),MATCH("IQOOZ11|12+256|BLUE|SALES",[2]PVKEYIQOO!$1:$1,0)),0)</f>
        <v>0</v>
      </c>
      <c r="AS21" s="12" t="str">
        <f t="shared" si="17"/>
        <v/>
      </c>
      <c r="AT21" s="10">
        <f>IFERROR(INDEX([2]PV.iQOO!$A:$BL,MATCH($A21,[2]PV.iQOO!$B:$B,0),MATCH("IQOONEO10|12+256|WHITE|STOCK",[2]PVKEYIQOO!$1:$1,0)),0)</f>
        <v>0</v>
      </c>
      <c r="AU21" s="22">
        <f>IFERROR(INDEX([2]PV.iQOO!$A:$BL,MATCH($A21,[2]PV.iQOO!$B:$B,0),MATCH("IQOONEO10|12+256|WHITE|SALES",[2]PVKEYIQOO!$1:$1,0)),0)</f>
        <v>4</v>
      </c>
      <c r="AV21" s="12">
        <f t="shared" si="19"/>
        <v>0</v>
      </c>
      <c r="AW21" s="10">
        <f>IFERROR(INDEX([2]PV.iQOO!$A:$BL,MATCH($A21,[2]PV.iQOO!$B:$B,0),MATCH("IQOOZ11X|8+128|BLACK|STOCK",[2]PVKEYIQOO!$1:$1,0)),0)</f>
        <v>0</v>
      </c>
      <c r="AX21" s="22">
        <f>IFERROR(INDEX([2]PV.iQOO!$A:$BL,MATCH($A21,[2]PV.iQOO!$B:$B,0),MATCH("IQOOZ11X|8+128|BLACK|SALES",[2]PVKEYIQOO!$1:$1,0)),0)</f>
        <v>5</v>
      </c>
      <c r="AY21" s="12">
        <f t="shared" si="20"/>
        <v>0</v>
      </c>
      <c r="AZ21" s="10">
        <f>IFERROR(INDEX([2]PV.iQOO!$A:$BL,MATCH($A21,[2]PV.iQOO!$B:$B,0),MATCH("IQOOZ11X|8+128|SILVER|STOCK",[2]PVKEYIQOO!$1:$1,0)),0)</f>
        <v>4</v>
      </c>
      <c r="BA21" s="22">
        <f>IFERROR(INDEX([2]PV.iQOO!$A:$BL,MATCH($A21,[2]PV.iQOO!$B:$B,0),MATCH("IQOOZ11X|8+128|SILVER|SALES",[2]PVKEYIQOO!$1:$1,0)),0)</f>
        <v>0</v>
      </c>
      <c r="BB21" s="12" t="str">
        <f t="shared" si="21"/>
        <v/>
      </c>
      <c r="BC21" s="13">
        <f t="shared" si="22"/>
        <v>14</v>
      </c>
      <c r="BD21" s="13">
        <f t="shared" si="22"/>
        <v>15</v>
      </c>
      <c r="BE21" s="13">
        <f t="shared" si="18"/>
        <v>25.2</v>
      </c>
    </row>
    <row r="22" spans="1:57" x14ac:dyDescent="0.2">
      <c r="A22" s="21" t="s">
        <v>40</v>
      </c>
      <c r="B22" s="10">
        <f>IFERROR(INDEX([2]PV.iQOO!$A:$BL,MATCH($A22,[2]PV.iQOO!$B:$B,0),MATCH("IQOONEO10|16+512|BLACK|STOCK",[2]PVKEYIQOO!$1:$1,0)),0)</f>
        <v>0</v>
      </c>
      <c r="C22" s="22">
        <f>IFERROR(INDEX([2]PV.iQOO!$A:$BL,MATCH($A22,[2]PV.iQOO!$B:$B,0),MATCH("IQOONEO10|16+512|BLACK|SALES",[2]PVKEYIQOO!$1:$1,0)),0)</f>
        <v>0</v>
      </c>
      <c r="D22" s="12" t="str">
        <f t="shared" si="0"/>
        <v/>
      </c>
      <c r="E22" s="10">
        <f>IFERROR(INDEX([2]PV.iQOO!$A:$BL,MATCH($A22,[2]PV.iQOO!$B:$B,0),MATCH("IQOONEO10|16+512|ORANGE|STOCK",[2]PVKEYIQOO!$1:$1,0)),0)</f>
        <v>0</v>
      </c>
      <c r="F22" s="22">
        <f>IFERROR(INDEX([2]PV.iQOO!$A:$BL,MATCH($A22,[2]PV.iQOO!$B:$B,0),MATCH("IQOONEO10|16+512|ORANGE|SALES",[2]PVKEYIQOO!$1:$1,0)),0)</f>
        <v>0</v>
      </c>
      <c r="G22" s="12" t="str">
        <f t="shared" si="1"/>
        <v/>
      </c>
      <c r="H22" s="10">
        <f>IFERROR(INDEX([2]PV.iQOO!$A:$BL,MATCH($A22,[2]PV.iQOO!$B:$B,0),MATCH("IQOOZ11X|8+256|BLACK|STOCK",[2]PVKEYIQOO!$1:$1,0)),0)</f>
        <v>1</v>
      </c>
      <c r="I22" s="22">
        <f>IFERROR(INDEX([2]PV.iQOO!$A:$BL,MATCH($A22,[2]PV.iQOO!$B:$B,0),MATCH("IQOOZ11X|8+256|BLACK|SALES",[2]PVKEYIQOO!$1:$1,0)),0)</f>
        <v>0</v>
      </c>
      <c r="J22" s="12" t="str">
        <f t="shared" si="2"/>
        <v/>
      </c>
      <c r="K22" s="10">
        <f>IFERROR(INDEX([2]PV.iQOO!$A:$BL,MATCH($A22,[2]PV.iQOO!$B:$B,0),MATCH("IQOOZ11X|8+256|SILVER|STOCK",[2]PVKEYIQOO!$1:$1,0)),0)</f>
        <v>0</v>
      </c>
      <c r="L22" s="22">
        <f>IFERROR(INDEX([2]PV.iQOO!$A:$BL,MATCH($A22,[2]PV.iQOO!$B:$B,0),MATCH("IQOOZ11X|8+256|SILVER|SALES",[2]PVKEYIQOO!$1:$1,0)),0)</f>
        <v>1</v>
      </c>
      <c r="M22" s="12">
        <f t="shared" si="3"/>
        <v>0</v>
      </c>
      <c r="N22" s="10">
        <f>IFERROR(INDEX([2]PV.iQOO!$A:$BL,MATCH($A22,[2]PV.iQOO!$B:$B,0),MATCH("IQOOZ11|8+256|BLACK|STOCK",[2]PVKEYIQOO!$1:$1,0)),0)</f>
        <v>0</v>
      </c>
      <c r="O22" s="22">
        <f>IFERROR(INDEX([2]PV.iQOO!$A:$BL,MATCH($A22,[2]PV.iQOO!$B:$B,0),MATCH("IQOOZ11|8+256|BLACK|SALES",[2]PVKEYIQOO!$1:$1,0)),0)</f>
        <v>2</v>
      </c>
      <c r="P22" s="12">
        <f t="shared" si="4"/>
        <v>0</v>
      </c>
      <c r="Q22" s="10">
        <f>IFERROR(INDEX([2]PV.iQOO!$A:$BL,MATCH($A22,[2]PV.iQOO!$B:$B,0),MATCH("IQOOZ11|8+256|BLUE|STOCK",[2]PVKEYIQOO!$1:$1,0)),0)</f>
        <v>1</v>
      </c>
      <c r="R22" s="22">
        <f>IFERROR(INDEX([2]PV.iQOO!$A:$BL,MATCH($A22,[2]PV.iQOO!$B:$B,0),MATCH("IQOOZ11|8+256|BLUE|SALES",[2]PVKEYIQOO!$1:$1,0)),0)</f>
        <v>1</v>
      </c>
      <c r="S22" s="12">
        <f t="shared" si="5"/>
        <v>27</v>
      </c>
      <c r="T22" s="10">
        <f>IFERROR(INDEX([2]PV.iQOO!$A:$BL,MATCH($A22,[2]PV.iQOO!$B:$B,0),MATCH("IQOO15|16+512|ALPHA|STOCK",[2]PVKEYIQOO!$1:$1,0)),0)</f>
        <v>0</v>
      </c>
      <c r="U22" s="22">
        <f>IFERROR(INDEX([2]PV.iQOO!$A:$BL,MATCH($A22,[2]PV.iQOO!$B:$B,0),MATCH("IQOO15|16+512|ALPHA|SALES",[2]PVKEYIQOO!$1:$1,0)),0)</f>
        <v>0</v>
      </c>
      <c r="V22" s="12" t="str">
        <f t="shared" si="6"/>
        <v/>
      </c>
      <c r="W22" s="22">
        <f t="shared" si="7"/>
        <v>0</v>
      </c>
      <c r="X22" s="10">
        <f>IFERROR(INDEX([2]PV.iQOO!$A:$BL,MATCH($A22,[2]PV.iQOO!$B:$B,0),MATCH("IQOO15|16+512|LEGEND|STOCK",[2]PVKEYIQOO!$1:$1,0)),0)</f>
        <v>0</v>
      </c>
      <c r="Y22" s="22">
        <f>IFERROR(INDEX([2]PV.iQOO!$A:$BL,MATCH($A22,[2]PV.iQOO!$B:$B,0),MATCH("IQOO15|16+512|LEGEND|SALES",[2]PVKEYIQOO!$1:$1,0)),0)</f>
        <v>0</v>
      </c>
      <c r="Z22" s="12" t="str">
        <f t="shared" si="8"/>
        <v/>
      </c>
      <c r="AA22" s="22">
        <f t="shared" si="9"/>
        <v>0</v>
      </c>
      <c r="AB22" s="10">
        <f>IFERROR(INDEX([2]PV.iQOO!$A:$BL,MATCH($A22,[2]PV.iQOO!$B:$B,0),MATCH("IQOO15|16+1T|LEGEND|STOCK",[2]PVKEYIQOO!$1:$1,0)),0)</f>
        <v>0</v>
      </c>
      <c r="AC22" s="22">
        <f>IFERROR(INDEX([2]PV.iQOO!$A:$BL,MATCH($A22,[2]PV.iQOO!$B:$B,0),MATCH("IQOO15|16+1T|LEGEND|SALES",[2]PVKEYIQOO!$1:$1,0)),0)</f>
        <v>0</v>
      </c>
      <c r="AD22" s="12" t="str">
        <f t="shared" si="10"/>
        <v/>
      </c>
      <c r="AE22" s="22">
        <f t="shared" si="11"/>
        <v>0</v>
      </c>
      <c r="AF22" s="10">
        <f>IFERROR(INDEX([2]PV.iQOO!$A:$BL,MATCH($A22,[2]PV.iQOO!$B:$B,0),MATCH("IQOO15R|12+512|BLACK|STOCK",[2]PVKEYIQOO!$1:$1,0)),0)</f>
        <v>0</v>
      </c>
      <c r="AG22" s="22">
        <f>IFERROR(INDEX([2]PV.iQOO!$A:$BL,MATCH($A22,[2]PV.iQOO!$B:$B,0),MATCH("IQOO15R|12+512|BLACK|SALES",[2]PVKEYIQOO!$1:$1,0)),0)</f>
        <v>0</v>
      </c>
      <c r="AH22" s="12" t="str">
        <f t="shared" si="12"/>
        <v/>
      </c>
      <c r="AI22" s="22">
        <f t="shared" si="13"/>
        <v>0</v>
      </c>
      <c r="AJ22" s="10">
        <f>IFERROR(INDEX([2]PV.iQOO!$A:$BL,MATCH($A22,[2]PV.iQOO!$B:$B,0),MATCH("IQOO15R|12+512|SILVER|STOCK",[2]PVKEYIQOO!$1:$1,0)),0)</f>
        <v>0</v>
      </c>
      <c r="AK22" s="22">
        <f>IFERROR(INDEX([2]PV.iQOO!$A:$BL,MATCH($A22,[2]PV.iQOO!$B:$B,0),MATCH("IQOO15R|12+512|SILVER|SALES",[2]PVKEYIQOO!$1:$1,0)),0)</f>
        <v>0</v>
      </c>
      <c r="AL22" s="12" t="str">
        <f t="shared" si="14"/>
        <v/>
      </c>
      <c r="AM22" s="22">
        <f t="shared" si="15"/>
        <v>0</v>
      </c>
      <c r="AN22" s="10">
        <f>IFERROR(INDEX([2]PV.iQOO!$A:$BL,MATCH($A22,[2]PV.iQOO!$B:$B,0),MATCH("IQOOZ11|12+256|BLACK|STOCK",[2]PVKEYIQOO!$1:$1,0)),0)</f>
        <v>0</v>
      </c>
      <c r="AO22" s="22">
        <f>IFERROR(INDEX([2]PV.iQOO!$A:$BL,MATCH($A22,[2]PV.iQOO!$B:$B,0),MATCH("IQOOZ11|12+256|BLACK|SALES",[2]PVKEYIQOO!$1:$1,0)),0)</f>
        <v>1</v>
      </c>
      <c r="AP22" s="12">
        <f t="shared" si="16"/>
        <v>0</v>
      </c>
      <c r="AQ22" s="10">
        <f>IFERROR(INDEX([2]PV.iQOO!$A:$BL,MATCH($A22,[2]PV.iQOO!$B:$B,0),MATCH("IQOOZ11|12+256|BLUE|STOCK",[2]PVKEYIQOO!$1:$1,0)),0)</f>
        <v>0</v>
      </c>
      <c r="AR22" s="22">
        <f>IFERROR(INDEX([2]PV.iQOO!$A:$BL,MATCH($A22,[2]PV.iQOO!$B:$B,0),MATCH("IQOOZ11|12+256|BLUE|SALES",[2]PVKEYIQOO!$1:$1,0)),0)</f>
        <v>1</v>
      </c>
      <c r="AS22" s="12">
        <f t="shared" si="17"/>
        <v>0</v>
      </c>
      <c r="AT22" s="10">
        <f>IFERROR(INDEX([2]PV.iQOO!$A:$BL,MATCH($A22,[2]PV.iQOO!$B:$B,0),MATCH("IQOONEO10|12+256|WHITE|STOCK",[2]PVKEYIQOO!$1:$1,0)),0)</f>
        <v>0</v>
      </c>
      <c r="AU22" s="22">
        <f>IFERROR(INDEX([2]PV.iQOO!$A:$BL,MATCH($A22,[2]PV.iQOO!$B:$B,0),MATCH("IQOONEO10|12+256|WHITE|SALES",[2]PVKEYIQOO!$1:$1,0)),0)</f>
        <v>2</v>
      </c>
      <c r="AV22" s="12">
        <f t="shared" si="19"/>
        <v>0</v>
      </c>
      <c r="AW22" s="10">
        <f>IFERROR(INDEX([2]PV.iQOO!$A:$BL,MATCH($A22,[2]PV.iQOO!$B:$B,0),MATCH("IQOOZ11X|8+128|BLACK|STOCK",[2]PVKEYIQOO!$1:$1,0)),0)</f>
        <v>1</v>
      </c>
      <c r="AX22" s="22">
        <f>IFERROR(INDEX([2]PV.iQOO!$A:$BL,MATCH($A22,[2]PV.iQOO!$B:$B,0),MATCH("IQOOZ11X|8+128|BLACK|SALES",[2]PVKEYIQOO!$1:$1,0)),0)</f>
        <v>1</v>
      </c>
      <c r="AY22" s="12">
        <f t="shared" si="20"/>
        <v>27</v>
      </c>
      <c r="AZ22" s="10">
        <f>IFERROR(INDEX([2]PV.iQOO!$A:$BL,MATCH($A22,[2]PV.iQOO!$B:$B,0),MATCH("IQOOZ11X|8+128|SILVER|STOCK",[2]PVKEYIQOO!$1:$1,0)),0)</f>
        <v>2</v>
      </c>
      <c r="BA22" s="22">
        <f>IFERROR(INDEX([2]PV.iQOO!$A:$BL,MATCH($A22,[2]PV.iQOO!$B:$B,0),MATCH("IQOOZ11X|8+128|SILVER|SALES",[2]PVKEYIQOO!$1:$1,0)),0)</f>
        <v>0</v>
      </c>
      <c r="BB22" s="12" t="str">
        <f t="shared" si="21"/>
        <v/>
      </c>
      <c r="BC22" s="13">
        <f t="shared" si="22"/>
        <v>5</v>
      </c>
      <c r="BD22" s="13">
        <f t="shared" si="22"/>
        <v>9</v>
      </c>
      <c r="BE22" s="13">
        <f t="shared" si="18"/>
        <v>15</v>
      </c>
    </row>
    <row r="23" spans="1:57" x14ac:dyDescent="0.2">
      <c r="A23" s="21" t="s">
        <v>41</v>
      </c>
      <c r="B23" s="10">
        <f>IFERROR(INDEX([2]PV.iQOO!$A:$BL,MATCH($A23,[2]PV.iQOO!$B:$B,0),MATCH("IQOONEO10|16+512|BLACK|STOCK",[2]PVKEYIQOO!$1:$1,0)),0)</f>
        <v>0</v>
      </c>
      <c r="C23" s="22">
        <f>IFERROR(INDEX([2]PV.iQOO!$A:$BL,MATCH($A23,[2]PV.iQOO!$B:$B,0),MATCH("IQOONEO10|16+512|BLACK|SALES",[2]PVKEYIQOO!$1:$1,0)),0)</f>
        <v>0</v>
      </c>
      <c r="D23" s="12" t="str">
        <f t="shared" si="0"/>
        <v/>
      </c>
      <c r="E23" s="10">
        <f>IFERROR(INDEX([2]PV.iQOO!$A:$BL,MATCH($A23,[2]PV.iQOO!$B:$B,0),MATCH("IQOONEO10|16+512|ORANGE|STOCK",[2]PVKEYIQOO!$1:$1,0)),0)</f>
        <v>0</v>
      </c>
      <c r="F23" s="22">
        <f>IFERROR(INDEX([2]PV.iQOO!$A:$BL,MATCH($A23,[2]PV.iQOO!$B:$B,0),MATCH("IQOONEO10|16+512|ORANGE|SALES",[2]PVKEYIQOO!$1:$1,0)),0)</f>
        <v>0</v>
      </c>
      <c r="G23" s="12" t="str">
        <f t="shared" si="1"/>
        <v/>
      </c>
      <c r="H23" s="10">
        <f>IFERROR(INDEX([2]PV.iQOO!$A:$BL,MATCH($A23,[2]PV.iQOO!$B:$B,0),MATCH("IQOOZ11X|8+256|BLACK|STOCK",[2]PVKEYIQOO!$1:$1,0)),0)</f>
        <v>0</v>
      </c>
      <c r="I23" s="22">
        <f>IFERROR(INDEX([2]PV.iQOO!$A:$BL,MATCH($A23,[2]PV.iQOO!$B:$B,0),MATCH("IQOOZ11X|8+256|BLACK|SALES",[2]PVKEYIQOO!$1:$1,0)),0)</f>
        <v>1</v>
      </c>
      <c r="J23" s="12">
        <f t="shared" si="2"/>
        <v>0</v>
      </c>
      <c r="K23" s="10">
        <f>IFERROR(INDEX([2]PV.iQOO!$A:$BL,MATCH($A23,[2]PV.iQOO!$B:$B,0),MATCH("IQOOZ11X|8+256|SILVER|STOCK",[2]PVKEYIQOO!$1:$1,0)),0)</f>
        <v>0</v>
      </c>
      <c r="L23" s="22">
        <f>IFERROR(INDEX([2]PV.iQOO!$A:$BL,MATCH($A23,[2]PV.iQOO!$B:$B,0),MATCH("IQOOZ11X|8+256|SILVER|SALES",[2]PVKEYIQOO!$1:$1,0)),0)</f>
        <v>0</v>
      </c>
      <c r="M23" s="12" t="str">
        <f t="shared" si="3"/>
        <v/>
      </c>
      <c r="N23" s="10">
        <f>IFERROR(INDEX([2]PV.iQOO!$A:$BL,MATCH($A23,[2]PV.iQOO!$B:$B,0),MATCH("IQOOZ11|8+256|BLACK|STOCK",[2]PVKEYIQOO!$1:$1,0)),0)</f>
        <v>2</v>
      </c>
      <c r="O23" s="22">
        <f>IFERROR(INDEX([2]PV.iQOO!$A:$BL,MATCH($A23,[2]PV.iQOO!$B:$B,0),MATCH("IQOOZ11|8+256|BLACK|SALES",[2]PVKEYIQOO!$1:$1,0)),0)</f>
        <v>0</v>
      </c>
      <c r="P23" s="12" t="str">
        <f t="shared" si="4"/>
        <v/>
      </c>
      <c r="Q23" s="10">
        <f>IFERROR(INDEX([2]PV.iQOO!$A:$BL,MATCH($A23,[2]PV.iQOO!$B:$B,0),MATCH("IQOOZ11|8+256|BLUE|STOCK",[2]PVKEYIQOO!$1:$1,0)),0)</f>
        <v>0</v>
      </c>
      <c r="R23" s="22">
        <f>IFERROR(INDEX([2]PV.iQOO!$A:$BL,MATCH($A23,[2]PV.iQOO!$B:$B,0),MATCH("IQOOZ11|8+256|BLUE|SALES",[2]PVKEYIQOO!$1:$1,0)),0)</f>
        <v>1</v>
      </c>
      <c r="S23" s="12">
        <f t="shared" si="5"/>
        <v>0</v>
      </c>
      <c r="T23" s="10">
        <f>IFERROR(INDEX([2]PV.iQOO!$A:$BL,MATCH($A23,[2]PV.iQOO!$B:$B,0),MATCH("IQOO15|16+512|ALPHA|STOCK",[2]PVKEYIQOO!$1:$1,0)),0)</f>
        <v>0</v>
      </c>
      <c r="U23" s="22">
        <f>IFERROR(INDEX([2]PV.iQOO!$A:$BL,MATCH($A23,[2]PV.iQOO!$B:$B,0),MATCH("IQOO15|16+512|ALPHA|SALES",[2]PVKEYIQOO!$1:$1,0)),0)</f>
        <v>0</v>
      </c>
      <c r="V23" s="12" t="str">
        <f t="shared" si="6"/>
        <v/>
      </c>
      <c r="W23" s="22">
        <f t="shared" si="7"/>
        <v>0</v>
      </c>
      <c r="X23" s="10">
        <f>IFERROR(INDEX([2]PV.iQOO!$A:$BL,MATCH($A23,[2]PV.iQOO!$B:$B,0),MATCH("IQOO15|16+512|LEGEND|STOCK",[2]PVKEYIQOO!$1:$1,0)),0)</f>
        <v>0</v>
      </c>
      <c r="Y23" s="22">
        <f>IFERROR(INDEX([2]PV.iQOO!$A:$BL,MATCH($A23,[2]PV.iQOO!$B:$B,0),MATCH("IQOO15|16+512|LEGEND|SALES",[2]PVKEYIQOO!$1:$1,0)),0)</f>
        <v>0</v>
      </c>
      <c r="Z23" s="12" t="str">
        <f t="shared" si="8"/>
        <v/>
      </c>
      <c r="AA23" s="22">
        <f t="shared" si="9"/>
        <v>0</v>
      </c>
      <c r="AB23" s="10">
        <f>IFERROR(INDEX([2]PV.iQOO!$A:$BL,MATCH($A23,[2]PV.iQOO!$B:$B,0),MATCH("IQOO15|16+1T|LEGEND|STOCK",[2]PVKEYIQOO!$1:$1,0)),0)</f>
        <v>0</v>
      </c>
      <c r="AC23" s="22">
        <f>IFERROR(INDEX([2]PV.iQOO!$A:$BL,MATCH($A23,[2]PV.iQOO!$B:$B,0),MATCH("IQOO15|16+1T|LEGEND|SALES",[2]PVKEYIQOO!$1:$1,0)),0)</f>
        <v>0</v>
      </c>
      <c r="AD23" s="12" t="str">
        <f t="shared" si="10"/>
        <v/>
      </c>
      <c r="AE23" s="22">
        <f t="shared" si="11"/>
        <v>0</v>
      </c>
      <c r="AF23" s="10">
        <f>IFERROR(INDEX([2]PV.iQOO!$A:$BL,MATCH($A23,[2]PV.iQOO!$B:$B,0),MATCH("IQOO15R|12+512|BLACK|STOCK",[2]PVKEYIQOO!$1:$1,0)),0)</f>
        <v>0</v>
      </c>
      <c r="AG23" s="22">
        <f>IFERROR(INDEX([2]PV.iQOO!$A:$BL,MATCH($A23,[2]PV.iQOO!$B:$B,0),MATCH("IQOO15R|12+512|BLACK|SALES",[2]PVKEYIQOO!$1:$1,0)),0)</f>
        <v>0</v>
      </c>
      <c r="AH23" s="12" t="str">
        <f t="shared" si="12"/>
        <v/>
      </c>
      <c r="AI23" s="22">
        <f t="shared" si="13"/>
        <v>0</v>
      </c>
      <c r="AJ23" s="10">
        <f>IFERROR(INDEX([2]PV.iQOO!$A:$BL,MATCH($A23,[2]PV.iQOO!$B:$B,0),MATCH("IQOO15R|12+512|SILVER|STOCK",[2]PVKEYIQOO!$1:$1,0)),0)</f>
        <v>0</v>
      </c>
      <c r="AK23" s="22">
        <f>IFERROR(INDEX([2]PV.iQOO!$A:$BL,MATCH($A23,[2]PV.iQOO!$B:$B,0),MATCH("IQOO15R|12+512|SILVER|SALES",[2]PVKEYIQOO!$1:$1,0)),0)</f>
        <v>0</v>
      </c>
      <c r="AL23" s="12" t="str">
        <f t="shared" si="14"/>
        <v/>
      </c>
      <c r="AM23" s="22">
        <f t="shared" si="15"/>
        <v>0</v>
      </c>
      <c r="AN23" s="10">
        <f>IFERROR(INDEX([2]PV.iQOO!$A:$BL,MATCH($A23,[2]PV.iQOO!$B:$B,0),MATCH("IQOOZ11|12+256|BLACK|STOCK",[2]PVKEYIQOO!$1:$1,0)),0)</f>
        <v>0</v>
      </c>
      <c r="AO23" s="22">
        <f>IFERROR(INDEX([2]PV.iQOO!$A:$BL,MATCH($A23,[2]PV.iQOO!$B:$B,0),MATCH("IQOOZ11|12+256|BLACK|SALES",[2]PVKEYIQOO!$1:$1,0)),0)</f>
        <v>0</v>
      </c>
      <c r="AP23" s="12" t="str">
        <f t="shared" si="16"/>
        <v/>
      </c>
      <c r="AQ23" s="10">
        <f>IFERROR(INDEX([2]PV.iQOO!$A:$BL,MATCH($A23,[2]PV.iQOO!$B:$B,0),MATCH("IQOOZ11|12+256|BLUE|STOCK",[2]PVKEYIQOO!$1:$1,0)),0)</f>
        <v>0</v>
      </c>
      <c r="AR23" s="22">
        <f>IFERROR(INDEX([2]PV.iQOO!$A:$BL,MATCH($A23,[2]PV.iQOO!$B:$B,0),MATCH("IQOOZ11|12+256|BLUE|SALES",[2]PVKEYIQOO!$1:$1,0)),0)</f>
        <v>1</v>
      </c>
      <c r="AS23" s="12">
        <f t="shared" si="17"/>
        <v>0</v>
      </c>
      <c r="AT23" s="10">
        <f>IFERROR(INDEX([2]PV.iQOO!$A:$BL,MATCH($A23,[2]PV.iQOO!$B:$B,0),MATCH("IQOONEO10|12+256|WHITE|STOCK",[2]PVKEYIQOO!$1:$1,0)),0)</f>
        <v>1</v>
      </c>
      <c r="AU23" s="22">
        <f>IFERROR(INDEX([2]PV.iQOO!$A:$BL,MATCH($A23,[2]PV.iQOO!$B:$B,0),MATCH("IQOONEO10|12+256|WHITE|SALES",[2]PVKEYIQOO!$1:$1,0)),0)</f>
        <v>2</v>
      </c>
      <c r="AV23" s="12">
        <f t="shared" si="19"/>
        <v>13.5</v>
      </c>
      <c r="AW23" s="10">
        <f>IFERROR(INDEX([2]PV.iQOO!$A:$BL,MATCH($A23,[2]PV.iQOO!$B:$B,0),MATCH("IQOOZ11X|8+128|BLACK|STOCK",[2]PVKEYIQOO!$1:$1,0)),0)</f>
        <v>1</v>
      </c>
      <c r="AX23" s="22">
        <f>IFERROR(INDEX([2]PV.iQOO!$A:$BL,MATCH($A23,[2]PV.iQOO!$B:$B,0),MATCH("IQOOZ11X|8+128|BLACK|SALES",[2]PVKEYIQOO!$1:$1,0)),0)</f>
        <v>0</v>
      </c>
      <c r="AY23" s="12" t="str">
        <f t="shared" si="20"/>
        <v/>
      </c>
      <c r="AZ23" s="10">
        <f>IFERROR(INDEX([2]PV.iQOO!$A:$BL,MATCH($A23,[2]PV.iQOO!$B:$B,0),MATCH("IQOOZ11X|8+128|SILVER|STOCK",[2]PVKEYIQOO!$1:$1,0)),0)</f>
        <v>1</v>
      </c>
      <c r="BA23" s="22">
        <f>IFERROR(INDEX([2]PV.iQOO!$A:$BL,MATCH($A23,[2]PV.iQOO!$B:$B,0),MATCH("IQOOZ11X|8+128|SILVER|SALES",[2]PVKEYIQOO!$1:$1,0)),0)</f>
        <v>0</v>
      </c>
      <c r="BB23" s="12" t="str">
        <f t="shared" si="21"/>
        <v/>
      </c>
      <c r="BC23" s="13">
        <f t="shared" si="22"/>
        <v>5</v>
      </c>
      <c r="BD23" s="13">
        <f t="shared" si="22"/>
        <v>5</v>
      </c>
      <c r="BE23" s="13">
        <f t="shared" si="18"/>
        <v>27</v>
      </c>
    </row>
    <row r="24" spans="1:57" x14ac:dyDescent="0.2">
      <c r="A24" s="23" t="s">
        <v>42</v>
      </c>
      <c r="B24" s="10">
        <f>IFERROR(INDEX([2]PV.iQOO!$A:$BL,MATCH($A24,[2]PV.iQOO!$B:$B,0),MATCH("IQOONEO10|16+512|BLACK|STOCK",[2]PVKEYIQOO!$1:$1,0)),0)</f>
        <v>0</v>
      </c>
      <c r="C24" s="22">
        <f>IFERROR(INDEX([2]PV.iQOO!$A:$BL,MATCH($A24,[2]PV.iQOO!$B:$B,0),MATCH("IQOONEO10|16+512|BLACK|SALES",[2]PVKEYIQOO!$1:$1,0)),0)</f>
        <v>0</v>
      </c>
      <c r="D24" s="12" t="str">
        <f t="shared" si="0"/>
        <v/>
      </c>
      <c r="E24" s="10">
        <f>IFERROR(INDEX([2]PV.iQOO!$A:$BL,MATCH($A24,[2]PV.iQOO!$B:$B,0),MATCH("IQOONEO10|16+512|ORANGE|STOCK",[2]PVKEYIQOO!$1:$1,0)),0)</f>
        <v>0</v>
      </c>
      <c r="F24" s="22">
        <f>IFERROR(INDEX([2]PV.iQOO!$A:$BL,MATCH($A24,[2]PV.iQOO!$B:$B,0),MATCH("IQOONEO10|16+512|ORANGE|SALES",[2]PVKEYIQOO!$1:$1,0)),0)</f>
        <v>0</v>
      </c>
      <c r="G24" s="12" t="str">
        <f t="shared" si="1"/>
        <v/>
      </c>
      <c r="H24" s="10">
        <f>IFERROR(INDEX([2]PV.iQOO!$A:$BL,MATCH($A24,[2]PV.iQOO!$B:$B,0),MATCH("IQOOZ11X|8+256|BLACK|STOCK",[2]PVKEYIQOO!$1:$1,0)),0)</f>
        <v>0</v>
      </c>
      <c r="I24" s="22">
        <f>IFERROR(INDEX([2]PV.iQOO!$A:$BL,MATCH($A24,[2]PV.iQOO!$B:$B,0),MATCH("IQOOZ11X|8+256|BLACK|SALES",[2]PVKEYIQOO!$1:$1,0)),0)</f>
        <v>0</v>
      </c>
      <c r="J24" s="12" t="str">
        <f t="shared" si="2"/>
        <v/>
      </c>
      <c r="K24" s="10">
        <f>IFERROR(INDEX([2]PV.iQOO!$A:$BL,MATCH($A24,[2]PV.iQOO!$B:$B,0),MATCH("IQOOZ11X|8+256|SILVER|STOCK",[2]PVKEYIQOO!$1:$1,0)),0)</f>
        <v>0</v>
      </c>
      <c r="L24" s="22">
        <f>IFERROR(INDEX([2]PV.iQOO!$A:$BL,MATCH($A24,[2]PV.iQOO!$B:$B,0),MATCH("IQOOZ11X|8+256|SILVER|SALES",[2]PVKEYIQOO!$1:$1,0)),0)</f>
        <v>1</v>
      </c>
      <c r="M24" s="12">
        <f t="shared" si="3"/>
        <v>0</v>
      </c>
      <c r="N24" s="10">
        <f>IFERROR(INDEX([2]PV.iQOO!$A:$BL,MATCH($A24,[2]PV.iQOO!$B:$B,0),MATCH("IQOOZ11|8+256|BLACK|STOCK",[2]PVKEYIQOO!$1:$1,0)),0)</f>
        <v>2</v>
      </c>
      <c r="O24" s="22">
        <f>IFERROR(INDEX([2]PV.iQOO!$A:$BL,MATCH($A24,[2]PV.iQOO!$B:$B,0),MATCH("IQOOZ11|8+256|BLACK|SALES",[2]PVKEYIQOO!$1:$1,0)),0)</f>
        <v>4</v>
      </c>
      <c r="P24" s="12">
        <f t="shared" si="4"/>
        <v>13.5</v>
      </c>
      <c r="Q24" s="10">
        <f>IFERROR(INDEX([2]PV.iQOO!$A:$BL,MATCH($A24,[2]PV.iQOO!$B:$B,0),MATCH("IQOOZ11|8+256|BLUE|STOCK",[2]PVKEYIQOO!$1:$1,0)),0)</f>
        <v>3</v>
      </c>
      <c r="R24" s="22">
        <f>IFERROR(INDEX([2]PV.iQOO!$A:$BL,MATCH($A24,[2]PV.iQOO!$B:$B,0),MATCH("IQOOZ11|8+256|BLUE|SALES",[2]PVKEYIQOO!$1:$1,0)),0)</f>
        <v>3</v>
      </c>
      <c r="S24" s="12">
        <f t="shared" si="5"/>
        <v>27</v>
      </c>
      <c r="T24" s="10">
        <f>IFERROR(INDEX([2]PV.iQOO!$A:$BL,MATCH($A24,[2]PV.iQOO!$B:$B,0),MATCH("IQOO15|16+512|ALPHA|STOCK",[2]PVKEYIQOO!$1:$1,0)),0)</f>
        <v>0</v>
      </c>
      <c r="U24" s="22">
        <f>IFERROR(INDEX([2]PV.iQOO!$A:$BL,MATCH($A24,[2]PV.iQOO!$B:$B,0),MATCH("IQOO15|16+512|ALPHA|SALES",[2]PVKEYIQOO!$1:$1,0)),0)</f>
        <v>0</v>
      </c>
      <c r="V24" s="12" t="str">
        <f t="shared" si="6"/>
        <v/>
      </c>
      <c r="W24" s="22">
        <f t="shared" si="7"/>
        <v>0</v>
      </c>
      <c r="X24" s="10">
        <f>IFERROR(INDEX([2]PV.iQOO!$A:$BL,MATCH($A24,[2]PV.iQOO!$B:$B,0),MATCH("IQOO15|16+512|LEGEND|STOCK",[2]PVKEYIQOO!$1:$1,0)),0)</f>
        <v>0</v>
      </c>
      <c r="Y24" s="22">
        <f>IFERROR(INDEX([2]PV.iQOO!$A:$BL,MATCH($A24,[2]PV.iQOO!$B:$B,0),MATCH("IQOO15|16+512|LEGEND|SALES",[2]PVKEYIQOO!$1:$1,0)),0)</f>
        <v>0</v>
      </c>
      <c r="Z24" s="12" t="str">
        <f t="shared" si="8"/>
        <v/>
      </c>
      <c r="AA24" s="22">
        <f t="shared" si="9"/>
        <v>0</v>
      </c>
      <c r="AB24" s="10">
        <f>IFERROR(INDEX([2]PV.iQOO!$A:$BL,MATCH($A24,[2]PV.iQOO!$B:$B,0),MATCH("IQOO15|16+1T|LEGEND|STOCK",[2]PVKEYIQOO!$1:$1,0)),0)</f>
        <v>0</v>
      </c>
      <c r="AC24" s="22">
        <f>IFERROR(INDEX([2]PV.iQOO!$A:$BL,MATCH($A24,[2]PV.iQOO!$B:$B,0),MATCH("IQOO15|16+1T|LEGEND|SALES",[2]PVKEYIQOO!$1:$1,0)),0)</f>
        <v>0</v>
      </c>
      <c r="AD24" s="12" t="str">
        <f t="shared" si="10"/>
        <v/>
      </c>
      <c r="AE24" s="22">
        <f t="shared" si="11"/>
        <v>0</v>
      </c>
      <c r="AF24" s="10">
        <f>IFERROR(INDEX([2]PV.iQOO!$A:$BL,MATCH($A24,[2]PV.iQOO!$B:$B,0),MATCH("IQOO15R|12+512|BLACK|STOCK",[2]PVKEYIQOO!$1:$1,0)),0)</f>
        <v>0</v>
      </c>
      <c r="AG24" s="22">
        <f>IFERROR(INDEX([2]PV.iQOO!$A:$BL,MATCH($A24,[2]PV.iQOO!$B:$B,0),MATCH("IQOO15R|12+512|BLACK|SALES",[2]PVKEYIQOO!$1:$1,0)),0)</f>
        <v>0</v>
      </c>
      <c r="AH24" s="12" t="str">
        <f t="shared" si="12"/>
        <v/>
      </c>
      <c r="AI24" s="22">
        <f t="shared" si="13"/>
        <v>0</v>
      </c>
      <c r="AJ24" s="10">
        <f>IFERROR(INDEX([2]PV.iQOO!$A:$BL,MATCH($A24,[2]PV.iQOO!$B:$B,0),MATCH("IQOO15R|12+512|SILVER|STOCK",[2]PVKEYIQOO!$1:$1,0)),0)</f>
        <v>0</v>
      </c>
      <c r="AK24" s="22">
        <f>IFERROR(INDEX([2]PV.iQOO!$A:$BL,MATCH($A24,[2]PV.iQOO!$B:$B,0),MATCH("IQOO15R|12+512|SILVER|SALES",[2]PVKEYIQOO!$1:$1,0)),0)</f>
        <v>0</v>
      </c>
      <c r="AL24" s="12" t="str">
        <f t="shared" si="14"/>
        <v/>
      </c>
      <c r="AM24" s="22">
        <f t="shared" si="15"/>
        <v>0</v>
      </c>
      <c r="AN24" s="10">
        <f>IFERROR(INDEX([2]PV.iQOO!$A:$BL,MATCH($A24,[2]PV.iQOO!$B:$B,0),MATCH("IQOOZ11|12+256|BLACK|STOCK",[2]PVKEYIQOO!$1:$1,0)),0)</f>
        <v>1</v>
      </c>
      <c r="AO24" s="22">
        <f>IFERROR(INDEX([2]PV.iQOO!$A:$BL,MATCH($A24,[2]PV.iQOO!$B:$B,0),MATCH("IQOOZ11|12+256|BLACK|SALES",[2]PVKEYIQOO!$1:$1,0)),0)</f>
        <v>3</v>
      </c>
      <c r="AP24" s="12">
        <f t="shared" si="16"/>
        <v>9</v>
      </c>
      <c r="AQ24" s="10">
        <f>IFERROR(INDEX([2]PV.iQOO!$A:$BL,MATCH($A24,[2]PV.iQOO!$B:$B,0),MATCH("IQOOZ11|12+256|BLUE|STOCK",[2]PVKEYIQOO!$1:$1,0)),0)</f>
        <v>3</v>
      </c>
      <c r="AR24" s="22">
        <f>IFERROR(INDEX([2]PV.iQOO!$A:$BL,MATCH($A24,[2]PV.iQOO!$B:$B,0),MATCH("IQOOZ11|12+256|BLUE|SALES",[2]PVKEYIQOO!$1:$1,0)),0)</f>
        <v>0</v>
      </c>
      <c r="AS24" s="12" t="str">
        <f t="shared" si="17"/>
        <v/>
      </c>
      <c r="AT24" s="10">
        <f>IFERROR(INDEX([2]PV.iQOO!$A:$BL,MATCH($A24,[2]PV.iQOO!$B:$B,0),MATCH("IQOONEO10|12+256|WHITE|STOCK",[2]PVKEYIQOO!$1:$1,0)),0)</f>
        <v>4</v>
      </c>
      <c r="AU24" s="22">
        <f>IFERROR(INDEX([2]PV.iQOO!$A:$BL,MATCH($A24,[2]PV.iQOO!$B:$B,0),MATCH("IQOONEO10|12+256|WHITE|SALES",[2]PVKEYIQOO!$1:$1,0)),0)</f>
        <v>0</v>
      </c>
      <c r="AV24" s="12" t="str">
        <f t="shared" si="19"/>
        <v/>
      </c>
      <c r="AW24" s="10">
        <f>IFERROR(INDEX([2]PV.iQOO!$A:$BL,MATCH($A24,[2]PV.iQOO!$B:$B,0),MATCH("IQOOZ11X|8+128|BLACK|STOCK",[2]PVKEYIQOO!$1:$1,0)),0)</f>
        <v>0</v>
      </c>
      <c r="AX24" s="22">
        <f>IFERROR(INDEX([2]PV.iQOO!$A:$BL,MATCH($A24,[2]PV.iQOO!$B:$B,0),MATCH("IQOOZ11X|8+128|BLACK|SALES",[2]PVKEYIQOO!$1:$1,0)),0)</f>
        <v>5</v>
      </c>
      <c r="AY24" s="12">
        <f t="shared" si="20"/>
        <v>0</v>
      </c>
      <c r="AZ24" s="10">
        <f>IFERROR(INDEX([2]PV.iQOO!$A:$BL,MATCH($A24,[2]PV.iQOO!$B:$B,0),MATCH("IQOOZ11X|8+128|SILVER|STOCK",[2]PVKEYIQOO!$1:$1,0)),0)</f>
        <v>1</v>
      </c>
      <c r="BA24" s="22">
        <f>IFERROR(INDEX([2]PV.iQOO!$A:$BL,MATCH($A24,[2]PV.iQOO!$B:$B,0),MATCH("IQOOZ11X|8+128|SILVER|SALES",[2]PVKEYIQOO!$1:$1,0)),0)</f>
        <v>5</v>
      </c>
      <c r="BB24" s="12">
        <f t="shared" si="21"/>
        <v>5.4</v>
      </c>
      <c r="BC24" s="13">
        <f t="shared" si="22"/>
        <v>14</v>
      </c>
      <c r="BD24" s="13">
        <f t="shared" si="22"/>
        <v>21</v>
      </c>
      <c r="BE24" s="13">
        <f t="shared" si="18"/>
        <v>18</v>
      </c>
    </row>
    <row r="25" spans="1:57" x14ac:dyDescent="0.2">
      <c r="A25" s="21" t="s">
        <v>43</v>
      </c>
      <c r="B25" s="10">
        <f>IFERROR(INDEX([2]PV.iQOO!$A:$BL,MATCH($A25,[2]PV.iQOO!$B:$B,0),MATCH("IQOONEO10|16+512|BLACK|STOCK",[2]PVKEYIQOO!$1:$1,0)),0)</f>
        <v>0</v>
      </c>
      <c r="C25" s="22">
        <f>IFERROR(INDEX([2]PV.iQOO!$A:$BL,MATCH($A25,[2]PV.iQOO!$B:$B,0),MATCH("IQOONEO10|16+512|BLACK|SALES",[2]PVKEYIQOO!$1:$1,0)),0)</f>
        <v>0</v>
      </c>
      <c r="D25" s="12" t="str">
        <f t="shared" si="0"/>
        <v/>
      </c>
      <c r="E25" s="10">
        <f>IFERROR(INDEX([2]PV.iQOO!$A:$BL,MATCH($A25,[2]PV.iQOO!$B:$B,0),MATCH("IQOONEO10|16+512|ORANGE|STOCK",[2]PVKEYIQOO!$1:$1,0)),0)</f>
        <v>0</v>
      </c>
      <c r="F25" s="22">
        <f>IFERROR(INDEX([2]PV.iQOO!$A:$BL,MATCH($A25,[2]PV.iQOO!$B:$B,0),MATCH("IQOONEO10|16+512|ORANGE|SALES",[2]PVKEYIQOO!$1:$1,0)),0)</f>
        <v>0</v>
      </c>
      <c r="G25" s="12" t="str">
        <f t="shared" si="1"/>
        <v/>
      </c>
      <c r="H25" s="10">
        <f>IFERROR(INDEX([2]PV.iQOO!$A:$BL,MATCH($A25,[2]PV.iQOO!$B:$B,0),MATCH("IQOOZ11X|8+256|BLACK|STOCK",[2]PVKEYIQOO!$1:$1,0)),0)</f>
        <v>0</v>
      </c>
      <c r="I25" s="22">
        <f>IFERROR(INDEX([2]PV.iQOO!$A:$BL,MATCH($A25,[2]PV.iQOO!$B:$B,0),MATCH("IQOOZ11X|8+256|BLACK|SALES",[2]PVKEYIQOO!$1:$1,0)),0)</f>
        <v>0</v>
      </c>
      <c r="J25" s="12" t="str">
        <f t="shared" si="2"/>
        <v/>
      </c>
      <c r="K25" s="10">
        <f>IFERROR(INDEX([2]PV.iQOO!$A:$BL,MATCH($A25,[2]PV.iQOO!$B:$B,0),MATCH("IQOOZ11X|8+256|SILVER|STOCK",[2]PVKEYIQOO!$1:$1,0)),0)</f>
        <v>0</v>
      </c>
      <c r="L25" s="22">
        <f>IFERROR(INDEX([2]PV.iQOO!$A:$BL,MATCH($A25,[2]PV.iQOO!$B:$B,0),MATCH("IQOOZ11X|8+256|SILVER|SALES",[2]PVKEYIQOO!$1:$1,0)),0)</f>
        <v>0</v>
      </c>
      <c r="M25" s="12" t="str">
        <f t="shared" si="3"/>
        <v/>
      </c>
      <c r="N25" s="10">
        <f>IFERROR(INDEX([2]PV.iQOO!$A:$BL,MATCH($A25,[2]PV.iQOO!$B:$B,0),MATCH("IQOOZ11|8+256|BLACK|STOCK",[2]PVKEYIQOO!$1:$1,0)),0)</f>
        <v>2</v>
      </c>
      <c r="O25" s="22">
        <f>IFERROR(INDEX([2]PV.iQOO!$A:$BL,MATCH($A25,[2]PV.iQOO!$B:$B,0),MATCH("IQOOZ11|8+256|BLACK|SALES",[2]PVKEYIQOO!$1:$1,0)),0)</f>
        <v>2</v>
      </c>
      <c r="P25" s="12">
        <f t="shared" si="4"/>
        <v>27</v>
      </c>
      <c r="Q25" s="10">
        <f>IFERROR(INDEX([2]PV.iQOO!$A:$BL,MATCH($A25,[2]PV.iQOO!$B:$B,0),MATCH("IQOOZ11|8+256|BLUE|STOCK",[2]PVKEYIQOO!$1:$1,0)),0)</f>
        <v>2</v>
      </c>
      <c r="R25" s="22">
        <f>IFERROR(INDEX([2]PV.iQOO!$A:$BL,MATCH($A25,[2]PV.iQOO!$B:$B,0),MATCH("IQOOZ11|8+256|BLUE|SALES",[2]PVKEYIQOO!$1:$1,0)),0)</f>
        <v>2</v>
      </c>
      <c r="S25" s="12">
        <f t="shared" si="5"/>
        <v>27</v>
      </c>
      <c r="T25" s="10">
        <f>IFERROR(INDEX([2]PV.iQOO!$A:$BL,MATCH($A25,[2]PV.iQOO!$B:$B,0),MATCH("IQOO15|16+512|ALPHA|STOCK",[2]PVKEYIQOO!$1:$1,0)),0)</f>
        <v>0</v>
      </c>
      <c r="U25" s="22">
        <f>IFERROR(INDEX([2]PV.iQOO!$A:$BL,MATCH($A25,[2]PV.iQOO!$B:$B,0),MATCH("IQOO15|16+512|ALPHA|SALES",[2]PVKEYIQOO!$1:$1,0)),0)</f>
        <v>0</v>
      </c>
      <c r="V25" s="12" t="str">
        <f t="shared" si="6"/>
        <v/>
      </c>
      <c r="W25" s="22">
        <f t="shared" si="7"/>
        <v>0</v>
      </c>
      <c r="X25" s="10">
        <f>IFERROR(INDEX([2]PV.iQOO!$A:$BL,MATCH($A25,[2]PV.iQOO!$B:$B,0),MATCH("IQOO15|16+512|LEGEND|STOCK",[2]PVKEYIQOO!$1:$1,0)),0)</f>
        <v>0</v>
      </c>
      <c r="Y25" s="22">
        <f>IFERROR(INDEX([2]PV.iQOO!$A:$BL,MATCH($A25,[2]PV.iQOO!$B:$B,0),MATCH("IQOO15|16+512|LEGEND|SALES",[2]PVKEYIQOO!$1:$1,0)),0)</f>
        <v>0</v>
      </c>
      <c r="Z25" s="12" t="str">
        <f t="shared" si="8"/>
        <v/>
      </c>
      <c r="AA25" s="22">
        <f t="shared" si="9"/>
        <v>0</v>
      </c>
      <c r="AB25" s="10">
        <f>IFERROR(INDEX([2]PV.iQOO!$A:$BL,MATCH($A25,[2]PV.iQOO!$B:$B,0),MATCH("IQOO15|16+1T|LEGEND|STOCK",[2]PVKEYIQOO!$1:$1,0)),0)</f>
        <v>0</v>
      </c>
      <c r="AC25" s="22">
        <f>IFERROR(INDEX([2]PV.iQOO!$A:$BL,MATCH($A25,[2]PV.iQOO!$B:$B,0),MATCH("IQOO15|16+1T|LEGEND|SALES",[2]PVKEYIQOO!$1:$1,0)),0)</f>
        <v>0</v>
      </c>
      <c r="AD25" s="12" t="str">
        <f t="shared" si="10"/>
        <v/>
      </c>
      <c r="AE25" s="22">
        <f t="shared" si="11"/>
        <v>0</v>
      </c>
      <c r="AF25" s="10">
        <f>IFERROR(INDEX([2]PV.iQOO!$A:$BL,MATCH($A25,[2]PV.iQOO!$B:$B,0),MATCH("IQOO15R|12+512|BLACK|STOCK",[2]PVKEYIQOO!$1:$1,0)),0)</f>
        <v>0</v>
      </c>
      <c r="AG25" s="22">
        <f>IFERROR(INDEX([2]PV.iQOO!$A:$BL,MATCH($A25,[2]PV.iQOO!$B:$B,0),MATCH("IQOO15R|12+512|BLACK|SALES",[2]PVKEYIQOO!$1:$1,0)),0)</f>
        <v>0</v>
      </c>
      <c r="AH25" s="12" t="str">
        <f t="shared" si="12"/>
        <v/>
      </c>
      <c r="AI25" s="22">
        <f t="shared" si="13"/>
        <v>0</v>
      </c>
      <c r="AJ25" s="10">
        <f>IFERROR(INDEX([2]PV.iQOO!$A:$BL,MATCH($A25,[2]PV.iQOO!$B:$B,0),MATCH("IQOO15R|12+512|SILVER|STOCK",[2]PVKEYIQOO!$1:$1,0)),0)</f>
        <v>0</v>
      </c>
      <c r="AK25" s="22">
        <f>IFERROR(INDEX([2]PV.iQOO!$A:$BL,MATCH($A25,[2]PV.iQOO!$B:$B,0),MATCH("IQOO15R|12+512|SILVER|SALES",[2]PVKEYIQOO!$1:$1,0)),0)</f>
        <v>0</v>
      </c>
      <c r="AL25" s="12" t="str">
        <f t="shared" si="14"/>
        <v/>
      </c>
      <c r="AM25" s="22">
        <f t="shared" si="15"/>
        <v>0</v>
      </c>
      <c r="AN25" s="10">
        <f>IFERROR(INDEX([2]PV.iQOO!$A:$BL,MATCH($A25,[2]PV.iQOO!$B:$B,0),MATCH("IQOOZ11|12+256|BLACK|STOCK",[2]PVKEYIQOO!$1:$1,0)),0)</f>
        <v>0</v>
      </c>
      <c r="AO25" s="22">
        <f>IFERROR(INDEX([2]PV.iQOO!$A:$BL,MATCH($A25,[2]PV.iQOO!$B:$B,0),MATCH("IQOOZ11|12+256|BLACK|SALES",[2]PVKEYIQOO!$1:$1,0)),0)</f>
        <v>0</v>
      </c>
      <c r="AP25" s="12" t="str">
        <f t="shared" si="16"/>
        <v/>
      </c>
      <c r="AQ25" s="10">
        <f>IFERROR(INDEX([2]PV.iQOO!$A:$BL,MATCH($A25,[2]PV.iQOO!$B:$B,0),MATCH("IQOOZ11|12+256|BLUE|STOCK",[2]PVKEYIQOO!$1:$1,0)),0)</f>
        <v>0</v>
      </c>
      <c r="AR25" s="22">
        <f>IFERROR(INDEX([2]PV.iQOO!$A:$BL,MATCH($A25,[2]PV.iQOO!$B:$B,0),MATCH("IQOOZ11|12+256|BLUE|SALES",[2]PVKEYIQOO!$1:$1,0)),0)</f>
        <v>0</v>
      </c>
      <c r="AS25" s="12" t="str">
        <f t="shared" si="17"/>
        <v/>
      </c>
      <c r="AT25" s="10">
        <f>IFERROR(INDEX([2]PV.iQOO!$A:$BL,MATCH($A25,[2]PV.iQOO!$B:$B,0),MATCH("IQOONEO10|12+256|WHITE|STOCK",[2]PVKEYIQOO!$1:$1,0)),0)</f>
        <v>2</v>
      </c>
      <c r="AU25" s="22">
        <f>IFERROR(INDEX([2]PV.iQOO!$A:$BL,MATCH($A25,[2]PV.iQOO!$B:$B,0),MATCH("IQOONEO10|12+256|WHITE|SALES",[2]PVKEYIQOO!$1:$1,0)),0)</f>
        <v>2</v>
      </c>
      <c r="AV25" s="12">
        <f t="shared" si="19"/>
        <v>27</v>
      </c>
      <c r="AW25" s="10">
        <f>IFERROR(INDEX([2]PV.iQOO!$A:$BL,MATCH($A25,[2]PV.iQOO!$B:$B,0),MATCH("IQOOZ11X|8+128|BLACK|STOCK",[2]PVKEYIQOO!$1:$1,0)),0)</f>
        <v>1</v>
      </c>
      <c r="AX25" s="22">
        <f>IFERROR(INDEX([2]PV.iQOO!$A:$BL,MATCH($A25,[2]PV.iQOO!$B:$B,0),MATCH("IQOOZ11X|8+128|BLACK|SALES",[2]PVKEYIQOO!$1:$1,0)),0)</f>
        <v>0</v>
      </c>
      <c r="AY25" s="12" t="str">
        <f t="shared" si="20"/>
        <v/>
      </c>
      <c r="AZ25" s="10">
        <f>IFERROR(INDEX([2]PV.iQOO!$A:$BL,MATCH($A25,[2]PV.iQOO!$B:$B,0),MATCH("IQOOZ11X|8+128|SILVER|STOCK",[2]PVKEYIQOO!$1:$1,0)),0)</f>
        <v>1</v>
      </c>
      <c r="BA25" s="22">
        <f>IFERROR(INDEX([2]PV.iQOO!$A:$BL,MATCH($A25,[2]PV.iQOO!$B:$B,0),MATCH("IQOOZ11X|8+128|SILVER|SALES",[2]PVKEYIQOO!$1:$1,0)),0)</f>
        <v>1</v>
      </c>
      <c r="BB25" s="12">
        <f t="shared" si="21"/>
        <v>27</v>
      </c>
      <c r="BC25" s="13">
        <f t="shared" si="22"/>
        <v>8</v>
      </c>
      <c r="BD25" s="13">
        <f t="shared" si="22"/>
        <v>7</v>
      </c>
      <c r="BE25" s="13">
        <f t="shared" si="18"/>
        <v>30.857142857142858</v>
      </c>
    </row>
    <row r="26" spans="1:57" x14ac:dyDescent="0.2">
      <c r="A26" s="23" t="s">
        <v>44</v>
      </c>
      <c r="B26" s="10">
        <f>IFERROR(INDEX([2]PV.iQOO!$A:$BL,MATCH($A26,[2]PV.iQOO!$B:$B,0),MATCH("IQOONEO10|16+512|BLACK|STOCK",[2]PVKEYIQOO!$1:$1,0)),0)</f>
        <v>0</v>
      </c>
      <c r="C26" s="22">
        <f>IFERROR(INDEX([2]PV.iQOO!$A:$BL,MATCH($A26,[2]PV.iQOO!$B:$B,0),MATCH("IQOONEO10|16+512|BLACK|SALES",[2]PVKEYIQOO!$1:$1,0)),0)</f>
        <v>0</v>
      </c>
      <c r="D26" s="12" t="str">
        <f t="shared" si="0"/>
        <v/>
      </c>
      <c r="E26" s="10">
        <f>IFERROR(INDEX([2]PV.iQOO!$A:$BL,MATCH($A26,[2]PV.iQOO!$B:$B,0),MATCH("IQOONEO10|16+512|ORANGE|STOCK",[2]PVKEYIQOO!$1:$1,0)),0)</f>
        <v>0</v>
      </c>
      <c r="F26" s="22">
        <f>IFERROR(INDEX([2]PV.iQOO!$A:$BL,MATCH($A26,[2]PV.iQOO!$B:$B,0),MATCH("IQOONEO10|16+512|ORANGE|SALES",[2]PVKEYIQOO!$1:$1,0)),0)</f>
        <v>0</v>
      </c>
      <c r="G26" s="12" t="str">
        <f t="shared" si="1"/>
        <v/>
      </c>
      <c r="H26" s="10">
        <f>IFERROR(INDEX([2]PV.iQOO!$A:$BL,MATCH($A26,[2]PV.iQOO!$B:$B,0),MATCH("IQOOZ11X|8+256|BLACK|STOCK",[2]PVKEYIQOO!$1:$1,0)),0)</f>
        <v>0</v>
      </c>
      <c r="I26" s="22">
        <f>IFERROR(INDEX([2]PV.iQOO!$A:$BL,MATCH($A26,[2]PV.iQOO!$B:$B,0),MATCH("IQOOZ11X|8+256|BLACK|SALES",[2]PVKEYIQOO!$1:$1,0)),0)</f>
        <v>1</v>
      </c>
      <c r="J26" s="12">
        <f t="shared" si="2"/>
        <v>0</v>
      </c>
      <c r="K26" s="10">
        <f>IFERROR(INDEX([2]PV.iQOO!$A:$BL,MATCH($A26,[2]PV.iQOO!$B:$B,0),MATCH("IQOOZ11X|8+256|SILVER|STOCK",[2]PVKEYIQOO!$1:$1,0)),0)</f>
        <v>1</v>
      </c>
      <c r="L26" s="22">
        <f>IFERROR(INDEX([2]PV.iQOO!$A:$BL,MATCH($A26,[2]PV.iQOO!$B:$B,0),MATCH("IQOOZ11X|8+256|SILVER|SALES",[2]PVKEYIQOO!$1:$1,0)),0)</f>
        <v>1</v>
      </c>
      <c r="M26" s="12">
        <f t="shared" si="3"/>
        <v>27</v>
      </c>
      <c r="N26" s="10">
        <f>IFERROR(INDEX([2]PV.iQOO!$A:$BL,MATCH($A26,[2]PV.iQOO!$B:$B,0),MATCH("IQOOZ11|8+256|BLACK|STOCK",[2]PVKEYIQOO!$1:$1,0)),0)</f>
        <v>2</v>
      </c>
      <c r="O26" s="22">
        <f>IFERROR(INDEX([2]PV.iQOO!$A:$BL,MATCH($A26,[2]PV.iQOO!$B:$B,0),MATCH("IQOOZ11|8+256|BLACK|SALES",[2]PVKEYIQOO!$1:$1,0)),0)</f>
        <v>2</v>
      </c>
      <c r="P26" s="12">
        <f t="shared" si="4"/>
        <v>27</v>
      </c>
      <c r="Q26" s="10">
        <f>IFERROR(INDEX([2]PV.iQOO!$A:$BL,MATCH($A26,[2]PV.iQOO!$B:$B,0),MATCH("IQOOZ11|8+256|BLUE|STOCK",[2]PVKEYIQOO!$1:$1,0)),0)</f>
        <v>1</v>
      </c>
      <c r="R26" s="22">
        <f>IFERROR(INDEX([2]PV.iQOO!$A:$BL,MATCH($A26,[2]PV.iQOO!$B:$B,0),MATCH("IQOOZ11|8+256|BLUE|SALES",[2]PVKEYIQOO!$1:$1,0)),0)</f>
        <v>0</v>
      </c>
      <c r="S26" s="12" t="str">
        <f t="shared" si="5"/>
        <v/>
      </c>
      <c r="T26" s="10">
        <f>IFERROR(INDEX([2]PV.iQOO!$A:$BL,MATCH($A26,[2]PV.iQOO!$B:$B,0),MATCH("IQOO15|16+512|ALPHA|STOCK",[2]PVKEYIQOO!$1:$1,0)),0)</f>
        <v>0</v>
      </c>
      <c r="U26" s="22">
        <f>IFERROR(INDEX([2]PV.iQOO!$A:$BL,MATCH($A26,[2]PV.iQOO!$B:$B,0),MATCH("IQOO15|16+512|ALPHA|SALES",[2]PVKEYIQOO!$1:$1,0)),0)</f>
        <v>0</v>
      </c>
      <c r="V26" s="12" t="str">
        <f t="shared" si="6"/>
        <v/>
      </c>
      <c r="W26" s="22">
        <f t="shared" si="7"/>
        <v>0</v>
      </c>
      <c r="X26" s="10">
        <f>IFERROR(INDEX([2]PV.iQOO!$A:$BL,MATCH($A26,[2]PV.iQOO!$B:$B,0),MATCH("IQOO15|16+512|LEGEND|STOCK",[2]PVKEYIQOO!$1:$1,0)),0)</f>
        <v>0</v>
      </c>
      <c r="Y26" s="22">
        <f>IFERROR(INDEX([2]PV.iQOO!$A:$BL,MATCH($A26,[2]PV.iQOO!$B:$B,0),MATCH("IQOO15|16+512|LEGEND|SALES",[2]PVKEYIQOO!$1:$1,0)),0)</f>
        <v>0</v>
      </c>
      <c r="Z26" s="12" t="str">
        <f t="shared" si="8"/>
        <v/>
      </c>
      <c r="AA26" s="22">
        <f t="shared" si="9"/>
        <v>0</v>
      </c>
      <c r="AB26" s="10">
        <f>IFERROR(INDEX([2]PV.iQOO!$A:$BL,MATCH($A26,[2]PV.iQOO!$B:$B,0),MATCH("IQOO15|16+1T|LEGEND|STOCK",[2]PVKEYIQOO!$1:$1,0)),0)</f>
        <v>0</v>
      </c>
      <c r="AC26" s="22">
        <f>IFERROR(INDEX([2]PV.iQOO!$A:$BL,MATCH($A26,[2]PV.iQOO!$B:$B,0),MATCH("IQOO15|16+1T|LEGEND|SALES",[2]PVKEYIQOO!$1:$1,0)),0)</f>
        <v>0</v>
      </c>
      <c r="AD26" s="12" t="str">
        <f t="shared" si="10"/>
        <v/>
      </c>
      <c r="AE26" s="22">
        <f t="shared" si="11"/>
        <v>0</v>
      </c>
      <c r="AF26" s="10">
        <f>IFERROR(INDEX([2]PV.iQOO!$A:$BL,MATCH($A26,[2]PV.iQOO!$B:$B,0),MATCH("IQOO15R|12+512|BLACK|STOCK",[2]PVKEYIQOO!$1:$1,0)),0)</f>
        <v>0</v>
      </c>
      <c r="AG26" s="22">
        <f>IFERROR(INDEX([2]PV.iQOO!$A:$BL,MATCH($A26,[2]PV.iQOO!$B:$B,0),MATCH("IQOO15R|12+512|BLACK|SALES",[2]PVKEYIQOO!$1:$1,0)),0)</f>
        <v>0</v>
      </c>
      <c r="AH26" s="12" t="str">
        <f t="shared" si="12"/>
        <v/>
      </c>
      <c r="AI26" s="22">
        <f t="shared" si="13"/>
        <v>0</v>
      </c>
      <c r="AJ26" s="10">
        <f>IFERROR(INDEX([2]PV.iQOO!$A:$BL,MATCH($A26,[2]PV.iQOO!$B:$B,0),MATCH("IQOO15R|12+512|SILVER|STOCK",[2]PVKEYIQOO!$1:$1,0)),0)</f>
        <v>0</v>
      </c>
      <c r="AK26" s="22">
        <f>IFERROR(INDEX([2]PV.iQOO!$A:$BL,MATCH($A26,[2]PV.iQOO!$B:$B,0),MATCH("IQOO15R|12+512|SILVER|SALES",[2]PVKEYIQOO!$1:$1,0)),0)</f>
        <v>0</v>
      </c>
      <c r="AL26" s="12" t="str">
        <f t="shared" si="14"/>
        <v/>
      </c>
      <c r="AM26" s="22">
        <f t="shared" si="15"/>
        <v>0</v>
      </c>
      <c r="AN26" s="10">
        <f>IFERROR(INDEX([2]PV.iQOO!$A:$BL,MATCH($A26,[2]PV.iQOO!$B:$B,0),MATCH("IQOOZ11|12+256|BLACK|STOCK",[2]PVKEYIQOO!$1:$1,0)),0)</f>
        <v>1</v>
      </c>
      <c r="AO26" s="22">
        <f>IFERROR(INDEX([2]PV.iQOO!$A:$BL,MATCH($A26,[2]PV.iQOO!$B:$B,0),MATCH("IQOOZ11|12+256|BLACK|SALES",[2]PVKEYIQOO!$1:$1,0)),0)</f>
        <v>0</v>
      </c>
      <c r="AP26" s="12" t="str">
        <f t="shared" si="16"/>
        <v/>
      </c>
      <c r="AQ26" s="10">
        <f>IFERROR(INDEX([2]PV.iQOO!$A:$BL,MATCH($A26,[2]PV.iQOO!$B:$B,0),MATCH("IQOOZ11|12+256|BLUE|STOCK",[2]PVKEYIQOO!$1:$1,0)),0)</f>
        <v>1</v>
      </c>
      <c r="AR26" s="22">
        <f>IFERROR(INDEX([2]PV.iQOO!$A:$BL,MATCH($A26,[2]PV.iQOO!$B:$B,0),MATCH("IQOOZ11|12+256|BLUE|SALES",[2]PVKEYIQOO!$1:$1,0)),0)</f>
        <v>0</v>
      </c>
      <c r="AS26" s="12" t="str">
        <f t="shared" si="17"/>
        <v/>
      </c>
      <c r="AT26" s="10">
        <f>IFERROR(INDEX([2]PV.iQOO!$A:$BL,MATCH($A26,[2]PV.iQOO!$B:$B,0),MATCH("IQOONEO10|12+256|WHITE|STOCK",[2]PVKEYIQOO!$1:$1,0)),0)</f>
        <v>2</v>
      </c>
      <c r="AU26" s="22">
        <f>IFERROR(INDEX([2]PV.iQOO!$A:$BL,MATCH($A26,[2]PV.iQOO!$B:$B,0),MATCH("IQOONEO10|12+256|WHITE|SALES",[2]PVKEYIQOO!$1:$1,0)),0)</f>
        <v>1</v>
      </c>
      <c r="AV26" s="12">
        <f t="shared" si="19"/>
        <v>54</v>
      </c>
      <c r="AW26" s="10">
        <f>IFERROR(INDEX([2]PV.iQOO!$A:$BL,MATCH($A26,[2]PV.iQOO!$B:$B,0),MATCH("IQOOZ11X|8+128|BLACK|STOCK",[2]PVKEYIQOO!$1:$1,0)),0)</f>
        <v>2</v>
      </c>
      <c r="AX26" s="22">
        <f>IFERROR(INDEX([2]PV.iQOO!$A:$BL,MATCH($A26,[2]PV.iQOO!$B:$B,0),MATCH("IQOOZ11X|8+128|BLACK|SALES",[2]PVKEYIQOO!$1:$1,0)),0)</f>
        <v>0</v>
      </c>
      <c r="AY26" s="12" t="str">
        <f t="shared" si="20"/>
        <v/>
      </c>
      <c r="AZ26" s="10">
        <f>IFERROR(INDEX([2]PV.iQOO!$A:$BL,MATCH($A26,[2]PV.iQOO!$B:$B,0),MATCH("IQOOZ11X|8+128|SILVER|STOCK",[2]PVKEYIQOO!$1:$1,0)),0)</f>
        <v>3</v>
      </c>
      <c r="BA26" s="22">
        <f>IFERROR(INDEX([2]PV.iQOO!$A:$BL,MATCH($A26,[2]PV.iQOO!$B:$B,0),MATCH("IQOOZ11X|8+128|SILVER|SALES",[2]PVKEYIQOO!$1:$1,0)),0)</f>
        <v>0</v>
      </c>
      <c r="BB26" s="12" t="str">
        <f t="shared" si="21"/>
        <v/>
      </c>
      <c r="BC26" s="13">
        <f t="shared" si="22"/>
        <v>13</v>
      </c>
      <c r="BD26" s="13">
        <f t="shared" si="22"/>
        <v>5</v>
      </c>
      <c r="BE26" s="13">
        <f t="shared" si="18"/>
        <v>70.2</v>
      </c>
    </row>
    <row r="27" spans="1:57" x14ac:dyDescent="0.2">
      <c r="A27" s="21" t="s">
        <v>45</v>
      </c>
      <c r="B27" s="10">
        <f>IFERROR(INDEX([2]PV.iQOO!$A:$BL,MATCH($A27,[2]PV.iQOO!$B:$B,0),MATCH("IQOONEO10|16+512|BLACK|STOCK",[2]PVKEYIQOO!$1:$1,0)),0)</f>
        <v>0</v>
      </c>
      <c r="C27" s="22">
        <f>IFERROR(INDEX([2]PV.iQOO!$A:$BL,MATCH($A27,[2]PV.iQOO!$B:$B,0),MATCH("IQOONEO10|16+512|BLACK|SALES",[2]PVKEYIQOO!$1:$1,0)),0)</f>
        <v>0</v>
      </c>
      <c r="D27" s="12" t="str">
        <f t="shared" si="0"/>
        <v/>
      </c>
      <c r="E27" s="10">
        <f>IFERROR(INDEX([2]PV.iQOO!$A:$BL,MATCH($A27,[2]PV.iQOO!$B:$B,0),MATCH("IQOONEO10|16+512|ORANGE|STOCK",[2]PVKEYIQOO!$1:$1,0)),0)</f>
        <v>0</v>
      </c>
      <c r="F27" s="22">
        <f>IFERROR(INDEX([2]PV.iQOO!$A:$BL,MATCH($A27,[2]PV.iQOO!$B:$B,0),MATCH("IQOONEO10|16+512|ORANGE|SALES",[2]PVKEYIQOO!$1:$1,0)),0)</f>
        <v>0</v>
      </c>
      <c r="G27" s="12" t="str">
        <f t="shared" si="1"/>
        <v/>
      </c>
      <c r="H27" s="10">
        <f>IFERROR(INDEX([2]PV.iQOO!$A:$BL,MATCH($A27,[2]PV.iQOO!$B:$B,0),MATCH("IQOOZ11X|8+256|BLACK|STOCK",[2]PVKEYIQOO!$1:$1,0)),0)</f>
        <v>0</v>
      </c>
      <c r="I27" s="22">
        <f>IFERROR(INDEX([2]PV.iQOO!$A:$BL,MATCH($A27,[2]PV.iQOO!$B:$B,0),MATCH("IQOOZ11X|8+256|BLACK|SALES",[2]PVKEYIQOO!$1:$1,0)),0)</f>
        <v>0</v>
      </c>
      <c r="J27" s="12" t="str">
        <f t="shared" si="2"/>
        <v/>
      </c>
      <c r="K27" s="10">
        <f>IFERROR(INDEX([2]PV.iQOO!$A:$BL,MATCH($A27,[2]PV.iQOO!$B:$B,0),MATCH("IQOOZ11X|8+256|SILVER|STOCK",[2]PVKEYIQOO!$1:$1,0)),0)</f>
        <v>2</v>
      </c>
      <c r="L27" s="22">
        <f>IFERROR(INDEX([2]PV.iQOO!$A:$BL,MATCH($A27,[2]PV.iQOO!$B:$B,0),MATCH("IQOOZ11X|8+256|SILVER|SALES",[2]PVKEYIQOO!$1:$1,0)),0)</f>
        <v>0</v>
      </c>
      <c r="M27" s="12" t="str">
        <f t="shared" si="3"/>
        <v/>
      </c>
      <c r="N27" s="10">
        <f>IFERROR(INDEX([2]PV.iQOO!$A:$BL,MATCH($A27,[2]PV.iQOO!$B:$B,0),MATCH("IQOOZ11|8+256|BLACK|STOCK",[2]PVKEYIQOO!$1:$1,0)),0)</f>
        <v>2</v>
      </c>
      <c r="O27" s="22">
        <f>IFERROR(INDEX([2]PV.iQOO!$A:$BL,MATCH($A27,[2]PV.iQOO!$B:$B,0),MATCH("IQOOZ11|8+256|BLACK|SALES",[2]PVKEYIQOO!$1:$1,0)),0)</f>
        <v>0</v>
      </c>
      <c r="P27" s="12" t="str">
        <f t="shared" si="4"/>
        <v/>
      </c>
      <c r="Q27" s="10">
        <f>IFERROR(INDEX([2]PV.iQOO!$A:$BL,MATCH($A27,[2]PV.iQOO!$B:$B,0),MATCH("IQOOZ11|8+256|BLUE|STOCK",[2]PVKEYIQOO!$1:$1,0)),0)</f>
        <v>2</v>
      </c>
      <c r="R27" s="22">
        <f>IFERROR(INDEX([2]PV.iQOO!$A:$BL,MATCH($A27,[2]PV.iQOO!$B:$B,0),MATCH("IQOOZ11|8+256|BLUE|SALES",[2]PVKEYIQOO!$1:$1,0)),0)</f>
        <v>0</v>
      </c>
      <c r="S27" s="12" t="str">
        <f t="shared" si="5"/>
        <v/>
      </c>
      <c r="T27" s="10">
        <f>IFERROR(INDEX([2]PV.iQOO!$A:$BL,MATCH($A27,[2]PV.iQOO!$B:$B,0),MATCH("IQOO15|16+512|ALPHA|STOCK",[2]PVKEYIQOO!$1:$1,0)),0)</f>
        <v>0</v>
      </c>
      <c r="U27" s="22">
        <f>IFERROR(INDEX([2]PV.iQOO!$A:$BL,MATCH($A27,[2]PV.iQOO!$B:$B,0),MATCH("IQOO15|16+512|ALPHA|SALES",[2]PVKEYIQOO!$1:$1,0)),0)</f>
        <v>0</v>
      </c>
      <c r="V27" s="12" t="str">
        <f t="shared" si="6"/>
        <v/>
      </c>
      <c r="W27" s="22">
        <f t="shared" si="7"/>
        <v>0</v>
      </c>
      <c r="X27" s="10">
        <f>IFERROR(INDEX([2]PV.iQOO!$A:$BL,MATCH($A27,[2]PV.iQOO!$B:$B,0),MATCH("IQOO15|16+512|LEGEND|STOCK",[2]PVKEYIQOO!$1:$1,0)),0)</f>
        <v>0</v>
      </c>
      <c r="Y27" s="22">
        <f>IFERROR(INDEX([2]PV.iQOO!$A:$BL,MATCH($A27,[2]PV.iQOO!$B:$B,0),MATCH("IQOO15|16+512|LEGEND|SALES",[2]PVKEYIQOO!$1:$1,0)),0)</f>
        <v>0</v>
      </c>
      <c r="Z27" s="12" t="str">
        <f t="shared" si="8"/>
        <v/>
      </c>
      <c r="AA27" s="22">
        <f t="shared" si="9"/>
        <v>0</v>
      </c>
      <c r="AB27" s="10">
        <f>IFERROR(INDEX([2]PV.iQOO!$A:$BL,MATCH($A27,[2]PV.iQOO!$B:$B,0),MATCH("IQOO15|16+1T|LEGEND|STOCK",[2]PVKEYIQOO!$1:$1,0)),0)</f>
        <v>0</v>
      </c>
      <c r="AC27" s="22">
        <f>IFERROR(INDEX([2]PV.iQOO!$A:$BL,MATCH($A27,[2]PV.iQOO!$B:$B,0),MATCH("IQOO15|16+1T|LEGEND|SALES",[2]PVKEYIQOO!$1:$1,0)),0)</f>
        <v>0</v>
      </c>
      <c r="AD27" s="12" t="str">
        <f t="shared" si="10"/>
        <v/>
      </c>
      <c r="AE27" s="22">
        <f t="shared" si="11"/>
        <v>0</v>
      </c>
      <c r="AF27" s="10">
        <f>IFERROR(INDEX([2]PV.iQOO!$A:$BL,MATCH($A27,[2]PV.iQOO!$B:$B,0),MATCH("IQOO15R|12+512|BLACK|STOCK",[2]PVKEYIQOO!$1:$1,0)),0)</f>
        <v>0</v>
      </c>
      <c r="AG27" s="22">
        <f>IFERROR(INDEX([2]PV.iQOO!$A:$BL,MATCH($A27,[2]PV.iQOO!$B:$B,0),MATCH("IQOO15R|12+512|BLACK|SALES",[2]PVKEYIQOO!$1:$1,0)),0)</f>
        <v>1</v>
      </c>
      <c r="AH27" s="12">
        <f t="shared" si="12"/>
        <v>0</v>
      </c>
      <c r="AI27" s="22">
        <f t="shared" si="13"/>
        <v>0.37037037037037035</v>
      </c>
      <c r="AJ27" s="10">
        <f>IFERROR(INDEX([2]PV.iQOO!$A:$BL,MATCH($A27,[2]PV.iQOO!$B:$B,0),MATCH("IQOO15R|12+512|SILVER|STOCK",[2]PVKEYIQOO!$1:$1,0)),0)</f>
        <v>0</v>
      </c>
      <c r="AK27" s="22">
        <f>IFERROR(INDEX([2]PV.iQOO!$A:$BL,MATCH($A27,[2]PV.iQOO!$B:$B,0),MATCH("IQOO15R|12+512|SILVER|SALES",[2]PVKEYIQOO!$1:$1,0)),0)</f>
        <v>0</v>
      </c>
      <c r="AL27" s="12" t="str">
        <f t="shared" si="14"/>
        <v/>
      </c>
      <c r="AM27" s="22">
        <f t="shared" si="15"/>
        <v>0</v>
      </c>
      <c r="AN27" s="10">
        <f>IFERROR(INDEX([2]PV.iQOO!$A:$BL,MATCH($A27,[2]PV.iQOO!$B:$B,0),MATCH("IQOOZ11|12+256|BLACK|STOCK",[2]PVKEYIQOO!$1:$1,0)),0)</f>
        <v>1</v>
      </c>
      <c r="AO27" s="22">
        <f>IFERROR(INDEX([2]PV.iQOO!$A:$BL,MATCH($A27,[2]PV.iQOO!$B:$B,0),MATCH("IQOOZ11|12+256|BLACK|SALES",[2]PVKEYIQOO!$1:$1,0)),0)</f>
        <v>0</v>
      </c>
      <c r="AP27" s="12" t="str">
        <f t="shared" si="16"/>
        <v/>
      </c>
      <c r="AQ27" s="10">
        <f>IFERROR(INDEX([2]PV.iQOO!$A:$BL,MATCH($A27,[2]PV.iQOO!$B:$B,0),MATCH("IQOOZ11|12+256|BLUE|STOCK",[2]PVKEYIQOO!$1:$1,0)),0)</f>
        <v>1</v>
      </c>
      <c r="AR27" s="22">
        <f>IFERROR(INDEX([2]PV.iQOO!$A:$BL,MATCH($A27,[2]PV.iQOO!$B:$B,0),MATCH("IQOOZ11|12+256|BLUE|SALES",[2]PVKEYIQOO!$1:$1,0)),0)</f>
        <v>0</v>
      </c>
      <c r="AS27" s="12" t="str">
        <f t="shared" si="17"/>
        <v/>
      </c>
      <c r="AT27" s="10">
        <f>IFERROR(INDEX([2]PV.iQOO!$A:$BL,MATCH($A27,[2]PV.iQOO!$B:$B,0),MATCH("IQOONEO10|12+256|WHITE|STOCK",[2]PVKEYIQOO!$1:$1,0)),0)</f>
        <v>1</v>
      </c>
      <c r="AU27" s="22">
        <f>IFERROR(INDEX([2]PV.iQOO!$A:$BL,MATCH($A27,[2]PV.iQOO!$B:$B,0),MATCH("IQOONEO10|12+256|WHITE|SALES",[2]PVKEYIQOO!$1:$1,0)),0)</f>
        <v>0</v>
      </c>
      <c r="AV27" s="12" t="str">
        <f t="shared" si="19"/>
        <v/>
      </c>
      <c r="AW27" s="10">
        <f>IFERROR(INDEX([2]PV.iQOO!$A:$BL,MATCH($A27,[2]PV.iQOO!$B:$B,0),MATCH("IQOOZ11X|8+128|BLACK|STOCK",[2]PVKEYIQOO!$1:$1,0)),0)</f>
        <v>2</v>
      </c>
      <c r="AX27" s="22">
        <f>IFERROR(INDEX([2]PV.iQOO!$A:$BL,MATCH($A27,[2]PV.iQOO!$B:$B,0),MATCH("IQOOZ11X|8+128|BLACK|SALES",[2]PVKEYIQOO!$1:$1,0)),0)</f>
        <v>0</v>
      </c>
      <c r="AY27" s="12" t="str">
        <f t="shared" si="20"/>
        <v/>
      </c>
      <c r="AZ27" s="10">
        <f>IFERROR(INDEX([2]PV.iQOO!$A:$BL,MATCH($A27,[2]PV.iQOO!$B:$B,0),MATCH("IQOOZ11X|8+128|SILVER|STOCK",[2]PVKEYIQOO!$1:$1,0)),0)</f>
        <v>1</v>
      </c>
      <c r="BA27" s="22">
        <f>IFERROR(INDEX([2]PV.iQOO!$A:$BL,MATCH($A27,[2]PV.iQOO!$B:$B,0),MATCH("IQOOZ11X|8+128|SILVER|SALES",[2]PVKEYIQOO!$1:$1,0)),0)</f>
        <v>1</v>
      </c>
      <c r="BB27" s="12">
        <f t="shared" si="21"/>
        <v>27</v>
      </c>
      <c r="BC27" s="13">
        <f t="shared" si="22"/>
        <v>12</v>
      </c>
      <c r="BD27" s="13">
        <f t="shared" si="22"/>
        <v>2</v>
      </c>
      <c r="BE27" s="13">
        <f t="shared" si="18"/>
        <v>162</v>
      </c>
    </row>
    <row r="28" spans="1:57" x14ac:dyDescent="0.2">
      <c r="A28" s="21" t="s">
        <v>46</v>
      </c>
      <c r="B28" s="10">
        <f>IFERROR(INDEX([2]PV.iQOO!$A:$BL,MATCH($A28,[2]PV.iQOO!$B:$B,0),MATCH("IQOONEO10|16+512|BLACK|STOCK",[2]PVKEYIQOO!$1:$1,0)),0)</f>
        <v>0</v>
      </c>
      <c r="C28" s="22">
        <f>IFERROR(INDEX([2]PV.iQOO!$A:$BL,MATCH($A28,[2]PV.iQOO!$B:$B,0),MATCH("IQOONEO10|16+512|BLACK|SALES",[2]PVKEYIQOO!$1:$1,0)),0)</f>
        <v>0</v>
      </c>
      <c r="D28" s="12" t="str">
        <f t="shared" si="0"/>
        <v/>
      </c>
      <c r="E28" s="10">
        <f>IFERROR(INDEX([2]PV.iQOO!$A:$BL,MATCH($A28,[2]PV.iQOO!$B:$B,0),MATCH("IQOONEO10|16+512|ORANGE|STOCK",[2]PVKEYIQOO!$1:$1,0)),0)</f>
        <v>0</v>
      </c>
      <c r="F28" s="22">
        <f>IFERROR(INDEX([2]PV.iQOO!$A:$BL,MATCH($A28,[2]PV.iQOO!$B:$B,0),MATCH("IQOONEO10|16+512|ORANGE|SALES",[2]PVKEYIQOO!$1:$1,0)),0)</f>
        <v>0</v>
      </c>
      <c r="G28" s="12" t="str">
        <f t="shared" si="1"/>
        <v/>
      </c>
      <c r="H28" s="10">
        <f>IFERROR(INDEX([2]PV.iQOO!$A:$BL,MATCH($A28,[2]PV.iQOO!$B:$B,0),MATCH("IQOOZ11X|8+256|BLACK|STOCK",[2]PVKEYIQOO!$1:$1,0)),0)</f>
        <v>0</v>
      </c>
      <c r="I28" s="22">
        <f>IFERROR(INDEX([2]PV.iQOO!$A:$BL,MATCH($A28,[2]PV.iQOO!$B:$B,0),MATCH("IQOOZ11X|8+256|BLACK|SALES",[2]PVKEYIQOO!$1:$1,0)),0)</f>
        <v>0</v>
      </c>
      <c r="J28" s="12" t="str">
        <f t="shared" si="2"/>
        <v/>
      </c>
      <c r="K28" s="10">
        <f>IFERROR(INDEX([2]PV.iQOO!$A:$BL,MATCH($A28,[2]PV.iQOO!$B:$B,0),MATCH("IQOOZ11X|8+256|SILVER|STOCK",[2]PVKEYIQOO!$1:$1,0)),0)</f>
        <v>0</v>
      </c>
      <c r="L28" s="22">
        <f>IFERROR(INDEX([2]PV.iQOO!$A:$BL,MATCH($A28,[2]PV.iQOO!$B:$B,0),MATCH("IQOOZ11X|8+256|SILVER|SALES",[2]PVKEYIQOO!$1:$1,0)),0)</f>
        <v>0</v>
      </c>
      <c r="M28" s="12" t="str">
        <f t="shared" si="3"/>
        <v/>
      </c>
      <c r="N28" s="10">
        <f>IFERROR(INDEX([2]PV.iQOO!$A:$BL,MATCH($A28,[2]PV.iQOO!$B:$B,0),MATCH("IQOOZ11|8+256|BLACK|STOCK",[2]PVKEYIQOO!$1:$1,0)),0)</f>
        <v>0</v>
      </c>
      <c r="O28" s="22">
        <f>IFERROR(INDEX([2]PV.iQOO!$A:$BL,MATCH($A28,[2]PV.iQOO!$B:$B,0),MATCH("IQOOZ11|8+256|BLACK|SALES",[2]PVKEYIQOO!$1:$1,0)),0)</f>
        <v>1</v>
      </c>
      <c r="P28" s="12">
        <f t="shared" si="4"/>
        <v>0</v>
      </c>
      <c r="Q28" s="10">
        <f>IFERROR(INDEX([2]PV.iQOO!$A:$BL,MATCH($A28,[2]PV.iQOO!$B:$B,0),MATCH("IQOOZ11|8+256|BLUE|STOCK",[2]PVKEYIQOO!$1:$1,0)),0)</f>
        <v>1</v>
      </c>
      <c r="R28" s="22">
        <f>IFERROR(INDEX([2]PV.iQOO!$A:$BL,MATCH($A28,[2]PV.iQOO!$B:$B,0),MATCH("IQOOZ11|8+256|BLUE|SALES",[2]PVKEYIQOO!$1:$1,0)),0)</f>
        <v>0</v>
      </c>
      <c r="S28" s="12" t="str">
        <f t="shared" si="5"/>
        <v/>
      </c>
      <c r="T28" s="10">
        <f>IFERROR(INDEX([2]PV.iQOO!$A:$BL,MATCH($A28,[2]PV.iQOO!$B:$B,0),MATCH("IQOO15|16+512|ALPHA|STOCK",[2]PVKEYIQOO!$1:$1,0)),0)</f>
        <v>0</v>
      </c>
      <c r="U28" s="22">
        <f>IFERROR(INDEX([2]PV.iQOO!$A:$BL,MATCH($A28,[2]PV.iQOO!$B:$B,0),MATCH("IQOO15|16+512|ALPHA|SALES",[2]PVKEYIQOO!$1:$1,0)),0)</f>
        <v>0</v>
      </c>
      <c r="V28" s="12" t="str">
        <f t="shared" si="6"/>
        <v/>
      </c>
      <c r="W28" s="22">
        <f t="shared" si="7"/>
        <v>0</v>
      </c>
      <c r="X28" s="10">
        <f>IFERROR(INDEX([2]PV.iQOO!$A:$BL,MATCH($A28,[2]PV.iQOO!$B:$B,0),MATCH("IQOO15|16+512|LEGEND|STOCK",[2]PVKEYIQOO!$1:$1,0)),0)</f>
        <v>0</v>
      </c>
      <c r="Y28" s="22">
        <f>IFERROR(INDEX([2]PV.iQOO!$A:$BL,MATCH($A28,[2]PV.iQOO!$B:$B,0),MATCH("IQOO15|16+512|LEGEND|SALES",[2]PVKEYIQOO!$1:$1,0)),0)</f>
        <v>0</v>
      </c>
      <c r="Z28" s="12" t="str">
        <f t="shared" si="8"/>
        <v/>
      </c>
      <c r="AA28" s="22">
        <f t="shared" si="9"/>
        <v>0</v>
      </c>
      <c r="AB28" s="10">
        <f>IFERROR(INDEX([2]PV.iQOO!$A:$BL,MATCH($A28,[2]PV.iQOO!$B:$B,0),MATCH("IQOO15|16+1T|LEGEND|STOCK",[2]PVKEYIQOO!$1:$1,0)),0)</f>
        <v>0</v>
      </c>
      <c r="AC28" s="22">
        <f>IFERROR(INDEX([2]PV.iQOO!$A:$BL,MATCH($A28,[2]PV.iQOO!$B:$B,0),MATCH("IQOO15|16+1T|LEGEND|SALES",[2]PVKEYIQOO!$1:$1,0)),0)</f>
        <v>0</v>
      </c>
      <c r="AD28" s="12" t="str">
        <f t="shared" si="10"/>
        <v/>
      </c>
      <c r="AE28" s="22">
        <f t="shared" si="11"/>
        <v>0</v>
      </c>
      <c r="AF28" s="10">
        <f>IFERROR(INDEX([2]PV.iQOO!$A:$BL,MATCH($A28,[2]PV.iQOO!$B:$B,0),MATCH("IQOO15R|12+512|BLACK|STOCK",[2]PVKEYIQOO!$1:$1,0)),0)</f>
        <v>1</v>
      </c>
      <c r="AG28" s="22">
        <f>IFERROR(INDEX([2]PV.iQOO!$A:$BL,MATCH($A28,[2]PV.iQOO!$B:$B,0),MATCH("IQOO15R|12+512|BLACK|SALES",[2]PVKEYIQOO!$1:$1,0)),0)</f>
        <v>0</v>
      </c>
      <c r="AH28" s="12" t="str">
        <f t="shared" si="12"/>
        <v/>
      </c>
      <c r="AI28" s="22">
        <f t="shared" si="13"/>
        <v>0</v>
      </c>
      <c r="AJ28" s="10">
        <f>IFERROR(INDEX([2]PV.iQOO!$A:$BL,MATCH($A28,[2]PV.iQOO!$B:$B,0),MATCH("IQOO15R|12+512|SILVER|STOCK",[2]PVKEYIQOO!$1:$1,0)),0)</f>
        <v>0</v>
      </c>
      <c r="AK28" s="22">
        <f>IFERROR(INDEX([2]PV.iQOO!$A:$BL,MATCH($A28,[2]PV.iQOO!$B:$B,0),MATCH("IQOO15R|12+512|SILVER|SALES",[2]PVKEYIQOO!$1:$1,0)),0)</f>
        <v>0</v>
      </c>
      <c r="AL28" s="12" t="str">
        <f t="shared" si="14"/>
        <v/>
      </c>
      <c r="AM28" s="22">
        <f t="shared" si="15"/>
        <v>0</v>
      </c>
      <c r="AN28" s="10">
        <f>IFERROR(INDEX([2]PV.iQOO!$A:$BL,MATCH($A28,[2]PV.iQOO!$B:$B,0),MATCH("IQOOZ11|12+256|BLACK|STOCK",[2]PVKEYIQOO!$1:$1,0)),0)</f>
        <v>0</v>
      </c>
      <c r="AO28" s="22">
        <f>IFERROR(INDEX([2]PV.iQOO!$A:$BL,MATCH($A28,[2]PV.iQOO!$B:$B,0),MATCH("IQOOZ11|12+256|BLACK|SALES",[2]PVKEYIQOO!$1:$1,0)),0)</f>
        <v>0</v>
      </c>
      <c r="AP28" s="12" t="str">
        <f t="shared" si="16"/>
        <v/>
      </c>
      <c r="AQ28" s="10">
        <f>IFERROR(INDEX([2]PV.iQOO!$A:$BL,MATCH($A28,[2]PV.iQOO!$B:$B,0),MATCH("IQOOZ11|12+256|BLUE|STOCK",[2]PVKEYIQOO!$1:$1,0)),0)</f>
        <v>1</v>
      </c>
      <c r="AR28" s="22">
        <f>IFERROR(INDEX([2]PV.iQOO!$A:$BL,MATCH($A28,[2]PV.iQOO!$B:$B,0),MATCH("IQOOZ11|12+256|BLUE|SALES",[2]PVKEYIQOO!$1:$1,0)),0)</f>
        <v>0</v>
      </c>
      <c r="AS28" s="12" t="str">
        <f t="shared" si="17"/>
        <v/>
      </c>
      <c r="AT28" s="10">
        <f>IFERROR(INDEX([2]PV.iQOO!$A:$BL,MATCH($A28,[2]PV.iQOO!$B:$B,0),MATCH("IQOONEO10|12+256|WHITE|STOCK",[2]PVKEYIQOO!$1:$1,0)),0)</f>
        <v>2</v>
      </c>
      <c r="AU28" s="22">
        <f>IFERROR(INDEX([2]PV.iQOO!$A:$BL,MATCH($A28,[2]PV.iQOO!$B:$B,0),MATCH("IQOONEO10|12+256|WHITE|SALES",[2]PVKEYIQOO!$1:$1,0)),0)</f>
        <v>0</v>
      </c>
      <c r="AV28" s="12" t="str">
        <f t="shared" si="19"/>
        <v/>
      </c>
      <c r="AW28" s="10">
        <f>IFERROR(INDEX([2]PV.iQOO!$A:$BL,MATCH($A28,[2]PV.iQOO!$B:$B,0),MATCH("IQOOZ11X|8+128|BLACK|STOCK",[2]PVKEYIQOO!$1:$1,0)),0)</f>
        <v>0</v>
      </c>
      <c r="AX28" s="22">
        <f>IFERROR(INDEX([2]PV.iQOO!$A:$BL,MATCH($A28,[2]PV.iQOO!$B:$B,0),MATCH("IQOOZ11X|8+128|BLACK|SALES",[2]PVKEYIQOO!$1:$1,0)),0)</f>
        <v>1</v>
      </c>
      <c r="AY28" s="12">
        <f t="shared" si="20"/>
        <v>0</v>
      </c>
      <c r="AZ28" s="10">
        <f>IFERROR(INDEX([2]PV.iQOO!$A:$BL,MATCH($A28,[2]PV.iQOO!$B:$B,0),MATCH("IQOOZ11X|8+128|SILVER|STOCK",[2]PVKEYIQOO!$1:$1,0)),0)</f>
        <v>2</v>
      </c>
      <c r="BA28" s="22">
        <f>IFERROR(INDEX([2]PV.iQOO!$A:$BL,MATCH($A28,[2]PV.iQOO!$B:$B,0),MATCH("IQOOZ11X|8+128|SILVER|SALES",[2]PVKEYIQOO!$1:$1,0)),0)</f>
        <v>0</v>
      </c>
      <c r="BB28" s="12" t="str">
        <f t="shared" si="21"/>
        <v/>
      </c>
      <c r="BC28" s="13">
        <f t="shared" si="22"/>
        <v>7</v>
      </c>
      <c r="BD28" s="13">
        <f t="shared" si="22"/>
        <v>2</v>
      </c>
      <c r="BE28" s="13">
        <f t="shared" si="18"/>
        <v>94.5</v>
      </c>
    </row>
    <row r="29" spans="1:57" x14ac:dyDescent="0.2">
      <c r="A29" s="21" t="s">
        <v>47</v>
      </c>
      <c r="B29" s="10">
        <f>IFERROR(INDEX([2]PV.iQOO!$A:$BL,MATCH($A29,[2]PV.iQOO!$B:$B,0),MATCH("IQOONEO10|16+512|BLACK|STOCK",[2]PVKEYIQOO!$1:$1,0)),0)</f>
        <v>0</v>
      </c>
      <c r="C29" s="22">
        <f>IFERROR(INDEX([2]PV.iQOO!$A:$BL,MATCH($A29,[2]PV.iQOO!$B:$B,0),MATCH("IQOONEO10|16+512|BLACK|SALES",[2]PVKEYIQOO!$1:$1,0)),0)</f>
        <v>0</v>
      </c>
      <c r="D29" s="12" t="str">
        <f t="shared" si="0"/>
        <v/>
      </c>
      <c r="E29" s="10">
        <f>IFERROR(INDEX([2]PV.iQOO!$A:$BL,MATCH($A29,[2]PV.iQOO!$B:$B,0),MATCH("IQOONEO10|16+512|ORANGE|STOCK",[2]PVKEYIQOO!$1:$1,0)),0)</f>
        <v>0</v>
      </c>
      <c r="F29" s="22">
        <f>IFERROR(INDEX([2]PV.iQOO!$A:$BL,MATCH($A29,[2]PV.iQOO!$B:$B,0),MATCH("IQOONEO10|16+512|ORANGE|SALES",[2]PVKEYIQOO!$1:$1,0)),0)</f>
        <v>0</v>
      </c>
      <c r="G29" s="12" t="str">
        <f t="shared" si="1"/>
        <v/>
      </c>
      <c r="H29" s="10">
        <f>IFERROR(INDEX([2]PV.iQOO!$A:$BL,MATCH($A29,[2]PV.iQOO!$B:$B,0),MATCH("IQOOZ11X|8+256|BLACK|STOCK",[2]PVKEYIQOO!$1:$1,0)),0)</f>
        <v>0</v>
      </c>
      <c r="I29" s="22">
        <f>IFERROR(INDEX([2]PV.iQOO!$A:$BL,MATCH($A29,[2]PV.iQOO!$B:$B,0),MATCH("IQOOZ11X|8+256|BLACK|SALES",[2]PVKEYIQOO!$1:$1,0)),0)</f>
        <v>0</v>
      </c>
      <c r="J29" s="12" t="str">
        <f t="shared" si="2"/>
        <v/>
      </c>
      <c r="K29" s="10">
        <f>IFERROR(INDEX([2]PV.iQOO!$A:$BL,MATCH($A29,[2]PV.iQOO!$B:$B,0),MATCH("IQOOZ11X|8+256|SILVER|STOCK",[2]PVKEYIQOO!$1:$1,0)),0)</f>
        <v>0</v>
      </c>
      <c r="L29" s="22">
        <f>IFERROR(INDEX([2]PV.iQOO!$A:$BL,MATCH($A29,[2]PV.iQOO!$B:$B,0),MATCH("IQOOZ11X|8+256|SILVER|SALES",[2]PVKEYIQOO!$1:$1,0)),0)</f>
        <v>1</v>
      </c>
      <c r="M29" s="12">
        <f t="shared" si="3"/>
        <v>0</v>
      </c>
      <c r="N29" s="10">
        <f>IFERROR(INDEX([2]PV.iQOO!$A:$BL,MATCH($A29,[2]PV.iQOO!$B:$B,0),MATCH("IQOOZ11|8+256|BLACK|STOCK",[2]PVKEYIQOO!$1:$1,0)),0)</f>
        <v>1</v>
      </c>
      <c r="O29" s="22">
        <f>IFERROR(INDEX([2]PV.iQOO!$A:$BL,MATCH($A29,[2]PV.iQOO!$B:$B,0),MATCH("IQOOZ11|8+256|BLACK|SALES",[2]PVKEYIQOO!$1:$1,0)),0)</f>
        <v>1</v>
      </c>
      <c r="P29" s="12">
        <f t="shared" si="4"/>
        <v>27</v>
      </c>
      <c r="Q29" s="10">
        <f>IFERROR(INDEX([2]PV.iQOO!$A:$BL,MATCH($A29,[2]PV.iQOO!$B:$B,0),MATCH("IQOOZ11|8+256|BLUE|STOCK",[2]PVKEYIQOO!$1:$1,0)),0)</f>
        <v>1</v>
      </c>
      <c r="R29" s="22">
        <f>IFERROR(INDEX([2]PV.iQOO!$A:$BL,MATCH($A29,[2]PV.iQOO!$B:$B,0),MATCH("IQOOZ11|8+256|BLUE|SALES",[2]PVKEYIQOO!$1:$1,0)),0)</f>
        <v>0</v>
      </c>
      <c r="S29" s="12" t="str">
        <f t="shared" si="5"/>
        <v/>
      </c>
      <c r="T29" s="10">
        <f>IFERROR(INDEX([2]PV.iQOO!$A:$BL,MATCH($A29,[2]PV.iQOO!$B:$B,0),MATCH("IQOO15|16+512|ALPHA|STOCK",[2]PVKEYIQOO!$1:$1,0)),0)</f>
        <v>0</v>
      </c>
      <c r="U29" s="22">
        <f>IFERROR(INDEX([2]PV.iQOO!$A:$BL,MATCH($A29,[2]PV.iQOO!$B:$B,0),MATCH("IQOO15|16+512|ALPHA|SALES",[2]PVKEYIQOO!$1:$1,0)),0)</f>
        <v>0</v>
      </c>
      <c r="V29" s="12" t="str">
        <f t="shared" si="6"/>
        <v/>
      </c>
      <c r="W29" s="22">
        <f t="shared" si="7"/>
        <v>0</v>
      </c>
      <c r="X29" s="10">
        <f>IFERROR(INDEX([2]PV.iQOO!$A:$BL,MATCH($A29,[2]PV.iQOO!$B:$B,0),MATCH("IQOO15|16+512|LEGEND|STOCK",[2]PVKEYIQOO!$1:$1,0)),0)</f>
        <v>0</v>
      </c>
      <c r="Y29" s="22">
        <f>IFERROR(INDEX([2]PV.iQOO!$A:$BL,MATCH($A29,[2]PV.iQOO!$B:$B,0),MATCH("IQOO15|16+512|LEGEND|SALES",[2]PVKEYIQOO!$1:$1,0)),0)</f>
        <v>0</v>
      </c>
      <c r="Z29" s="12" t="str">
        <f t="shared" si="8"/>
        <v/>
      </c>
      <c r="AA29" s="22">
        <f t="shared" si="9"/>
        <v>0</v>
      </c>
      <c r="AB29" s="10">
        <f>IFERROR(INDEX([2]PV.iQOO!$A:$BL,MATCH($A29,[2]PV.iQOO!$B:$B,0),MATCH("IQOO15|16+1T|LEGEND|STOCK",[2]PVKEYIQOO!$1:$1,0)),0)</f>
        <v>0</v>
      </c>
      <c r="AC29" s="22">
        <f>IFERROR(INDEX([2]PV.iQOO!$A:$BL,MATCH($A29,[2]PV.iQOO!$B:$B,0),MATCH("IQOO15|16+1T|LEGEND|SALES",[2]PVKEYIQOO!$1:$1,0)),0)</f>
        <v>0</v>
      </c>
      <c r="AD29" s="12" t="str">
        <f t="shared" si="10"/>
        <v/>
      </c>
      <c r="AE29" s="22">
        <f t="shared" si="11"/>
        <v>0</v>
      </c>
      <c r="AF29" s="10">
        <f>IFERROR(INDEX([2]PV.iQOO!$A:$BL,MATCH($A29,[2]PV.iQOO!$B:$B,0),MATCH("IQOO15R|12+512|BLACK|STOCK",[2]PVKEYIQOO!$1:$1,0)),0)</f>
        <v>0</v>
      </c>
      <c r="AG29" s="22">
        <f>IFERROR(INDEX([2]PV.iQOO!$A:$BL,MATCH($A29,[2]PV.iQOO!$B:$B,0),MATCH("IQOO15R|12+512|BLACK|SALES",[2]PVKEYIQOO!$1:$1,0)),0)</f>
        <v>0</v>
      </c>
      <c r="AH29" s="12" t="str">
        <f t="shared" si="12"/>
        <v/>
      </c>
      <c r="AI29" s="22">
        <f t="shared" si="13"/>
        <v>0</v>
      </c>
      <c r="AJ29" s="10">
        <f>IFERROR(INDEX([2]PV.iQOO!$A:$BL,MATCH($A29,[2]PV.iQOO!$B:$B,0),MATCH("IQOO15R|12+512|SILVER|STOCK",[2]PVKEYIQOO!$1:$1,0)),0)</f>
        <v>0</v>
      </c>
      <c r="AK29" s="22">
        <f>IFERROR(INDEX([2]PV.iQOO!$A:$BL,MATCH($A29,[2]PV.iQOO!$B:$B,0),MATCH("IQOO15R|12+512|SILVER|SALES",[2]PVKEYIQOO!$1:$1,0)),0)</f>
        <v>0</v>
      </c>
      <c r="AL29" s="12" t="str">
        <f t="shared" si="14"/>
        <v/>
      </c>
      <c r="AM29" s="22">
        <f t="shared" si="15"/>
        <v>0</v>
      </c>
      <c r="AN29" s="10">
        <f>IFERROR(INDEX([2]PV.iQOO!$A:$BL,MATCH($A29,[2]PV.iQOO!$B:$B,0),MATCH("IQOOZ11|12+256|BLACK|STOCK",[2]PVKEYIQOO!$1:$1,0)),0)</f>
        <v>1</v>
      </c>
      <c r="AO29" s="22">
        <f>IFERROR(INDEX([2]PV.iQOO!$A:$BL,MATCH($A29,[2]PV.iQOO!$B:$B,0),MATCH("IQOOZ11|12+256|BLACK|SALES",[2]PVKEYIQOO!$1:$1,0)),0)</f>
        <v>0</v>
      </c>
      <c r="AP29" s="12" t="str">
        <f t="shared" si="16"/>
        <v/>
      </c>
      <c r="AQ29" s="10">
        <f>IFERROR(INDEX([2]PV.iQOO!$A:$BL,MATCH($A29,[2]PV.iQOO!$B:$B,0),MATCH("IQOOZ11|12+256|BLUE|STOCK",[2]PVKEYIQOO!$1:$1,0)),0)</f>
        <v>1</v>
      </c>
      <c r="AR29" s="22">
        <f>IFERROR(INDEX([2]PV.iQOO!$A:$BL,MATCH($A29,[2]PV.iQOO!$B:$B,0),MATCH("IQOOZ11|12+256|BLUE|SALES",[2]PVKEYIQOO!$1:$1,0)),0)</f>
        <v>0</v>
      </c>
      <c r="AS29" s="12" t="str">
        <f t="shared" si="17"/>
        <v/>
      </c>
      <c r="AT29" s="10">
        <f>IFERROR(INDEX([2]PV.iQOO!$A:$BL,MATCH($A29,[2]PV.iQOO!$B:$B,0),MATCH("IQOONEO10|12+256|WHITE|STOCK",[2]PVKEYIQOO!$1:$1,0)),0)</f>
        <v>1</v>
      </c>
      <c r="AU29" s="22">
        <f>IFERROR(INDEX([2]PV.iQOO!$A:$BL,MATCH($A29,[2]PV.iQOO!$B:$B,0),MATCH("IQOONEO10|12+256|WHITE|SALES",[2]PVKEYIQOO!$1:$1,0)),0)</f>
        <v>0</v>
      </c>
      <c r="AV29" s="12" t="str">
        <f t="shared" si="19"/>
        <v/>
      </c>
      <c r="AW29" s="10">
        <f>IFERROR(INDEX([2]PV.iQOO!$A:$BL,MATCH($A29,[2]PV.iQOO!$B:$B,0),MATCH("IQOOZ11X|8+128|BLACK|STOCK",[2]PVKEYIQOO!$1:$1,0)),0)</f>
        <v>1</v>
      </c>
      <c r="AX29" s="22">
        <f>IFERROR(INDEX([2]PV.iQOO!$A:$BL,MATCH($A29,[2]PV.iQOO!$B:$B,0),MATCH("IQOOZ11X|8+128|BLACK|SALES",[2]PVKEYIQOO!$1:$1,0)),0)</f>
        <v>0</v>
      </c>
      <c r="AY29" s="12" t="str">
        <f t="shared" si="20"/>
        <v/>
      </c>
      <c r="AZ29" s="10">
        <f>IFERROR(INDEX([2]PV.iQOO!$A:$BL,MATCH($A29,[2]PV.iQOO!$B:$B,0),MATCH("IQOOZ11X|8+128|SILVER|STOCK",[2]PVKEYIQOO!$1:$1,0)),0)</f>
        <v>1</v>
      </c>
      <c r="BA29" s="22">
        <f>IFERROR(INDEX([2]PV.iQOO!$A:$BL,MATCH($A29,[2]PV.iQOO!$B:$B,0),MATCH("IQOOZ11X|8+128|SILVER|SALES",[2]PVKEYIQOO!$1:$1,0)),0)</f>
        <v>0</v>
      </c>
      <c r="BB29" s="12" t="str">
        <f t="shared" si="21"/>
        <v/>
      </c>
      <c r="BC29" s="13">
        <f t="shared" si="22"/>
        <v>7</v>
      </c>
      <c r="BD29" s="13">
        <f t="shared" si="22"/>
        <v>2</v>
      </c>
      <c r="BE29" s="13">
        <f t="shared" si="18"/>
        <v>94.5</v>
      </c>
    </row>
    <row r="30" spans="1:57" x14ac:dyDescent="0.2">
      <c r="A30" s="23" t="s">
        <v>48</v>
      </c>
      <c r="B30" s="10">
        <f>IFERROR(INDEX([2]PV.iQOO!$A:$BL,MATCH($A30,[2]PV.iQOO!$B:$B,0),MATCH("IQOONEO10|16+512|BLACK|STOCK",[2]PVKEYIQOO!$1:$1,0)),0)</f>
        <v>0</v>
      </c>
      <c r="C30" s="22">
        <f>IFERROR(INDEX([2]PV.iQOO!$A:$BL,MATCH($A30,[2]PV.iQOO!$B:$B,0),MATCH("IQOONEO10|16+512|BLACK|SALES",[2]PVKEYIQOO!$1:$1,0)),0)</f>
        <v>0</v>
      </c>
      <c r="D30" s="12" t="str">
        <f t="shared" si="0"/>
        <v/>
      </c>
      <c r="E30" s="10">
        <f>IFERROR(INDEX([2]PV.iQOO!$A:$BL,MATCH($A30,[2]PV.iQOO!$B:$B,0),MATCH("IQOONEO10|16+512|ORANGE|STOCK",[2]PVKEYIQOO!$1:$1,0)),0)</f>
        <v>0</v>
      </c>
      <c r="F30" s="22">
        <f>IFERROR(INDEX([2]PV.iQOO!$A:$BL,MATCH($A30,[2]PV.iQOO!$B:$B,0),MATCH("IQOONEO10|16+512|ORANGE|SALES",[2]PVKEYIQOO!$1:$1,0)),0)</f>
        <v>0</v>
      </c>
      <c r="G30" s="12" t="str">
        <f t="shared" si="1"/>
        <v/>
      </c>
      <c r="H30" s="10">
        <f>IFERROR(INDEX([2]PV.iQOO!$A:$BL,MATCH($A30,[2]PV.iQOO!$B:$B,0),MATCH("IQOOZ11X|8+256|BLACK|STOCK",[2]PVKEYIQOO!$1:$1,0)),0)</f>
        <v>0</v>
      </c>
      <c r="I30" s="22">
        <f>IFERROR(INDEX([2]PV.iQOO!$A:$BL,MATCH($A30,[2]PV.iQOO!$B:$B,0),MATCH("IQOOZ11X|8+256|BLACK|SALES",[2]PVKEYIQOO!$1:$1,0)),0)</f>
        <v>0</v>
      </c>
      <c r="J30" s="12" t="str">
        <f t="shared" si="2"/>
        <v/>
      </c>
      <c r="K30" s="10">
        <f>IFERROR(INDEX([2]PV.iQOO!$A:$BL,MATCH($A30,[2]PV.iQOO!$B:$B,0),MATCH("IQOOZ11X|8+256|SILVER|STOCK",[2]PVKEYIQOO!$1:$1,0)),0)</f>
        <v>0</v>
      </c>
      <c r="L30" s="22">
        <f>IFERROR(INDEX([2]PV.iQOO!$A:$BL,MATCH($A30,[2]PV.iQOO!$B:$B,0),MATCH("IQOOZ11X|8+256|SILVER|SALES",[2]PVKEYIQOO!$1:$1,0)),0)</f>
        <v>0</v>
      </c>
      <c r="M30" s="12" t="str">
        <f t="shared" si="3"/>
        <v/>
      </c>
      <c r="N30" s="10">
        <f>IFERROR(INDEX([2]PV.iQOO!$A:$BL,MATCH($A30,[2]PV.iQOO!$B:$B,0),MATCH("IQOOZ11|8+256|BLACK|STOCK",[2]PVKEYIQOO!$1:$1,0)),0)</f>
        <v>1</v>
      </c>
      <c r="O30" s="22">
        <f>IFERROR(INDEX([2]PV.iQOO!$A:$BL,MATCH($A30,[2]PV.iQOO!$B:$B,0),MATCH("IQOOZ11|8+256|BLACK|SALES",[2]PVKEYIQOO!$1:$1,0)),0)</f>
        <v>1</v>
      </c>
      <c r="P30" s="12">
        <f t="shared" si="4"/>
        <v>27</v>
      </c>
      <c r="Q30" s="10">
        <f>IFERROR(INDEX([2]PV.iQOO!$A:$BL,MATCH($A30,[2]PV.iQOO!$B:$B,0),MATCH("IQOOZ11|8+256|BLUE|STOCK",[2]PVKEYIQOO!$1:$1,0)),0)</f>
        <v>1</v>
      </c>
      <c r="R30" s="22">
        <f>IFERROR(INDEX([2]PV.iQOO!$A:$BL,MATCH($A30,[2]PV.iQOO!$B:$B,0),MATCH("IQOOZ11|8+256|BLUE|SALES",[2]PVKEYIQOO!$1:$1,0)),0)</f>
        <v>1</v>
      </c>
      <c r="S30" s="12">
        <f t="shared" si="5"/>
        <v>27</v>
      </c>
      <c r="T30" s="10">
        <f>IFERROR(INDEX([2]PV.iQOO!$A:$BL,MATCH($A30,[2]PV.iQOO!$B:$B,0),MATCH("IQOO15|16+512|ALPHA|STOCK",[2]PVKEYIQOO!$1:$1,0)),0)</f>
        <v>0</v>
      </c>
      <c r="U30" s="22">
        <f>IFERROR(INDEX([2]PV.iQOO!$A:$BL,MATCH($A30,[2]PV.iQOO!$B:$B,0),MATCH("IQOO15|16+512|ALPHA|SALES",[2]PVKEYIQOO!$1:$1,0)),0)</f>
        <v>0</v>
      </c>
      <c r="V30" s="12" t="str">
        <f t="shared" si="6"/>
        <v/>
      </c>
      <c r="W30" s="22">
        <f t="shared" si="7"/>
        <v>0</v>
      </c>
      <c r="X30" s="10">
        <f>IFERROR(INDEX([2]PV.iQOO!$A:$BL,MATCH($A30,[2]PV.iQOO!$B:$B,0),MATCH("IQOO15|16+512|LEGEND|STOCK",[2]PVKEYIQOO!$1:$1,0)),0)</f>
        <v>0</v>
      </c>
      <c r="Y30" s="22">
        <f>IFERROR(INDEX([2]PV.iQOO!$A:$BL,MATCH($A30,[2]PV.iQOO!$B:$B,0),MATCH("IQOO15|16+512|LEGEND|SALES",[2]PVKEYIQOO!$1:$1,0)),0)</f>
        <v>0</v>
      </c>
      <c r="Z30" s="12" t="str">
        <f t="shared" si="8"/>
        <v/>
      </c>
      <c r="AA30" s="22">
        <f t="shared" si="9"/>
        <v>0</v>
      </c>
      <c r="AB30" s="10">
        <f>IFERROR(INDEX([2]PV.iQOO!$A:$BL,MATCH($A30,[2]PV.iQOO!$B:$B,0),MATCH("IQOO15|16+1T|LEGEND|STOCK",[2]PVKEYIQOO!$1:$1,0)),0)</f>
        <v>0</v>
      </c>
      <c r="AC30" s="22">
        <f>IFERROR(INDEX([2]PV.iQOO!$A:$BL,MATCH($A30,[2]PV.iQOO!$B:$B,0),MATCH("IQOO15|16+1T|LEGEND|SALES",[2]PVKEYIQOO!$1:$1,0)),0)</f>
        <v>0</v>
      </c>
      <c r="AD30" s="12" t="str">
        <f t="shared" si="10"/>
        <v/>
      </c>
      <c r="AE30" s="22">
        <f t="shared" si="11"/>
        <v>0</v>
      </c>
      <c r="AF30" s="10">
        <f>IFERROR(INDEX([2]PV.iQOO!$A:$BL,MATCH($A30,[2]PV.iQOO!$B:$B,0),MATCH("IQOO15R|12+512|BLACK|STOCK",[2]PVKEYIQOO!$1:$1,0)),0)</f>
        <v>0</v>
      </c>
      <c r="AG30" s="22">
        <f>IFERROR(INDEX([2]PV.iQOO!$A:$BL,MATCH($A30,[2]PV.iQOO!$B:$B,0),MATCH("IQOO15R|12+512|BLACK|SALES",[2]PVKEYIQOO!$1:$1,0)),0)</f>
        <v>2</v>
      </c>
      <c r="AH30" s="12">
        <f t="shared" si="12"/>
        <v>0</v>
      </c>
      <c r="AI30" s="22">
        <f t="shared" si="13"/>
        <v>0.7407407407407407</v>
      </c>
      <c r="AJ30" s="10">
        <f>IFERROR(INDEX([2]PV.iQOO!$A:$BL,MATCH($A30,[2]PV.iQOO!$B:$B,0),MATCH("IQOO15R|12+512|SILVER|STOCK",[2]PVKEYIQOO!$1:$1,0)),0)</f>
        <v>0</v>
      </c>
      <c r="AK30" s="22">
        <f>IFERROR(INDEX([2]PV.iQOO!$A:$BL,MATCH($A30,[2]PV.iQOO!$B:$B,0),MATCH("IQOO15R|12+512|SILVER|SALES",[2]PVKEYIQOO!$1:$1,0)),0)</f>
        <v>0</v>
      </c>
      <c r="AL30" s="12" t="str">
        <f t="shared" si="14"/>
        <v/>
      </c>
      <c r="AM30" s="22">
        <f t="shared" si="15"/>
        <v>0</v>
      </c>
      <c r="AN30" s="10">
        <f>IFERROR(INDEX([2]PV.iQOO!$A:$BL,MATCH($A30,[2]PV.iQOO!$B:$B,0),MATCH("IQOOZ11|12+256|BLACK|STOCK",[2]PVKEYIQOO!$1:$1,0)),0)</f>
        <v>1</v>
      </c>
      <c r="AO30" s="22">
        <f>IFERROR(INDEX([2]PV.iQOO!$A:$BL,MATCH($A30,[2]PV.iQOO!$B:$B,0),MATCH("IQOOZ11|12+256|BLACK|SALES",[2]PVKEYIQOO!$1:$1,0)),0)</f>
        <v>0</v>
      </c>
      <c r="AP30" s="12" t="str">
        <f t="shared" si="16"/>
        <v/>
      </c>
      <c r="AQ30" s="10">
        <f>IFERROR(INDEX([2]PV.iQOO!$A:$BL,MATCH($A30,[2]PV.iQOO!$B:$B,0),MATCH("IQOOZ11|12+256|BLUE|STOCK",[2]PVKEYIQOO!$1:$1,0)),0)</f>
        <v>2</v>
      </c>
      <c r="AR30" s="22">
        <f>IFERROR(INDEX([2]PV.iQOO!$A:$BL,MATCH($A30,[2]PV.iQOO!$B:$B,0),MATCH("IQOOZ11|12+256|BLUE|SALES",[2]PVKEYIQOO!$1:$1,0)),0)</f>
        <v>2</v>
      </c>
      <c r="AS30" s="12">
        <f t="shared" si="17"/>
        <v>27</v>
      </c>
      <c r="AT30" s="10">
        <f>IFERROR(INDEX([2]PV.iQOO!$A:$BL,MATCH($A30,[2]PV.iQOO!$B:$B,0),MATCH("IQOONEO10|12+256|WHITE|STOCK",[2]PVKEYIQOO!$1:$1,0)),0)</f>
        <v>2</v>
      </c>
      <c r="AU30" s="22">
        <f>IFERROR(INDEX([2]PV.iQOO!$A:$BL,MATCH($A30,[2]PV.iQOO!$B:$B,0),MATCH("IQOONEO10|12+256|WHITE|SALES",[2]PVKEYIQOO!$1:$1,0)),0)</f>
        <v>0</v>
      </c>
      <c r="AV30" s="12" t="str">
        <f t="shared" si="19"/>
        <v/>
      </c>
      <c r="AW30" s="10">
        <f>IFERROR(INDEX([2]PV.iQOO!$A:$BL,MATCH($A30,[2]PV.iQOO!$B:$B,0),MATCH("IQOOZ11X|8+128|BLACK|STOCK",[2]PVKEYIQOO!$1:$1,0)),0)</f>
        <v>1</v>
      </c>
      <c r="AX30" s="22">
        <f>IFERROR(INDEX([2]PV.iQOO!$A:$BL,MATCH($A30,[2]PV.iQOO!$B:$B,0),MATCH("IQOOZ11X|8+128|BLACK|SALES",[2]PVKEYIQOO!$1:$1,0)),0)</f>
        <v>0</v>
      </c>
      <c r="AY30" s="12" t="str">
        <f t="shared" si="20"/>
        <v/>
      </c>
      <c r="AZ30" s="10">
        <f>IFERROR(INDEX([2]PV.iQOO!$A:$BL,MATCH($A30,[2]PV.iQOO!$B:$B,0),MATCH("IQOOZ11X|8+128|SILVER|STOCK",[2]PVKEYIQOO!$1:$1,0)),0)</f>
        <v>0</v>
      </c>
      <c r="BA30" s="22">
        <f>IFERROR(INDEX([2]PV.iQOO!$A:$BL,MATCH($A30,[2]PV.iQOO!$B:$B,0),MATCH("IQOOZ11X|8+128|SILVER|SALES",[2]PVKEYIQOO!$1:$1,0)),0)</f>
        <v>1</v>
      </c>
      <c r="BB30" s="12">
        <f t="shared" si="21"/>
        <v>0</v>
      </c>
      <c r="BC30" s="13">
        <f t="shared" si="22"/>
        <v>8</v>
      </c>
      <c r="BD30" s="13">
        <f t="shared" si="22"/>
        <v>7</v>
      </c>
      <c r="BE30" s="13">
        <f t="shared" si="18"/>
        <v>30.857142857142858</v>
      </c>
    </row>
    <row r="31" spans="1:57" x14ac:dyDescent="0.2">
      <c r="A31" s="23" t="s">
        <v>49</v>
      </c>
      <c r="B31" s="10">
        <f>IFERROR(INDEX([2]PV.iQOO!$A:$BL,MATCH($A31,[2]PV.iQOO!$B:$B,0),MATCH("IQOONEO10|16+512|BLACK|STOCK",[2]PVKEYIQOO!$1:$1,0)),0)</f>
        <v>0</v>
      </c>
      <c r="C31" s="22">
        <f>IFERROR(INDEX([2]PV.iQOO!$A:$BL,MATCH($A31,[2]PV.iQOO!$B:$B,0),MATCH("IQOONEO10|16+512|BLACK|SALES",[2]PVKEYIQOO!$1:$1,0)),0)</f>
        <v>0</v>
      </c>
      <c r="D31" s="12" t="str">
        <f t="shared" si="0"/>
        <v/>
      </c>
      <c r="E31" s="10">
        <f>IFERROR(INDEX([2]PV.iQOO!$A:$BL,MATCH($A31,[2]PV.iQOO!$B:$B,0),MATCH("IQOONEO10|16+512|ORANGE|STOCK",[2]PVKEYIQOO!$1:$1,0)),0)</f>
        <v>0</v>
      </c>
      <c r="F31" s="22">
        <f>IFERROR(INDEX([2]PV.iQOO!$A:$BL,MATCH($A31,[2]PV.iQOO!$B:$B,0),MATCH("IQOONEO10|16+512|ORANGE|SALES",[2]PVKEYIQOO!$1:$1,0)),0)</f>
        <v>0</v>
      </c>
      <c r="G31" s="12" t="str">
        <f t="shared" si="1"/>
        <v/>
      </c>
      <c r="H31" s="10">
        <f>IFERROR(INDEX([2]PV.iQOO!$A:$BL,MATCH($A31,[2]PV.iQOO!$B:$B,0),MATCH("IQOOZ11X|8+256|BLACK|STOCK",[2]PVKEYIQOO!$1:$1,0)),0)</f>
        <v>0</v>
      </c>
      <c r="I31" s="22">
        <f>IFERROR(INDEX([2]PV.iQOO!$A:$BL,MATCH($A31,[2]PV.iQOO!$B:$B,0),MATCH("IQOOZ11X|8+256|BLACK|SALES",[2]PVKEYIQOO!$1:$1,0)),0)</f>
        <v>0</v>
      </c>
      <c r="J31" s="12" t="str">
        <f t="shared" si="2"/>
        <v/>
      </c>
      <c r="K31" s="10">
        <f>IFERROR(INDEX([2]PV.iQOO!$A:$BL,MATCH($A31,[2]PV.iQOO!$B:$B,0),MATCH("IQOOZ11X|8+256|SILVER|STOCK",[2]PVKEYIQOO!$1:$1,0)),0)</f>
        <v>0</v>
      </c>
      <c r="L31" s="22">
        <f>IFERROR(INDEX([2]PV.iQOO!$A:$BL,MATCH($A31,[2]PV.iQOO!$B:$B,0),MATCH("IQOOZ11X|8+256|SILVER|SALES",[2]PVKEYIQOO!$1:$1,0)),0)</f>
        <v>0</v>
      </c>
      <c r="M31" s="12" t="str">
        <f t="shared" si="3"/>
        <v/>
      </c>
      <c r="N31" s="10">
        <f>IFERROR(INDEX([2]PV.iQOO!$A:$BL,MATCH($A31,[2]PV.iQOO!$B:$B,0),MATCH("IQOOZ11|8+256|BLACK|STOCK",[2]PVKEYIQOO!$1:$1,0)),0)</f>
        <v>1</v>
      </c>
      <c r="O31" s="22">
        <f>IFERROR(INDEX([2]PV.iQOO!$A:$BL,MATCH($A31,[2]PV.iQOO!$B:$B,0),MATCH("IQOOZ11|8+256|BLACK|SALES",[2]PVKEYIQOO!$1:$1,0)),0)</f>
        <v>1</v>
      </c>
      <c r="P31" s="12">
        <f t="shared" si="4"/>
        <v>27</v>
      </c>
      <c r="Q31" s="10">
        <f>IFERROR(INDEX([2]PV.iQOO!$A:$BL,MATCH($A31,[2]PV.iQOO!$B:$B,0),MATCH("IQOOZ11|8+256|BLUE|STOCK",[2]PVKEYIQOO!$1:$1,0)),0)</f>
        <v>1</v>
      </c>
      <c r="R31" s="22">
        <f>IFERROR(INDEX([2]PV.iQOO!$A:$BL,MATCH($A31,[2]PV.iQOO!$B:$B,0),MATCH("IQOOZ11|8+256|BLUE|SALES",[2]PVKEYIQOO!$1:$1,0)),0)</f>
        <v>0</v>
      </c>
      <c r="S31" s="12" t="str">
        <f t="shared" si="5"/>
        <v/>
      </c>
      <c r="T31" s="10">
        <f>IFERROR(INDEX([2]PV.iQOO!$A:$BL,MATCH($A31,[2]PV.iQOO!$B:$B,0),MATCH("IQOO15|16+512|ALPHA|STOCK",[2]PVKEYIQOO!$1:$1,0)),0)</f>
        <v>0</v>
      </c>
      <c r="U31" s="22">
        <f>IFERROR(INDEX([2]PV.iQOO!$A:$BL,MATCH($A31,[2]PV.iQOO!$B:$B,0),MATCH("IQOO15|16+512|ALPHA|SALES",[2]PVKEYIQOO!$1:$1,0)),0)</f>
        <v>0</v>
      </c>
      <c r="V31" s="12" t="str">
        <f t="shared" si="6"/>
        <v/>
      </c>
      <c r="W31" s="22">
        <f t="shared" si="7"/>
        <v>0</v>
      </c>
      <c r="X31" s="10">
        <f>IFERROR(INDEX([2]PV.iQOO!$A:$BL,MATCH($A31,[2]PV.iQOO!$B:$B,0),MATCH("IQOO15|16+512|LEGEND|STOCK",[2]PVKEYIQOO!$1:$1,0)),0)</f>
        <v>0</v>
      </c>
      <c r="Y31" s="22">
        <f>IFERROR(INDEX([2]PV.iQOO!$A:$BL,MATCH($A31,[2]PV.iQOO!$B:$B,0),MATCH("IQOO15|16+512|LEGEND|SALES",[2]PVKEYIQOO!$1:$1,0)),0)</f>
        <v>0</v>
      </c>
      <c r="Z31" s="12" t="str">
        <f t="shared" si="8"/>
        <v/>
      </c>
      <c r="AA31" s="22">
        <f t="shared" si="9"/>
        <v>0</v>
      </c>
      <c r="AB31" s="10">
        <f>IFERROR(INDEX([2]PV.iQOO!$A:$BL,MATCH($A31,[2]PV.iQOO!$B:$B,0),MATCH("IQOO15|16+1T|LEGEND|STOCK",[2]PVKEYIQOO!$1:$1,0)),0)</f>
        <v>0</v>
      </c>
      <c r="AC31" s="22">
        <f>IFERROR(INDEX([2]PV.iQOO!$A:$BL,MATCH($A31,[2]PV.iQOO!$B:$B,0),MATCH("IQOO15|16+1T|LEGEND|SALES",[2]PVKEYIQOO!$1:$1,0)),0)</f>
        <v>0</v>
      </c>
      <c r="AD31" s="12" t="str">
        <f t="shared" si="10"/>
        <v/>
      </c>
      <c r="AE31" s="22">
        <f t="shared" si="11"/>
        <v>0</v>
      </c>
      <c r="AF31" s="10">
        <f>IFERROR(INDEX([2]PV.iQOO!$A:$BL,MATCH($A31,[2]PV.iQOO!$B:$B,0),MATCH("IQOO15R|12+512|BLACK|STOCK",[2]PVKEYIQOO!$1:$1,0)),0)</f>
        <v>0</v>
      </c>
      <c r="AG31" s="22">
        <f>IFERROR(INDEX([2]PV.iQOO!$A:$BL,MATCH($A31,[2]PV.iQOO!$B:$B,0),MATCH("IQOO15R|12+512|BLACK|SALES",[2]PVKEYIQOO!$1:$1,0)),0)</f>
        <v>1</v>
      </c>
      <c r="AH31" s="12">
        <f t="shared" si="12"/>
        <v>0</v>
      </c>
      <c r="AI31" s="22">
        <f t="shared" si="13"/>
        <v>0.37037037037037035</v>
      </c>
      <c r="AJ31" s="10">
        <f>IFERROR(INDEX([2]PV.iQOO!$A:$BL,MATCH($A31,[2]PV.iQOO!$B:$B,0),MATCH("IQOO15R|12+512|SILVER|STOCK",[2]PVKEYIQOO!$1:$1,0)),0)</f>
        <v>0</v>
      </c>
      <c r="AK31" s="22">
        <f>IFERROR(INDEX([2]PV.iQOO!$A:$BL,MATCH($A31,[2]PV.iQOO!$B:$B,0),MATCH("IQOO15R|12+512|SILVER|SALES",[2]PVKEYIQOO!$1:$1,0)),0)</f>
        <v>0</v>
      </c>
      <c r="AL31" s="12" t="str">
        <f t="shared" si="14"/>
        <v/>
      </c>
      <c r="AM31" s="22">
        <f t="shared" si="15"/>
        <v>0</v>
      </c>
      <c r="AN31" s="10">
        <f>IFERROR(INDEX([2]PV.iQOO!$A:$BL,MATCH($A31,[2]PV.iQOO!$B:$B,0),MATCH("IQOOZ11|12+256|BLACK|STOCK",[2]PVKEYIQOO!$1:$1,0)),0)</f>
        <v>0</v>
      </c>
      <c r="AO31" s="22">
        <f>IFERROR(INDEX([2]PV.iQOO!$A:$BL,MATCH($A31,[2]PV.iQOO!$B:$B,0),MATCH("IQOOZ11|12+256|BLACK|SALES",[2]PVKEYIQOO!$1:$1,0)),0)</f>
        <v>0</v>
      </c>
      <c r="AP31" s="12" t="str">
        <f t="shared" si="16"/>
        <v/>
      </c>
      <c r="AQ31" s="10">
        <f>IFERROR(INDEX([2]PV.iQOO!$A:$BL,MATCH($A31,[2]PV.iQOO!$B:$B,0),MATCH("IQOOZ11|12+256|BLUE|STOCK",[2]PVKEYIQOO!$1:$1,0)),0)</f>
        <v>0</v>
      </c>
      <c r="AR31" s="22">
        <f>IFERROR(INDEX([2]PV.iQOO!$A:$BL,MATCH($A31,[2]PV.iQOO!$B:$B,0),MATCH("IQOOZ11|12+256|BLUE|SALES",[2]PVKEYIQOO!$1:$1,0)),0)</f>
        <v>0</v>
      </c>
      <c r="AS31" s="12" t="str">
        <f t="shared" si="17"/>
        <v/>
      </c>
      <c r="AT31" s="10">
        <f>IFERROR(INDEX([2]PV.iQOO!$A:$BL,MATCH($A31,[2]PV.iQOO!$B:$B,0),MATCH("IQOONEO10|12+256|WHITE|STOCK",[2]PVKEYIQOO!$1:$1,0)),0)</f>
        <v>0</v>
      </c>
      <c r="AU31" s="22">
        <f>IFERROR(INDEX([2]PV.iQOO!$A:$BL,MATCH($A31,[2]PV.iQOO!$B:$B,0),MATCH("IQOONEO10|12+256|WHITE|SALES",[2]PVKEYIQOO!$1:$1,0)),0)</f>
        <v>0</v>
      </c>
      <c r="AV31" s="12" t="str">
        <f t="shared" si="19"/>
        <v/>
      </c>
      <c r="AW31" s="10">
        <f>IFERROR(INDEX([2]PV.iQOO!$A:$BL,MATCH($A31,[2]PV.iQOO!$B:$B,0),MATCH("IQOOZ11X|8+128|BLACK|STOCK",[2]PVKEYIQOO!$1:$1,0)),0)</f>
        <v>1</v>
      </c>
      <c r="AX31" s="22">
        <f>IFERROR(INDEX([2]PV.iQOO!$A:$BL,MATCH($A31,[2]PV.iQOO!$B:$B,0),MATCH("IQOOZ11X|8+128|BLACK|SALES",[2]PVKEYIQOO!$1:$1,0)),0)</f>
        <v>0</v>
      </c>
      <c r="AY31" s="12" t="str">
        <f t="shared" si="20"/>
        <v/>
      </c>
      <c r="AZ31" s="10">
        <f>IFERROR(INDEX([2]PV.iQOO!$A:$BL,MATCH($A31,[2]PV.iQOO!$B:$B,0),MATCH("IQOOZ11X|8+128|SILVER|STOCK",[2]PVKEYIQOO!$1:$1,0)),0)</f>
        <v>1</v>
      </c>
      <c r="BA31" s="22">
        <f>IFERROR(INDEX([2]PV.iQOO!$A:$BL,MATCH($A31,[2]PV.iQOO!$B:$B,0),MATCH("IQOOZ11X|8+128|SILVER|SALES",[2]PVKEYIQOO!$1:$1,0)),0)</f>
        <v>0</v>
      </c>
      <c r="BB31" s="12" t="str">
        <f t="shared" si="21"/>
        <v/>
      </c>
      <c r="BC31" s="13">
        <f t="shared" si="22"/>
        <v>4</v>
      </c>
      <c r="BD31" s="13">
        <f t="shared" si="22"/>
        <v>2</v>
      </c>
      <c r="BE31" s="13">
        <f t="shared" si="18"/>
        <v>54</v>
      </c>
    </row>
    <row r="32" spans="1:57" x14ac:dyDescent="0.2">
      <c r="A32" s="23" t="s">
        <v>50</v>
      </c>
      <c r="B32" s="10">
        <f>IFERROR(INDEX([2]PV.iQOO!$A:$BL,MATCH($A32,[2]PV.iQOO!$B:$B,0),MATCH("IQOONEO10|16+512|BLACK|STOCK",[2]PVKEYIQOO!$1:$1,0)),0)</f>
        <v>0</v>
      </c>
      <c r="C32" s="22">
        <f>IFERROR(INDEX([2]PV.iQOO!$A:$BL,MATCH($A32,[2]PV.iQOO!$B:$B,0),MATCH("IQOONEO10|16+512|BLACK|SALES",[2]PVKEYIQOO!$1:$1,0)),0)</f>
        <v>0</v>
      </c>
      <c r="D32" s="12" t="str">
        <f t="shared" si="0"/>
        <v/>
      </c>
      <c r="E32" s="10">
        <f>IFERROR(INDEX([2]PV.iQOO!$A:$BL,MATCH($A32,[2]PV.iQOO!$B:$B,0),MATCH("IQOONEO10|16+512|ORANGE|STOCK",[2]PVKEYIQOO!$1:$1,0)),0)</f>
        <v>0</v>
      </c>
      <c r="F32" s="22">
        <f>IFERROR(INDEX([2]PV.iQOO!$A:$BL,MATCH($A32,[2]PV.iQOO!$B:$B,0),MATCH("IQOONEO10|16+512|ORANGE|SALES",[2]PVKEYIQOO!$1:$1,0)),0)</f>
        <v>0</v>
      </c>
      <c r="G32" s="12" t="str">
        <f t="shared" si="1"/>
        <v/>
      </c>
      <c r="H32" s="10">
        <f>IFERROR(INDEX([2]PV.iQOO!$A:$BL,MATCH($A32,[2]PV.iQOO!$B:$B,0),MATCH("IQOOZ11X|8+256|BLACK|STOCK",[2]PVKEYIQOO!$1:$1,0)),0)</f>
        <v>0</v>
      </c>
      <c r="I32" s="22">
        <f>IFERROR(INDEX([2]PV.iQOO!$A:$BL,MATCH($A32,[2]PV.iQOO!$B:$B,0),MATCH("IQOOZ11X|8+256|BLACK|SALES",[2]PVKEYIQOO!$1:$1,0)),0)</f>
        <v>0</v>
      </c>
      <c r="J32" s="12" t="str">
        <f t="shared" si="2"/>
        <v/>
      </c>
      <c r="K32" s="10">
        <f>IFERROR(INDEX([2]PV.iQOO!$A:$BL,MATCH($A32,[2]PV.iQOO!$B:$B,0),MATCH("IQOOZ11X|8+256|SILVER|STOCK",[2]PVKEYIQOO!$1:$1,0)),0)</f>
        <v>1</v>
      </c>
      <c r="L32" s="22">
        <f>IFERROR(INDEX([2]PV.iQOO!$A:$BL,MATCH($A32,[2]PV.iQOO!$B:$B,0),MATCH("IQOOZ11X|8+256|SILVER|SALES",[2]PVKEYIQOO!$1:$1,0)),0)</f>
        <v>0</v>
      </c>
      <c r="M32" s="12" t="str">
        <f t="shared" si="3"/>
        <v/>
      </c>
      <c r="N32" s="10">
        <f>IFERROR(INDEX([2]PV.iQOO!$A:$BL,MATCH($A32,[2]PV.iQOO!$B:$B,0),MATCH("IQOOZ11|8+256|BLACK|STOCK",[2]PVKEYIQOO!$1:$1,0)),0)</f>
        <v>3</v>
      </c>
      <c r="O32" s="22">
        <f>IFERROR(INDEX([2]PV.iQOO!$A:$BL,MATCH($A32,[2]PV.iQOO!$B:$B,0),MATCH("IQOOZ11|8+256|BLACK|SALES",[2]PVKEYIQOO!$1:$1,0)),0)</f>
        <v>0</v>
      </c>
      <c r="P32" s="12" t="str">
        <f t="shared" si="4"/>
        <v/>
      </c>
      <c r="Q32" s="10">
        <f>IFERROR(INDEX([2]PV.iQOO!$A:$BL,MATCH($A32,[2]PV.iQOO!$B:$B,0),MATCH("IQOOZ11|8+256|BLUE|STOCK",[2]PVKEYIQOO!$1:$1,0)),0)</f>
        <v>2</v>
      </c>
      <c r="R32" s="22">
        <f>IFERROR(INDEX([2]PV.iQOO!$A:$BL,MATCH($A32,[2]PV.iQOO!$B:$B,0),MATCH("IQOOZ11|8+256|BLUE|SALES",[2]PVKEYIQOO!$1:$1,0)),0)</f>
        <v>0</v>
      </c>
      <c r="S32" s="12" t="str">
        <f t="shared" si="5"/>
        <v/>
      </c>
      <c r="T32" s="10">
        <f>IFERROR(INDEX([2]PV.iQOO!$A:$BL,MATCH($A32,[2]PV.iQOO!$B:$B,0),MATCH("IQOO15|16+512|ALPHA|STOCK",[2]PVKEYIQOO!$1:$1,0)),0)</f>
        <v>0</v>
      </c>
      <c r="U32" s="22">
        <f>IFERROR(INDEX([2]PV.iQOO!$A:$BL,MATCH($A32,[2]PV.iQOO!$B:$B,0),MATCH("IQOO15|16+512|ALPHA|SALES",[2]PVKEYIQOO!$1:$1,0)),0)</f>
        <v>0</v>
      </c>
      <c r="V32" s="12" t="str">
        <f t="shared" si="6"/>
        <v/>
      </c>
      <c r="W32" s="22">
        <f t="shared" si="7"/>
        <v>0</v>
      </c>
      <c r="X32" s="10">
        <f>IFERROR(INDEX([2]PV.iQOO!$A:$BL,MATCH($A32,[2]PV.iQOO!$B:$B,0),MATCH("IQOO15|16+512|LEGEND|STOCK",[2]PVKEYIQOO!$1:$1,0)),0)</f>
        <v>0</v>
      </c>
      <c r="Y32" s="22">
        <f>IFERROR(INDEX([2]PV.iQOO!$A:$BL,MATCH($A32,[2]PV.iQOO!$B:$B,0),MATCH("IQOO15|16+512|LEGEND|SALES",[2]PVKEYIQOO!$1:$1,0)),0)</f>
        <v>0</v>
      </c>
      <c r="Z32" s="12" t="str">
        <f t="shared" si="8"/>
        <v/>
      </c>
      <c r="AA32" s="22">
        <f t="shared" si="9"/>
        <v>0</v>
      </c>
      <c r="AB32" s="10">
        <f>IFERROR(INDEX([2]PV.iQOO!$A:$BL,MATCH($A32,[2]PV.iQOO!$B:$B,0),MATCH("IQOO15|16+1T|LEGEND|STOCK",[2]PVKEYIQOO!$1:$1,0)),0)</f>
        <v>0</v>
      </c>
      <c r="AC32" s="22">
        <f>IFERROR(INDEX([2]PV.iQOO!$A:$BL,MATCH($A32,[2]PV.iQOO!$B:$B,0),MATCH("IQOO15|16+1T|LEGEND|SALES",[2]PVKEYIQOO!$1:$1,0)),0)</f>
        <v>0</v>
      </c>
      <c r="AD32" s="12" t="str">
        <f t="shared" si="10"/>
        <v/>
      </c>
      <c r="AE32" s="22">
        <f t="shared" si="11"/>
        <v>0</v>
      </c>
      <c r="AF32" s="10">
        <f>IFERROR(INDEX([2]PV.iQOO!$A:$BL,MATCH($A32,[2]PV.iQOO!$B:$B,0),MATCH("IQOO15R|12+512|BLACK|STOCK",[2]PVKEYIQOO!$1:$1,0)),0)</f>
        <v>0</v>
      </c>
      <c r="AG32" s="22">
        <f>IFERROR(INDEX([2]PV.iQOO!$A:$BL,MATCH($A32,[2]PV.iQOO!$B:$B,0),MATCH("IQOO15R|12+512|BLACK|SALES",[2]PVKEYIQOO!$1:$1,0)),0)</f>
        <v>0</v>
      </c>
      <c r="AH32" s="12" t="str">
        <f t="shared" si="12"/>
        <v/>
      </c>
      <c r="AI32" s="22">
        <f t="shared" si="13"/>
        <v>0</v>
      </c>
      <c r="AJ32" s="10">
        <f>IFERROR(INDEX([2]PV.iQOO!$A:$BL,MATCH($A32,[2]PV.iQOO!$B:$B,0),MATCH("IQOO15R|12+512|SILVER|STOCK",[2]PVKEYIQOO!$1:$1,0)),0)</f>
        <v>0</v>
      </c>
      <c r="AK32" s="22">
        <f>IFERROR(INDEX([2]PV.iQOO!$A:$BL,MATCH($A32,[2]PV.iQOO!$B:$B,0),MATCH("IQOO15R|12+512|SILVER|SALES",[2]PVKEYIQOO!$1:$1,0)),0)</f>
        <v>0</v>
      </c>
      <c r="AL32" s="12" t="str">
        <f t="shared" si="14"/>
        <v/>
      </c>
      <c r="AM32" s="22">
        <f t="shared" si="15"/>
        <v>0</v>
      </c>
      <c r="AN32" s="10">
        <f>IFERROR(INDEX([2]PV.iQOO!$A:$BL,MATCH($A32,[2]PV.iQOO!$B:$B,0),MATCH("IQOOZ11|12+256|BLACK|STOCK",[2]PVKEYIQOO!$1:$1,0)),0)</f>
        <v>1</v>
      </c>
      <c r="AO32" s="22">
        <f>IFERROR(INDEX([2]PV.iQOO!$A:$BL,MATCH($A32,[2]PV.iQOO!$B:$B,0),MATCH("IQOOZ11|12+256|BLACK|SALES",[2]PVKEYIQOO!$1:$1,0)),0)</f>
        <v>0</v>
      </c>
      <c r="AP32" s="12" t="str">
        <f t="shared" si="16"/>
        <v/>
      </c>
      <c r="AQ32" s="10">
        <f>IFERROR(INDEX([2]PV.iQOO!$A:$BL,MATCH($A32,[2]PV.iQOO!$B:$B,0),MATCH("IQOOZ11|12+256|BLUE|STOCK",[2]PVKEYIQOO!$1:$1,0)),0)</f>
        <v>1</v>
      </c>
      <c r="AR32" s="22">
        <f>IFERROR(INDEX([2]PV.iQOO!$A:$BL,MATCH($A32,[2]PV.iQOO!$B:$B,0),MATCH("IQOOZ11|12+256|BLUE|SALES",[2]PVKEYIQOO!$1:$1,0)),0)</f>
        <v>0</v>
      </c>
      <c r="AS32" s="12" t="str">
        <f t="shared" si="17"/>
        <v/>
      </c>
      <c r="AT32" s="10">
        <f>IFERROR(INDEX([2]PV.iQOO!$A:$BL,MATCH($A32,[2]PV.iQOO!$B:$B,0),MATCH("IQOONEO10|12+256|WHITE|STOCK",[2]PVKEYIQOO!$1:$1,0)),0)</f>
        <v>0</v>
      </c>
      <c r="AU32" s="22">
        <f>IFERROR(INDEX([2]PV.iQOO!$A:$BL,MATCH($A32,[2]PV.iQOO!$B:$B,0),MATCH("IQOONEO10|12+256|WHITE|SALES",[2]PVKEYIQOO!$1:$1,0)),0)</f>
        <v>0</v>
      </c>
      <c r="AV32" s="12" t="str">
        <f t="shared" si="19"/>
        <v/>
      </c>
      <c r="AW32" s="10">
        <f>IFERROR(INDEX([2]PV.iQOO!$A:$BL,MATCH($A32,[2]PV.iQOO!$B:$B,0),MATCH("IQOOZ11X|8+128|BLACK|STOCK",[2]PVKEYIQOO!$1:$1,0)),0)</f>
        <v>0</v>
      </c>
      <c r="AX32" s="22">
        <f>IFERROR(INDEX([2]PV.iQOO!$A:$BL,MATCH($A32,[2]PV.iQOO!$B:$B,0),MATCH("IQOOZ11X|8+128|BLACK|SALES",[2]PVKEYIQOO!$1:$1,0)),0)</f>
        <v>0</v>
      </c>
      <c r="AY32" s="12" t="str">
        <f t="shared" si="20"/>
        <v/>
      </c>
      <c r="AZ32" s="10">
        <f>IFERROR(INDEX([2]PV.iQOO!$A:$BL,MATCH($A32,[2]PV.iQOO!$B:$B,0),MATCH("IQOOZ11X|8+128|SILVER|STOCK",[2]PVKEYIQOO!$1:$1,0)),0)</f>
        <v>1</v>
      </c>
      <c r="BA32" s="22">
        <f>IFERROR(INDEX([2]PV.iQOO!$A:$BL,MATCH($A32,[2]PV.iQOO!$B:$B,0),MATCH("IQOOZ11X|8+128|SILVER|SALES",[2]PVKEYIQOO!$1:$1,0)),0)</f>
        <v>0</v>
      </c>
      <c r="BB32" s="12" t="str">
        <f t="shared" si="21"/>
        <v/>
      </c>
      <c r="BC32" s="13">
        <f t="shared" si="22"/>
        <v>9</v>
      </c>
      <c r="BD32" s="13">
        <f t="shared" si="22"/>
        <v>0</v>
      </c>
      <c r="BE32" s="13">
        <f t="shared" si="18"/>
        <v>1000</v>
      </c>
    </row>
    <row r="33" spans="1:57" x14ac:dyDescent="0.2">
      <c r="A33" s="21" t="s">
        <v>51</v>
      </c>
      <c r="B33" s="10">
        <f>IFERROR(INDEX([2]PV.iQOO!$A:$BL,MATCH($A33,[2]PV.iQOO!$B:$B,0),MATCH("IQOONEO10|16+512|BLACK|STOCK",[2]PVKEYIQOO!$1:$1,0)),0)</f>
        <v>0</v>
      </c>
      <c r="C33" s="22">
        <f>IFERROR(INDEX([2]PV.iQOO!$A:$BL,MATCH($A33,[2]PV.iQOO!$B:$B,0),MATCH("IQOONEO10|16+512|BLACK|SALES",[2]PVKEYIQOO!$1:$1,0)),0)</f>
        <v>0</v>
      </c>
      <c r="D33" s="12" t="str">
        <f t="shared" si="0"/>
        <v/>
      </c>
      <c r="E33" s="10">
        <f>IFERROR(INDEX([2]PV.iQOO!$A:$BL,MATCH($A33,[2]PV.iQOO!$B:$B,0),MATCH("IQOONEO10|16+512|ORANGE|STOCK",[2]PVKEYIQOO!$1:$1,0)),0)</f>
        <v>0</v>
      </c>
      <c r="F33" s="22">
        <f>IFERROR(INDEX([2]PV.iQOO!$A:$BL,MATCH($A33,[2]PV.iQOO!$B:$B,0),MATCH("IQOONEO10|16+512|ORANGE|SALES",[2]PVKEYIQOO!$1:$1,0)),0)</f>
        <v>0</v>
      </c>
      <c r="G33" s="12" t="str">
        <f t="shared" si="1"/>
        <v/>
      </c>
      <c r="H33" s="10">
        <f>IFERROR(INDEX([2]PV.iQOO!$A:$BL,MATCH($A33,[2]PV.iQOO!$B:$B,0),MATCH("IQOOZ11X|8+256|BLACK|STOCK",[2]PVKEYIQOO!$1:$1,0)),0)</f>
        <v>1</v>
      </c>
      <c r="I33" s="22">
        <f>IFERROR(INDEX([2]PV.iQOO!$A:$BL,MATCH($A33,[2]PV.iQOO!$B:$B,0),MATCH("IQOOZ11X|8+256|BLACK|SALES",[2]PVKEYIQOO!$1:$1,0)),0)</f>
        <v>0</v>
      </c>
      <c r="J33" s="12" t="str">
        <f t="shared" si="2"/>
        <v/>
      </c>
      <c r="K33" s="10">
        <f>IFERROR(INDEX([2]PV.iQOO!$A:$BL,MATCH($A33,[2]PV.iQOO!$B:$B,0),MATCH("IQOOZ11X|8+256|SILVER|STOCK",[2]PVKEYIQOO!$1:$1,0)),0)</f>
        <v>1</v>
      </c>
      <c r="L33" s="22">
        <f>IFERROR(INDEX([2]PV.iQOO!$A:$BL,MATCH($A33,[2]PV.iQOO!$B:$B,0),MATCH("IQOOZ11X|8+256|SILVER|SALES",[2]PVKEYIQOO!$1:$1,0)),0)</f>
        <v>0</v>
      </c>
      <c r="M33" s="12" t="str">
        <f t="shared" si="3"/>
        <v/>
      </c>
      <c r="N33" s="10">
        <f>IFERROR(INDEX([2]PV.iQOO!$A:$BL,MATCH($A33,[2]PV.iQOO!$B:$B,0),MATCH("IQOOZ11|8+256|BLACK|STOCK",[2]PVKEYIQOO!$1:$1,0)),0)</f>
        <v>1</v>
      </c>
      <c r="O33" s="22">
        <f>IFERROR(INDEX([2]PV.iQOO!$A:$BL,MATCH($A33,[2]PV.iQOO!$B:$B,0),MATCH("IQOOZ11|8+256|BLACK|SALES",[2]PVKEYIQOO!$1:$1,0)),0)</f>
        <v>0</v>
      </c>
      <c r="P33" s="12" t="str">
        <f t="shared" si="4"/>
        <v/>
      </c>
      <c r="Q33" s="10">
        <f>IFERROR(INDEX([2]PV.iQOO!$A:$BL,MATCH($A33,[2]PV.iQOO!$B:$B,0),MATCH("IQOOZ11|8+256|BLUE|STOCK",[2]PVKEYIQOO!$1:$1,0)),0)</f>
        <v>2</v>
      </c>
      <c r="R33" s="22">
        <f>IFERROR(INDEX([2]PV.iQOO!$A:$BL,MATCH($A33,[2]PV.iQOO!$B:$B,0),MATCH("IQOOZ11|8+256|BLUE|SALES",[2]PVKEYIQOO!$1:$1,0)),0)</f>
        <v>0</v>
      </c>
      <c r="S33" s="12" t="str">
        <f t="shared" si="5"/>
        <v/>
      </c>
      <c r="T33" s="10">
        <f>IFERROR(INDEX([2]PV.iQOO!$A:$BL,MATCH($A33,[2]PV.iQOO!$B:$B,0),MATCH("IQOO15|16+512|ALPHA|STOCK",[2]PVKEYIQOO!$1:$1,0)),0)</f>
        <v>0</v>
      </c>
      <c r="U33" s="22">
        <f>IFERROR(INDEX([2]PV.iQOO!$A:$BL,MATCH($A33,[2]PV.iQOO!$B:$B,0),MATCH("IQOO15|16+512|ALPHA|SALES",[2]PVKEYIQOO!$1:$1,0)),0)</f>
        <v>0</v>
      </c>
      <c r="V33" s="12" t="str">
        <f t="shared" si="6"/>
        <v/>
      </c>
      <c r="W33" s="22">
        <f t="shared" si="7"/>
        <v>0</v>
      </c>
      <c r="X33" s="10">
        <f>IFERROR(INDEX([2]PV.iQOO!$A:$BL,MATCH($A33,[2]PV.iQOO!$B:$B,0),MATCH("IQOO15|16+512|LEGEND|STOCK",[2]PVKEYIQOO!$1:$1,0)),0)</f>
        <v>0</v>
      </c>
      <c r="Y33" s="22">
        <f>IFERROR(INDEX([2]PV.iQOO!$A:$BL,MATCH($A33,[2]PV.iQOO!$B:$B,0),MATCH("IQOO15|16+512|LEGEND|SALES",[2]PVKEYIQOO!$1:$1,0)),0)</f>
        <v>0</v>
      </c>
      <c r="Z33" s="12" t="str">
        <f t="shared" si="8"/>
        <v/>
      </c>
      <c r="AA33" s="22">
        <f t="shared" si="9"/>
        <v>0</v>
      </c>
      <c r="AB33" s="10">
        <f>IFERROR(INDEX([2]PV.iQOO!$A:$BL,MATCH($A33,[2]PV.iQOO!$B:$B,0),MATCH("IQOO15|16+1T|LEGEND|STOCK",[2]PVKEYIQOO!$1:$1,0)),0)</f>
        <v>0</v>
      </c>
      <c r="AC33" s="22">
        <f>IFERROR(INDEX([2]PV.iQOO!$A:$BL,MATCH($A33,[2]PV.iQOO!$B:$B,0),MATCH("IQOO15|16+1T|LEGEND|SALES",[2]PVKEYIQOO!$1:$1,0)),0)</f>
        <v>0</v>
      </c>
      <c r="AD33" s="12" t="str">
        <f t="shared" si="10"/>
        <v/>
      </c>
      <c r="AE33" s="22">
        <f t="shared" si="11"/>
        <v>0</v>
      </c>
      <c r="AF33" s="10">
        <f>IFERROR(INDEX([2]PV.iQOO!$A:$BL,MATCH($A33,[2]PV.iQOO!$B:$B,0),MATCH("IQOO15R|12+512|BLACK|STOCK",[2]PVKEYIQOO!$1:$1,0)),0)</f>
        <v>0</v>
      </c>
      <c r="AG33" s="22">
        <f>IFERROR(INDEX([2]PV.iQOO!$A:$BL,MATCH($A33,[2]PV.iQOO!$B:$B,0),MATCH("IQOO15R|12+512|BLACK|SALES",[2]PVKEYIQOO!$1:$1,0)),0)</f>
        <v>1</v>
      </c>
      <c r="AH33" s="12">
        <f t="shared" si="12"/>
        <v>0</v>
      </c>
      <c r="AI33" s="22">
        <f t="shared" si="13"/>
        <v>0.37037037037037035</v>
      </c>
      <c r="AJ33" s="10">
        <f>IFERROR(INDEX([2]PV.iQOO!$A:$BL,MATCH($A33,[2]PV.iQOO!$B:$B,0),MATCH("IQOO15R|12+512|SILVER|STOCK",[2]PVKEYIQOO!$1:$1,0)),0)</f>
        <v>0</v>
      </c>
      <c r="AK33" s="22">
        <f>IFERROR(INDEX([2]PV.iQOO!$A:$BL,MATCH($A33,[2]PV.iQOO!$B:$B,0),MATCH("IQOO15R|12+512|SILVER|SALES",[2]PVKEYIQOO!$1:$1,0)),0)</f>
        <v>0</v>
      </c>
      <c r="AL33" s="12" t="str">
        <f t="shared" si="14"/>
        <v/>
      </c>
      <c r="AM33" s="22">
        <f t="shared" si="15"/>
        <v>0</v>
      </c>
      <c r="AN33" s="10">
        <f>IFERROR(INDEX([2]PV.iQOO!$A:$BL,MATCH($A33,[2]PV.iQOO!$B:$B,0),MATCH("IQOOZ11|12+256|BLACK|STOCK",[2]PVKEYIQOO!$1:$1,0)),0)</f>
        <v>1</v>
      </c>
      <c r="AO33" s="22">
        <f>IFERROR(INDEX([2]PV.iQOO!$A:$BL,MATCH($A33,[2]PV.iQOO!$B:$B,0),MATCH("IQOOZ11|12+256|BLACK|SALES",[2]PVKEYIQOO!$1:$1,0)),0)</f>
        <v>0</v>
      </c>
      <c r="AP33" s="12" t="str">
        <f t="shared" si="16"/>
        <v/>
      </c>
      <c r="AQ33" s="10">
        <f>IFERROR(INDEX([2]PV.iQOO!$A:$BL,MATCH($A33,[2]PV.iQOO!$B:$B,0),MATCH("IQOOZ11|12+256|BLUE|STOCK",[2]PVKEYIQOO!$1:$1,0)),0)</f>
        <v>1</v>
      </c>
      <c r="AR33" s="22">
        <f>IFERROR(INDEX([2]PV.iQOO!$A:$BL,MATCH($A33,[2]PV.iQOO!$B:$B,0),MATCH("IQOOZ11|12+256|BLUE|SALES",[2]PVKEYIQOO!$1:$1,0)),0)</f>
        <v>0</v>
      </c>
      <c r="AS33" s="12" t="str">
        <f t="shared" si="17"/>
        <v/>
      </c>
      <c r="AT33" s="10">
        <f>IFERROR(INDEX([2]PV.iQOO!$A:$BL,MATCH($A33,[2]PV.iQOO!$B:$B,0),MATCH("IQOONEO10|12+256|WHITE|STOCK",[2]PVKEYIQOO!$1:$1,0)),0)</f>
        <v>3</v>
      </c>
      <c r="AU33" s="22">
        <f>IFERROR(INDEX([2]PV.iQOO!$A:$BL,MATCH($A33,[2]PV.iQOO!$B:$B,0),MATCH("IQOONEO10|12+256|WHITE|SALES",[2]PVKEYIQOO!$1:$1,0)),0)</f>
        <v>0</v>
      </c>
      <c r="AV33" s="12" t="str">
        <f t="shared" si="19"/>
        <v/>
      </c>
      <c r="AW33" s="10">
        <f>IFERROR(INDEX([2]PV.iQOO!$A:$BL,MATCH($A33,[2]PV.iQOO!$B:$B,0),MATCH("IQOOZ11X|8+128|BLACK|STOCK",[2]PVKEYIQOO!$1:$1,0)),0)</f>
        <v>0</v>
      </c>
      <c r="AX33" s="22">
        <f>IFERROR(INDEX([2]PV.iQOO!$A:$BL,MATCH($A33,[2]PV.iQOO!$B:$B,0),MATCH("IQOOZ11X|8+128|BLACK|SALES",[2]PVKEYIQOO!$1:$1,0)),0)</f>
        <v>1</v>
      </c>
      <c r="AY33" s="12">
        <f t="shared" si="20"/>
        <v>0</v>
      </c>
      <c r="AZ33" s="10">
        <f>IFERROR(INDEX([2]PV.iQOO!$A:$BL,MATCH($A33,[2]PV.iQOO!$B:$B,0),MATCH("IQOOZ11X|8+128|SILVER|STOCK",[2]PVKEYIQOO!$1:$1,0)),0)</f>
        <v>0</v>
      </c>
      <c r="BA33" s="22">
        <f>IFERROR(INDEX([2]PV.iQOO!$A:$BL,MATCH($A33,[2]PV.iQOO!$B:$B,0),MATCH("IQOOZ11X|8+128|SILVER|SALES",[2]PVKEYIQOO!$1:$1,0)),0)</f>
        <v>0</v>
      </c>
      <c r="BB33" s="12" t="str">
        <f t="shared" si="21"/>
        <v/>
      </c>
      <c r="BC33" s="13">
        <f t="shared" si="22"/>
        <v>10</v>
      </c>
      <c r="BD33" s="13">
        <f t="shared" si="22"/>
        <v>2</v>
      </c>
      <c r="BE33" s="13">
        <f t="shared" si="18"/>
        <v>135</v>
      </c>
    </row>
    <row r="34" spans="1:57" x14ac:dyDescent="0.2">
      <c r="A34" s="21" t="s">
        <v>52</v>
      </c>
      <c r="B34" s="10">
        <f>IFERROR(INDEX([2]PV.iQOO!$A:$BL,MATCH($A34,[2]PV.iQOO!$B:$B,0),MATCH("IQOONEO10|16+512|BLACK|STOCK",[2]PVKEYIQOO!$1:$1,0)),0)</f>
        <v>0</v>
      </c>
      <c r="C34" s="22">
        <f>IFERROR(INDEX([2]PV.iQOO!$A:$BL,MATCH($A34,[2]PV.iQOO!$B:$B,0),MATCH("IQOONEO10|16+512|BLACK|SALES",[2]PVKEYIQOO!$1:$1,0)),0)</f>
        <v>0</v>
      </c>
      <c r="D34" s="12" t="str">
        <f t="shared" si="0"/>
        <v/>
      </c>
      <c r="E34" s="10">
        <f>IFERROR(INDEX([2]PV.iQOO!$A:$BL,MATCH($A34,[2]PV.iQOO!$B:$B,0),MATCH("IQOONEO10|16+512|ORANGE|STOCK",[2]PVKEYIQOO!$1:$1,0)),0)</f>
        <v>0</v>
      </c>
      <c r="F34" s="22">
        <f>IFERROR(INDEX([2]PV.iQOO!$A:$BL,MATCH($A34,[2]PV.iQOO!$B:$B,0),MATCH("IQOONEO10|16+512|ORANGE|SALES",[2]PVKEYIQOO!$1:$1,0)),0)</f>
        <v>0</v>
      </c>
      <c r="G34" s="12" t="str">
        <f t="shared" si="1"/>
        <v/>
      </c>
      <c r="H34" s="10">
        <f>IFERROR(INDEX([2]PV.iQOO!$A:$BL,MATCH($A34,[2]PV.iQOO!$B:$B,0),MATCH("IQOOZ11X|8+256|BLACK|STOCK",[2]PVKEYIQOO!$1:$1,0)),0)</f>
        <v>1</v>
      </c>
      <c r="I34" s="22">
        <f>IFERROR(INDEX([2]PV.iQOO!$A:$BL,MATCH($A34,[2]PV.iQOO!$B:$B,0),MATCH("IQOOZ11X|8+256|BLACK|SALES",[2]PVKEYIQOO!$1:$1,0)),0)</f>
        <v>1</v>
      </c>
      <c r="J34" s="12">
        <f t="shared" si="2"/>
        <v>27</v>
      </c>
      <c r="K34" s="10">
        <f>IFERROR(INDEX([2]PV.iQOO!$A:$BL,MATCH($A34,[2]PV.iQOO!$B:$B,0),MATCH("IQOOZ11X|8+256|SILVER|STOCK",[2]PVKEYIQOO!$1:$1,0)),0)</f>
        <v>0</v>
      </c>
      <c r="L34" s="22">
        <f>IFERROR(INDEX([2]PV.iQOO!$A:$BL,MATCH($A34,[2]PV.iQOO!$B:$B,0),MATCH("IQOOZ11X|8+256|SILVER|SALES",[2]PVKEYIQOO!$1:$1,0)),0)</f>
        <v>0</v>
      </c>
      <c r="M34" s="12" t="str">
        <f t="shared" si="3"/>
        <v/>
      </c>
      <c r="N34" s="10">
        <f>IFERROR(INDEX([2]PV.iQOO!$A:$BL,MATCH($A34,[2]PV.iQOO!$B:$B,0),MATCH("IQOOZ11|8+256|BLACK|STOCK",[2]PVKEYIQOO!$1:$1,0)),0)</f>
        <v>2</v>
      </c>
      <c r="O34" s="22">
        <f>IFERROR(INDEX([2]PV.iQOO!$A:$BL,MATCH($A34,[2]PV.iQOO!$B:$B,0),MATCH("IQOOZ11|8+256|BLACK|SALES",[2]PVKEYIQOO!$1:$1,0)),0)</f>
        <v>0</v>
      </c>
      <c r="P34" s="12" t="str">
        <f t="shared" si="4"/>
        <v/>
      </c>
      <c r="Q34" s="10">
        <f>IFERROR(INDEX([2]PV.iQOO!$A:$BL,MATCH($A34,[2]PV.iQOO!$B:$B,0),MATCH("IQOOZ11|8+256|BLUE|STOCK",[2]PVKEYIQOO!$1:$1,0)),0)</f>
        <v>1</v>
      </c>
      <c r="R34" s="22">
        <f>IFERROR(INDEX([2]PV.iQOO!$A:$BL,MATCH($A34,[2]PV.iQOO!$B:$B,0),MATCH("IQOOZ11|8+256|BLUE|SALES",[2]PVKEYIQOO!$1:$1,0)),0)</f>
        <v>1</v>
      </c>
      <c r="S34" s="12">
        <f t="shared" si="5"/>
        <v>27</v>
      </c>
      <c r="T34" s="10">
        <f>IFERROR(INDEX([2]PV.iQOO!$A:$BL,MATCH($A34,[2]PV.iQOO!$B:$B,0),MATCH("IQOO15|16+512|ALPHA|STOCK",[2]PVKEYIQOO!$1:$1,0)),0)</f>
        <v>0</v>
      </c>
      <c r="U34" s="22">
        <f>IFERROR(INDEX([2]PV.iQOO!$A:$BL,MATCH($A34,[2]PV.iQOO!$B:$B,0),MATCH("IQOO15|16+512|ALPHA|SALES",[2]PVKEYIQOO!$1:$1,0)),0)</f>
        <v>0</v>
      </c>
      <c r="V34" s="12" t="str">
        <f t="shared" si="6"/>
        <v/>
      </c>
      <c r="W34" s="22">
        <f t="shared" si="7"/>
        <v>0</v>
      </c>
      <c r="X34" s="10">
        <f>IFERROR(INDEX([2]PV.iQOO!$A:$BL,MATCH($A34,[2]PV.iQOO!$B:$B,0),MATCH("IQOO15|16+512|LEGEND|STOCK",[2]PVKEYIQOO!$1:$1,0)),0)</f>
        <v>0</v>
      </c>
      <c r="Y34" s="22">
        <f>IFERROR(INDEX([2]PV.iQOO!$A:$BL,MATCH($A34,[2]PV.iQOO!$B:$B,0),MATCH("IQOO15|16+512|LEGEND|SALES",[2]PVKEYIQOO!$1:$1,0)),0)</f>
        <v>0</v>
      </c>
      <c r="Z34" s="12" t="str">
        <f t="shared" si="8"/>
        <v/>
      </c>
      <c r="AA34" s="22">
        <f t="shared" si="9"/>
        <v>0</v>
      </c>
      <c r="AB34" s="10">
        <f>IFERROR(INDEX([2]PV.iQOO!$A:$BL,MATCH($A34,[2]PV.iQOO!$B:$B,0),MATCH("IQOO15|16+1T|LEGEND|STOCK",[2]PVKEYIQOO!$1:$1,0)),0)</f>
        <v>0</v>
      </c>
      <c r="AC34" s="22">
        <f>IFERROR(INDEX([2]PV.iQOO!$A:$BL,MATCH($A34,[2]PV.iQOO!$B:$B,0),MATCH("IQOO15|16+1T|LEGEND|SALES",[2]PVKEYIQOO!$1:$1,0)),0)</f>
        <v>0</v>
      </c>
      <c r="AD34" s="12" t="str">
        <f t="shared" si="10"/>
        <v/>
      </c>
      <c r="AE34" s="22">
        <f t="shared" si="11"/>
        <v>0</v>
      </c>
      <c r="AF34" s="10">
        <f>IFERROR(INDEX([2]PV.iQOO!$A:$BL,MATCH($A34,[2]PV.iQOO!$B:$B,0),MATCH("IQOO15R|12+512|BLACK|STOCK",[2]PVKEYIQOO!$1:$1,0)),0)</f>
        <v>0</v>
      </c>
      <c r="AG34" s="22">
        <f>IFERROR(INDEX([2]PV.iQOO!$A:$BL,MATCH($A34,[2]PV.iQOO!$B:$B,0),MATCH("IQOO15R|12+512|BLACK|SALES",[2]PVKEYIQOO!$1:$1,0)),0)</f>
        <v>0</v>
      </c>
      <c r="AH34" s="12" t="str">
        <f t="shared" si="12"/>
        <v/>
      </c>
      <c r="AI34" s="22">
        <f t="shared" si="13"/>
        <v>0</v>
      </c>
      <c r="AJ34" s="10">
        <f>IFERROR(INDEX([2]PV.iQOO!$A:$BL,MATCH($A34,[2]PV.iQOO!$B:$B,0),MATCH("IQOO15R|12+512|SILVER|STOCK",[2]PVKEYIQOO!$1:$1,0)),0)</f>
        <v>0</v>
      </c>
      <c r="AK34" s="22">
        <f>IFERROR(INDEX([2]PV.iQOO!$A:$BL,MATCH($A34,[2]PV.iQOO!$B:$B,0),MATCH("IQOO15R|12+512|SILVER|SALES",[2]PVKEYIQOO!$1:$1,0)),0)</f>
        <v>0</v>
      </c>
      <c r="AL34" s="12" t="str">
        <f t="shared" si="14"/>
        <v/>
      </c>
      <c r="AM34" s="22">
        <f t="shared" si="15"/>
        <v>0</v>
      </c>
      <c r="AN34" s="10">
        <f>IFERROR(INDEX([2]PV.iQOO!$A:$BL,MATCH($A34,[2]PV.iQOO!$B:$B,0),MATCH("IQOOZ11|12+256|BLACK|STOCK",[2]PVKEYIQOO!$1:$1,0)),0)</f>
        <v>1</v>
      </c>
      <c r="AO34" s="22">
        <f>IFERROR(INDEX([2]PV.iQOO!$A:$BL,MATCH($A34,[2]PV.iQOO!$B:$B,0),MATCH("IQOOZ11|12+256|BLACK|SALES",[2]PVKEYIQOO!$1:$1,0)),0)</f>
        <v>0</v>
      </c>
      <c r="AP34" s="12" t="str">
        <f t="shared" si="16"/>
        <v/>
      </c>
      <c r="AQ34" s="10">
        <f>IFERROR(INDEX([2]PV.iQOO!$A:$BL,MATCH($A34,[2]PV.iQOO!$B:$B,0),MATCH("IQOOZ11|12+256|BLUE|STOCK",[2]PVKEYIQOO!$1:$1,0)),0)</f>
        <v>2</v>
      </c>
      <c r="AR34" s="22">
        <f>IFERROR(INDEX([2]PV.iQOO!$A:$BL,MATCH($A34,[2]PV.iQOO!$B:$B,0),MATCH("IQOOZ11|12+256|BLUE|SALES",[2]PVKEYIQOO!$1:$1,0)),0)</f>
        <v>0</v>
      </c>
      <c r="AS34" s="12" t="str">
        <f t="shared" si="17"/>
        <v/>
      </c>
      <c r="AT34" s="10">
        <f>IFERROR(INDEX([2]PV.iQOO!$A:$BL,MATCH($A34,[2]PV.iQOO!$B:$B,0),MATCH("IQOONEO10|12+256|WHITE|STOCK",[2]PVKEYIQOO!$1:$1,0)),0)</f>
        <v>2</v>
      </c>
      <c r="AU34" s="22">
        <f>IFERROR(INDEX([2]PV.iQOO!$A:$BL,MATCH($A34,[2]PV.iQOO!$B:$B,0),MATCH("IQOONEO10|12+256|WHITE|SALES",[2]PVKEYIQOO!$1:$1,0)),0)</f>
        <v>0</v>
      </c>
      <c r="AV34" s="12" t="str">
        <f t="shared" si="19"/>
        <v/>
      </c>
      <c r="AW34" s="10">
        <f>IFERROR(INDEX([2]PV.iQOO!$A:$BL,MATCH($A34,[2]PV.iQOO!$B:$B,0),MATCH("IQOOZ11X|8+128|BLACK|STOCK",[2]PVKEYIQOO!$1:$1,0)),0)</f>
        <v>1</v>
      </c>
      <c r="AX34" s="22">
        <f>IFERROR(INDEX([2]PV.iQOO!$A:$BL,MATCH($A34,[2]PV.iQOO!$B:$B,0),MATCH("IQOOZ11X|8+128|BLACK|SALES",[2]PVKEYIQOO!$1:$1,0)),0)</f>
        <v>0</v>
      </c>
      <c r="AY34" s="12" t="str">
        <f t="shared" si="20"/>
        <v/>
      </c>
      <c r="AZ34" s="10">
        <f>IFERROR(INDEX([2]PV.iQOO!$A:$BL,MATCH($A34,[2]PV.iQOO!$B:$B,0),MATCH("IQOOZ11X|8+128|SILVER|STOCK",[2]PVKEYIQOO!$1:$1,0)),0)</f>
        <v>2</v>
      </c>
      <c r="BA34" s="22">
        <f>IFERROR(INDEX([2]PV.iQOO!$A:$BL,MATCH($A34,[2]PV.iQOO!$B:$B,0),MATCH("IQOOZ11X|8+128|SILVER|SALES",[2]PVKEYIQOO!$1:$1,0)),0)</f>
        <v>0</v>
      </c>
      <c r="BB34" s="12" t="str">
        <f t="shared" si="21"/>
        <v/>
      </c>
      <c r="BC34" s="13">
        <f t="shared" si="22"/>
        <v>12</v>
      </c>
      <c r="BD34" s="13">
        <f t="shared" si="22"/>
        <v>2</v>
      </c>
      <c r="BE34" s="13">
        <f t="shared" si="18"/>
        <v>162</v>
      </c>
    </row>
    <row r="35" spans="1:57" x14ac:dyDescent="0.2">
      <c r="A35" s="21" t="s">
        <v>92</v>
      </c>
      <c r="B35" s="10">
        <f>IFERROR(INDEX([2]PV.iQOO!$A:$BL,MATCH($A35,[2]PV.iQOO!$B:$B,0),MATCH("IQOONEO10|16+512|BLACK|STOCK",[2]PVKEYIQOO!$1:$1,0)),0)</f>
        <v>0</v>
      </c>
      <c r="C35" s="22">
        <f>IFERROR(INDEX([2]PV.iQOO!$A:$BL,MATCH($A35,[2]PV.iQOO!$B:$B,0),MATCH("IQOONEO10|16+512|BLACK|SALES",[2]PVKEYIQOO!$1:$1,0)),0)</f>
        <v>0</v>
      </c>
      <c r="D35" s="12" t="str">
        <f t="shared" si="0"/>
        <v/>
      </c>
      <c r="E35" s="10">
        <f>IFERROR(INDEX([2]PV.iQOO!$A:$BL,MATCH($A35,[2]PV.iQOO!$B:$B,0),MATCH("IQOONEO10|16+512|ORANGE|STOCK",[2]PVKEYIQOO!$1:$1,0)),0)</f>
        <v>0</v>
      </c>
      <c r="F35" s="22">
        <f>IFERROR(INDEX([2]PV.iQOO!$A:$BL,MATCH($A35,[2]PV.iQOO!$B:$B,0),MATCH("IQOONEO10|16+512|ORANGE|SALES",[2]PVKEYIQOO!$1:$1,0)),0)</f>
        <v>0</v>
      </c>
      <c r="G35" s="12" t="str">
        <f t="shared" si="1"/>
        <v/>
      </c>
      <c r="H35" s="10">
        <f>IFERROR(INDEX([2]PV.iQOO!$A:$BL,MATCH($A35,[2]PV.iQOO!$B:$B,0),MATCH("IQOOZ11X|8+256|BLACK|STOCK",[2]PVKEYIQOO!$1:$1,0)),0)</f>
        <v>0</v>
      </c>
      <c r="I35" s="22">
        <f>IFERROR(INDEX([2]PV.iQOO!$A:$BL,MATCH($A35,[2]PV.iQOO!$B:$B,0),MATCH("IQOOZ11X|8+256|BLACK|SALES",[2]PVKEYIQOO!$1:$1,0)),0)</f>
        <v>0</v>
      </c>
      <c r="J35" s="12" t="str">
        <f t="shared" si="2"/>
        <v/>
      </c>
      <c r="K35" s="10">
        <f>IFERROR(INDEX([2]PV.iQOO!$A:$BL,MATCH($A35,[2]PV.iQOO!$B:$B,0),MATCH("IQOOZ11X|8+256|SILVER|STOCK",[2]PVKEYIQOO!$1:$1,0)),0)</f>
        <v>0</v>
      </c>
      <c r="L35" s="22">
        <f>IFERROR(INDEX([2]PV.iQOO!$A:$BL,MATCH($A35,[2]PV.iQOO!$B:$B,0),MATCH("IQOOZ11X|8+256|SILVER|SALES",[2]PVKEYIQOO!$1:$1,0)),0)</f>
        <v>0</v>
      </c>
      <c r="M35" s="12" t="str">
        <f t="shared" si="3"/>
        <v/>
      </c>
      <c r="N35" s="10">
        <f>IFERROR(INDEX([2]PV.iQOO!$A:$BL,MATCH($A35,[2]PV.iQOO!$B:$B,0),MATCH("IQOOZ11|8+256|BLACK|STOCK",[2]PVKEYIQOO!$1:$1,0)),0)</f>
        <v>1</v>
      </c>
      <c r="O35" s="22">
        <f>IFERROR(INDEX([2]PV.iQOO!$A:$BL,MATCH($A35,[2]PV.iQOO!$B:$B,0),MATCH("IQOOZ11|8+256|BLACK|SALES",[2]PVKEYIQOO!$1:$1,0)),0)</f>
        <v>0</v>
      </c>
      <c r="P35" s="12" t="str">
        <f t="shared" si="4"/>
        <v/>
      </c>
      <c r="Q35" s="10">
        <f>IFERROR(INDEX([2]PV.iQOO!$A:$BL,MATCH($A35,[2]PV.iQOO!$B:$B,0),MATCH("IQOOZ11|8+256|BLUE|STOCK",[2]PVKEYIQOO!$1:$1,0)),0)</f>
        <v>2</v>
      </c>
      <c r="R35" s="22">
        <f>IFERROR(INDEX([2]PV.iQOO!$A:$BL,MATCH($A35,[2]PV.iQOO!$B:$B,0),MATCH("IQOOZ11|8+256|BLUE|SALES",[2]PVKEYIQOO!$1:$1,0)),0)</f>
        <v>0</v>
      </c>
      <c r="S35" s="12" t="str">
        <f t="shared" si="5"/>
        <v/>
      </c>
      <c r="T35" s="10">
        <f>IFERROR(INDEX([2]PV.iQOO!$A:$BL,MATCH($A35,[2]PV.iQOO!$B:$B,0),MATCH("IQOO15|16+512|ALPHA|STOCK",[2]PVKEYIQOO!$1:$1,0)),0)</f>
        <v>0</v>
      </c>
      <c r="U35" s="22">
        <f>IFERROR(INDEX([2]PV.iQOO!$A:$BL,MATCH($A35,[2]PV.iQOO!$B:$B,0),MATCH("IQOO15|16+512|ALPHA|SALES",[2]PVKEYIQOO!$1:$1,0)),0)</f>
        <v>0</v>
      </c>
      <c r="V35" s="12" t="str">
        <f t="shared" si="6"/>
        <v/>
      </c>
      <c r="W35" s="22">
        <f t="shared" si="7"/>
        <v>0</v>
      </c>
      <c r="X35" s="10">
        <f>IFERROR(INDEX([2]PV.iQOO!$A:$BL,MATCH($A35,[2]PV.iQOO!$B:$B,0),MATCH("IQOO15|16+512|LEGEND|STOCK",[2]PVKEYIQOO!$1:$1,0)),0)</f>
        <v>0</v>
      </c>
      <c r="Y35" s="22">
        <f>IFERROR(INDEX([2]PV.iQOO!$A:$BL,MATCH($A35,[2]PV.iQOO!$B:$B,0),MATCH("IQOO15|16+512|LEGEND|SALES",[2]PVKEYIQOO!$1:$1,0)),0)</f>
        <v>0</v>
      </c>
      <c r="Z35" s="12" t="str">
        <f t="shared" si="8"/>
        <v/>
      </c>
      <c r="AA35" s="22">
        <f t="shared" si="9"/>
        <v>0</v>
      </c>
      <c r="AB35" s="10">
        <f>IFERROR(INDEX([2]PV.iQOO!$A:$BL,MATCH($A35,[2]PV.iQOO!$B:$B,0),MATCH("IQOO15|16+1T|LEGEND|STOCK",[2]PVKEYIQOO!$1:$1,0)),0)</f>
        <v>0</v>
      </c>
      <c r="AC35" s="22">
        <f>IFERROR(INDEX([2]PV.iQOO!$A:$BL,MATCH($A35,[2]PV.iQOO!$B:$B,0),MATCH("IQOO15|16+1T|LEGEND|SALES",[2]PVKEYIQOO!$1:$1,0)),0)</f>
        <v>0</v>
      </c>
      <c r="AD35" s="12" t="str">
        <f t="shared" si="10"/>
        <v/>
      </c>
      <c r="AE35" s="22">
        <f t="shared" si="11"/>
        <v>0</v>
      </c>
      <c r="AF35" s="10">
        <f>IFERROR(INDEX([2]PV.iQOO!$A:$BL,MATCH($A35,[2]PV.iQOO!$B:$B,0),MATCH("IQOO15R|12+512|BLACK|STOCK",[2]PVKEYIQOO!$1:$1,0)),0)</f>
        <v>0</v>
      </c>
      <c r="AG35" s="22">
        <f>IFERROR(INDEX([2]PV.iQOO!$A:$BL,MATCH($A35,[2]PV.iQOO!$B:$B,0),MATCH("IQOO15R|12+512|BLACK|SALES",[2]PVKEYIQOO!$1:$1,0)),0)</f>
        <v>0</v>
      </c>
      <c r="AH35" s="12" t="str">
        <f t="shared" si="12"/>
        <v/>
      </c>
      <c r="AI35" s="22">
        <f t="shared" si="13"/>
        <v>0</v>
      </c>
      <c r="AJ35" s="10">
        <f>IFERROR(INDEX([2]PV.iQOO!$A:$BL,MATCH($A35,[2]PV.iQOO!$B:$B,0),MATCH("IQOO15R|12+512|SILVER|STOCK",[2]PVKEYIQOO!$1:$1,0)),0)</f>
        <v>0</v>
      </c>
      <c r="AK35" s="22">
        <f>IFERROR(INDEX([2]PV.iQOO!$A:$BL,MATCH($A35,[2]PV.iQOO!$B:$B,0),MATCH("IQOO15R|12+512|SILVER|SALES",[2]PVKEYIQOO!$1:$1,0)),0)</f>
        <v>0</v>
      </c>
      <c r="AL35" s="12" t="str">
        <f t="shared" si="14"/>
        <v/>
      </c>
      <c r="AM35" s="22">
        <f t="shared" si="15"/>
        <v>0</v>
      </c>
      <c r="AN35" s="10">
        <f>IFERROR(INDEX([2]PV.iQOO!$A:$BL,MATCH($A35,[2]PV.iQOO!$B:$B,0),MATCH("IQOOZ11|12+256|BLACK|STOCK",[2]PVKEYIQOO!$1:$1,0)),0)</f>
        <v>0</v>
      </c>
      <c r="AO35" s="22">
        <f>IFERROR(INDEX([2]PV.iQOO!$A:$BL,MATCH($A35,[2]PV.iQOO!$B:$B,0),MATCH("IQOOZ11|12+256|BLACK|SALES",[2]PVKEYIQOO!$1:$1,0)),0)</f>
        <v>0</v>
      </c>
      <c r="AP35" s="12" t="str">
        <f t="shared" si="16"/>
        <v/>
      </c>
      <c r="AQ35" s="10">
        <f>IFERROR(INDEX([2]PV.iQOO!$A:$BL,MATCH($A35,[2]PV.iQOO!$B:$B,0),MATCH("IQOOZ11|12+256|BLUE|STOCK",[2]PVKEYIQOO!$1:$1,0)),0)</f>
        <v>0</v>
      </c>
      <c r="AR35" s="22">
        <f>IFERROR(INDEX([2]PV.iQOO!$A:$BL,MATCH($A35,[2]PV.iQOO!$B:$B,0),MATCH("IQOOZ11|12+256|BLUE|SALES",[2]PVKEYIQOO!$1:$1,0)),0)</f>
        <v>0</v>
      </c>
      <c r="AS35" s="12" t="str">
        <f t="shared" si="17"/>
        <v/>
      </c>
      <c r="AT35" s="10">
        <f>IFERROR(INDEX([2]PV.iQOO!$A:$BL,MATCH($A35,[2]PV.iQOO!$B:$B,0),MATCH("IQOONEO10|12+256|WHITE|STOCK",[2]PVKEYIQOO!$1:$1,0)),0)</f>
        <v>2</v>
      </c>
      <c r="AU35" s="22">
        <f>IFERROR(INDEX([2]PV.iQOO!$A:$BL,MATCH($A35,[2]PV.iQOO!$B:$B,0),MATCH("IQOONEO10|12+256|WHITE|SALES",[2]PVKEYIQOO!$1:$1,0)),0)</f>
        <v>0</v>
      </c>
      <c r="AV35" s="12" t="str">
        <f t="shared" si="19"/>
        <v/>
      </c>
      <c r="AW35" s="10">
        <f>IFERROR(INDEX([2]PV.iQOO!$A:$BL,MATCH($A35,[2]PV.iQOO!$B:$B,0),MATCH("IQOOZ11X|8+128|BLACK|STOCK",[2]PVKEYIQOO!$1:$1,0)),0)</f>
        <v>1</v>
      </c>
      <c r="AX35" s="22">
        <f>IFERROR(INDEX([2]PV.iQOO!$A:$BL,MATCH($A35,[2]PV.iQOO!$B:$B,0),MATCH("IQOOZ11X|8+128|BLACK|SALES",[2]PVKEYIQOO!$1:$1,0)),0)</f>
        <v>0</v>
      </c>
      <c r="AY35" s="12" t="str">
        <f t="shared" si="20"/>
        <v/>
      </c>
      <c r="AZ35" s="10">
        <f>IFERROR(INDEX([2]PV.iQOO!$A:$BL,MATCH($A35,[2]PV.iQOO!$B:$B,0),MATCH("IQOOZ11X|8+128|SILVER|STOCK",[2]PVKEYIQOO!$1:$1,0)),0)</f>
        <v>1</v>
      </c>
      <c r="BA35" s="22">
        <f>IFERROR(INDEX([2]PV.iQOO!$A:$BL,MATCH($A35,[2]PV.iQOO!$B:$B,0),MATCH("IQOOZ11X|8+128|SILVER|SALES",[2]PVKEYIQOO!$1:$1,0)),0)</f>
        <v>0</v>
      </c>
      <c r="BB35" s="12" t="str">
        <f t="shared" si="21"/>
        <v/>
      </c>
      <c r="BC35" s="13">
        <f t="shared" si="22"/>
        <v>7</v>
      </c>
      <c r="BD35" s="13">
        <f t="shared" si="22"/>
        <v>0</v>
      </c>
      <c r="BE35" s="13">
        <f t="shared" si="18"/>
        <v>1000</v>
      </c>
    </row>
    <row r="36" spans="1:57" x14ac:dyDescent="0.2">
      <c r="A36" s="21" t="s">
        <v>53</v>
      </c>
      <c r="B36" s="10">
        <f>IFERROR(INDEX([2]PV.iQOO!$A:$BL,MATCH($A36,[2]PV.iQOO!$B:$B,0),MATCH("IQOONEO10|16+512|BLACK|STOCK",[2]PVKEYIQOO!$1:$1,0)),0)</f>
        <v>0</v>
      </c>
      <c r="C36" s="22">
        <f>IFERROR(INDEX([2]PV.iQOO!$A:$BL,MATCH($A36,[2]PV.iQOO!$B:$B,0),MATCH("IQOONEO10|16+512|BLACK|SALES",[2]PVKEYIQOO!$1:$1,0)),0)</f>
        <v>0</v>
      </c>
      <c r="D36" s="12" t="str">
        <f t="shared" si="0"/>
        <v/>
      </c>
      <c r="E36" s="10">
        <f>IFERROR(INDEX([2]PV.iQOO!$A:$BL,MATCH($A36,[2]PV.iQOO!$B:$B,0),MATCH("IQOONEO10|16+512|ORANGE|STOCK",[2]PVKEYIQOO!$1:$1,0)),0)</f>
        <v>0</v>
      </c>
      <c r="F36" s="22">
        <f>IFERROR(INDEX([2]PV.iQOO!$A:$BL,MATCH($A36,[2]PV.iQOO!$B:$B,0),MATCH("IQOONEO10|16+512|ORANGE|SALES",[2]PVKEYIQOO!$1:$1,0)),0)</f>
        <v>0</v>
      </c>
      <c r="G36" s="12" t="str">
        <f t="shared" si="1"/>
        <v/>
      </c>
      <c r="H36" s="10">
        <f>IFERROR(INDEX([2]PV.iQOO!$A:$BL,MATCH($A36,[2]PV.iQOO!$B:$B,0),MATCH("IQOOZ11X|8+256|BLACK|STOCK",[2]PVKEYIQOO!$1:$1,0)),0)</f>
        <v>0</v>
      </c>
      <c r="I36" s="22">
        <f>IFERROR(INDEX([2]PV.iQOO!$A:$BL,MATCH($A36,[2]PV.iQOO!$B:$B,0),MATCH("IQOOZ11X|8+256|BLACK|SALES",[2]PVKEYIQOO!$1:$1,0)),0)</f>
        <v>1</v>
      </c>
      <c r="J36" s="12">
        <f t="shared" si="2"/>
        <v>0</v>
      </c>
      <c r="K36" s="10">
        <f>IFERROR(INDEX([2]PV.iQOO!$A:$BL,MATCH($A36,[2]PV.iQOO!$B:$B,0),MATCH("IQOOZ11X|8+256|SILVER|STOCK",[2]PVKEYIQOO!$1:$1,0)),0)</f>
        <v>0</v>
      </c>
      <c r="L36" s="22">
        <f>IFERROR(INDEX([2]PV.iQOO!$A:$BL,MATCH($A36,[2]PV.iQOO!$B:$B,0),MATCH("IQOOZ11X|8+256|SILVER|SALES",[2]PVKEYIQOO!$1:$1,0)),0)</f>
        <v>0</v>
      </c>
      <c r="M36" s="12" t="str">
        <f t="shared" si="3"/>
        <v/>
      </c>
      <c r="N36" s="10">
        <f>IFERROR(INDEX([2]PV.iQOO!$A:$BL,MATCH($A36,[2]PV.iQOO!$B:$B,0),MATCH("IQOOZ11|8+256|BLACK|STOCK",[2]PVKEYIQOO!$1:$1,0)),0)</f>
        <v>1</v>
      </c>
      <c r="O36" s="22">
        <f>IFERROR(INDEX([2]PV.iQOO!$A:$BL,MATCH($A36,[2]PV.iQOO!$B:$B,0),MATCH("IQOOZ11|8+256|BLACK|SALES",[2]PVKEYIQOO!$1:$1,0)),0)</f>
        <v>1</v>
      </c>
      <c r="P36" s="12">
        <f t="shared" si="4"/>
        <v>27</v>
      </c>
      <c r="Q36" s="10">
        <f>IFERROR(INDEX([2]PV.iQOO!$A:$BL,MATCH($A36,[2]PV.iQOO!$B:$B,0),MATCH("IQOOZ11|8+256|BLUE|STOCK",[2]PVKEYIQOO!$1:$1,0)),0)</f>
        <v>2</v>
      </c>
      <c r="R36" s="22">
        <f>IFERROR(INDEX([2]PV.iQOO!$A:$BL,MATCH($A36,[2]PV.iQOO!$B:$B,0),MATCH("IQOOZ11|8+256|BLUE|SALES",[2]PVKEYIQOO!$1:$1,0)),0)</f>
        <v>0</v>
      </c>
      <c r="S36" s="12" t="str">
        <f t="shared" si="5"/>
        <v/>
      </c>
      <c r="T36" s="10">
        <f>IFERROR(INDEX([2]PV.iQOO!$A:$BL,MATCH($A36,[2]PV.iQOO!$B:$B,0),MATCH("IQOO15|16+512|ALPHA|STOCK",[2]PVKEYIQOO!$1:$1,0)),0)</f>
        <v>0</v>
      </c>
      <c r="U36" s="22">
        <f>IFERROR(INDEX([2]PV.iQOO!$A:$BL,MATCH($A36,[2]PV.iQOO!$B:$B,0),MATCH("IQOO15|16+512|ALPHA|SALES",[2]PVKEYIQOO!$1:$1,0)),0)</f>
        <v>0</v>
      </c>
      <c r="V36" s="12" t="str">
        <f t="shared" si="6"/>
        <v/>
      </c>
      <c r="W36" s="22">
        <f t="shared" si="7"/>
        <v>0</v>
      </c>
      <c r="X36" s="10">
        <f>IFERROR(INDEX([2]PV.iQOO!$A:$BL,MATCH($A36,[2]PV.iQOO!$B:$B,0),MATCH("IQOO15|16+512|LEGEND|STOCK",[2]PVKEYIQOO!$1:$1,0)),0)</f>
        <v>0</v>
      </c>
      <c r="Y36" s="22">
        <f>IFERROR(INDEX([2]PV.iQOO!$A:$BL,MATCH($A36,[2]PV.iQOO!$B:$B,0),MATCH("IQOO15|16+512|LEGEND|SALES",[2]PVKEYIQOO!$1:$1,0)),0)</f>
        <v>0</v>
      </c>
      <c r="Z36" s="12" t="str">
        <f t="shared" si="8"/>
        <v/>
      </c>
      <c r="AA36" s="22">
        <f t="shared" si="9"/>
        <v>0</v>
      </c>
      <c r="AB36" s="10">
        <f>IFERROR(INDEX([2]PV.iQOO!$A:$BL,MATCH($A36,[2]PV.iQOO!$B:$B,0),MATCH("IQOO15|16+1T|LEGEND|STOCK",[2]PVKEYIQOO!$1:$1,0)),0)</f>
        <v>0</v>
      </c>
      <c r="AC36" s="22">
        <f>IFERROR(INDEX([2]PV.iQOO!$A:$BL,MATCH($A36,[2]PV.iQOO!$B:$B,0),MATCH("IQOO15|16+1T|LEGEND|SALES",[2]PVKEYIQOO!$1:$1,0)),0)</f>
        <v>0</v>
      </c>
      <c r="AD36" s="12" t="str">
        <f t="shared" si="10"/>
        <v/>
      </c>
      <c r="AE36" s="22">
        <f t="shared" si="11"/>
        <v>0</v>
      </c>
      <c r="AF36" s="10">
        <f>IFERROR(INDEX([2]PV.iQOO!$A:$BL,MATCH($A36,[2]PV.iQOO!$B:$B,0),MATCH("IQOO15R|12+512|BLACK|STOCK",[2]PVKEYIQOO!$1:$1,0)),0)</f>
        <v>0</v>
      </c>
      <c r="AG36" s="22">
        <f>IFERROR(INDEX([2]PV.iQOO!$A:$BL,MATCH($A36,[2]PV.iQOO!$B:$B,0),MATCH("IQOO15R|12+512|BLACK|SALES",[2]PVKEYIQOO!$1:$1,0)),0)</f>
        <v>0</v>
      </c>
      <c r="AH36" s="12" t="str">
        <f t="shared" si="12"/>
        <v/>
      </c>
      <c r="AI36" s="22">
        <f t="shared" si="13"/>
        <v>0</v>
      </c>
      <c r="AJ36" s="10">
        <f>IFERROR(INDEX([2]PV.iQOO!$A:$BL,MATCH($A36,[2]PV.iQOO!$B:$B,0),MATCH("IQOO15R|12+512|SILVER|STOCK",[2]PVKEYIQOO!$1:$1,0)),0)</f>
        <v>0</v>
      </c>
      <c r="AK36" s="22">
        <f>IFERROR(INDEX([2]PV.iQOO!$A:$BL,MATCH($A36,[2]PV.iQOO!$B:$B,0),MATCH("IQOO15R|12+512|SILVER|SALES",[2]PVKEYIQOO!$1:$1,0)),0)</f>
        <v>2</v>
      </c>
      <c r="AL36" s="12">
        <f t="shared" si="14"/>
        <v>0</v>
      </c>
      <c r="AM36" s="22">
        <f t="shared" si="15"/>
        <v>0.7407407407407407</v>
      </c>
      <c r="AN36" s="10">
        <f>IFERROR(INDEX([2]PV.iQOO!$A:$BL,MATCH($A36,[2]PV.iQOO!$B:$B,0),MATCH("IQOOZ11|12+256|BLACK|STOCK",[2]PVKEYIQOO!$1:$1,0)),0)</f>
        <v>0</v>
      </c>
      <c r="AO36" s="22">
        <f>IFERROR(INDEX([2]PV.iQOO!$A:$BL,MATCH($A36,[2]PV.iQOO!$B:$B,0),MATCH("IQOOZ11|12+256|BLACK|SALES",[2]PVKEYIQOO!$1:$1,0)),0)</f>
        <v>0</v>
      </c>
      <c r="AP36" s="12" t="str">
        <f t="shared" si="16"/>
        <v/>
      </c>
      <c r="AQ36" s="10">
        <f>IFERROR(INDEX([2]PV.iQOO!$A:$BL,MATCH($A36,[2]PV.iQOO!$B:$B,0),MATCH("IQOOZ11|12+256|BLUE|STOCK",[2]PVKEYIQOO!$1:$1,0)),0)</f>
        <v>0</v>
      </c>
      <c r="AR36" s="22">
        <f>IFERROR(INDEX([2]PV.iQOO!$A:$BL,MATCH($A36,[2]PV.iQOO!$B:$B,0),MATCH("IQOOZ11|12+256|BLUE|SALES",[2]PVKEYIQOO!$1:$1,0)),0)</f>
        <v>0</v>
      </c>
      <c r="AS36" s="12" t="str">
        <f t="shared" si="17"/>
        <v/>
      </c>
      <c r="AT36" s="10">
        <f>IFERROR(INDEX([2]PV.iQOO!$A:$BL,MATCH($A36,[2]PV.iQOO!$B:$B,0),MATCH("IQOONEO10|12+256|WHITE|STOCK",[2]PVKEYIQOO!$1:$1,0)),0)</f>
        <v>2</v>
      </c>
      <c r="AU36" s="22">
        <f>IFERROR(INDEX([2]PV.iQOO!$A:$BL,MATCH($A36,[2]PV.iQOO!$B:$B,0),MATCH("IQOONEO10|12+256|WHITE|SALES",[2]PVKEYIQOO!$1:$1,0)),0)</f>
        <v>0</v>
      </c>
      <c r="AV36" s="12" t="str">
        <f t="shared" si="19"/>
        <v/>
      </c>
      <c r="AW36" s="10">
        <f>IFERROR(INDEX([2]PV.iQOO!$A:$BL,MATCH($A36,[2]PV.iQOO!$B:$B,0),MATCH("IQOOZ11X|8+128|BLACK|STOCK",[2]PVKEYIQOO!$1:$1,0)),0)</f>
        <v>2</v>
      </c>
      <c r="AX36" s="22">
        <f>IFERROR(INDEX([2]PV.iQOO!$A:$BL,MATCH($A36,[2]PV.iQOO!$B:$B,0),MATCH("IQOOZ11X|8+128|BLACK|SALES",[2]PVKEYIQOO!$1:$1,0)),0)</f>
        <v>0</v>
      </c>
      <c r="AY36" s="12" t="str">
        <f t="shared" si="20"/>
        <v/>
      </c>
      <c r="AZ36" s="10">
        <f>IFERROR(INDEX([2]PV.iQOO!$A:$BL,MATCH($A36,[2]PV.iQOO!$B:$B,0),MATCH("IQOOZ11X|8+128|SILVER|STOCK",[2]PVKEYIQOO!$1:$1,0)),0)</f>
        <v>1</v>
      </c>
      <c r="BA36" s="22">
        <f>IFERROR(INDEX([2]PV.iQOO!$A:$BL,MATCH($A36,[2]PV.iQOO!$B:$B,0),MATCH("IQOOZ11X|8+128|SILVER|SALES",[2]PVKEYIQOO!$1:$1,0)),0)</f>
        <v>0</v>
      </c>
      <c r="BB36" s="12" t="str">
        <f t="shared" si="21"/>
        <v/>
      </c>
      <c r="BC36" s="13">
        <f t="shared" si="22"/>
        <v>8</v>
      </c>
      <c r="BD36" s="13">
        <f t="shared" si="22"/>
        <v>4</v>
      </c>
      <c r="BE36" s="13">
        <f t="shared" si="18"/>
        <v>54</v>
      </c>
    </row>
    <row r="37" spans="1:57" x14ac:dyDescent="0.2">
      <c r="A37" s="24" t="s">
        <v>54</v>
      </c>
      <c r="B37" s="15">
        <f>SUM(B8:B36)</f>
        <v>0</v>
      </c>
      <c r="C37" s="25">
        <f>SUM(C8:C36)</f>
        <v>0</v>
      </c>
      <c r="D37" s="12" t="str">
        <f t="shared" si="0"/>
        <v/>
      </c>
      <c r="E37" s="15">
        <f>SUM(E8:E36)</f>
        <v>0</v>
      </c>
      <c r="F37" s="25">
        <f>SUM(F8:F36)</f>
        <v>0</v>
      </c>
      <c r="G37" s="12" t="str">
        <f t="shared" si="1"/>
        <v/>
      </c>
      <c r="H37" s="15">
        <f>SUM(H8:H36)</f>
        <v>4</v>
      </c>
      <c r="I37" s="25">
        <f>SUM(I8:I36)</f>
        <v>6</v>
      </c>
      <c r="J37" s="12">
        <f t="shared" si="2"/>
        <v>18</v>
      </c>
      <c r="K37" s="15">
        <f>SUM(K8:K36)</f>
        <v>6</v>
      </c>
      <c r="L37" s="25">
        <f>SUM(L8:L36)</f>
        <v>6</v>
      </c>
      <c r="M37" s="12">
        <f t="shared" si="3"/>
        <v>27</v>
      </c>
      <c r="N37" s="15">
        <f>SUM(N8:N36)</f>
        <v>41</v>
      </c>
      <c r="O37" s="25">
        <f>SUM(O8:O36)</f>
        <v>35</v>
      </c>
      <c r="P37" s="12">
        <f t="shared" si="4"/>
        <v>31.6</v>
      </c>
      <c r="Q37" s="15">
        <f>SUM(Q8:Q36)</f>
        <v>52</v>
      </c>
      <c r="R37" s="25">
        <f>SUM(R8:R36)</f>
        <v>33</v>
      </c>
      <c r="S37" s="12">
        <f t="shared" si="5"/>
        <v>42.5</v>
      </c>
      <c r="T37" s="15">
        <f>SUM(T8:T36)</f>
        <v>0</v>
      </c>
      <c r="U37" s="25">
        <f>SUM(U8:U36)</f>
        <v>0</v>
      </c>
      <c r="V37" s="12" t="str">
        <f t="shared" si="6"/>
        <v/>
      </c>
      <c r="W37" s="25">
        <f>SUM(W8:W36)</f>
        <v>0</v>
      </c>
      <c r="X37" s="15">
        <f>SUM(X8:X36)</f>
        <v>0</v>
      </c>
      <c r="Y37" s="25">
        <f>SUM(Y8:Y36)</f>
        <v>0</v>
      </c>
      <c r="Z37" s="12" t="str">
        <f t="shared" si="8"/>
        <v/>
      </c>
      <c r="AA37" s="25">
        <f>SUM(AA8:AA36)</f>
        <v>0</v>
      </c>
      <c r="AB37" s="15">
        <f>SUM(AB8:AB36)</f>
        <v>0</v>
      </c>
      <c r="AC37" s="25">
        <f>SUM(AC8:AC36)</f>
        <v>0</v>
      </c>
      <c r="AD37" s="12" t="str">
        <f t="shared" si="10"/>
        <v/>
      </c>
      <c r="AE37" s="25">
        <f>SUM(AE8:AE36)</f>
        <v>0</v>
      </c>
      <c r="AF37" s="15">
        <f>SUM(AF8:AF36)</f>
        <v>2</v>
      </c>
      <c r="AG37" s="25">
        <f>SUM(AG8:AG36)</f>
        <v>8</v>
      </c>
      <c r="AH37" s="12">
        <f t="shared" si="12"/>
        <v>6.8</v>
      </c>
      <c r="AI37" s="25">
        <f>SUM(AI8:AI36)</f>
        <v>2.9629629629629628</v>
      </c>
      <c r="AJ37" s="15">
        <f>SUM(AJ8:AJ36)</f>
        <v>0</v>
      </c>
      <c r="AK37" s="25">
        <f>SUM(AK8:AK36)</f>
        <v>3</v>
      </c>
      <c r="AL37" s="12">
        <f t="shared" si="14"/>
        <v>0</v>
      </c>
      <c r="AM37" s="25">
        <f>SUM(AM8:AM36)</f>
        <v>1.1111111111111112</v>
      </c>
      <c r="AN37" s="15">
        <f>SUM(AN8:AN36)</f>
        <v>17</v>
      </c>
      <c r="AO37" s="25">
        <f>SUM(AO8:AO36)</f>
        <v>5</v>
      </c>
      <c r="AP37" s="12">
        <f t="shared" si="16"/>
        <v>91.8</v>
      </c>
      <c r="AQ37" s="15">
        <f>SUM(AQ8:AQ36)</f>
        <v>24</v>
      </c>
      <c r="AR37" s="25">
        <f>SUM(AR8:AR36)</f>
        <v>7</v>
      </c>
      <c r="AS37" s="12">
        <f t="shared" si="17"/>
        <v>92.6</v>
      </c>
      <c r="AT37" s="15">
        <f>SUM(AT8:AT36)</f>
        <v>40</v>
      </c>
      <c r="AU37" s="25">
        <f>SUM(AU8:AU36)</f>
        <v>26</v>
      </c>
      <c r="AV37" s="12">
        <f>IF(OR(AU37="",AU37=0),"",ROUND(AT37/AU37*$B$2,1))</f>
        <v>41.5</v>
      </c>
      <c r="AW37" s="15">
        <f>SUM(AW8:AW36)</f>
        <v>32</v>
      </c>
      <c r="AX37" s="25">
        <f>SUM(AX8:AX36)</f>
        <v>24</v>
      </c>
      <c r="AY37" s="12">
        <f>IF(OR(AX37="",AX37=0),"",ROUND(AW37/AX37*$B$2,1))</f>
        <v>36</v>
      </c>
      <c r="AZ37" s="15">
        <f>SUM(AZ8:AZ36)</f>
        <v>35</v>
      </c>
      <c r="BA37" s="25">
        <f>SUM(BA8:BA36)</f>
        <v>21</v>
      </c>
      <c r="BB37" s="12">
        <f>IF(OR(BA37="",BA37=0),"",ROUND(AZ37/BA37*$B$2,1))</f>
        <v>45</v>
      </c>
      <c r="BC37" s="13">
        <f>SUM(BC8:BC36)</f>
        <v>253</v>
      </c>
      <c r="BD37" s="13">
        <f>SUM(BD8:BD36)</f>
        <v>174</v>
      </c>
      <c r="BE37" s="13">
        <f t="shared" si="18"/>
        <v>39.258620689655174</v>
      </c>
    </row>
  </sheetData>
  <mergeCells count="37">
    <mergeCell ref="AF5:AM5"/>
    <mergeCell ref="AN5:AS5"/>
    <mergeCell ref="B4:G4"/>
    <mergeCell ref="H4:M4"/>
    <mergeCell ref="N4:S4"/>
    <mergeCell ref="T4:AE4"/>
    <mergeCell ref="AF4:AM4"/>
    <mergeCell ref="B5:G5"/>
    <mergeCell ref="H5:M5"/>
    <mergeCell ref="N5:S5"/>
    <mergeCell ref="T5:AA5"/>
    <mergeCell ref="AB5:AE5"/>
    <mergeCell ref="AJ6:AM6"/>
    <mergeCell ref="AN6:AP6"/>
    <mergeCell ref="AQ6:AS6"/>
    <mergeCell ref="AT4:AV4"/>
    <mergeCell ref="A4:A7"/>
    <mergeCell ref="Q6:S6"/>
    <mergeCell ref="T6:W6"/>
    <mergeCell ref="X6:AA6"/>
    <mergeCell ref="AB6:AE6"/>
    <mergeCell ref="AF6:AI6"/>
    <mergeCell ref="B6:D6"/>
    <mergeCell ref="E6:G6"/>
    <mergeCell ref="H6:J6"/>
    <mergeCell ref="K6:M6"/>
    <mergeCell ref="N6:P6"/>
    <mergeCell ref="AN4:AS4"/>
    <mergeCell ref="AW4:BB4"/>
    <mergeCell ref="BC4:BC7"/>
    <mergeCell ref="BD4:BD7"/>
    <mergeCell ref="BE4:BE7"/>
    <mergeCell ref="AT5:AV5"/>
    <mergeCell ref="AW5:BB5"/>
    <mergeCell ref="AT6:AV6"/>
    <mergeCell ref="AW6:AY6"/>
    <mergeCell ref="AZ6:BB6"/>
  </mergeCells>
  <conditionalFormatting sqref="D8:D37">
    <cfRule type="cellIs" dxfId="52" priority="50" operator="lessThan">
      <formula>5</formula>
    </cfRule>
    <cfRule type="cellIs" dxfId="51" priority="51" operator="between">
      <formula>5</formula>
      <formula>10</formula>
    </cfRule>
    <cfRule type="cellIs" dxfId="50" priority="52" operator="greaterThan">
      <formula>10</formula>
    </cfRule>
  </conditionalFormatting>
  <conditionalFormatting sqref="G8:G37">
    <cfRule type="cellIs" dxfId="49" priority="47" operator="lessThan">
      <formula>5</formula>
    </cfRule>
    <cfRule type="cellIs" dxfId="48" priority="48" operator="between">
      <formula>5</formula>
      <formula>10</formula>
    </cfRule>
    <cfRule type="cellIs" dxfId="47" priority="49" operator="greaterThan">
      <formula>10</formula>
    </cfRule>
  </conditionalFormatting>
  <conditionalFormatting sqref="J8:J37">
    <cfRule type="cellIs" dxfId="46" priority="44" operator="lessThan">
      <formula>5</formula>
    </cfRule>
    <cfRule type="cellIs" dxfId="45" priority="45" operator="between">
      <formula>5</formula>
      <formula>10</formula>
    </cfRule>
    <cfRule type="cellIs" dxfId="44" priority="46" operator="greaterThan">
      <formula>10</formula>
    </cfRule>
  </conditionalFormatting>
  <conditionalFormatting sqref="M8:M37">
    <cfRule type="cellIs" dxfId="43" priority="41" operator="lessThan">
      <formula>5</formula>
    </cfRule>
    <cfRule type="cellIs" dxfId="42" priority="42" operator="between">
      <formula>5</formula>
      <formula>10</formula>
    </cfRule>
    <cfRule type="cellIs" dxfId="41" priority="43" operator="greaterThan">
      <formula>10</formula>
    </cfRule>
  </conditionalFormatting>
  <conditionalFormatting sqref="P8:P37">
    <cfRule type="cellIs" dxfId="40" priority="38" operator="lessThan">
      <formula>5</formula>
    </cfRule>
    <cfRule type="cellIs" dxfId="39" priority="39" operator="between">
      <formula>5</formula>
      <formula>10</formula>
    </cfRule>
    <cfRule type="cellIs" dxfId="38" priority="40" operator="greaterThan">
      <formula>10</formula>
    </cfRule>
  </conditionalFormatting>
  <conditionalFormatting sqref="S8:S37">
    <cfRule type="cellIs" dxfId="37" priority="35" operator="lessThan">
      <formula>5</formula>
    </cfRule>
    <cfRule type="cellIs" dxfId="36" priority="36" operator="between">
      <formula>5</formula>
      <formula>10</formula>
    </cfRule>
    <cfRule type="cellIs" dxfId="35" priority="37" operator="greaterThan">
      <formula>10</formula>
    </cfRule>
  </conditionalFormatting>
  <conditionalFormatting sqref="V8:V37">
    <cfRule type="cellIs" dxfId="34" priority="32" operator="lessThan">
      <formula>5</formula>
    </cfRule>
    <cfRule type="cellIs" dxfId="33" priority="33" operator="between">
      <formula>5</formula>
      <formula>10</formula>
    </cfRule>
    <cfRule type="cellIs" dxfId="32" priority="34" operator="greaterThan">
      <formula>10</formula>
    </cfRule>
  </conditionalFormatting>
  <conditionalFormatting sqref="W8:W36">
    <cfRule type="cellIs" dxfId="31" priority="53" operator="greaterThan">
      <formula>#REF!</formula>
    </cfRule>
  </conditionalFormatting>
  <conditionalFormatting sqref="Z8:Z37">
    <cfRule type="cellIs" dxfId="30" priority="29" operator="lessThan">
      <formula>5</formula>
    </cfRule>
    <cfRule type="cellIs" dxfId="29" priority="30" operator="between">
      <formula>5</formula>
      <formula>10</formula>
    </cfRule>
    <cfRule type="cellIs" dxfId="28" priority="31" operator="greaterThan">
      <formula>10</formula>
    </cfRule>
  </conditionalFormatting>
  <conditionalFormatting sqref="AA8:AA36">
    <cfRule type="cellIs" dxfId="27" priority="19" operator="greaterThan">
      <formula>W8</formula>
    </cfRule>
  </conditionalFormatting>
  <conditionalFormatting sqref="AD8:AD37">
    <cfRule type="cellIs" dxfId="26" priority="26" operator="lessThan">
      <formula>5</formula>
    </cfRule>
    <cfRule type="cellIs" dxfId="25" priority="27" operator="between">
      <formula>5</formula>
      <formula>10</formula>
    </cfRule>
    <cfRule type="cellIs" dxfId="24" priority="28" operator="greaterThan">
      <formula>10</formula>
    </cfRule>
  </conditionalFormatting>
  <conditionalFormatting sqref="AE8:AE36">
    <cfRule type="cellIs" dxfId="23" priority="18" operator="greaterThan">
      <formula>AA8</formula>
    </cfRule>
  </conditionalFormatting>
  <conditionalFormatting sqref="AH8:AH37">
    <cfRule type="cellIs" dxfId="22" priority="23" operator="lessThan">
      <formula>5</formula>
    </cfRule>
    <cfRule type="cellIs" dxfId="21" priority="24" operator="between">
      <formula>5</formula>
      <formula>10</formula>
    </cfRule>
    <cfRule type="cellIs" dxfId="20" priority="25" operator="greaterThan">
      <formula>10</formula>
    </cfRule>
  </conditionalFormatting>
  <conditionalFormatting sqref="AI8:AI36">
    <cfRule type="cellIs" dxfId="19" priority="17" operator="greaterThan">
      <formula>#REF!</formula>
    </cfRule>
  </conditionalFormatting>
  <conditionalFormatting sqref="AL8:AL37">
    <cfRule type="cellIs" dxfId="18" priority="20" operator="lessThan">
      <formula>5</formula>
    </cfRule>
    <cfRule type="cellIs" dxfId="17" priority="21" operator="between">
      <formula>5</formula>
      <formula>10</formula>
    </cfRule>
    <cfRule type="cellIs" dxfId="16" priority="22" operator="greaterThan">
      <formula>10</formula>
    </cfRule>
  </conditionalFormatting>
  <conditionalFormatting sqref="AM8:AM36">
    <cfRule type="cellIs" dxfId="15" priority="16" operator="greaterThan">
      <formula>AI8</formula>
    </cfRule>
  </conditionalFormatting>
  <conditionalFormatting sqref="AP8:AP37">
    <cfRule type="cellIs" dxfId="14" priority="13" operator="lessThan">
      <formula>5</formula>
    </cfRule>
    <cfRule type="cellIs" dxfId="13" priority="14" operator="between">
      <formula>5</formula>
      <formula>10</formula>
    </cfRule>
    <cfRule type="cellIs" dxfId="12" priority="15" operator="greaterThan">
      <formula>10</formula>
    </cfRule>
  </conditionalFormatting>
  <conditionalFormatting sqref="AS8:AS37">
    <cfRule type="cellIs" dxfId="11" priority="10" operator="lessThan">
      <formula>5</formula>
    </cfRule>
    <cfRule type="cellIs" dxfId="10" priority="11" operator="between">
      <formula>5</formula>
      <formula>10</formula>
    </cfRule>
    <cfRule type="cellIs" dxfId="9" priority="12" operator="greaterThan">
      <formula>10</formula>
    </cfRule>
  </conditionalFormatting>
  <conditionalFormatting sqref="AV8:AV37">
    <cfRule type="cellIs" dxfId="8" priority="7" operator="lessThan">
      <formula>5</formula>
    </cfRule>
    <cfRule type="cellIs" dxfId="7" priority="8" operator="between">
      <formula>5</formula>
      <formula>10</formula>
    </cfRule>
    <cfRule type="cellIs" dxfId="6" priority="9" operator="greaterThan">
      <formula>10</formula>
    </cfRule>
  </conditionalFormatting>
  <conditionalFormatting sqref="AY8:AY37">
    <cfRule type="cellIs" dxfId="5" priority="4" operator="lessThan">
      <formula>5</formula>
    </cfRule>
    <cfRule type="cellIs" dxfId="4" priority="5" operator="between">
      <formula>5</formula>
      <formula>10</formula>
    </cfRule>
    <cfRule type="cellIs" dxfId="3" priority="6" operator="greaterThan">
      <formula>10</formula>
    </cfRule>
  </conditionalFormatting>
  <conditionalFormatting sqref="BB8:BB37">
    <cfRule type="cellIs" dxfId="2" priority="1" operator="lessThan">
      <formula>5</formula>
    </cfRule>
    <cfRule type="cellIs" dxfId="1" priority="2" operator="between">
      <formula>5</formula>
      <formula>10</formula>
    </cfRule>
    <cfRule type="cellIs" dxfId="0" priority="3" operator="greaterThan">
      <formula>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42"/>
  <sheetViews>
    <sheetView zoomScale="113" zoomScaleNormal="113" workbookViewId="0">
      <pane xSplit="1" topLeftCell="AQ1" activePane="topRight" state="frozen"/>
      <selection pane="topRight" sqref="A1:CT37"/>
    </sheetView>
  </sheetViews>
  <sheetFormatPr baseColWidth="10" defaultColWidth="9.1640625" defaultRowHeight="13" x14ac:dyDescent="0.15"/>
  <cols>
    <col min="1" max="1" width="39.5" style="1" customWidth="1"/>
    <col min="2" max="2" width="11" style="1" customWidth="1"/>
    <col min="3" max="3" width="8.6640625" style="1" customWidth="1"/>
    <col min="4" max="4" width="3.83203125" style="1" customWidth="1"/>
    <col min="5" max="5" width="5.6640625" style="1" customWidth="1"/>
    <col min="6" max="6" width="8.6640625" style="1" customWidth="1"/>
    <col min="7" max="7" width="3.83203125" style="1" customWidth="1"/>
    <col min="8" max="8" width="5.6640625" style="1" customWidth="1"/>
    <col min="9" max="9" width="8.6640625" style="1" customWidth="1"/>
    <col min="10" max="10" width="3.83203125" style="1" customWidth="1"/>
    <col min="11" max="11" width="8.33203125" style="1" customWidth="1"/>
    <col min="12" max="12" width="5.6640625" style="1" customWidth="1"/>
    <col min="13" max="13" width="8.6640625" style="1" customWidth="1"/>
    <col min="14" max="14" width="3.83203125" style="1" customWidth="1"/>
    <col min="15" max="15" width="8.33203125" style="1" customWidth="1"/>
    <col min="16" max="16" width="5.6640625" style="1" customWidth="1"/>
    <col min="17" max="17" width="8.6640625" style="1" customWidth="1"/>
    <col min="18" max="18" width="3.83203125" style="1" customWidth="1"/>
    <col min="19" max="19" width="5.6640625" style="1" customWidth="1"/>
    <col min="20" max="20" width="8.6640625" style="1" customWidth="1"/>
    <col min="21" max="21" width="3.83203125" style="1" customWidth="1"/>
    <col min="22" max="22" width="5.6640625" style="1" customWidth="1"/>
    <col min="23" max="23" width="8.6640625" style="1" customWidth="1"/>
    <col min="24" max="24" width="3.83203125" style="1" customWidth="1"/>
    <col min="25" max="25" width="8.33203125" style="1" customWidth="1"/>
    <col min="26" max="26" width="5.6640625" style="1" customWidth="1"/>
    <col min="27" max="27" width="8.6640625" style="1" customWidth="1"/>
    <col min="28" max="28" width="3.83203125" style="1" customWidth="1"/>
    <col min="29" max="29" width="8.33203125" style="1" customWidth="1"/>
    <col min="30" max="30" width="5.6640625" style="1" customWidth="1"/>
    <col min="31" max="31" width="8.6640625" style="1" customWidth="1"/>
    <col min="32" max="32" width="3.83203125" style="1" customWidth="1"/>
    <col min="33" max="33" width="8.33203125" style="1" customWidth="1"/>
    <col min="34" max="40" width="5.6640625" style="1" customWidth="1"/>
    <col min="41" max="41" width="8.6640625" style="1" customWidth="1"/>
    <col min="42" max="42" width="3.83203125" style="1" customWidth="1"/>
    <col min="43" max="44" width="5.6640625" style="1" customWidth="1"/>
    <col min="45" max="45" width="8.6640625" style="1" customWidth="1"/>
    <col min="46" max="46" width="3.83203125" style="1" customWidth="1"/>
    <col min="47" max="47" width="8.33203125" style="1" customWidth="1"/>
    <col min="48" max="48" width="5.6640625" style="1" customWidth="1"/>
    <col min="49" max="49" width="8.6640625" style="1" customWidth="1"/>
    <col min="50" max="50" width="3.83203125" style="1" customWidth="1"/>
    <col min="51" max="51" width="8.33203125" style="1" customWidth="1"/>
    <col min="52" max="52" width="5.6640625" style="1" customWidth="1"/>
    <col min="53" max="53" width="8.6640625" style="1" customWidth="1"/>
    <col min="54" max="54" width="3.83203125" style="1" customWidth="1"/>
    <col min="55" max="55" width="5.6640625" style="1" customWidth="1"/>
    <col min="56" max="56" width="8.6640625" style="1" customWidth="1"/>
    <col min="57" max="57" width="3.83203125" style="1" customWidth="1"/>
    <col min="58" max="58" width="8.33203125" style="1" customWidth="1"/>
    <col min="59" max="59" width="5.6640625" style="1" customWidth="1"/>
    <col min="60" max="60" width="8.6640625" style="1" customWidth="1"/>
    <col min="61" max="61" width="3.83203125" style="1" customWidth="1"/>
    <col min="62" max="62" width="8.33203125" style="1" customWidth="1"/>
    <col min="63" max="63" width="5.6640625" style="1" customWidth="1"/>
    <col min="64" max="64" width="8.6640625" style="1" customWidth="1"/>
    <col min="65" max="65" width="3.83203125" style="1" customWidth="1"/>
    <col min="66" max="66" width="8.33203125" style="1" customWidth="1"/>
    <col min="67" max="67" width="5.6640625" style="1" customWidth="1"/>
    <col min="68" max="68" width="8.6640625" style="1" customWidth="1"/>
    <col min="69" max="69" width="3.83203125" style="1" customWidth="1"/>
    <col min="70" max="70" width="8.33203125" style="1" customWidth="1"/>
    <col min="71" max="71" width="5.6640625" style="1" customWidth="1"/>
    <col min="72" max="72" width="8.6640625" style="1" customWidth="1"/>
    <col min="73" max="73" width="3.83203125" style="1" customWidth="1"/>
    <col min="74" max="74" width="8.33203125" style="1" customWidth="1"/>
    <col min="75" max="75" width="5.6640625" style="1" customWidth="1"/>
    <col min="76" max="76" width="8.6640625" style="1" customWidth="1"/>
    <col min="77" max="77" width="3.83203125" style="1" customWidth="1"/>
    <col min="78" max="78" width="8.33203125" style="1" customWidth="1"/>
    <col min="79" max="79" width="5.6640625" style="1" customWidth="1"/>
    <col min="80" max="80" width="8.6640625" style="1" customWidth="1"/>
    <col min="81" max="81" width="3.83203125" style="1" customWidth="1"/>
    <col min="82" max="82" width="8.33203125" style="1" customWidth="1"/>
    <col min="83" max="83" width="5.6640625" style="1" customWidth="1"/>
    <col min="84" max="84" width="8.6640625" style="1" customWidth="1"/>
    <col min="85" max="85" width="3.83203125" style="1" customWidth="1"/>
    <col min="86" max="96" width="8.33203125" style="1" customWidth="1"/>
    <col min="97" max="97" width="10.6640625" style="1" customWidth="1"/>
    <col min="98" max="98" width="7.6640625" style="1" customWidth="1"/>
    <col min="99" max="16384" width="9.1640625" style="1"/>
  </cols>
  <sheetData>
    <row r="1" spans="1:99" ht="16" x14ac:dyDescent="0.2">
      <c r="A1" s="2" t="s">
        <v>0</v>
      </c>
      <c r="B1" s="3">
        <v>30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5"/>
      <c r="CS1" s="5"/>
      <c r="CT1" s="5"/>
      <c r="CU1"/>
    </row>
    <row r="2" spans="1:99" ht="16" x14ac:dyDescent="0.2">
      <c r="A2" s="2" t="s">
        <v>1</v>
      </c>
      <c r="B2" s="3">
        <v>27</v>
      </c>
      <c r="C2" s="4"/>
      <c r="D2" s="4"/>
      <c r="E2" s="4"/>
      <c r="F2" s="4"/>
      <c r="G2" s="4"/>
      <c r="H2" s="4"/>
      <c r="I2" s="4"/>
      <c r="J2" s="4"/>
      <c r="K2" s="6" t="s">
        <v>2</v>
      </c>
      <c r="L2" s="4"/>
      <c r="M2" s="4"/>
      <c r="N2" s="4"/>
      <c r="O2" s="6" t="s">
        <v>2</v>
      </c>
      <c r="P2" s="4"/>
      <c r="Q2" s="4"/>
      <c r="R2" s="4"/>
      <c r="S2" s="4"/>
      <c r="T2" s="4"/>
      <c r="U2" s="4"/>
      <c r="V2" s="4"/>
      <c r="W2" s="4"/>
      <c r="X2" s="4"/>
      <c r="Y2" s="6" t="s">
        <v>2</v>
      </c>
      <c r="Z2" s="4"/>
      <c r="AA2" s="4"/>
      <c r="AB2" s="4"/>
      <c r="AC2" s="6" t="s">
        <v>2</v>
      </c>
      <c r="AD2" s="4"/>
      <c r="AE2" s="4"/>
      <c r="AF2" s="4"/>
      <c r="AG2" s="6" t="s">
        <v>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6" t="s">
        <v>2</v>
      </c>
      <c r="AV2" s="4"/>
      <c r="AW2" s="4"/>
      <c r="AX2" s="4"/>
      <c r="AY2" s="6" t="s">
        <v>2</v>
      </c>
      <c r="AZ2" s="4"/>
      <c r="BA2" s="4"/>
      <c r="BB2" s="4"/>
      <c r="BC2" s="4"/>
      <c r="BD2" s="4"/>
      <c r="BE2" s="4"/>
      <c r="BF2" s="6" t="s">
        <v>2</v>
      </c>
      <c r="BG2" s="4"/>
      <c r="BH2" s="4"/>
      <c r="BI2" s="4"/>
      <c r="BJ2" s="6" t="s">
        <v>2</v>
      </c>
      <c r="BK2" s="4"/>
      <c r="BL2" s="4"/>
      <c r="BM2" s="4"/>
      <c r="BN2" s="6" t="s">
        <v>2</v>
      </c>
      <c r="BO2" s="4"/>
      <c r="BP2" s="4"/>
      <c r="BQ2" s="4"/>
      <c r="BR2" s="6" t="s">
        <v>2</v>
      </c>
      <c r="BS2" s="4"/>
      <c r="BT2" s="4"/>
      <c r="BU2" s="4"/>
      <c r="BV2" s="6" t="s">
        <v>2</v>
      </c>
      <c r="BW2" s="4"/>
      <c r="BX2" s="4"/>
      <c r="BY2" s="4"/>
      <c r="BZ2" s="6" t="s">
        <v>2</v>
      </c>
      <c r="CA2" s="4"/>
      <c r="CB2" s="4"/>
      <c r="CC2" s="4"/>
      <c r="CD2" s="6" t="s">
        <v>2</v>
      </c>
      <c r="CE2" s="4"/>
      <c r="CF2" s="4"/>
      <c r="CG2" s="4"/>
      <c r="CH2" s="6" t="s">
        <v>2</v>
      </c>
      <c r="CI2" s="6"/>
      <c r="CJ2" s="6"/>
      <c r="CK2" s="6"/>
      <c r="CL2" s="6"/>
      <c r="CM2" s="6"/>
      <c r="CN2" s="6"/>
      <c r="CO2" s="6"/>
      <c r="CP2" s="6"/>
      <c r="CQ2" s="6"/>
      <c r="CR2" s="5"/>
      <c r="CS2" s="5"/>
      <c r="CT2" s="5"/>
      <c r="CU2"/>
    </row>
    <row r="3" spans="1:99" ht="16" x14ac:dyDescent="0.2">
      <c r="A3" s="2" t="s">
        <v>3</v>
      </c>
      <c r="B3" s="3">
        <f>B1-B2</f>
        <v>3</v>
      </c>
      <c r="C3" s="4"/>
      <c r="D3" s="4"/>
      <c r="E3" s="4"/>
      <c r="F3" s="4"/>
      <c r="G3" s="4"/>
      <c r="H3" s="4"/>
      <c r="I3" s="4"/>
      <c r="J3" s="4"/>
      <c r="K3" s="7">
        <v>10</v>
      </c>
      <c r="L3" s="4"/>
      <c r="M3" s="4"/>
      <c r="N3" s="4"/>
      <c r="O3" s="7">
        <v>10</v>
      </c>
      <c r="P3" s="4"/>
      <c r="Q3" s="4"/>
      <c r="R3" s="4"/>
      <c r="S3" s="4"/>
      <c r="T3" s="4"/>
      <c r="U3" s="4"/>
      <c r="V3" s="4"/>
      <c r="W3" s="4"/>
      <c r="X3" s="4"/>
      <c r="Y3" s="7">
        <v>5</v>
      </c>
      <c r="Z3" s="4"/>
      <c r="AA3" s="4"/>
      <c r="AB3" s="4"/>
      <c r="AC3" s="7">
        <v>5</v>
      </c>
      <c r="AD3" s="4"/>
      <c r="AE3" s="4"/>
      <c r="AF3" s="4"/>
      <c r="AG3" s="7">
        <v>5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7">
        <v>5</v>
      </c>
      <c r="AV3" s="4"/>
      <c r="AW3" s="4"/>
      <c r="AX3" s="4"/>
      <c r="AY3" s="7">
        <v>5</v>
      </c>
      <c r="AZ3" s="4"/>
      <c r="BA3" s="4"/>
      <c r="BB3" s="4"/>
      <c r="BC3" s="4"/>
      <c r="BD3" s="4"/>
      <c r="BE3" s="4"/>
      <c r="BF3" s="7">
        <v>8</v>
      </c>
      <c r="BG3" s="4"/>
      <c r="BH3" s="4"/>
      <c r="BI3" s="4"/>
      <c r="BJ3" s="7">
        <v>8</v>
      </c>
      <c r="BK3" s="4"/>
      <c r="BL3" s="4"/>
      <c r="BM3" s="4"/>
      <c r="BN3" s="7">
        <v>8</v>
      </c>
      <c r="BO3" s="4"/>
      <c r="BP3" s="4"/>
      <c r="BQ3" s="4"/>
      <c r="BR3" s="7">
        <v>8</v>
      </c>
      <c r="BS3" s="4"/>
      <c r="BT3" s="4"/>
      <c r="BU3" s="4"/>
      <c r="BV3" s="7">
        <v>8</v>
      </c>
      <c r="BW3" s="4"/>
      <c r="BX3" s="4"/>
      <c r="BY3" s="4"/>
      <c r="BZ3" s="7">
        <v>8</v>
      </c>
      <c r="CA3" s="4"/>
      <c r="CB3" s="4"/>
      <c r="CC3" s="4"/>
      <c r="CD3" s="7">
        <v>7</v>
      </c>
      <c r="CE3" s="4"/>
      <c r="CF3" s="4"/>
      <c r="CG3" s="4"/>
      <c r="CH3" s="7">
        <v>5</v>
      </c>
      <c r="CI3" s="7"/>
      <c r="CJ3" s="7"/>
      <c r="CK3" s="7"/>
      <c r="CL3" s="7"/>
      <c r="CM3" s="7"/>
      <c r="CN3" s="7"/>
      <c r="CO3" s="7"/>
      <c r="CP3" s="7"/>
      <c r="CQ3" s="7"/>
      <c r="CR3" s="5"/>
      <c r="CS3" s="5"/>
      <c r="CT3" s="5"/>
      <c r="CU3"/>
    </row>
    <row r="4" spans="1:99" ht="15" customHeight="1" x14ac:dyDescent="0.2">
      <c r="A4" s="31" t="s">
        <v>4</v>
      </c>
      <c r="B4" s="31" t="s">
        <v>55</v>
      </c>
      <c r="C4" s="30"/>
      <c r="D4" s="30"/>
      <c r="E4" s="31" t="s">
        <v>56</v>
      </c>
      <c r="F4" s="30"/>
      <c r="G4" s="30"/>
      <c r="H4" s="30"/>
      <c r="I4" s="30"/>
      <c r="J4" s="30"/>
      <c r="K4" s="30"/>
      <c r="L4" s="31" t="s">
        <v>57</v>
      </c>
      <c r="M4" s="30"/>
      <c r="N4" s="30"/>
      <c r="O4" s="30"/>
      <c r="P4" s="31" t="s">
        <v>58</v>
      </c>
      <c r="Q4" s="30"/>
      <c r="R4" s="30"/>
      <c r="S4" s="30"/>
      <c r="T4" s="30"/>
      <c r="U4" s="30"/>
      <c r="V4" s="31" t="s">
        <v>59</v>
      </c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8" t="s">
        <v>60</v>
      </c>
      <c r="AI4" s="39"/>
      <c r="AJ4" s="40"/>
      <c r="AK4" s="39" t="s">
        <v>61</v>
      </c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40"/>
      <c r="AZ4" s="31" t="s">
        <v>62</v>
      </c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1" t="s">
        <v>63</v>
      </c>
      <c r="BL4" s="30"/>
      <c r="BM4" s="30"/>
      <c r="BN4" s="30"/>
      <c r="BO4" s="30"/>
      <c r="BP4" s="30"/>
      <c r="BQ4" s="30"/>
      <c r="BR4" s="30"/>
      <c r="BS4" s="31" t="s">
        <v>64</v>
      </c>
      <c r="BT4" s="30"/>
      <c r="BU4" s="30"/>
      <c r="BV4" s="30"/>
      <c r="BW4" s="31" t="s">
        <v>65</v>
      </c>
      <c r="BX4" s="30"/>
      <c r="BY4" s="30"/>
      <c r="BZ4" s="30"/>
      <c r="CA4" s="31" t="s">
        <v>66</v>
      </c>
      <c r="CB4" s="30"/>
      <c r="CC4" s="30"/>
      <c r="CD4" s="30"/>
      <c r="CE4" s="30"/>
      <c r="CF4" s="30"/>
      <c r="CG4" s="30"/>
      <c r="CH4" s="30"/>
      <c r="CI4" s="31" t="s">
        <v>67</v>
      </c>
      <c r="CJ4" s="30"/>
      <c r="CK4" s="30"/>
      <c r="CL4" s="31" t="s">
        <v>67</v>
      </c>
      <c r="CM4" s="30"/>
      <c r="CN4" s="30"/>
      <c r="CO4" s="31" t="s">
        <v>68</v>
      </c>
      <c r="CP4" s="30"/>
      <c r="CQ4" s="30"/>
      <c r="CR4" s="32" t="s">
        <v>69</v>
      </c>
      <c r="CS4" s="32" t="s">
        <v>70</v>
      </c>
      <c r="CT4" s="32" t="s">
        <v>71</v>
      </c>
      <c r="CU4" t="s">
        <v>82</v>
      </c>
    </row>
    <row r="5" spans="1:99" ht="15" customHeight="1" x14ac:dyDescent="0.2">
      <c r="A5" s="30"/>
      <c r="B5" s="29" t="s">
        <v>11</v>
      </c>
      <c r="C5" s="30"/>
      <c r="D5" s="30"/>
      <c r="E5" s="29" t="s">
        <v>13</v>
      </c>
      <c r="F5" s="30"/>
      <c r="G5" s="30"/>
      <c r="H5" s="29" t="s">
        <v>12</v>
      </c>
      <c r="I5" s="30"/>
      <c r="J5" s="30"/>
      <c r="K5" s="30"/>
      <c r="L5" s="29" t="s">
        <v>12</v>
      </c>
      <c r="M5" s="30"/>
      <c r="N5" s="30"/>
      <c r="O5" s="30"/>
      <c r="P5" s="29" t="s">
        <v>15</v>
      </c>
      <c r="Q5" s="30"/>
      <c r="R5" s="30"/>
      <c r="S5" s="29" t="s">
        <v>12</v>
      </c>
      <c r="T5" s="30"/>
      <c r="U5" s="30"/>
      <c r="V5" s="29" t="s">
        <v>72</v>
      </c>
      <c r="W5" s="30"/>
      <c r="X5" s="30"/>
      <c r="Y5" s="30"/>
      <c r="Z5" s="37" t="s">
        <v>73</v>
      </c>
      <c r="AA5" s="35"/>
      <c r="AB5" s="35"/>
      <c r="AC5" s="36"/>
      <c r="AD5" s="29" t="s">
        <v>74</v>
      </c>
      <c r="AE5" s="30"/>
      <c r="AF5" s="30"/>
      <c r="AG5" s="30"/>
      <c r="AH5" s="37" t="s">
        <v>72</v>
      </c>
      <c r="AI5" s="35"/>
      <c r="AJ5" s="36"/>
      <c r="AK5" s="35" t="s">
        <v>72</v>
      </c>
      <c r="AL5" s="35"/>
      <c r="AM5" s="36"/>
      <c r="AN5" s="29" t="s">
        <v>74</v>
      </c>
      <c r="AO5" s="30"/>
      <c r="AP5" s="30"/>
      <c r="AQ5" s="30"/>
      <c r="AR5" s="29" t="s">
        <v>75</v>
      </c>
      <c r="AS5" s="30"/>
      <c r="AT5" s="30"/>
      <c r="AU5" s="30"/>
      <c r="AV5" s="29" t="s">
        <v>11</v>
      </c>
      <c r="AW5" s="30"/>
      <c r="AX5" s="30"/>
      <c r="AY5" s="30"/>
      <c r="AZ5" s="29" t="s">
        <v>15</v>
      </c>
      <c r="BA5" s="30"/>
      <c r="BB5" s="30"/>
      <c r="BC5" s="29" t="s">
        <v>11</v>
      </c>
      <c r="BD5" s="30"/>
      <c r="BE5" s="30"/>
      <c r="BF5" s="30"/>
      <c r="BG5" s="29" t="s">
        <v>76</v>
      </c>
      <c r="BH5" s="30"/>
      <c r="BI5" s="30"/>
      <c r="BJ5" s="30"/>
      <c r="BK5" s="29" t="s">
        <v>11</v>
      </c>
      <c r="BL5" s="30"/>
      <c r="BM5" s="30"/>
      <c r="BN5" s="30"/>
      <c r="BO5" s="29" t="s">
        <v>15</v>
      </c>
      <c r="BP5" s="30"/>
      <c r="BQ5" s="30"/>
      <c r="BR5" s="30"/>
      <c r="BS5" s="29" t="s">
        <v>11</v>
      </c>
      <c r="BT5" s="30"/>
      <c r="BU5" s="30"/>
      <c r="BV5" s="30"/>
      <c r="BW5" s="29" t="s">
        <v>11</v>
      </c>
      <c r="BX5" s="30"/>
      <c r="BY5" s="30"/>
      <c r="BZ5" s="30"/>
      <c r="CA5" s="29" t="s">
        <v>72</v>
      </c>
      <c r="CB5" s="30"/>
      <c r="CC5" s="30"/>
      <c r="CD5" s="30"/>
      <c r="CE5" s="29" t="s">
        <v>73</v>
      </c>
      <c r="CF5" s="30"/>
      <c r="CG5" s="30"/>
      <c r="CH5" s="30"/>
      <c r="CI5" s="29" t="s">
        <v>74</v>
      </c>
      <c r="CJ5" s="30"/>
      <c r="CK5" s="30"/>
      <c r="CL5" s="29" t="s">
        <v>77</v>
      </c>
      <c r="CM5" s="30"/>
      <c r="CN5" s="30"/>
      <c r="CO5" s="29" t="s">
        <v>73</v>
      </c>
      <c r="CP5" s="30"/>
      <c r="CQ5" s="30"/>
      <c r="CR5" s="33"/>
      <c r="CS5" s="33"/>
      <c r="CT5" s="33"/>
      <c r="CU5"/>
    </row>
    <row r="6" spans="1:99" ht="24" x14ac:dyDescent="0.2">
      <c r="A6" s="30"/>
      <c r="B6" s="8" t="s">
        <v>22</v>
      </c>
      <c r="C6" s="8" t="s">
        <v>23</v>
      </c>
      <c r="D6" s="8" t="s">
        <v>24</v>
      </c>
      <c r="E6" s="8" t="s">
        <v>22</v>
      </c>
      <c r="F6" s="8" t="s">
        <v>23</v>
      </c>
      <c r="G6" s="8" t="s">
        <v>24</v>
      </c>
      <c r="H6" s="8" t="s">
        <v>22</v>
      </c>
      <c r="I6" s="8" t="s">
        <v>23</v>
      </c>
      <c r="J6" s="8" t="s">
        <v>24</v>
      </c>
      <c r="K6" s="8" t="s">
        <v>25</v>
      </c>
      <c r="L6" s="8" t="s">
        <v>22</v>
      </c>
      <c r="M6" s="8" t="s">
        <v>23</v>
      </c>
      <c r="N6" s="8" t="s">
        <v>24</v>
      </c>
      <c r="O6" s="8" t="s">
        <v>25</v>
      </c>
      <c r="P6" s="8" t="s">
        <v>22</v>
      </c>
      <c r="Q6" s="8" t="s">
        <v>23</v>
      </c>
      <c r="R6" s="8" t="s">
        <v>24</v>
      </c>
      <c r="S6" s="8" t="s">
        <v>22</v>
      </c>
      <c r="T6" s="8" t="s">
        <v>23</v>
      </c>
      <c r="U6" s="8" t="s">
        <v>24</v>
      </c>
      <c r="V6" s="8" t="s">
        <v>22</v>
      </c>
      <c r="W6" s="8" t="s">
        <v>23</v>
      </c>
      <c r="X6" s="8" t="s">
        <v>24</v>
      </c>
      <c r="Y6" s="8" t="s">
        <v>25</v>
      </c>
      <c r="Z6" s="8" t="s">
        <v>22</v>
      </c>
      <c r="AA6" s="8" t="s">
        <v>23</v>
      </c>
      <c r="AB6" s="8" t="s">
        <v>24</v>
      </c>
      <c r="AC6" s="8" t="s">
        <v>25</v>
      </c>
      <c r="AD6" s="8" t="s">
        <v>22</v>
      </c>
      <c r="AE6" s="8" t="s">
        <v>23</v>
      </c>
      <c r="AF6" s="8" t="s">
        <v>24</v>
      </c>
      <c r="AG6" s="8" t="s">
        <v>25</v>
      </c>
      <c r="AH6" s="8" t="s">
        <v>22</v>
      </c>
      <c r="AI6" s="8" t="s">
        <v>23</v>
      </c>
      <c r="AJ6" s="8" t="s">
        <v>24</v>
      </c>
      <c r="AK6" s="8" t="s">
        <v>22</v>
      </c>
      <c r="AL6" s="8" t="s">
        <v>23</v>
      </c>
      <c r="AM6" s="8" t="s">
        <v>24</v>
      </c>
      <c r="AN6" s="8" t="s">
        <v>22</v>
      </c>
      <c r="AO6" s="8" t="s">
        <v>23</v>
      </c>
      <c r="AP6" s="8" t="s">
        <v>24</v>
      </c>
      <c r="AQ6" s="8" t="s">
        <v>25</v>
      </c>
      <c r="AR6" s="8" t="s">
        <v>22</v>
      </c>
      <c r="AS6" s="8" t="s">
        <v>23</v>
      </c>
      <c r="AT6" s="8" t="s">
        <v>24</v>
      </c>
      <c r="AU6" s="8" t="s">
        <v>25</v>
      </c>
      <c r="AV6" s="8" t="s">
        <v>22</v>
      </c>
      <c r="AW6" s="8" t="s">
        <v>23</v>
      </c>
      <c r="AX6" s="8" t="s">
        <v>24</v>
      </c>
      <c r="AY6" s="8" t="s">
        <v>25</v>
      </c>
      <c r="AZ6" s="8" t="s">
        <v>22</v>
      </c>
      <c r="BA6" s="8" t="s">
        <v>23</v>
      </c>
      <c r="BB6" s="8" t="s">
        <v>24</v>
      </c>
      <c r="BC6" s="8" t="s">
        <v>22</v>
      </c>
      <c r="BD6" s="8" t="s">
        <v>23</v>
      </c>
      <c r="BE6" s="8" t="s">
        <v>24</v>
      </c>
      <c r="BF6" s="8" t="s">
        <v>25</v>
      </c>
      <c r="BG6" s="8" t="s">
        <v>22</v>
      </c>
      <c r="BH6" s="8" t="s">
        <v>23</v>
      </c>
      <c r="BI6" s="8" t="s">
        <v>24</v>
      </c>
      <c r="BJ6" s="8" t="s">
        <v>25</v>
      </c>
      <c r="BK6" s="8" t="s">
        <v>22</v>
      </c>
      <c r="BL6" s="8" t="s">
        <v>23</v>
      </c>
      <c r="BM6" s="8" t="s">
        <v>24</v>
      </c>
      <c r="BN6" s="8" t="s">
        <v>25</v>
      </c>
      <c r="BO6" s="8" t="s">
        <v>22</v>
      </c>
      <c r="BP6" s="8" t="s">
        <v>23</v>
      </c>
      <c r="BQ6" s="8" t="s">
        <v>24</v>
      </c>
      <c r="BR6" s="8" t="s">
        <v>25</v>
      </c>
      <c r="BS6" s="8" t="s">
        <v>22</v>
      </c>
      <c r="BT6" s="8" t="s">
        <v>23</v>
      </c>
      <c r="BU6" s="8" t="s">
        <v>24</v>
      </c>
      <c r="BV6" s="8" t="s">
        <v>25</v>
      </c>
      <c r="BW6" s="8" t="s">
        <v>22</v>
      </c>
      <c r="BX6" s="8" t="s">
        <v>23</v>
      </c>
      <c r="BY6" s="8" t="s">
        <v>24</v>
      </c>
      <c r="BZ6" s="8" t="s">
        <v>25</v>
      </c>
      <c r="CA6" s="8" t="s">
        <v>22</v>
      </c>
      <c r="CB6" s="8" t="s">
        <v>23</v>
      </c>
      <c r="CC6" s="8" t="s">
        <v>24</v>
      </c>
      <c r="CD6" s="8" t="s">
        <v>25</v>
      </c>
      <c r="CE6" s="8" t="s">
        <v>22</v>
      </c>
      <c r="CF6" s="8" t="s">
        <v>23</v>
      </c>
      <c r="CG6" s="8" t="s">
        <v>24</v>
      </c>
      <c r="CH6" s="8" t="s">
        <v>25</v>
      </c>
      <c r="CI6" s="8" t="s">
        <v>22</v>
      </c>
      <c r="CJ6" s="8" t="s">
        <v>23</v>
      </c>
      <c r="CK6" s="8" t="s">
        <v>24</v>
      </c>
      <c r="CL6" s="8" t="s">
        <v>22</v>
      </c>
      <c r="CM6" s="8" t="s">
        <v>23</v>
      </c>
      <c r="CN6" s="8" t="s">
        <v>24</v>
      </c>
      <c r="CO6" s="8" t="s">
        <v>22</v>
      </c>
      <c r="CP6" s="8" t="s">
        <v>23</v>
      </c>
      <c r="CQ6" s="8" t="s">
        <v>24</v>
      </c>
      <c r="CR6" s="34"/>
      <c r="CS6" s="34"/>
      <c r="CT6" s="34"/>
      <c r="CU6"/>
    </row>
    <row r="7" spans="1:99" ht="16" x14ac:dyDescent="0.2">
      <c r="A7" s="9" t="s">
        <v>26</v>
      </c>
      <c r="B7" s="10">
        <f>INDEX('[2]PV.STOCK TIAP GUDANG'!$A:$CV,MATCH($A7,'[2]PV.STOCK TIAP GUDANG'!$A:$A,0),MATCH("FOLD5|STOCK",[2]PVKEY!$5:$5,0))</f>
        <v>0</v>
      </c>
      <c r="C7" s="11">
        <f>INDEX('[2]PV.STOCK TIAP GUDANG'!$A:$CV,MATCH($A7,'[2]PV.STOCK TIAP GUDANG'!$A:$A,0),MATCH("FOLD5|SALES",[2]PVKEY!$5:$5,0))</f>
        <v>0</v>
      </c>
      <c r="D7" s="12" t="str">
        <f t="shared" ref="D7:D36" si="0">IF(OR(C7="",C7=0),"",ROUND(B7/C7*$B$2,1))</f>
        <v/>
      </c>
      <c r="E7" s="10">
        <f>INDEX('[2]PV.STOCK TIAP GUDANG'!$A:$CV,MATCH($A7,'[2]PV.STOCK TIAP GUDANG'!$A:$A,0),MATCH("X300ULTRA|16+1T|STOCK",[2]PVKEY!$1:$1,0))</f>
        <v>1</v>
      </c>
      <c r="F7" s="11">
        <f>INDEX('[2]PV.STOCK TIAP GUDANG'!$A:$CV,MATCH($A7,'[2]PV.STOCK TIAP GUDANG'!$A:$A,0),MATCH("X300ULTRA|16+1T|SALES",[2]PVKEY!$1:$1,0))</f>
        <v>0</v>
      </c>
      <c r="G7" s="12" t="str">
        <f t="shared" ref="G7:G36" si="1">IF(OR(F7="",F7=0),"",ROUND(E7/F7*$B$2,1))</f>
        <v/>
      </c>
      <c r="H7" s="10">
        <f>INDEX('[2]PV.STOCK TIAP GUDANG'!$A:$CV,MATCH($A7,'[2]PV.STOCK TIAP GUDANG'!$A:$A,0),MATCH("X300ULTRA|16+512|STOCK",[2]PVKEY!$1:$1,0))</f>
        <v>1</v>
      </c>
      <c r="I7" s="11">
        <f>INDEX('[2]PV.STOCK TIAP GUDANG'!$A:$CV,MATCH($A7,'[2]PV.STOCK TIAP GUDANG'!$A:$A,0),MATCH("X300ULTRA|16+512|SALES",[2]PVKEY!$1:$1,0))</f>
        <v>0</v>
      </c>
      <c r="J7" s="12" t="str">
        <f t="shared" ref="J7:J36" si="2">IF(OR(I7="",I7=0),"",ROUND(H7/I7*$B$2,1))</f>
        <v/>
      </c>
      <c r="K7" s="11">
        <f t="shared" ref="K7:K36" si="3">(I7/$B$2)*10</f>
        <v>0</v>
      </c>
      <c r="L7" s="10">
        <f>INDEX('[2]PV.STOCK TIAP GUDANG'!$A:$CV,MATCH($A7,'[2]PV.STOCK TIAP GUDANG'!$A:$A,0),MATCH("X300PRO|16+512|STOCK",[2]PVKEY!$1:$1,0))</f>
        <v>0</v>
      </c>
      <c r="M7" s="11">
        <f>INDEX('[2]PV.STOCK TIAP GUDANG'!$A:$CV,MATCH($A7,'[2]PV.STOCK TIAP GUDANG'!$A:$A,0),MATCH("X300PRO|16+512|SALES",[2]PVKEY!$1:$1,0))</f>
        <v>0</v>
      </c>
      <c r="N7" s="12" t="str">
        <f t="shared" ref="N7:N36" si="4">IF(OR(M7="",M7=0),"",ROUND(L7/M7*$B$2,1))</f>
        <v/>
      </c>
      <c r="O7" s="11">
        <f t="shared" ref="O7:O36" si="5">(M7/$B$2)*10</f>
        <v>0</v>
      </c>
      <c r="P7" s="10">
        <f>INDEX('[2]PV.STOCK TIAP GUDANG'!$A:$CV,MATCH($A7,'[2]PV.STOCK TIAP GUDANG'!$A:$A,0),MATCH("X300|12+256|STOCK",[2]PVKEY!$1:$1,0))</f>
        <v>0</v>
      </c>
      <c r="Q7" s="11">
        <f>INDEX('[2]PV.STOCK TIAP GUDANG'!$A:$CV,MATCH($A7,'[2]PV.STOCK TIAP GUDANG'!$A:$A,0),MATCH("X300|12+256|SALES",[2]PVKEY!$1:$1,0))</f>
        <v>0</v>
      </c>
      <c r="R7" s="12" t="str">
        <f t="shared" ref="R7:R36" si="6">IF(OR(Q7="",Q7=0),"",ROUND(P7/Q7*$B$2,1))</f>
        <v/>
      </c>
      <c r="S7" s="10">
        <f>INDEX('[2]PV.STOCK TIAP GUDANG'!$A:$CV,MATCH($A7,'[2]PV.STOCK TIAP GUDANG'!$A:$A,0),MATCH("X300|16+512|STOCK",[2]PVKEY!$1:$1,0))</f>
        <v>0</v>
      </c>
      <c r="T7" s="11">
        <f>INDEX('[2]PV.STOCK TIAP GUDANG'!$A:$CV,MATCH($A7,'[2]PV.STOCK TIAP GUDANG'!$A:$A,0),MATCH("X300|16+512|SALES",[2]PVKEY!$1:$1,0))</f>
        <v>0</v>
      </c>
      <c r="U7" s="12" t="str">
        <f t="shared" ref="U7:U36" si="7">IF(OR(T7="",T7=0),"",ROUND(S7/T7*$B$2,1))</f>
        <v/>
      </c>
      <c r="V7" s="10">
        <f>INDEX('[2]PV.STOCK TIAP GUDANG'!$A:$CV,MATCH($A7,'[2]PV.STOCK TIAP GUDANG'!$A:$A,0),MATCH("Y11D|4+128|STOCK",[2]PVKEY!$1:$1,0))</f>
        <v>11</v>
      </c>
      <c r="W7" s="11">
        <f>INDEX('[2]PV.STOCK TIAP GUDANG'!$A:$CV,MATCH($A7,'[2]PV.STOCK TIAP GUDANG'!$A:$A,0),MATCH("Y11D|4+128|SALES",[2]PVKEY!$1:$1,0))</f>
        <v>35</v>
      </c>
      <c r="X7" s="12">
        <f t="shared" ref="X7:X36" si="8">IF(OR(W7="",W7=0),"",ROUND(V7/W7*$B$2,1))</f>
        <v>8.5</v>
      </c>
      <c r="Y7" s="11">
        <f t="shared" ref="Y7:Y36" si="9">(W7/$B$2)*5</f>
        <v>6.481481481481481</v>
      </c>
      <c r="Z7" s="10">
        <f>INDEX('[2]PV.STOCK TIAP GUDANG'!$A:$CV,MATCH($A7,'[2]PV.STOCK TIAP GUDANG'!$A:$A,0),MATCH("Y11D|4+64|STOCK",[2]PVKEY!$1:$1,0))</f>
        <v>0</v>
      </c>
      <c r="AA7" s="11">
        <f>INDEX('[2]PV.STOCK TIAP GUDANG'!$A:$CV,MATCH($A7,'[2]PV.STOCK TIAP GUDANG'!$A:$A,0),MATCH("Y11D|4+64|SALES",[2]PVKEY!$1:$1,0))</f>
        <v>15</v>
      </c>
      <c r="AB7" s="12">
        <f t="shared" ref="AB7:AB36" si="10">IF(OR(AA7="",AA7=0),"",ROUND(Z7/AA7*$B$2,1))</f>
        <v>0</v>
      </c>
      <c r="AC7" s="11">
        <f t="shared" ref="AC7:AC36" si="11">(AA7/$B$2)*5</f>
        <v>2.7777777777777777</v>
      </c>
      <c r="AD7" s="10">
        <f>INDEX('[2]PV.STOCK TIAP GUDANG'!$A:$CV,MATCH($A7,'[2]PV.STOCK TIAP GUDANG'!$A:$A,0),MATCH("Y11D|6+128|STOCK",[2]PVKEY!$1:$1,0))</f>
        <v>0</v>
      </c>
      <c r="AE7" s="11">
        <f>INDEX('[2]PV.STOCK TIAP GUDANG'!$A:$CV,MATCH($A7,'[2]PV.STOCK TIAP GUDANG'!$A:$A,0),MATCH("Y11D|6+128|SALES",[2]PVKEY!$1:$1,0))</f>
        <v>0</v>
      </c>
      <c r="AF7" s="12" t="str">
        <f t="shared" ref="AF7:AF36" si="12">IF(OR(AE7="",AE7=0),"",ROUND(AD7/AE7*$B$2,1))</f>
        <v/>
      </c>
      <c r="AG7" s="11">
        <f t="shared" ref="AG7:AG36" si="13">(AE7/$B$2)*5</f>
        <v>0</v>
      </c>
      <c r="AH7" s="10">
        <f>INDEX('[2]PV.STOCK TIAP GUDANG'!$A:$CV,MATCH($A7,'[2]PV.STOCK TIAP GUDANG'!$A:$A,0),MATCH("Y31D|4+128|STOCK",[2]PVKEY!$1:$1,0))</f>
        <v>0</v>
      </c>
      <c r="AI7" s="11">
        <f>INDEX('[2]PV.STOCK TIAP GUDANG'!$A:$CV,MATCH($A7,'[2]PV.STOCK TIAP GUDANG'!$A:$A,0),MATCH("Y31D|4+128|SALES",[2]PVKEY!$1:$1,0))</f>
        <v>6</v>
      </c>
      <c r="AJ7" s="12">
        <f t="shared" ref="AJ7:AJ36" si="14">IF(OR(AI7="",AI7=0),"",ROUND(AH7/AI7*$B$2,1))</f>
        <v>0</v>
      </c>
      <c r="AK7" s="10">
        <f>INDEX('[2]PV.STOCK TIAP GUDANG'!$A:$CV,MATCH($A7,'[2]PV.STOCK TIAP GUDANG'!$A:$A,0),MATCH("Y31DPRO|4+128|STOCK",[2]PVKEY!$1:$1,0))</f>
        <v>3</v>
      </c>
      <c r="AL7" s="11">
        <f>INDEX('[2]PV.STOCK TIAP GUDANG'!$A:$CV,MATCH($A7,'[2]PV.STOCK TIAP GUDANG'!$A:$A,0),MATCH("Y31DPRO|4+128|SALES",[2]PVKEY!$1:$1,0))</f>
        <v>11</v>
      </c>
      <c r="AM7" s="12">
        <f t="shared" ref="AM7:AM36" si="15">IF(OR(AL7="",AL7=0),"",ROUND(AK7/AL7*$B$2,1))</f>
        <v>7.4</v>
      </c>
      <c r="AN7" s="10">
        <f>INDEX('[2]PV.STOCK TIAP GUDANG'!$A:$CV,MATCH($A7,'[2]PV.STOCK TIAP GUDANG'!$A:$A,0),MATCH("Y31DPRO|6+128|STOCK",[2]PVKEY!$1:$1,0))</f>
        <v>3</v>
      </c>
      <c r="AO7" s="11">
        <f>INDEX('[2]PV.STOCK TIAP GUDANG'!$A:$CV,MATCH($A7,'[2]PV.STOCK TIAP GUDANG'!$A:$A,0),MATCH("Y31DPRO|6+128|SALES",[2]PVKEY!$1:$1,0))</f>
        <v>17</v>
      </c>
      <c r="AP7" s="12">
        <f t="shared" ref="AP7:AP36" si="16">IF(OR(AO7="",AO7=0),"",ROUND(AN7/AO7*$B$2,1))</f>
        <v>4.8</v>
      </c>
      <c r="AQ7" s="11">
        <f t="shared" ref="AQ7:AQ36" si="17">(AO7/$B$2)*5</f>
        <v>3.1481481481481484</v>
      </c>
      <c r="AR7" s="10">
        <f>INDEX('[2]PV.STOCK TIAP GUDANG'!$A:$CV,MATCH($A7,'[2]PV.STOCK TIAP GUDANG'!$A:$A,0),MATCH("Y31DPRO|8+128|STOCK",[2]PVKEY!$1:$1,0))</f>
        <v>5</v>
      </c>
      <c r="AS7" s="11">
        <f>INDEX('[2]PV.STOCK TIAP GUDANG'!$A:$CV,MATCH($A7,'[2]PV.STOCK TIAP GUDANG'!$A:$A,0),MATCH("Y31DPRO|8+128|SALES",[2]PVKEY!$1:$1,0))</f>
        <v>2</v>
      </c>
      <c r="AT7" s="12">
        <f t="shared" ref="AT7:AT36" si="18">IF(OR(AS7="",AS7=0),"",ROUND(AR7/AS7*$B$2,1))</f>
        <v>67.5</v>
      </c>
      <c r="AU7" s="11">
        <f t="shared" ref="AU7:AU36" si="19">(AS7/$B$2)*5</f>
        <v>0.37037037037037035</v>
      </c>
      <c r="AV7" s="10">
        <f>INDEX('[2]PV.STOCK TIAP GUDANG'!$A:$CV,MATCH($A7,'[2]PV.STOCK TIAP GUDANG'!$A:$A,0),MATCH("Y31DPRO|8+256|STOCK",[2]PVKEY!$1:$1,0))</f>
        <v>4</v>
      </c>
      <c r="AW7" s="11">
        <f>INDEX('[2]PV.STOCK TIAP GUDANG'!$A:$CV,MATCH($A7,'[2]PV.STOCK TIAP GUDANG'!$A:$A,0),MATCH("Y31DPRO|8+256|SALES",[2]PVKEY!$1:$1,0))</f>
        <v>1</v>
      </c>
      <c r="AX7" s="12">
        <f t="shared" ref="AX7:AX36" si="20">IF(OR(AW7="",AW7=0),"",ROUND(AV7/AW7*$B$2,1))</f>
        <v>108</v>
      </c>
      <c r="AY7" s="11">
        <f t="shared" ref="AY7:AY36" si="21">(AW7/$B$2)*5</f>
        <v>0.18518518518518517</v>
      </c>
      <c r="AZ7" s="10">
        <f>INDEX('[2]PV.STOCK TIAP GUDANG'!$A:$CV,MATCH($A7,'[2]PV.STOCK TIAP GUDANG'!$A:$A,0),MATCH("V70|12+256|STOCK",[2]PVKEY!$1:$1,0))</f>
        <v>0</v>
      </c>
      <c r="BA7" s="11">
        <f>INDEX('[2]PV.STOCK TIAP GUDANG'!$A:$CV,MATCH($A7,'[2]PV.STOCK TIAP GUDANG'!$A:$A,0),MATCH("V70|12+256|SALES",[2]PVKEY!$1:$1,0))</f>
        <v>0</v>
      </c>
      <c r="BB7" s="12" t="str">
        <f t="shared" ref="BB7:BB36" si="22">IF(OR(BA7="",BA7=0),"",ROUND(AZ7/BA7*$B$2,1))</f>
        <v/>
      </c>
      <c r="BC7" s="10">
        <f>INDEX('[2]PV.STOCK TIAP GUDANG'!$A:$CV,MATCH($A7,'[2]PV.STOCK TIAP GUDANG'!$A:$A,0),MATCH("V70|8+256|STOCK",[2]PVKEY!$1:$1,0))</f>
        <v>5</v>
      </c>
      <c r="BD7" s="11">
        <f>INDEX('[2]PV.STOCK TIAP GUDANG'!$A:$CV,MATCH($A7,'[2]PV.STOCK TIAP GUDANG'!$A:$A,0),MATCH("V70|8+256|SALES",[2]PVKEY!$1:$1,0))</f>
        <v>8</v>
      </c>
      <c r="BE7" s="12">
        <f t="shared" ref="BE7:BE36" si="23">IF(OR(BD7="",BD7=0),"",ROUND(BC7/BD7*$B$2,1))</f>
        <v>16.899999999999999</v>
      </c>
      <c r="BF7" s="11">
        <f t="shared" ref="BF7:BF36" si="24">(BD7/$B$2)*8</f>
        <v>2.3703703703703702</v>
      </c>
      <c r="BG7" s="10">
        <f>INDEX('[2]PV.STOCK TIAP GUDANG'!$A:$CV,MATCH($A7,'[2]PV.STOCK TIAP GUDANG'!$A:$A,0),MATCH("V70|12+512|STOCK",[2]PVKEY!$1:$1,0))</f>
        <v>0</v>
      </c>
      <c r="BH7" s="11">
        <f>INDEX('[2]PV.STOCK TIAP GUDANG'!$A:$CV,MATCH($A7,'[2]PV.STOCK TIAP GUDANG'!$A:$A,0),MATCH("V70|12+512|SALES",[2]PVKEY!$1:$1,0))</f>
        <v>0</v>
      </c>
      <c r="BI7" s="12" t="str">
        <f t="shared" ref="BI7:BI36" si="25">IF(OR(BH7="",BH7=0),"",ROUND(BG7/BH7*$B$2,1))</f>
        <v/>
      </c>
      <c r="BJ7" s="11">
        <f t="shared" ref="BJ7:BJ36" si="26">(BH7/$B$2)*8</f>
        <v>0</v>
      </c>
      <c r="BK7" s="10">
        <f>INDEX('[2]PV.STOCK TIAP GUDANG'!$A:$CV,MATCH($A7,'[2]PV.STOCK TIAP GUDANG'!$A:$A,0),MATCH("V70FE|8+256|STOCK",[2]PVKEY!$1:$1,0))</f>
        <v>0</v>
      </c>
      <c r="BL7" s="11">
        <f>INDEX('[2]PV.STOCK TIAP GUDANG'!$A:$CV,MATCH($A7,'[2]PV.STOCK TIAP GUDANG'!$A:$A,0),MATCH("V70FE|8+256|SALES",[2]PVKEY!$1:$1,0))</f>
        <v>5</v>
      </c>
      <c r="BM7" s="12">
        <f t="shared" ref="BM7:BM36" si="27">IF(OR(BL7="",BL7=0),"",ROUND(BK7/BL7*$B$2,1))</f>
        <v>0</v>
      </c>
      <c r="BN7" s="11">
        <f t="shared" ref="BN7:BN36" si="28">(BL7/$B$2)*8</f>
        <v>1.4814814814814814</v>
      </c>
      <c r="BO7" s="10">
        <f>INDEX('[2]PV.STOCK TIAP GUDANG'!$A:$CV,MATCH($A7,'[2]PV.STOCK TIAP GUDANG'!$A:$A,0),MATCH("V70FE|12+256|STOCK",[2]PVKEY!$1:$1,0))</f>
        <v>0</v>
      </c>
      <c r="BP7" s="11">
        <f>INDEX('[2]PV.STOCK TIAP GUDANG'!$A:$CV,MATCH($A7,'[2]PV.STOCK TIAP GUDANG'!$A:$A,0),MATCH("V70FE|12+256|SALES",[2]PVKEY!$1:$1,0))</f>
        <v>1</v>
      </c>
      <c r="BQ7" s="12">
        <f t="shared" ref="BQ7:BQ36" si="29">IF(OR(BP7="",BP7=0),"",ROUND(BO7/BP7*$B$2,1))</f>
        <v>0</v>
      </c>
      <c r="BR7" s="11">
        <f t="shared" ref="BR7:BR36" si="30">(BP7/$B$2)*8</f>
        <v>0.29629629629629628</v>
      </c>
      <c r="BS7" s="10">
        <f>INDEX('[2]PV.STOCK TIAP GUDANG'!$A:$CV,MATCH($A7,'[2]PV.STOCK TIAP GUDANG'!$A:$A,0),MATCH("V60LITE5G|8+256|STOCK",[2]PVKEY!$1:$1,0))</f>
        <v>1</v>
      </c>
      <c r="BT7" s="11">
        <f>INDEX('[2]PV.STOCK TIAP GUDANG'!$A:$CV,MATCH($A7,'[2]PV.STOCK TIAP GUDANG'!$A:$A,0),MATCH("V60LITE5G|8+256|SALES",[2]PVKEY!$1:$1,0))</f>
        <v>1</v>
      </c>
      <c r="BU7" s="12">
        <f t="shared" ref="BU7:BU36" si="31">IF(OR(BT7="",BT7=0),"",ROUND(BS7/BT7*$B$2,1))</f>
        <v>27</v>
      </c>
      <c r="BV7" s="11">
        <f t="shared" ref="BV7:BV36" si="32">(BT7/$B$2)*8</f>
        <v>0.29629629629629628</v>
      </c>
      <c r="BW7" s="10">
        <f>INDEX('[2]PV.STOCK TIAP GUDANG'!$A:$CV,MATCH($A7,'[2]PV.STOCK TIAP GUDANG'!$A:$A,0),MATCH("V60LITE|8+256|STOCK",[2]PVKEY!$1:$1,0))</f>
        <v>2</v>
      </c>
      <c r="BX7" s="11">
        <f>INDEX('[2]PV.STOCK TIAP GUDANG'!$A:$CV,MATCH($A7,'[2]PV.STOCK TIAP GUDANG'!$A:$A,0),MATCH("V60LITE|8+256|SALES",[2]PVKEY!$1:$1,0))</f>
        <v>5</v>
      </c>
      <c r="BY7" s="12">
        <f t="shared" ref="BY7:BY36" si="33">IF(OR(BX7="",BX7=0),"",ROUND(BW7/BX7*$B$2,1))</f>
        <v>10.8</v>
      </c>
      <c r="BZ7" s="11">
        <f t="shared" ref="BZ7:BZ36" si="34">(BX7/$B$2)*8</f>
        <v>1.4814814814814814</v>
      </c>
      <c r="CA7" s="10">
        <f>INDEX('[2]PV.STOCK TIAP GUDANG'!$A:$CV,MATCH($A7,'[2]PV.STOCK TIAP GUDANG'!$A:$A,0),MATCH("Y05|4+128|STOCK",[2]PVKEY!$1:$1,0))</f>
        <v>3</v>
      </c>
      <c r="CB7" s="11">
        <f>INDEX('[2]PV.STOCK TIAP GUDANG'!$A:$CV,MATCH($A7,'[2]PV.STOCK TIAP GUDANG'!$A:$A,0),MATCH("Y05|4+128|SALES",[2]PVKEY!$1:$1,0))</f>
        <v>24</v>
      </c>
      <c r="CC7" s="12">
        <f t="shared" ref="CC7:CC36" si="35">IF(OR(CB7="",CB7=0),"",ROUND(CA7/CB7*$B$2,1))</f>
        <v>3.4</v>
      </c>
      <c r="CD7" s="11">
        <f>(CB7/$B$2)*7</f>
        <v>6.2222222222222214</v>
      </c>
      <c r="CE7" s="10">
        <f>INDEX('[2]PV.STOCK TIAP GUDANG'!$A:$CV,MATCH($A7,'[2]PV.STOCK TIAP GUDANG'!$A:$A,0),MATCH("Y05|4+64|STOCK",[2]PVKEY!$1:$1,0))</f>
        <v>7</v>
      </c>
      <c r="CF7" s="11">
        <f>INDEX('[2]PV.STOCK TIAP GUDANG'!$A:$CV,MATCH($A7,'[2]PV.STOCK TIAP GUDANG'!$A:$A,0),MATCH("Y05|4+64|SALES",[2]PVKEY!$1:$1,0))</f>
        <v>28</v>
      </c>
      <c r="CG7" s="12">
        <f t="shared" ref="CG7:CG36" si="36">IF(OR(CF7="",CF7=0),"",ROUND(CE7/CF7*$B$2,1))</f>
        <v>6.8</v>
      </c>
      <c r="CH7" s="11">
        <f t="shared" ref="CH7:CH36" si="37">(CF7/$B$2)*7</f>
        <v>7.2592592592592586</v>
      </c>
      <c r="CI7" s="10">
        <f>INDEX('[2]PV.STOCK TIAP GUDANG'!$A:$CV,MATCH($A7,'[2]PV.STOCK TIAP GUDANG'!$A:$A,0),MATCH("Y500|6+128|STOCK",[2]PVKEY!$1:$1,0))</f>
        <v>0</v>
      </c>
      <c r="CJ7" s="11">
        <f>INDEX('[2]PV.STOCK TIAP GUDANG'!$A:$CV,MATCH($A7,'[2]PV.STOCK TIAP GUDANG'!$A:$A,0),MATCH("Y500|6+128|SALES",[2]PVKEY!$1:$1,0))</f>
        <v>1</v>
      </c>
      <c r="CK7" s="12">
        <f t="shared" ref="CK7:CK36" si="38">IF(OR(CJ7="",CJ7=0),"",ROUND(CI7/CJ7*$B$2,1))</f>
        <v>0</v>
      </c>
      <c r="CL7" s="10">
        <f>INDEX('[2]PV.STOCK TIAP GUDANG'!$A:$CV,MATCH($A7,'[2]PV.STOCK TIAP GUDANG'!$A:$A,0),MATCH("Y500|6+256|STOCK",[2]PVKEY!$1:$1,0))</f>
        <v>1</v>
      </c>
      <c r="CM7" s="11">
        <f>INDEX('[2]PV.STOCK TIAP GUDANG'!$A:$CV,MATCH($A7,'[2]PV.STOCK TIAP GUDANG'!$A:$A,0),MATCH("Y500|6+256|SALES",[2]PVKEY!$1:$1,0))</f>
        <v>3</v>
      </c>
      <c r="CN7" s="12">
        <f t="shared" ref="CN7:CN36" si="39">IF(OR(CM7="",CM7=0),"",ROUND(CL7/CM7*$B$2,1))</f>
        <v>9</v>
      </c>
      <c r="CO7" s="10">
        <f>INDEX('[2]PV.STOCK TIAP GUDANG'!$A:$CV,MATCH($A7,'[2]PV.STOCK TIAP GUDANG'!$A:$A,0),MATCH("Y05E|4+64|STOCK",[2]PVKEY!$1:$1,0))</f>
        <v>15</v>
      </c>
      <c r="CP7" s="11">
        <f>INDEX('[2]PV.STOCK TIAP GUDANG'!$A:$CV,MATCH($A7,'[2]PV.STOCK TIAP GUDANG'!$A:$A,0),MATCH("Y05E|4+64|SALES",[2]PVKEY!$1:$1,0))</f>
        <v>32</v>
      </c>
      <c r="CQ7" s="12">
        <f t="shared" ref="CQ7:CQ36" si="40">IF(OR(CP7="",CP7=0),"",ROUND(CO7/CP7*$B$2,1))</f>
        <v>12.7</v>
      </c>
      <c r="CR7" s="13">
        <f t="shared" ref="CR7:CR36" si="41">SUM(B7,L7,P7,S7,AZ7,BK7,BO7,BS7,BW7,CA7,CE7,BC7,AN7,AR7,AV7,BG7,V7,E7,H7,AD7,Z7,AH7,AK7,CI7,CL7,CO7)</f>
        <v>62</v>
      </c>
      <c r="CS7" s="13">
        <f t="shared" ref="CS7:CS36" si="42">SUM(C7,M7,Q7,T7,BL7,BP7,BT7,BX7,CB7,CF7,BA7,BD7,AO7,AS7,AW7,BH7,W7,F7,I7,AE7,AA7,AI7,AL7,CJ7,CM7,CP7)</f>
        <v>195</v>
      </c>
      <c r="CT7" s="13">
        <f t="shared" ref="CT7:CT36" si="43">IFERROR(CR7/(CS7/$B$2),1000)</f>
        <v>8.5846153846153843</v>
      </c>
      <c r="CU7" t="s">
        <v>83</v>
      </c>
    </row>
    <row r="8" spans="1:99" ht="16" x14ac:dyDescent="0.2">
      <c r="A8" s="9" t="s">
        <v>27</v>
      </c>
      <c r="B8" s="10">
        <f>INDEX('[2]PV.STOCK TIAP GUDANG'!$A:$CV,MATCH($A8,'[2]PV.STOCK TIAP GUDANG'!$A:$A,0),MATCH("FOLD5|STOCK",[2]PVKEY!$5:$5,0))</f>
        <v>0</v>
      </c>
      <c r="C8" s="11">
        <f>INDEX('[2]PV.STOCK TIAP GUDANG'!$A:$CV,MATCH($A8,'[2]PV.STOCK TIAP GUDANG'!$A:$A,0),MATCH("FOLD5|SALES",[2]PVKEY!$5:$5,0))</f>
        <v>0</v>
      </c>
      <c r="D8" s="12" t="str">
        <f t="shared" si="0"/>
        <v/>
      </c>
      <c r="E8" s="10">
        <f>INDEX('[2]PV.STOCK TIAP GUDANG'!$A:$CV,MATCH($A8,'[2]PV.STOCK TIAP GUDANG'!$A:$A,0),MATCH("X300ULTRA|16+1T|STOCK",[2]PVKEY!$1:$1,0))</f>
        <v>0</v>
      </c>
      <c r="F8" s="11">
        <f>INDEX('[2]PV.STOCK TIAP GUDANG'!$A:$CV,MATCH($A8,'[2]PV.STOCK TIAP GUDANG'!$A:$A,0),MATCH("X300ULTRA|16+1T|SALES",[2]PVKEY!$1:$1,0))</f>
        <v>0</v>
      </c>
      <c r="G8" s="12" t="str">
        <f t="shared" si="1"/>
        <v/>
      </c>
      <c r="H8" s="10">
        <f>INDEX('[2]PV.STOCK TIAP GUDANG'!$A:$CV,MATCH($A8,'[2]PV.STOCK TIAP GUDANG'!$A:$A,0),MATCH("X300ULTRA|16+512|STOCK",[2]PVKEY!$1:$1,0))</f>
        <v>1</v>
      </c>
      <c r="I8" s="11">
        <f>INDEX('[2]PV.STOCK TIAP GUDANG'!$A:$CV,MATCH($A8,'[2]PV.STOCK TIAP GUDANG'!$A:$A,0),MATCH("X300ULTRA|16+512|SALES",[2]PVKEY!$1:$1,0))</f>
        <v>2</v>
      </c>
      <c r="J8" s="12">
        <f t="shared" si="2"/>
        <v>13.5</v>
      </c>
      <c r="K8" s="11">
        <f t="shared" si="3"/>
        <v>0.7407407407407407</v>
      </c>
      <c r="L8" s="10">
        <f>INDEX('[2]PV.STOCK TIAP GUDANG'!$A:$CV,MATCH($A8,'[2]PV.STOCK TIAP GUDANG'!$A:$A,0),MATCH("X300PRO|16+512|STOCK",[2]PVKEY!$1:$1,0))</f>
        <v>0</v>
      </c>
      <c r="M8" s="11">
        <f>INDEX('[2]PV.STOCK TIAP GUDANG'!$A:$CV,MATCH($A8,'[2]PV.STOCK TIAP GUDANG'!$A:$A,0),MATCH("X300PRO|16+512|SALES",[2]PVKEY!$1:$1,0))</f>
        <v>0</v>
      </c>
      <c r="N8" s="12" t="str">
        <f t="shared" si="4"/>
        <v/>
      </c>
      <c r="O8" s="11">
        <f t="shared" si="5"/>
        <v>0</v>
      </c>
      <c r="P8" s="10">
        <f>INDEX('[2]PV.STOCK TIAP GUDANG'!$A:$CV,MATCH($A8,'[2]PV.STOCK TIAP GUDANG'!$A:$A,0),MATCH("X300|12+256|STOCK",[2]PVKEY!$1:$1,0))</f>
        <v>0</v>
      </c>
      <c r="Q8" s="11">
        <f>INDEX('[2]PV.STOCK TIAP GUDANG'!$A:$CV,MATCH($A8,'[2]PV.STOCK TIAP GUDANG'!$A:$A,0),MATCH("X300|12+256|SALES",[2]PVKEY!$1:$1,0))</f>
        <v>0</v>
      </c>
      <c r="R8" s="12" t="str">
        <f t="shared" si="6"/>
        <v/>
      </c>
      <c r="S8" s="10">
        <f>INDEX('[2]PV.STOCK TIAP GUDANG'!$A:$CV,MATCH($A8,'[2]PV.STOCK TIAP GUDANG'!$A:$A,0),MATCH("X300|16+512|STOCK",[2]PVKEY!$1:$1,0))</f>
        <v>0</v>
      </c>
      <c r="T8" s="11">
        <f>INDEX('[2]PV.STOCK TIAP GUDANG'!$A:$CV,MATCH($A8,'[2]PV.STOCK TIAP GUDANG'!$A:$A,0),MATCH("X300|16+512|SALES",[2]PVKEY!$1:$1,0))</f>
        <v>0</v>
      </c>
      <c r="U8" s="12" t="str">
        <f t="shared" si="7"/>
        <v/>
      </c>
      <c r="V8" s="10">
        <f>INDEX('[2]PV.STOCK TIAP GUDANG'!$A:$CV,MATCH($A8,'[2]PV.STOCK TIAP GUDANG'!$A:$A,0),MATCH("Y11D|4+128|STOCK",[2]PVKEY!$1:$1,0))</f>
        <v>11</v>
      </c>
      <c r="W8" s="11">
        <f>INDEX('[2]PV.STOCK TIAP GUDANG'!$A:$CV,MATCH($A8,'[2]PV.STOCK TIAP GUDANG'!$A:$A,0),MATCH("Y11D|4+128|SALES",[2]PVKEY!$1:$1,0))</f>
        <v>29</v>
      </c>
      <c r="X8" s="12">
        <f t="shared" si="8"/>
        <v>10.199999999999999</v>
      </c>
      <c r="Y8" s="11">
        <f t="shared" si="9"/>
        <v>5.3703703703703711</v>
      </c>
      <c r="Z8" s="10">
        <f>INDEX('[2]PV.STOCK TIAP GUDANG'!$A:$CV,MATCH($A8,'[2]PV.STOCK TIAP GUDANG'!$A:$A,0),MATCH("Y11D|4+64|STOCK",[2]PVKEY!$1:$1,0))</f>
        <v>0</v>
      </c>
      <c r="AA8" s="11">
        <f>INDEX('[2]PV.STOCK TIAP GUDANG'!$A:$CV,MATCH($A8,'[2]PV.STOCK TIAP GUDANG'!$A:$A,0),MATCH("Y11D|4+64|SALES",[2]PVKEY!$1:$1,0))</f>
        <v>13</v>
      </c>
      <c r="AB8" s="12">
        <f t="shared" si="10"/>
        <v>0</v>
      </c>
      <c r="AC8" s="11">
        <f t="shared" si="11"/>
        <v>2.4074074074074074</v>
      </c>
      <c r="AD8" s="10">
        <f>INDEX('[2]PV.STOCK TIAP GUDANG'!$A:$CV,MATCH($A8,'[2]PV.STOCK TIAP GUDANG'!$A:$A,0),MATCH("Y11D|6+128|STOCK",[2]PVKEY!$1:$1,0))</f>
        <v>0</v>
      </c>
      <c r="AE8" s="11">
        <f>INDEX('[2]PV.STOCK TIAP GUDANG'!$A:$CV,MATCH($A8,'[2]PV.STOCK TIAP GUDANG'!$A:$A,0),MATCH("Y11D|6+128|SALES",[2]PVKEY!$1:$1,0))</f>
        <v>0</v>
      </c>
      <c r="AF8" s="12" t="str">
        <f t="shared" si="12"/>
        <v/>
      </c>
      <c r="AG8" s="11">
        <f t="shared" si="13"/>
        <v>0</v>
      </c>
      <c r="AH8" s="10">
        <f>INDEX('[2]PV.STOCK TIAP GUDANG'!$A:$CV,MATCH($A8,'[2]PV.STOCK TIAP GUDANG'!$A:$A,0),MATCH("Y31D|4+128|STOCK",[2]PVKEY!$1:$1,0))</f>
        <v>0</v>
      </c>
      <c r="AI8" s="11">
        <f>INDEX('[2]PV.STOCK TIAP GUDANG'!$A:$CV,MATCH($A8,'[2]PV.STOCK TIAP GUDANG'!$A:$A,0),MATCH("Y31D|4+128|SALES",[2]PVKEY!$1:$1,0))</f>
        <v>1</v>
      </c>
      <c r="AJ8" s="12">
        <f t="shared" si="14"/>
        <v>0</v>
      </c>
      <c r="AK8" s="10">
        <f>INDEX('[2]PV.STOCK TIAP GUDANG'!$A:$CV,MATCH($A8,'[2]PV.STOCK TIAP GUDANG'!$A:$A,0),MATCH("Y31DPRO|4+128|STOCK",[2]PVKEY!$1:$1,0))</f>
        <v>0</v>
      </c>
      <c r="AL8" s="11">
        <f>INDEX('[2]PV.STOCK TIAP GUDANG'!$A:$CV,MATCH($A8,'[2]PV.STOCK TIAP GUDANG'!$A:$A,0),MATCH("Y31DPRO|4+128|SALES",[2]PVKEY!$1:$1,0))</f>
        <v>13</v>
      </c>
      <c r="AM8" s="12">
        <f t="shared" si="15"/>
        <v>0</v>
      </c>
      <c r="AN8" s="10">
        <f>INDEX('[2]PV.STOCK TIAP GUDANG'!$A:$CV,MATCH($A8,'[2]PV.STOCK TIAP GUDANG'!$A:$A,0),MATCH("Y31DPRO|6+128|STOCK",[2]PVKEY!$1:$1,0))</f>
        <v>1</v>
      </c>
      <c r="AO8" s="11">
        <f>INDEX('[2]PV.STOCK TIAP GUDANG'!$A:$CV,MATCH($A8,'[2]PV.STOCK TIAP GUDANG'!$A:$A,0),MATCH("Y31DPRO|6+128|SALES",[2]PVKEY!$1:$1,0))</f>
        <v>17</v>
      </c>
      <c r="AP8" s="12">
        <f t="shared" si="16"/>
        <v>1.6</v>
      </c>
      <c r="AQ8" s="11">
        <f t="shared" si="17"/>
        <v>3.1481481481481484</v>
      </c>
      <c r="AR8" s="10">
        <f>INDEX('[2]PV.STOCK TIAP GUDANG'!$A:$CV,MATCH($A8,'[2]PV.STOCK TIAP GUDANG'!$A:$A,0),MATCH("Y31DPRO|8+128|STOCK",[2]PVKEY!$1:$1,0))</f>
        <v>5</v>
      </c>
      <c r="AS8" s="11">
        <f>INDEX('[2]PV.STOCK TIAP GUDANG'!$A:$CV,MATCH($A8,'[2]PV.STOCK TIAP GUDANG'!$A:$A,0),MATCH("Y31DPRO|8+128|SALES",[2]PVKEY!$1:$1,0))</f>
        <v>3</v>
      </c>
      <c r="AT8" s="12">
        <f t="shared" si="18"/>
        <v>45</v>
      </c>
      <c r="AU8" s="11">
        <f t="shared" si="19"/>
        <v>0.55555555555555558</v>
      </c>
      <c r="AV8" s="10">
        <f>INDEX('[2]PV.STOCK TIAP GUDANG'!$A:$CV,MATCH($A8,'[2]PV.STOCK TIAP GUDANG'!$A:$A,0),MATCH("Y31DPRO|8+256|STOCK",[2]PVKEY!$1:$1,0))</f>
        <v>2</v>
      </c>
      <c r="AW8" s="11">
        <f>INDEX('[2]PV.STOCK TIAP GUDANG'!$A:$CV,MATCH($A8,'[2]PV.STOCK TIAP GUDANG'!$A:$A,0),MATCH("Y31DPRO|8+256|SALES",[2]PVKEY!$1:$1,0))</f>
        <v>2</v>
      </c>
      <c r="AX8" s="12">
        <f t="shared" si="20"/>
        <v>27</v>
      </c>
      <c r="AY8" s="11">
        <f t="shared" si="21"/>
        <v>0.37037037037037035</v>
      </c>
      <c r="AZ8" s="10">
        <f>INDEX('[2]PV.STOCK TIAP GUDANG'!$A:$CV,MATCH($A8,'[2]PV.STOCK TIAP GUDANG'!$A:$A,0),MATCH("V70|12+256|STOCK",[2]PVKEY!$1:$1,0))</f>
        <v>0</v>
      </c>
      <c r="BA8" s="11">
        <f>INDEX('[2]PV.STOCK TIAP GUDANG'!$A:$CV,MATCH($A8,'[2]PV.STOCK TIAP GUDANG'!$A:$A,0),MATCH("V70|12+256|SALES",[2]PVKEY!$1:$1,0))</f>
        <v>0</v>
      </c>
      <c r="BB8" s="12" t="str">
        <f t="shared" si="22"/>
        <v/>
      </c>
      <c r="BC8" s="10">
        <f>INDEX('[2]PV.STOCK TIAP GUDANG'!$A:$CV,MATCH($A8,'[2]PV.STOCK TIAP GUDANG'!$A:$A,0),MATCH("V70|8+256|STOCK",[2]PVKEY!$1:$1,0))</f>
        <v>3</v>
      </c>
      <c r="BD8" s="11">
        <f>INDEX('[2]PV.STOCK TIAP GUDANG'!$A:$CV,MATCH($A8,'[2]PV.STOCK TIAP GUDANG'!$A:$A,0),MATCH("V70|8+256|SALES",[2]PVKEY!$1:$1,0))</f>
        <v>8</v>
      </c>
      <c r="BE8" s="12">
        <f t="shared" si="23"/>
        <v>10.1</v>
      </c>
      <c r="BF8" s="11">
        <f t="shared" si="24"/>
        <v>2.3703703703703702</v>
      </c>
      <c r="BG8" s="10">
        <f>INDEX('[2]PV.STOCK TIAP GUDANG'!$A:$CV,MATCH($A8,'[2]PV.STOCK TIAP GUDANG'!$A:$A,0),MATCH("V70|12+512|STOCK",[2]PVKEY!$1:$1,0))</f>
        <v>0</v>
      </c>
      <c r="BH8" s="11">
        <f>INDEX('[2]PV.STOCK TIAP GUDANG'!$A:$CV,MATCH($A8,'[2]PV.STOCK TIAP GUDANG'!$A:$A,0),MATCH("V70|12+512|SALES",[2]PVKEY!$1:$1,0))</f>
        <v>0</v>
      </c>
      <c r="BI8" s="12" t="str">
        <f t="shared" si="25"/>
        <v/>
      </c>
      <c r="BJ8" s="11">
        <f t="shared" si="26"/>
        <v>0</v>
      </c>
      <c r="BK8" s="10">
        <f>INDEX('[2]PV.STOCK TIAP GUDANG'!$A:$CV,MATCH($A8,'[2]PV.STOCK TIAP GUDANG'!$A:$A,0),MATCH("V70FE|8+256|STOCK",[2]PVKEY!$1:$1,0))</f>
        <v>0</v>
      </c>
      <c r="BL8" s="11">
        <f>INDEX('[2]PV.STOCK TIAP GUDANG'!$A:$CV,MATCH($A8,'[2]PV.STOCK TIAP GUDANG'!$A:$A,0),MATCH("V70FE|8+256|SALES",[2]PVKEY!$1:$1,0))</f>
        <v>4</v>
      </c>
      <c r="BM8" s="12">
        <f t="shared" si="27"/>
        <v>0</v>
      </c>
      <c r="BN8" s="11">
        <f t="shared" si="28"/>
        <v>1.1851851851851851</v>
      </c>
      <c r="BO8" s="10">
        <f>INDEX('[2]PV.STOCK TIAP GUDANG'!$A:$CV,MATCH($A8,'[2]PV.STOCK TIAP GUDANG'!$A:$A,0),MATCH("V70FE|12+256|STOCK",[2]PVKEY!$1:$1,0))</f>
        <v>1</v>
      </c>
      <c r="BP8" s="11">
        <f>INDEX('[2]PV.STOCK TIAP GUDANG'!$A:$CV,MATCH($A8,'[2]PV.STOCK TIAP GUDANG'!$A:$A,0),MATCH("V70FE|12+256|SALES",[2]PVKEY!$1:$1,0))</f>
        <v>2</v>
      </c>
      <c r="BQ8" s="12">
        <f t="shared" si="29"/>
        <v>13.5</v>
      </c>
      <c r="BR8" s="11">
        <f t="shared" si="30"/>
        <v>0.59259259259259256</v>
      </c>
      <c r="BS8" s="10">
        <f>INDEX('[2]PV.STOCK TIAP GUDANG'!$A:$CV,MATCH($A8,'[2]PV.STOCK TIAP GUDANG'!$A:$A,0),MATCH("V60LITE5G|8+256|STOCK",[2]PVKEY!$1:$1,0))</f>
        <v>0</v>
      </c>
      <c r="BT8" s="11">
        <f>INDEX('[2]PV.STOCK TIAP GUDANG'!$A:$CV,MATCH($A8,'[2]PV.STOCK TIAP GUDANG'!$A:$A,0),MATCH("V60LITE5G|8+256|SALES",[2]PVKEY!$1:$1,0))</f>
        <v>0</v>
      </c>
      <c r="BU8" s="12" t="str">
        <f t="shared" si="31"/>
        <v/>
      </c>
      <c r="BV8" s="11">
        <f t="shared" si="32"/>
        <v>0</v>
      </c>
      <c r="BW8" s="10">
        <f>INDEX('[2]PV.STOCK TIAP GUDANG'!$A:$CV,MATCH($A8,'[2]PV.STOCK TIAP GUDANG'!$A:$A,0),MATCH("V60LITE|8+256|STOCK",[2]PVKEY!$1:$1,0))</f>
        <v>4</v>
      </c>
      <c r="BX8" s="11">
        <f>INDEX('[2]PV.STOCK TIAP GUDANG'!$A:$CV,MATCH($A8,'[2]PV.STOCK TIAP GUDANG'!$A:$A,0),MATCH("V60LITE|8+256|SALES",[2]PVKEY!$1:$1,0))</f>
        <v>4</v>
      </c>
      <c r="BY8" s="12">
        <f t="shared" si="33"/>
        <v>27</v>
      </c>
      <c r="BZ8" s="11">
        <f t="shared" si="34"/>
        <v>1.1851851851851851</v>
      </c>
      <c r="CA8" s="10">
        <f>INDEX('[2]PV.STOCK TIAP GUDANG'!$A:$CV,MATCH($A8,'[2]PV.STOCK TIAP GUDANG'!$A:$A,0),MATCH("Y05|4+128|STOCK",[2]PVKEY!$1:$1,0))</f>
        <v>5</v>
      </c>
      <c r="CB8" s="11">
        <f>INDEX('[2]PV.STOCK TIAP GUDANG'!$A:$CV,MATCH($A8,'[2]PV.STOCK TIAP GUDANG'!$A:$A,0),MATCH("Y05|4+128|SALES",[2]PVKEY!$1:$1,0))</f>
        <v>21</v>
      </c>
      <c r="CC8" s="12">
        <f t="shared" si="35"/>
        <v>6.4</v>
      </c>
      <c r="CD8" s="11">
        <f t="shared" ref="CD8:CD36" si="44">(CB8/$B$2)*7</f>
        <v>5.4444444444444446</v>
      </c>
      <c r="CE8" s="10">
        <f>INDEX('[2]PV.STOCK TIAP GUDANG'!$A:$CV,MATCH($A8,'[2]PV.STOCK TIAP GUDANG'!$A:$A,0),MATCH("Y05|4+64|STOCK",[2]PVKEY!$1:$1,0))</f>
        <v>3</v>
      </c>
      <c r="CF8" s="11">
        <f>INDEX('[2]PV.STOCK TIAP GUDANG'!$A:$CV,MATCH($A8,'[2]PV.STOCK TIAP GUDANG'!$A:$A,0),MATCH("Y05|4+64|SALES",[2]PVKEY!$1:$1,0))</f>
        <v>44</v>
      </c>
      <c r="CG8" s="12">
        <f t="shared" si="36"/>
        <v>1.8</v>
      </c>
      <c r="CH8" s="11">
        <f t="shared" si="37"/>
        <v>11.407407407407407</v>
      </c>
      <c r="CI8" s="10">
        <f>INDEX('[2]PV.STOCK TIAP GUDANG'!$A:$CV,MATCH($A8,'[2]PV.STOCK TIAP GUDANG'!$A:$A,0),MATCH("Y500|6+128|STOCK",[2]PVKEY!$1:$1,0))</f>
        <v>1</v>
      </c>
      <c r="CJ8" s="11">
        <f>INDEX('[2]PV.STOCK TIAP GUDANG'!$A:$CV,MATCH($A8,'[2]PV.STOCK TIAP GUDANG'!$A:$A,0),MATCH("Y500|6+128|SALES",[2]PVKEY!$1:$1,0))</f>
        <v>2</v>
      </c>
      <c r="CK8" s="12">
        <f t="shared" si="38"/>
        <v>13.5</v>
      </c>
      <c r="CL8" s="10">
        <f>INDEX('[2]PV.STOCK TIAP GUDANG'!$A:$CV,MATCH($A8,'[2]PV.STOCK TIAP GUDANG'!$A:$A,0),MATCH("Y500|6+256|STOCK",[2]PVKEY!$1:$1,0))</f>
        <v>3</v>
      </c>
      <c r="CM8" s="11">
        <f>INDEX('[2]PV.STOCK TIAP GUDANG'!$A:$CV,MATCH($A8,'[2]PV.STOCK TIAP GUDANG'!$A:$A,0),MATCH("Y500|6+256|SALES",[2]PVKEY!$1:$1,0))</f>
        <v>1</v>
      </c>
      <c r="CN8" s="12">
        <f t="shared" si="39"/>
        <v>81</v>
      </c>
      <c r="CO8" s="10">
        <f>INDEX('[2]PV.STOCK TIAP GUDANG'!$A:$CV,MATCH($A8,'[2]PV.STOCK TIAP GUDANG'!$A:$A,0),MATCH("Y05E|4+64|STOCK",[2]PVKEY!$1:$1,0))</f>
        <v>21</v>
      </c>
      <c r="CP8" s="11">
        <f>INDEX('[2]PV.STOCK TIAP GUDANG'!$A:$CV,MATCH($A8,'[2]PV.STOCK TIAP GUDANG'!$A:$A,0),MATCH("Y05E|4+64|SALES",[2]PVKEY!$1:$1,0))</f>
        <v>43</v>
      </c>
      <c r="CQ8" s="12">
        <f t="shared" si="40"/>
        <v>13.2</v>
      </c>
      <c r="CR8" s="13">
        <f t="shared" si="41"/>
        <v>61</v>
      </c>
      <c r="CS8" s="13">
        <f t="shared" si="42"/>
        <v>209</v>
      </c>
      <c r="CT8" s="13">
        <f t="shared" si="43"/>
        <v>7.8803827751196174</v>
      </c>
      <c r="CU8" t="s">
        <v>83</v>
      </c>
    </row>
    <row r="9" spans="1:99" ht="16" x14ac:dyDescent="0.2">
      <c r="A9" s="9" t="s">
        <v>28</v>
      </c>
      <c r="B9" s="10">
        <f>INDEX('[2]PV.STOCK TIAP GUDANG'!$A:$CV,MATCH($A9,'[2]PV.STOCK TIAP GUDANG'!$A:$A,0),MATCH("FOLD5|STOCK",[2]PVKEY!$5:$5,0))</f>
        <v>0</v>
      </c>
      <c r="C9" s="11">
        <f>INDEX('[2]PV.STOCK TIAP GUDANG'!$A:$CV,MATCH($A9,'[2]PV.STOCK TIAP GUDANG'!$A:$A,0),MATCH("FOLD5|SALES",[2]PVKEY!$5:$5,0))</f>
        <v>0</v>
      </c>
      <c r="D9" s="12" t="str">
        <f t="shared" si="0"/>
        <v/>
      </c>
      <c r="E9" s="10">
        <f>INDEX('[2]PV.STOCK TIAP GUDANG'!$A:$CV,MATCH($A9,'[2]PV.STOCK TIAP GUDANG'!$A:$A,0),MATCH("X300ULTRA|16+1T|STOCK",[2]PVKEY!$1:$1,0))</f>
        <v>1</v>
      </c>
      <c r="F9" s="11">
        <f>INDEX('[2]PV.STOCK TIAP GUDANG'!$A:$CV,MATCH($A9,'[2]PV.STOCK TIAP GUDANG'!$A:$A,0),MATCH("X300ULTRA|16+1T|SALES",[2]PVKEY!$1:$1,0))</f>
        <v>0</v>
      </c>
      <c r="G9" s="12" t="str">
        <f t="shared" si="1"/>
        <v/>
      </c>
      <c r="H9" s="10">
        <f>INDEX('[2]PV.STOCK TIAP GUDANG'!$A:$CV,MATCH($A9,'[2]PV.STOCK TIAP GUDANG'!$A:$A,0),MATCH("X300ULTRA|16+512|STOCK",[2]PVKEY!$1:$1,0))</f>
        <v>1</v>
      </c>
      <c r="I9" s="11">
        <f>INDEX('[2]PV.STOCK TIAP GUDANG'!$A:$CV,MATCH($A9,'[2]PV.STOCK TIAP GUDANG'!$A:$A,0),MATCH("X300ULTRA|16+512|SALES",[2]PVKEY!$1:$1,0))</f>
        <v>0</v>
      </c>
      <c r="J9" s="12" t="str">
        <f t="shared" si="2"/>
        <v/>
      </c>
      <c r="K9" s="11">
        <f t="shared" si="3"/>
        <v>0</v>
      </c>
      <c r="L9" s="10">
        <f>INDEX('[2]PV.STOCK TIAP GUDANG'!$A:$CV,MATCH($A9,'[2]PV.STOCK TIAP GUDANG'!$A:$A,0),MATCH("X300PRO|16+512|STOCK",[2]PVKEY!$1:$1,0))</f>
        <v>0</v>
      </c>
      <c r="M9" s="11">
        <f>INDEX('[2]PV.STOCK TIAP GUDANG'!$A:$CV,MATCH($A9,'[2]PV.STOCK TIAP GUDANG'!$A:$A,0),MATCH("X300PRO|16+512|SALES",[2]PVKEY!$1:$1,0))</f>
        <v>0</v>
      </c>
      <c r="N9" s="12" t="str">
        <f t="shared" si="4"/>
        <v/>
      </c>
      <c r="O9" s="11">
        <f t="shared" si="5"/>
        <v>0</v>
      </c>
      <c r="P9" s="10">
        <f>INDEX('[2]PV.STOCK TIAP GUDANG'!$A:$CV,MATCH($A9,'[2]PV.STOCK TIAP GUDANG'!$A:$A,0),MATCH("X300|12+256|STOCK",[2]PVKEY!$1:$1,0))</f>
        <v>0</v>
      </c>
      <c r="Q9" s="11">
        <f>INDEX('[2]PV.STOCK TIAP GUDANG'!$A:$CV,MATCH($A9,'[2]PV.STOCK TIAP GUDANG'!$A:$A,0),MATCH("X300|12+256|SALES",[2]PVKEY!$1:$1,0))</f>
        <v>0</v>
      </c>
      <c r="R9" s="12" t="str">
        <f t="shared" si="6"/>
        <v/>
      </c>
      <c r="S9" s="10">
        <f>INDEX('[2]PV.STOCK TIAP GUDANG'!$A:$CV,MATCH($A9,'[2]PV.STOCK TIAP GUDANG'!$A:$A,0),MATCH("X300|16+512|STOCK",[2]PVKEY!$1:$1,0))</f>
        <v>0</v>
      </c>
      <c r="T9" s="11">
        <f>INDEX('[2]PV.STOCK TIAP GUDANG'!$A:$CV,MATCH($A9,'[2]PV.STOCK TIAP GUDANG'!$A:$A,0),MATCH("X300|16+512|SALES",[2]PVKEY!$1:$1,0))</f>
        <v>0</v>
      </c>
      <c r="U9" s="12" t="str">
        <f t="shared" si="7"/>
        <v/>
      </c>
      <c r="V9" s="10">
        <f>INDEX('[2]PV.STOCK TIAP GUDANG'!$A:$CV,MATCH($A9,'[2]PV.STOCK TIAP GUDANG'!$A:$A,0),MATCH("Y11D|4+128|STOCK",[2]PVKEY!$1:$1,0))</f>
        <v>13</v>
      </c>
      <c r="W9" s="11">
        <f>INDEX('[2]PV.STOCK TIAP GUDANG'!$A:$CV,MATCH($A9,'[2]PV.STOCK TIAP GUDANG'!$A:$A,0),MATCH("Y11D|4+128|SALES",[2]PVKEY!$1:$1,0))</f>
        <v>50</v>
      </c>
      <c r="X9" s="12">
        <f t="shared" si="8"/>
        <v>7</v>
      </c>
      <c r="Y9" s="11">
        <f t="shared" si="9"/>
        <v>9.2592592592592595</v>
      </c>
      <c r="Z9" s="10">
        <f>INDEX('[2]PV.STOCK TIAP GUDANG'!$A:$CV,MATCH($A9,'[2]PV.STOCK TIAP GUDANG'!$A:$A,0),MATCH("Y11D|4+64|STOCK",[2]PVKEY!$1:$1,0))</f>
        <v>5</v>
      </c>
      <c r="AA9" s="11">
        <f>INDEX('[2]PV.STOCK TIAP GUDANG'!$A:$CV,MATCH($A9,'[2]PV.STOCK TIAP GUDANG'!$A:$A,0),MATCH("Y11D|4+64|SALES",[2]PVKEY!$1:$1,0))</f>
        <v>32</v>
      </c>
      <c r="AB9" s="12">
        <f t="shared" si="10"/>
        <v>4.2</v>
      </c>
      <c r="AC9" s="11">
        <f t="shared" si="11"/>
        <v>5.9259259259259256</v>
      </c>
      <c r="AD9" s="10">
        <f>INDEX('[2]PV.STOCK TIAP GUDANG'!$A:$CV,MATCH($A9,'[2]PV.STOCK TIAP GUDANG'!$A:$A,0),MATCH("Y11D|6+128|STOCK",[2]PVKEY!$1:$1,0))</f>
        <v>0</v>
      </c>
      <c r="AE9" s="11">
        <f>INDEX('[2]PV.STOCK TIAP GUDANG'!$A:$CV,MATCH($A9,'[2]PV.STOCK TIAP GUDANG'!$A:$A,0),MATCH("Y11D|6+128|SALES",[2]PVKEY!$1:$1,0))</f>
        <v>0</v>
      </c>
      <c r="AF9" s="12" t="str">
        <f t="shared" si="12"/>
        <v/>
      </c>
      <c r="AG9" s="11">
        <f t="shared" si="13"/>
        <v>0</v>
      </c>
      <c r="AH9" s="10">
        <f>INDEX('[2]PV.STOCK TIAP GUDANG'!$A:$CV,MATCH($A9,'[2]PV.STOCK TIAP GUDANG'!$A:$A,0),MATCH("Y31D|4+128|STOCK",[2]PVKEY!$1:$1,0))</f>
        <v>0</v>
      </c>
      <c r="AI9" s="11">
        <f>INDEX('[2]PV.STOCK TIAP GUDANG'!$A:$CV,MATCH($A9,'[2]PV.STOCK TIAP GUDANG'!$A:$A,0),MATCH("Y31D|4+128|SALES",[2]PVKEY!$1:$1,0))</f>
        <v>14</v>
      </c>
      <c r="AJ9" s="12">
        <f t="shared" si="14"/>
        <v>0</v>
      </c>
      <c r="AK9" s="10">
        <f>INDEX('[2]PV.STOCK TIAP GUDANG'!$A:$CV,MATCH($A9,'[2]PV.STOCK TIAP GUDANG'!$A:$A,0),MATCH("Y31DPRO|4+128|STOCK",[2]PVKEY!$1:$1,0))</f>
        <v>3</v>
      </c>
      <c r="AL9" s="11">
        <f>INDEX('[2]PV.STOCK TIAP GUDANG'!$A:$CV,MATCH($A9,'[2]PV.STOCK TIAP GUDANG'!$A:$A,0),MATCH("Y31DPRO|4+128|SALES",[2]PVKEY!$1:$1,0))</f>
        <v>30</v>
      </c>
      <c r="AM9" s="12">
        <f t="shared" si="15"/>
        <v>2.7</v>
      </c>
      <c r="AN9" s="10">
        <f>INDEX('[2]PV.STOCK TIAP GUDANG'!$A:$CV,MATCH($A9,'[2]PV.STOCK TIAP GUDANG'!$A:$A,0),MATCH("Y31DPRO|6+128|STOCK",[2]PVKEY!$1:$1,0))</f>
        <v>11</v>
      </c>
      <c r="AO9" s="11">
        <f>INDEX('[2]PV.STOCK TIAP GUDANG'!$A:$CV,MATCH($A9,'[2]PV.STOCK TIAP GUDANG'!$A:$A,0),MATCH("Y31DPRO|6+128|SALES",[2]PVKEY!$1:$1,0))</f>
        <v>28</v>
      </c>
      <c r="AP9" s="12">
        <f t="shared" si="16"/>
        <v>10.6</v>
      </c>
      <c r="AQ9" s="11">
        <f t="shared" si="17"/>
        <v>5.1851851851851851</v>
      </c>
      <c r="AR9" s="10">
        <f>INDEX('[2]PV.STOCK TIAP GUDANG'!$A:$CV,MATCH($A9,'[2]PV.STOCK TIAP GUDANG'!$A:$A,0),MATCH("Y31DPRO|8+128|STOCK",[2]PVKEY!$1:$1,0))</f>
        <v>0</v>
      </c>
      <c r="AS9" s="11">
        <f>INDEX('[2]PV.STOCK TIAP GUDANG'!$A:$CV,MATCH($A9,'[2]PV.STOCK TIAP GUDANG'!$A:$A,0),MATCH("Y31DPRO|8+128|SALES",[2]PVKEY!$1:$1,0))</f>
        <v>4</v>
      </c>
      <c r="AT9" s="12">
        <f t="shared" si="18"/>
        <v>0</v>
      </c>
      <c r="AU9" s="11">
        <f t="shared" si="19"/>
        <v>0.7407407407407407</v>
      </c>
      <c r="AV9" s="10">
        <f>INDEX('[2]PV.STOCK TIAP GUDANG'!$A:$CV,MATCH($A9,'[2]PV.STOCK TIAP GUDANG'!$A:$A,0),MATCH("Y31DPRO|8+256|STOCK",[2]PVKEY!$1:$1,0))</f>
        <v>0</v>
      </c>
      <c r="AW9" s="11">
        <f>INDEX('[2]PV.STOCK TIAP GUDANG'!$A:$CV,MATCH($A9,'[2]PV.STOCK TIAP GUDANG'!$A:$A,0),MATCH("Y31DPRO|8+256|SALES",[2]PVKEY!$1:$1,0))</f>
        <v>10</v>
      </c>
      <c r="AX9" s="12">
        <f t="shared" si="20"/>
        <v>0</v>
      </c>
      <c r="AY9" s="11">
        <f t="shared" si="21"/>
        <v>1.8518518518518516</v>
      </c>
      <c r="AZ9" s="10">
        <f>INDEX('[2]PV.STOCK TIAP GUDANG'!$A:$CV,MATCH($A9,'[2]PV.STOCK TIAP GUDANG'!$A:$A,0),MATCH("V70|12+256|STOCK",[2]PVKEY!$1:$1,0))</f>
        <v>0</v>
      </c>
      <c r="BA9" s="11">
        <f>INDEX('[2]PV.STOCK TIAP GUDANG'!$A:$CV,MATCH($A9,'[2]PV.STOCK TIAP GUDANG'!$A:$A,0),MATCH("V70|12+256|SALES",[2]PVKEY!$1:$1,0))</f>
        <v>0</v>
      </c>
      <c r="BB9" s="12" t="str">
        <f t="shared" si="22"/>
        <v/>
      </c>
      <c r="BC9" s="10">
        <f>INDEX('[2]PV.STOCK TIAP GUDANG'!$A:$CV,MATCH($A9,'[2]PV.STOCK TIAP GUDANG'!$A:$A,0),MATCH("V70|8+256|STOCK",[2]PVKEY!$1:$1,0))</f>
        <v>4</v>
      </c>
      <c r="BD9" s="11">
        <f>INDEX('[2]PV.STOCK TIAP GUDANG'!$A:$CV,MATCH($A9,'[2]PV.STOCK TIAP GUDANG'!$A:$A,0),MATCH("V70|8+256|SALES",[2]PVKEY!$1:$1,0))</f>
        <v>13</v>
      </c>
      <c r="BE9" s="12">
        <f t="shared" si="23"/>
        <v>8.3000000000000007</v>
      </c>
      <c r="BF9" s="11">
        <f t="shared" si="24"/>
        <v>3.8518518518518516</v>
      </c>
      <c r="BG9" s="10">
        <f>INDEX('[2]PV.STOCK TIAP GUDANG'!$A:$CV,MATCH($A9,'[2]PV.STOCK TIAP GUDANG'!$A:$A,0),MATCH("V70|12+512|STOCK",[2]PVKEY!$1:$1,0))</f>
        <v>0</v>
      </c>
      <c r="BH9" s="11">
        <f>INDEX('[2]PV.STOCK TIAP GUDANG'!$A:$CV,MATCH($A9,'[2]PV.STOCK TIAP GUDANG'!$A:$A,0),MATCH("V70|12+512|SALES",[2]PVKEY!$1:$1,0))</f>
        <v>0</v>
      </c>
      <c r="BI9" s="12" t="str">
        <f t="shared" si="25"/>
        <v/>
      </c>
      <c r="BJ9" s="11">
        <f t="shared" si="26"/>
        <v>0</v>
      </c>
      <c r="BK9" s="10">
        <f>INDEX('[2]PV.STOCK TIAP GUDANG'!$A:$CV,MATCH($A9,'[2]PV.STOCK TIAP GUDANG'!$A:$A,0),MATCH("V70FE|8+256|STOCK",[2]PVKEY!$1:$1,0))</f>
        <v>3</v>
      </c>
      <c r="BL9" s="11">
        <f>INDEX('[2]PV.STOCK TIAP GUDANG'!$A:$CV,MATCH($A9,'[2]PV.STOCK TIAP GUDANG'!$A:$A,0),MATCH("V70FE|8+256|SALES",[2]PVKEY!$1:$1,0))</f>
        <v>0</v>
      </c>
      <c r="BM9" s="12" t="str">
        <f t="shared" si="27"/>
        <v/>
      </c>
      <c r="BN9" s="11">
        <f t="shared" si="28"/>
        <v>0</v>
      </c>
      <c r="BO9" s="10">
        <f>INDEX('[2]PV.STOCK TIAP GUDANG'!$A:$CV,MATCH($A9,'[2]PV.STOCK TIAP GUDANG'!$A:$A,0),MATCH("V70FE|12+256|STOCK",[2]PVKEY!$1:$1,0))</f>
        <v>1</v>
      </c>
      <c r="BP9" s="11">
        <f>INDEX('[2]PV.STOCK TIAP GUDANG'!$A:$CV,MATCH($A9,'[2]PV.STOCK TIAP GUDANG'!$A:$A,0),MATCH("V70FE|12+256|SALES",[2]PVKEY!$1:$1,0))</f>
        <v>2</v>
      </c>
      <c r="BQ9" s="12">
        <f t="shared" si="29"/>
        <v>13.5</v>
      </c>
      <c r="BR9" s="11">
        <f t="shared" si="30"/>
        <v>0.59259259259259256</v>
      </c>
      <c r="BS9" s="10">
        <f>INDEX('[2]PV.STOCK TIAP GUDANG'!$A:$CV,MATCH($A9,'[2]PV.STOCK TIAP GUDANG'!$A:$A,0),MATCH("V60LITE5G|8+256|STOCK",[2]PVKEY!$1:$1,0))</f>
        <v>0</v>
      </c>
      <c r="BT9" s="11">
        <f>INDEX('[2]PV.STOCK TIAP GUDANG'!$A:$CV,MATCH($A9,'[2]PV.STOCK TIAP GUDANG'!$A:$A,0),MATCH("V60LITE5G|8+256|SALES",[2]PVKEY!$1:$1,0))</f>
        <v>2</v>
      </c>
      <c r="BU9" s="12">
        <f t="shared" si="31"/>
        <v>0</v>
      </c>
      <c r="BV9" s="11">
        <f t="shared" si="32"/>
        <v>0.59259259259259256</v>
      </c>
      <c r="BW9" s="10">
        <f>INDEX('[2]PV.STOCK TIAP GUDANG'!$A:$CV,MATCH($A9,'[2]PV.STOCK TIAP GUDANG'!$A:$A,0),MATCH("V60LITE|8+256|STOCK",[2]PVKEY!$1:$1,0))</f>
        <v>4</v>
      </c>
      <c r="BX9" s="11">
        <f>INDEX('[2]PV.STOCK TIAP GUDANG'!$A:$CV,MATCH($A9,'[2]PV.STOCK TIAP GUDANG'!$A:$A,0),MATCH("V60LITE|8+256|SALES",[2]PVKEY!$1:$1,0))</f>
        <v>19</v>
      </c>
      <c r="BY9" s="12">
        <f t="shared" si="33"/>
        <v>5.7</v>
      </c>
      <c r="BZ9" s="11">
        <f t="shared" si="34"/>
        <v>5.6296296296296298</v>
      </c>
      <c r="CA9" s="10">
        <f>INDEX('[2]PV.STOCK TIAP GUDANG'!$A:$CV,MATCH($A9,'[2]PV.STOCK TIAP GUDANG'!$A:$A,0),MATCH("Y05|4+128|STOCK",[2]PVKEY!$1:$1,0))</f>
        <v>3</v>
      </c>
      <c r="CB9" s="11">
        <f>INDEX('[2]PV.STOCK TIAP GUDANG'!$A:$CV,MATCH($A9,'[2]PV.STOCK TIAP GUDANG'!$A:$A,0),MATCH("Y05|4+128|SALES",[2]PVKEY!$1:$1,0))</f>
        <v>48</v>
      </c>
      <c r="CC9" s="12">
        <f t="shared" si="35"/>
        <v>1.7</v>
      </c>
      <c r="CD9" s="11">
        <f t="shared" si="44"/>
        <v>12.444444444444443</v>
      </c>
      <c r="CE9" s="10">
        <f>INDEX('[2]PV.STOCK TIAP GUDANG'!$A:$CV,MATCH($A9,'[2]PV.STOCK TIAP GUDANG'!$A:$A,0),MATCH("Y05|4+64|STOCK",[2]PVKEY!$1:$1,0))</f>
        <v>0</v>
      </c>
      <c r="CF9" s="11">
        <f>INDEX('[2]PV.STOCK TIAP GUDANG'!$A:$CV,MATCH($A9,'[2]PV.STOCK TIAP GUDANG'!$A:$A,0),MATCH("Y05|4+64|SALES",[2]PVKEY!$1:$1,0))</f>
        <v>70</v>
      </c>
      <c r="CG9" s="12">
        <f t="shared" si="36"/>
        <v>0</v>
      </c>
      <c r="CH9" s="11">
        <f t="shared" si="37"/>
        <v>18.148148148148149</v>
      </c>
      <c r="CI9" s="10">
        <f>INDEX('[2]PV.STOCK TIAP GUDANG'!$A:$CV,MATCH($A9,'[2]PV.STOCK TIAP GUDANG'!$A:$A,0),MATCH("Y500|6+128|STOCK",[2]PVKEY!$1:$1,0))</f>
        <v>0</v>
      </c>
      <c r="CJ9" s="11">
        <f>INDEX('[2]PV.STOCK TIAP GUDANG'!$A:$CV,MATCH($A9,'[2]PV.STOCK TIAP GUDANG'!$A:$A,0),MATCH("Y500|6+128|SALES",[2]PVKEY!$1:$1,0))</f>
        <v>4</v>
      </c>
      <c r="CK9" s="12">
        <f t="shared" si="38"/>
        <v>0</v>
      </c>
      <c r="CL9" s="10">
        <f>INDEX('[2]PV.STOCK TIAP GUDANG'!$A:$CV,MATCH($A9,'[2]PV.STOCK TIAP GUDANG'!$A:$A,0),MATCH("Y500|6+256|STOCK",[2]PVKEY!$1:$1,0))</f>
        <v>0</v>
      </c>
      <c r="CM9" s="11">
        <f>INDEX('[2]PV.STOCK TIAP GUDANG'!$A:$CV,MATCH($A9,'[2]PV.STOCK TIAP GUDANG'!$A:$A,0),MATCH("Y500|6+256|SALES",[2]PVKEY!$1:$1,0))</f>
        <v>7</v>
      </c>
      <c r="CN9" s="12">
        <f t="shared" si="39"/>
        <v>0</v>
      </c>
      <c r="CO9" s="10">
        <f>INDEX('[2]PV.STOCK TIAP GUDANG'!$A:$CV,MATCH($A9,'[2]PV.STOCK TIAP GUDANG'!$A:$A,0),MATCH("Y05E|4+64|STOCK",[2]PVKEY!$1:$1,0))</f>
        <v>33</v>
      </c>
      <c r="CP9" s="11">
        <f>INDEX('[2]PV.STOCK TIAP GUDANG'!$A:$CV,MATCH($A9,'[2]PV.STOCK TIAP GUDANG'!$A:$A,0),MATCH("Y05E|4+64|SALES",[2]PVKEY!$1:$1,0))</f>
        <v>163</v>
      </c>
      <c r="CQ9" s="12">
        <f t="shared" si="40"/>
        <v>5.5</v>
      </c>
      <c r="CR9" s="13">
        <f t="shared" si="41"/>
        <v>82</v>
      </c>
      <c r="CS9" s="13">
        <f t="shared" si="42"/>
        <v>496</v>
      </c>
      <c r="CT9" s="13">
        <f t="shared" si="43"/>
        <v>4.463709677419355</v>
      </c>
      <c r="CU9" t="s">
        <v>83</v>
      </c>
    </row>
    <row r="10" spans="1:99" ht="16" x14ac:dyDescent="0.2">
      <c r="A10" s="9" t="s">
        <v>29</v>
      </c>
      <c r="B10" s="10">
        <f>INDEX('[2]PV.STOCK TIAP GUDANG'!$A:$CV,MATCH($A10,'[2]PV.STOCK TIAP GUDANG'!$A:$A,0),MATCH("FOLD5|STOCK",[2]PVKEY!$5:$5,0))</f>
        <v>0</v>
      </c>
      <c r="C10" s="11">
        <f>INDEX('[2]PV.STOCK TIAP GUDANG'!$A:$CV,MATCH($A10,'[2]PV.STOCK TIAP GUDANG'!$A:$A,0),MATCH("FOLD5|SALES",[2]PVKEY!$5:$5,0))</f>
        <v>0</v>
      </c>
      <c r="D10" s="12" t="str">
        <f t="shared" si="0"/>
        <v/>
      </c>
      <c r="E10" s="10">
        <f>INDEX('[2]PV.STOCK TIAP GUDANG'!$A:$CV,MATCH($A10,'[2]PV.STOCK TIAP GUDANG'!$A:$A,0),MATCH("X300ULTRA|16+1T|STOCK",[2]PVKEY!$1:$1,0))</f>
        <v>1</v>
      </c>
      <c r="F10" s="11">
        <f>INDEX('[2]PV.STOCK TIAP GUDANG'!$A:$CV,MATCH($A10,'[2]PV.STOCK TIAP GUDANG'!$A:$A,0),MATCH("X300ULTRA|16+1T|SALES",[2]PVKEY!$1:$1,0))</f>
        <v>1</v>
      </c>
      <c r="G10" s="12">
        <f t="shared" si="1"/>
        <v>27</v>
      </c>
      <c r="H10" s="10">
        <f>INDEX('[2]PV.STOCK TIAP GUDANG'!$A:$CV,MATCH($A10,'[2]PV.STOCK TIAP GUDANG'!$A:$A,0),MATCH("X300ULTRA|16+512|STOCK",[2]PVKEY!$1:$1,0))</f>
        <v>3</v>
      </c>
      <c r="I10" s="11">
        <f>INDEX('[2]PV.STOCK TIAP GUDANG'!$A:$CV,MATCH($A10,'[2]PV.STOCK TIAP GUDANG'!$A:$A,0),MATCH("X300ULTRA|16+512|SALES",[2]PVKEY!$1:$1,0))</f>
        <v>2</v>
      </c>
      <c r="J10" s="12">
        <f t="shared" si="2"/>
        <v>40.5</v>
      </c>
      <c r="K10" s="11">
        <f t="shared" si="3"/>
        <v>0.7407407407407407</v>
      </c>
      <c r="L10" s="10">
        <f>INDEX('[2]PV.STOCK TIAP GUDANG'!$A:$CV,MATCH($A10,'[2]PV.STOCK TIAP GUDANG'!$A:$A,0),MATCH("X300PRO|16+512|STOCK",[2]PVKEY!$1:$1,0))</f>
        <v>0</v>
      </c>
      <c r="M10" s="11">
        <f>INDEX('[2]PV.STOCK TIAP GUDANG'!$A:$CV,MATCH($A10,'[2]PV.STOCK TIAP GUDANG'!$A:$A,0),MATCH("X300PRO|16+512|SALES",[2]PVKEY!$1:$1,0))</f>
        <v>0</v>
      </c>
      <c r="N10" s="12" t="str">
        <f t="shared" si="4"/>
        <v/>
      </c>
      <c r="O10" s="11">
        <f t="shared" si="5"/>
        <v>0</v>
      </c>
      <c r="P10" s="10">
        <f>INDEX('[2]PV.STOCK TIAP GUDANG'!$A:$CV,MATCH($A10,'[2]PV.STOCK TIAP GUDANG'!$A:$A,0),MATCH("X300|12+256|STOCK",[2]PVKEY!$1:$1,0))</f>
        <v>0</v>
      </c>
      <c r="Q10" s="11">
        <f>INDEX('[2]PV.STOCK TIAP GUDANG'!$A:$CV,MATCH($A10,'[2]PV.STOCK TIAP GUDANG'!$A:$A,0),MATCH("X300|12+256|SALES",[2]PVKEY!$1:$1,0))</f>
        <v>1</v>
      </c>
      <c r="R10" s="12">
        <f t="shared" si="6"/>
        <v>0</v>
      </c>
      <c r="S10" s="10">
        <f>INDEX('[2]PV.STOCK TIAP GUDANG'!$A:$CV,MATCH($A10,'[2]PV.STOCK TIAP GUDANG'!$A:$A,0),MATCH("X300|16+512|STOCK",[2]PVKEY!$1:$1,0))</f>
        <v>0</v>
      </c>
      <c r="T10" s="11">
        <f>INDEX('[2]PV.STOCK TIAP GUDANG'!$A:$CV,MATCH($A10,'[2]PV.STOCK TIAP GUDANG'!$A:$A,0),MATCH("X300|16+512|SALES",[2]PVKEY!$1:$1,0))</f>
        <v>1</v>
      </c>
      <c r="U10" s="12">
        <f t="shared" si="7"/>
        <v>0</v>
      </c>
      <c r="V10" s="10">
        <f>INDEX('[2]PV.STOCK TIAP GUDANG'!$A:$CV,MATCH($A10,'[2]PV.STOCK TIAP GUDANG'!$A:$A,0),MATCH("Y11D|4+128|STOCK",[2]PVKEY!$1:$1,0))</f>
        <v>2</v>
      </c>
      <c r="W10" s="11">
        <f>INDEX('[2]PV.STOCK TIAP GUDANG'!$A:$CV,MATCH($A10,'[2]PV.STOCK TIAP GUDANG'!$A:$A,0),MATCH("Y11D|4+128|SALES",[2]PVKEY!$1:$1,0))</f>
        <v>7</v>
      </c>
      <c r="X10" s="12">
        <f t="shared" si="8"/>
        <v>7.7</v>
      </c>
      <c r="Y10" s="11">
        <f t="shared" si="9"/>
        <v>1.2962962962962963</v>
      </c>
      <c r="Z10" s="10">
        <f>INDEX('[2]PV.STOCK TIAP GUDANG'!$A:$CV,MATCH($A10,'[2]PV.STOCK TIAP GUDANG'!$A:$A,0),MATCH("Y11D|4+64|STOCK",[2]PVKEY!$1:$1,0))</f>
        <v>6</v>
      </c>
      <c r="AA10" s="11">
        <f>INDEX('[2]PV.STOCK TIAP GUDANG'!$A:$CV,MATCH($A10,'[2]PV.STOCK TIAP GUDANG'!$A:$A,0),MATCH("Y11D|4+64|SALES",[2]PVKEY!$1:$1,0))</f>
        <v>8</v>
      </c>
      <c r="AB10" s="12">
        <f t="shared" si="10"/>
        <v>20.3</v>
      </c>
      <c r="AC10" s="11">
        <f t="shared" si="11"/>
        <v>1.4814814814814814</v>
      </c>
      <c r="AD10" s="10">
        <f>INDEX('[2]PV.STOCK TIAP GUDANG'!$A:$CV,MATCH($A10,'[2]PV.STOCK TIAP GUDANG'!$A:$A,0),MATCH("Y11D|6+128|STOCK",[2]PVKEY!$1:$1,0))</f>
        <v>1</v>
      </c>
      <c r="AE10" s="11">
        <f>INDEX('[2]PV.STOCK TIAP GUDANG'!$A:$CV,MATCH($A10,'[2]PV.STOCK TIAP GUDANG'!$A:$A,0),MATCH("Y11D|6+128|SALES",[2]PVKEY!$1:$1,0))</f>
        <v>1</v>
      </c>
      <c r="AF10" s="12">
        <f t="shared" si="12"/>
        <v>27</v>
      </c>
      <c r="AG10" s="11">
        <f t="shared" si="13"/>
        <v>0.18518518518518517</v>
      </c>
      <c r="AH10" s="10">
        <f>INDEX('[2]PV.STOCK TIAP GUDANG'!$A:$CV,MATCH($A10,'[2]PV.STOCK TIAP GUDANG'!$A:$A,0),MATCH("Y31D|4+128|STOCK",[2]PVKEY!$1:$1,0))</f>
        <v>0</v>
      </c>
      <c r="AI10" s="11">
        <f>INDEX('[2]PV.STOCK TIAP GUDANG'!$A:$CV,MATCH($A10,'[2]PV.STOCK TIAP GUDANG'!$A:$A,0),MATCH("Y31D|4+128|SALES",[2]PVKEY!$1:$1,0))</f>
        <v>4</v>
      </c>
      <c r="AJ10" s="12">
        <f t="shared" si="14"/>
        <v>0</v>
      </c>
      <c r="AK10" s="10">
        <f>INDEX('[2]PV.STOCK TIAP GUDANG'!$A:$CV,MATCH($A10,'[2]PV.STOCK TIAP GUDANG'!$A:$A,0),MATCH("Y31DPRO|4+128|STOCK",[2]PVKEY!$1:$1,0))</f>
        <v>3</v>
      </c>
      <c r="AL10" s="11">
        <f>INDEX('[2]PV.STOCK TIAP GUDANG'!$A:$CV,MATCH($A10,'[2]PV.STOCK TIAP GUDANG'!$A:$A,0),MATCH("Y31DPRO|4+128|SALES",[2]PVKEY!$1:$1,0))</f>
        <v>2</v>
      </c>
      <c r="AM10" s="12">
        <f t="shared" si="15"/>
        <v>40.5</v>
      </c>
      <c r="AN10" s="10">
        <f>INDEX('[2]PV.STOCK TIAP GUDANG'!$A:$CV,MATCH($A10,'[2]PV.STOCK TIAP GUDANG'!$A:$A,0),MATCH("Y31DPRO|6+128|STOCK",[2]PVKEY!$1:$1,0))</f>
        <v>4</v>
      </c>
      <c r="AO10" s="11">
        <f>INDEX('[2]PV.STOCK TIAP GUDANG'!$A:$CV,MATCH($A10,'[2]PV.STOCK TIAP GUDANG'!$A:$A,0),MATCH("Y31DPRO|6+128|SALES",[2]PVKEY!$1:$1,0))</f>
        <v>0</v>
      </c>
      <c r="AP10" s="12" t="str">
        <f t="shared" si="16"/>
        <v/>
      </c>
      <c r="AQ10" s="11">
        <f t="shared" si="17"/>
        <v>0</v>
      </c>
      <c r="AR10" s="10">
        <f>INDEX('[2]PV.STOCK TIAP GUDANG'!$A:$CV,MATCH($A10,'[2]PV.STOCK TIAP GUDANG'!$A:$A,0),MATCH("Y31DPRO|8+128|STOCK",[2]PVKEY!$1:$1,0))</f>
        <v>2</v>
      </c>
      <c r="AS10" s="11">
        <f>INDEX('[2]PV.STOCK TIAP GUDANG'!$A:$CV,MATCH($A10,'[2]PV.STOCK TIAP GUDANG'!$A:$A,0),MATCH("Y31DPRO|8+128|SALES",[2]PVKEY!$1:$1,0))</f>
        <v>0</v>
      </c>
      <c r="AT10" s="12" t="str">
        <f t="shared" si="18"/>
        <v/>
      </c>
      <c r="AU10" s="11">
        <f t="shared" si="19"/>
        <v>0</v>
      </c>
      <c r="AV10" s="10">
        <f>INDEX('[2]PV.STOCK TIAP GUDANG'!$A:$CV,MATCH($A10,'[2]PV.STOCK TIAP GUDANG'!$A:$A,0),MATCH("Y31DPRO|8+256|STOCK",[2]PVKEY!$1:$1,0))</f>
        <v>1</v>
      </c>
      <c r="AW10" s="11">
        <f>INDEX('[2]PV.STOCK TIAP GUDANG'!$A:$CV,MATCH($A10,'[2]PV.STOCK TIAP GUDANG'!$A:$A,0),MATCH("Y31DPRO|8+256|SALES",[2]PVKEY!$1:$1,0))</f>
        <v>1</v>
      </c>
      <c r="AX10" s="12">
        <f t="shared" si="20"/>
        <v>27</v>
      </c>
      <c r="AY10" s="11">
        <f t="shared" si="21"/>
        <v>0.18518518518518517</v>
      </c>
      <c r="AZ10" s="10">
        <f>INDEX('[2]PV.STOCK TIAP GUDANG'!$A:$CV,MATCH($A10,'[2]PV.STOCK TIAP GUDANG'!$A:$A,0),MATCH("V70|12+256|STOCK",[2]PVKEY!$1:$1,0))</f>
        <v>0</v>
      </c>
      <c r="BA10" s="11">
        <f>INDEX('[2]PV.STOCK TIAP GUDANG'!$A:$CV,MATCH($A10,'[2]PV.STOCK TIAP GUDANG'!$A:$A,0),MATCH("V70|12+256|SALES",[2]PVKEY!$1:$1,0))</f>
        <v>0</v>
      </c>
      <c r="BB10" s="12" t="str">
        <f t="shared" si="22"/>
        <v/>
      </c>
      <c r="BC10" s="10">
        <f>INDEX('[2]PV.STOCK TIAP GUDANG'!$A:$CV,MATCH($A10,'[2]PV.STOCK TIAP GUDANG'!$A:$A,0),MATCH("V70|8+256|STOCK",[2]PVKEY!$1:$1,0))</f>
        <v>9</v>
      </c>
      <c r="BD10" s="11">
        <f>INDEX('[2]PV.STOCK TIAP GUDANG'!$A:$CV,MATCH($A10,'[2]PV.STOCK TIAP GUDANG'!$A:$A,0),MATCH("V70|8+256|SALES",[2]PVKEY!$1:$1,0))</f>
        <v>8</v>
      </c>
      <c r="BE10" s="12">
        <f t="shared" si="23"/>
        <v>30.4</v>
      </c>
      <c r="BF10" s="11">
        <f t="shared" si="24"/>
        <v>2.3703703703703702</v>
      </c>
      <c r="BG10" s="10">
        <f>INDEX('[2]PV.STOCK TIAP GUDANG'!$A:$CV,MATCH($A10,'[2]PV.STOCK TIAP GUDANG'!$A:$A,0),MATCH("V70|12+512|STOCK",[2]PVKEY!$1:$1,0))</f>
        <v>0</v>
      </c>
      <c r="BH10" s="11">
        <f>INDEX('[2]PV.STOCK TIAP GUDANG'!$A:$CV,MATCH($A10,'[2]PV.STOCK TIAP GUDANG'!$A:$A,0),MATCH("V70|12+512|SALES",[2]PVKEY!$1:$1,0))</f>
        <v>0</v>
      </c>
      <c r="BI10" s="12" t="str">
        <f t="shared" si="25"/>
        <v/>
      </c>
      <c r="BJ10" s="11">
        <f t="shared" si="26"/>
        <v>0</v>
      </c>
      <c r="BK10" s="10">
        <f>INDEX('[2]PV.STOCK TIAP GUDANG'!$A:$CV,MATCH($A10,'[2]PV.STOCK TIAP GUDANG'!$A:$A,0),MATCH("V70FE|8+256|STOCK",[2]PVKEY!$1:$1,0))</f>
        <v>0</v>
      </c>
      <c r="BL10" s="11">
        <f>INDEX('[2]PV.STOCK TIAP GUDANG'!$A:$CV,MATCH($A10,'[2]PV.STOCK TIAP GUDANG'!$A:$A,0),MATCH("V70FE|8+256|SALES",[2]PVKEY!$1:$1,0))</f>
        <v>3</v>
      </c>
      <c r="BM10" s="12">
        <f t="shared" si="27"/>
        <v>0</v>
      </c>
      <c r="BN10" s="11">
        <f t="shared" si="28"/>
        <v>0.88888888888888884</v>
      </c>
      <c r="BO10" s="10">
        <f>INDEX('[2]PV.STOCK TIAP GUDANG'!$A:$CV,MATCH($A10,'[2]PV.STOCK TIAP GUDANG'!$A:$A,0),MATCH("V70FE|12+256|STOCK",[2]PVKEY!$1:$1,0))</f>
        <v>2</v>
      </c>
      <c r="BP10" s="11">
        <f>INDEX('[2]PV.STOCK TIAP GUDANG'!$A:$CV,MATCH($A10,'[2]PV.STOCK TIAP GUDANG'!$A:$A,0),MATCH("V70FE|12+256|SALES",[2]PVKEY!$1:$1,0))</f>
        <v>1</v>
      </c>
      <c r="BQ10" s="12">
        <f t="shared" si="29"/>
        <v>54</v>
      </c>
      <c r="BR10" s="11">
        <f t="shared" si="30"/>
        <v>0.29629629629629628</v>
      </c>
      <c r="BS10" s="10">
        <f>INDEX('[2]PV.STOCK TIAP GUDANG'!$A:$CV,MATCH($A10,'[2]PV.STOCK TIAP GUDANG'!$A:$A,0),MATCH("V60LITE5G|8+256|STOCK",[2]PVKEY!$1:$1,0))</f>
        <v>0</v>
      </c>
      <c r="BT10" s="11">
        <f>INDEX('[2]PV.STOCK TIAP GUDANG'!$A:$CV,MATCH($A10,'[2]PV.STOCK TIAP GUDANG'!$A:$A,0),MATCH("V60LITE5G|8+256|SALES",[2]PVKEY!$1:$1,0))</f>
        <v>3</v>
      </c>
      <c r="BU10" s="12">
        <f t="shared" si="31"/>
        <v>0</v>
      </c>
      <c r="BV10" s="11">
        <f t="shared" si="32"/>
        <v>0.88888888888888884</v>
      </c>
      <c r="BW10" s="10">
        <f>INDEX('[2]PV.STOCK TIAP GUDANG'!$A:$CV,MATCH($A10,'[2]PV.STOCK TIAP GUDANG'!$A:$A,0),MATCH("V60LITE|8+256|STOCK",[2]PVKEY!$1:$1,0))</f>
        <v>4</v>
      </c>
      <c r="BX10" s="11">
        <f>INDEX('[2]PV.STOCK TIAP GUDANG'!$A:$CV,MATCH($A10,'[2]PV.STOCK TIAP GUDANG'!$A:$A,0),MATCH("V60LITE|8+256|SALES",[2]PVKEY!$1:$1,0))</f>
        <v>5</v>
      </c>
      <c r="BY10" s="12">
        <f t="shared" si="33"/>
        <v>21.6</v>
      </c>
      <c r="BZ10" s="11">
        <f t="shared" si="34"/>
        <v>1.4814814814814814</v>
      </c>
      <c r="CA10" s="10">
        <f>INDEX('[2]PV.STOCK TIAP GUDANG'!$A:$CV,MATCH($A10,'[2]PV.STOCK TIAP GUDANG'!$A:$A,0),MATCH("Y05|4+128|STOCK",[2]PVKEY!$1:$1,0))</f>
        <v>2</v>
      </c>
      <c r="CB10" s="11">
        <f>INDEX('[2]PV.STOCK TIAP GUDANG'!$A:$CV,MATCH($A10,'[2]PV.STOCK TIAP GUDANG'!$A:$A,0),MATCH("Y05|4+128|SALES",[2]PVKEY!$1:$1,0))</f>
        <v>4</v>
      </c>
      <c r="CC10" s="12">
        <f t="shared" si="35"/>
        <v>13.5</v>
      </c>
      <c r="CD10" s="11">
        <f t="shared" si="44"/>
        <v>1.037037037037037</v>
      </c>
      <c r="CE10" s="10">
        <f>INDEX('[2]PV.STOCK TIAP GUDANG'!$A:$CV,MATCH($A10,'[2]PV.STOCK TIAP GUDANG'!$A:$A,0),MATCH("Y05|4+64|STOCK",[2]PVKEY!$1:$1,0))</f>
        <v>2</v>
      </c>
      <c r="CF10" s="11">
        <f>INDEX('[2]PV.STOCK TIAP GUDANG'!$A:$CV,MATCH($A10,'[2]PV.STOCK TIAP GUDANG'!$A:$A,0),MATCH("Y05|4+64|SALES",[2]PVKEY!$1:$1,0))</f>
        <v>4</v>
      </c>
      <c r="CG10" s="12">
        <f t="shared" si="36"/>
        <v>13.5</v>
      </c>
      <c r="CH10" s="11">
        <f t="shared" si="37"/>
        <v>1.037037037037037</v>
      </c>
      <c r="CI10" s="10">
        <f>INDEX('[2]PV.STOCK TIAP GUDANG'!$A:$CV,MATCH($A10,'[2]PV.STOCK TIAP GUDANG'!$A:$A,0),MATCH("Y500|6+128|STOCK",[2]PVKEY!$1:$1,0))</f>
        <v>1</v>
      </c>
      <c r="CJ10" s="11">
        <f>INDEX('[2]PV.STOCK TIAP GUDANG'!$A:$CV,MATCH($A10,'[2]PV.STOCK TIAP GUDANG'!$A:$A,0),MATCH("Y500|6+128|SALES",[2]PVKEY!$1:$1,0))</f>
        <v>0</v>
      </c>
      <c r="CK10" s="12" t="str">
        <f t="shared" si="38"/>
        <v/>
      </c>
      <c r="CL10" s="10">
        <f>INDEX('[2]PV.STOCK TIAP GUDANG'!$A:$CV,MATCH($A10,'[2]PV.STOCK TIAP GUDANG'!$A:$A,0),MATCH("Y500|6+256|STOCK",[2]PVKEY!$1:$1,0))</f>
        <v>2</v>
      </c>
      <c r="CM10" s="11">
        <f>INDEX('[2]PV.STOCK TIAP GUDANG'!$A:$CV,MATCH($A10,'[2]PV.STOCK TIAP GUDANG'!$A:$A,0),MATCH("Y500|6+256|SALES",[2]PVKEY!$1:$1,0))</f>
        <v>0</v>
      </c>
      <c r="CN10" s="12" t="str">
        <f t="shared" si="39"/>
        <v/>
      </c>
      <c r="CO10" s="10">
        <f>INDEX('[2]PV.STOCK TIAP GUDANG'!$A:$CV,MATCH($A10,'[2]PV.STOCK TIAP GUDANG'!$A:$A,0),MATCH("Y05E|4+64|STOCK",[2]PVKEY!$1:$1,0))</f>
        <v>6</v>
      </c>
      <c r="CP10" s="11">
        <f>INDEX('[2]PV.STOCK TIAP GUDANG'!$A:$CV,MATCH($A10,'[2]PV.STOCK TIAP GUDANG'!$A:$A,0),MATCH("Y05E|4+64|SALES",[2]PVKEY!$1:$1,0))</f>
        <v>14</v>
      </c>
      <c r="CQ10" s="12">
        <f t="shared" si="40"/>
        <v>11.6</v>
      </c>
      <c r="CR10" s="13">
        <f t="shared" si="41"/>
        <v>51</v>
      </c>
      <c r="CS10" s="13">
        <f t="shared" si="42"/>
        <v>70</v>
      </c>
      <c r="CT10" s="13">
        <f t="shared" si="43"/>
        <v>19.671428571428571</v>
      </c>
      <c r="CU10" t="s">
        <v>83</v>
      </c>
    </row>
    <row r="11" spans="1:99" ht="16" x14ac:dyDescent="0.2">
      <c r="A11" s="9" t="s">
        <v>30</v>
      </c>
      <c r="B11" s="10">
        <f>INDEX('[2]PV.STOCK TIAP GUDANG'!$A:$CV,MATCH($A11,'[2]PV.STOCK TIAP GUDANG'!$A:$A,0),MATCH("FOLD5|STOCK",[2]PVKEY!$5:$5,0))</f>
        <v>0</v>
      </c>
      <c r="C11" s="11">
        <f>INDEX('[2]PV.STOCK TIAP GUDANG'!$A:$CV,MATCH($A11,'[2]PV.STOCK TIAP GUDANG'!$A:$A,0),MATCH("FOLD5|SALES",[2]PVKEY!$5:$5,0))</f>
        <v>0</v>
      </c>
      <c r="D11" s="12" t="str">
        <f t="shared" si="0"/>
        <v/>
      </c>
      <c r="E11" s="10">
        <f>INDEX('[2]PV.STOCK TIAP GUDANG'!$A:$CV,MATCH($A11,'[2]PV.STOCK TIAP GUDANG'!$A:$A,0),MATCH("X300ULTRA|16+1T|STOCK",[2]PVKEY!$1:$1,0))</f>
        <v>0</v>
      </c>
      <c r="F11" s="11">
        <f>INDEX('[2]PV.STOCK TIAP GUDANG'!$A:$CV,MATCH($A11,'[2]PV.STOCK TIAP GUDANG'!$A:$A,0),MATCH("X300ULTRA|16+1T|SALES",[2]PVKEY!$1:$1,0))</f>
        <v>0</v>
      </c>
      <c r="G11" s="12" t="str">
        <f t="shared" si="1"/>
        <v/>
      </c>
      <c r="H11" s="10">
        <f>INDEX('[2]PV.STOCK TIAP GUDANG'!$A:$CV,MATCH($A11,'[2]PV.STOCK TIAP GUDANG'!$A:$A,0),MATCH("X300ULTRA|16+512|STOCK",[2]PVKEY!$1:$1,0))</f>
        <v>0</v>
      </c>
      <c r="I11" s="11">
        <f>INDEX('[2]PV.STOCK TIAP GUDANG'!$A:$CV,MATCH($A11,'[2]PV.STOCK TIAP GUDANG'!$A:$A,0),MATCH("X300ULTRA|16+512|SALES",[2]PVKEY!$1:$1,0))</f>
        <v>0</v>
      </c>
      <c r="J11" s="12" t="str">
        <f t="shared" si="2"/>
        <v/>
      </c>
      <c r="K11" s="11">
        <f t="shared" si="3"/>
        <v>0</v>
      </c>
      <c r="L11" s="10">
        <f>INDEX('[2]PV.STOCK TIAP GUDANG'!$A:$CV,MATCH($A11,'[2]PV.STOCK TIAP GUDANG'!$A:$A,0),MATCH("X300PRO|16+512|STOCK",[2]PVKEY!$1:$1,0))</f>
        <v>0</v>
      </c>
      <c r="M11" s="11">
        <f>INDEX('[2]PV.STOCK TIAP GUDANG'!$A:$CV,MATCH($A11,'[2]PV.STOCK TIAP GUDANG'!$A:$A,0),MATCH("X300PRO|16+512|SALES",[2]PVKEY!$1:$1,0))</f>
        <v>0</v>
      </c>
      <c r="N11" s="12" t="str">
        <f t="shared" si="4"/>
        <v/>
      </c>
      <c r="O11" s="11">
        <f t="shared" si="5"/>
        <v>0</v>
      </c>
      <c r="P11" s="10">
        <f>INDEX('[2]PV.STOCK TIAP GUDANG'!$A:$CV,MATCH($A11,'[2]PV.STOCK TIAP GUDANG'!$A:$A,0),MATCH("X300|12+256|STOCK",[2]PVKEY!$1:$1,0))</f>
        <v>0</v>
      </c>
      <c r="Q11" s="11">
        <f>INDEX('[2]PV.STOCK TIAP GUDANG'!$A:$CV,MATCH($A11,'[2]PV.STOCK TIAP GUDANG'!$A:$A,0),MATCH("X300|12+256|SALES",[2]PVKEY!$1:$1,0))</f>
        <v>0</v>
      </c>
      <c r="R11" s="12" t="str">
        <f t="shared" si="6"/>
        <v/>
      </c>
      <c r="S11" s="10">
        <f>INDEX('[2]PV.STOCK TIAP GUDANG'!$A:$CV,MATCH($A11,'[2]PV.STOCK TIAP GUDANG'!$A:$A,0),MATCH("X300|16+512|STOCK",[2]PVKEY!$1:$1,0))</f>
        <v>0</v>
      </c>
      <c r="T11" s="11">
        <f>INDEX('[2]PV.STOCK TIAP GUDANG'!$A:$CV,MATCH($A11,'[2]PV.STOCK TIAP GUDANG'!$A:$A,0),MATCH("X300|16+512|SALES",[2]PVKEY!$1:$1,0))</f>
        <v>0</v>
      </c>
      <c r="U11" s="12" t="str">
        <f t="shared" si="7"/>
        <v/>
      </c>
      <c r="V11" s="10">
        <f>INDEX('[2]PV.STOCK TIAP GUDANG'!$A:$CV,MATCH($A11,'[2]PV.STOCK TIAP GUDANG'!$A:$A,0),MATCH("Y11D|4+128|STOCK",[2]PVKEY!$1:$1,0))</f>
        <v>5</v>
      </c>
      <c r="W11" s="11">
        <f>INDEX('[2]PV.STOCK TIAP GUDANG'!$A:$CV,MATCH($A11,'[2]PV.STOCK TIAP GUDANG'!$A:$A,0),MATCH("Y11D|4+128|SALES",[2]PVKEY!$1:$1,0))</f>
        <v>14</v>
      </c>
      <c r="X11" s="12">
        <f t="shared" si="8"/>
        <v>9.6</v>
      </c>
      <c r="Y11" s="11">
        <f t="shared" si="9"/>
        <v>2.5925925925925926</v>
      </c>
      <c r="Z11" s="10">
        <f>INDEX('[2]PV.STOCK TIAP GUDANG'!$A:$CV,MATCH($A11,'[2]PV.STOCK TIAP GUDANG'!$A:$A,0),MATCH("Y11D|4+64|STOCK",[2]PVKEY!$1:$1,0))</f>
        <v>6</v>
      </c>
      <c r="AA11" s="11">
        <f>INDEX('[2]PV.STOCK TIAP GUDANG'!$A:$CV,MATCH($A11,'[2]PV.STOCK TIAP GUDANG'!$A:$A,0),MATCH("Y11D|4+64|SALES",[2]PVKEY!$1:$1,0))</f>
        <v>10</v>
      </c>
      <c r="AB11" s="12">
        <f t="shared" si="10"/>
        <v>16.2</v>
      </c>
      <c r="AC11" s="11">
        <f t="shared" si="11"/>
        <v>1.8518518518518516</v>
      </c>
      <c r="AD11" s="10">
        <f>INDEX('[2]PV.STOCK TIAP GUDANG'!$A:$CV,MATCH($A11,'[2]PV.STOCK TIAP GUDANG'!$A:$A,0),MATCH("Y11D|6+128|STOCK",[2]PVKEY!$1:$1,0))</f>
        <v>0</v>
      </c>
      <c r="AE11" s="11">
        <f>INDEX('[2]PV.STOCK TIAP GUDANG'!$A:$CV,MATCH($A11,'[2]PV.STOCK TIAP GUDANG'!$A:$A,0),MATCH("Y11D|6+128|SALES",[2]PVKEY!$1:$1,0))</f>
        <v>0</v>
      </c>
      <c r="AF11" s="12" t="str">
        <f t="shared" si="12"/>
        <v/>
      </c>
      <c r="AG11" s="11">
        <f t="shared" si="13"/>
        <v>0</v>
      </c>
      <c r="AH11" s="10">
        <f>INDEX('[2]PV.STOCK TIAP GUDANG'!$A:$CV,MATCH($A11,'[2]PV.STOCK TIAP GUDANG'!$A:$A,0),MATCH("Y31D|4+128|STOCK",[2]PVKEY!$1:$1,0))</f>
        <v>0</v>
      </c>
      <c r="AI11" s="11">
        <f>INDEX('[2]PV.STOCK TIAP GUDANG'!$A:$CV,MATCH($A11,'[2]PV.STOCK TIAP GUDANG'!$A:$A,0),MATCH("Y31D|4+128|SALES",[2]PVKEY!$1:$1,0))</f>
        <v>3</v>
      </c>
      <c r="AJ11" s="12">
        <f t="shared" si="14"/>
        <v>0</v>
      </c>
      <c r="AK11" s="10">
        <f>INDEX('[2]PV.STOCK TIAP GUDANG'!$A:$CV,MATCH($A11,'[2]PV.STOCK TIAP GUDANG'!$A:$A,0),MATCH("Y31DPRO|4+128|STOCK",[2]PVKEY!$1:$1,0))</f>
        <v>5</v>
      </c>
      <c r="AL11" s="11">
        <f>INDEX('[2]PV.STOCK TIAP GUDANG'!$A:$CV,MATCH($A11,'[2]PV.STOCK TIAP GUDANG'!$A:$A,0),MATCH("Y31DPRO|4+128|SALES",[2]PVKEY!$1:$1,0))</f>
        <v>8</v>
      </c>
      <c r="AM11" s="12">
        <f t="shared" si="15"/>
        <v>16.899999999999999</v>
      </c>
      <c r="AN11" s="10">
        <f>INDEX('[2]PV.STOCK TIAP GUDANG'!$A:$CV,MATCH($A11,'[2]PV.STOCK TIAP GUDANG'!$A:$A,0),MATCH("Y31DPRO|6+128|STOCK",[2]PVKEY!$1:$1,0))</f>
        <v>4</v>
      </c>
      <c r="AO11" s="11">
        <f>INDEX('[2]PV.STOCK TIAP GUDANG'!$A:$CV,MATCH($A11,'[2]PV.STOCK TIAP GUDANG'!$A:$A,0),MATCH("Y31DPRO|6+128|SALES",[2]PVKEY!$1:$1,0))</f>
        <v>11</v>
      </c>
      <c r="AP11" s="12">
        <f t="shared" si="16"/>
        <v>9.8000000000000007</v>
      </c>
      <c r="AQ11" s="11">
        <f t="shared" si="17"/>
        <v>2.0370370370370368</v>
      </c>
      <c r="AR11" s="10">
        <f>INDEX('[2]PV.STOCK TIAP GUDANG'!$A:$CV,MATCH($A11,'[2]PV.STOCK TIAP GUDANG'!$A:$A,0),MATCH("Y31DPRO|8+128|STOCK",[2]PVKEY!$1:$1,0))</f>
        <v>2</v>
      </c>
      <c r="AS11" s="11">
        <f>INDEX('[2]PV.STOCK TIAP GUDANG'!$A:$CV,MATCH($A11,'[2]PV.STOCK TIAP GUDANG'!$A:$A,0),MATCH("Y31DPRO|8+128|SALES",[2]PVKEY!$1:$1,0))</f>
        <v>1</v>
      </c>
      <c r="AT11" s="12">
        <f t="shared" si="18"/>
        <v>54</v>
      </c>
      <c r="AU11" s="11">
        <f t="shared" si="19"/>
        <v>0.18518518518518517</v>
      </c>
      <c r="AV11" s="10">
        <f>INDEX('[2]PV.STOCK TIAP GUDANG'!$A:$CV,MATCH($A11,'[2]PV.STOCK TIAP GUDANG'!$A:$A,0),MATCH("Y31DPRO|8+256|STOCK",[2]PVKEY!$1:$1,0))</f>
        <v>5</v>
      </c>
      <c r="AW11" s="11">
        <f>INDEX('[2]PV.STOCK TIAP GUDANG'!$A:$CV,MATCH($A11,'[2]PV.STOCK TIAP GUDANG'!$A:$A,0),MATCH("Y31DPRO|8+256|SALES",[2]PVKEY!$1:$1,0))</f>
        <v>2</v>
      </c>
      <c r="AX11" s="12">
        <f t="shared" si="20"/>
        <v>67.5</v>
      </c>
      <c r="AY11" s="11">
        <f t="shared" si="21"/>
        <v>0.37037037037037035</v>
      </c>
      <c r="AZ11" s="10">
        <f>INDEX('[2]PV.STOCK TIAP GUDANG'!$A:$CV,MATCH($A11,'[2]PV.STOCK TIAP GUDANG'!$A:$A,0),MATCH("V70|12+256|STOCK",[2]PVKEY!$1:$1,0))</f>
        <v>0</v>
      </c>
      <c r="BA11" s="11">
        <f>INDEX('[2]PV.STOCK TIAP GUDANG'!$A:$CV,MATCH($A11,'[2]PV.STOCK TIAP GUDANG'!$A:$A,0),MATCH("V70|12+256|SALES",[2]PVKEY!$1:$1,0))</f>
        <v>0</v>
      </c>
      <c r="BB11" s="12" t="str">
        <f t="shared" si="22"/>
        <v/>
      </c>
      <c r="BC11" s="10">
        <f>INDEX('[2]PV.STOCK TIAP GUDANG'!$A:$CV,MATCH($A11,'[2]PV.STOCK TIAP GUDANG'!$A:$A,0),MATCH("V70|8+256|STOCK",[2]PVKEY!$1:$1,0))</f>
        <v>4</v>
      </c>
      <c r="BD11" s="11">
        <f>INDEX('[2]PV.STOCK TIAP GUDANG'!$A:$CV,MATCH($A11,'[2]PV.STOCK TIAP GUDANG'!$A:$A,0),MATCH("V70|8+256|SALES",[2]PVKEY!$1:$1,0))</f>
        <v>6</v>
      </c>
      <c r="BE11" s="12">
        <f t="shared" si="23"/>
        <v>18</v>
      </c>
      <c r="BF11" s="11">
        <f t="shared" si="24"/>
        <v>1.7777777777777777</v>
      </c>
      <c r="BG11" s="10">
        <f>INDEX('[2]PV.STOCK TIAP GUDANG'!$A:$CV,MATCH($A11,'[2]PV.STOCK TIAP GUDANG'!$A:$A,0),MATCH("V70|12+512|STOCK",[2]PVKEY!$1:$1,0))</f>
        <v>0</v>
      </c>
      <c r="BH11" s="11">
        <f>INDEX('[2]PV.STOCK TIAP GUDANG'!$A:$CV,MATCH($A11,'[2]PV.STOCK TIAP GUDANG'!$A:$A,0),MATCH("V70|12+512|SALES",[2]PVKEY!$1:$1,0))</f>
        <v>0</v>
      </c>
      <c r="BI11" s="12" t="str">
        <f t="shared" si="25"/>
        <v/>
      </c>
      <c r="BJ11" s="11">
        <f t="shared" si="26"/>
        <v>0</v>
      </c>
      <c r="BK11" s="10">
        <f>INDEX('[2]PV.STOCK TIAP GUDANG'!$A:$CV,MATCH($A11,'[2]PV.STOCK TIAP GUDANG'!$A:$A,0),MATCH("V70FE|8+256|STOCK",[2]PVKEY!$1:$1,0))</f>
        <v>0</v>
      </c>
      <c r="BL11" s="11">
        <f>INDEX('[2]PV.STOCK TIAP GUDANG'!$A:$CV,MATCH($A11,'[2]PV.STOCK TIAP GUDANG'!$A:$A,0),MATCH("V70FE|8+256|SALES",[2]PVKEY!$1:$1,0))</f>
        <v>0</v>
      </c>
      <c r="BM11" s="12" t="str">
        <f t="shared" si="27"/>
        <v/>
      </c>
      <c r="BN11" s="11">
        <f t="shared" si="28"/>
        <v>0</v>
      </c>
      <c r="BO11" s="10">
        <f>INDEX('[2]PV.STOCK TIAP GUDANG'!$A:$CV,MATCH($A11,'[2]PV.STOCK TIAP GUDANG'!$A:$A,0),MATCH("V70FE|12+256|STOCK",[2]PVKEY!$1:$1,0))</f>
        <v>0</v>
      </c>
      <c r="BP11" s="11">
        <f>INDEX('[2]PV.STOCK TIAP GUDANG'!$A:$CV,MATCH($A11,'[2]PV.STOCK TIAP GUDANG'!$A:$A,0),MATCH("V70FE|12+256|SALES",[2]PVKEY!$1:$1,0))</f>
        <v>1</v>
      </c>
      <c r="BQ11" s="12">
        <f t="shared" si="29"/>
        <v>0</v>
      </c>
      <c r="BR11" s="11">
        <f t="shared" si="30"/>
        <v>0.29629629629629628</v>
      </c>
      <c r="BS11" s="10">
        <f>INDEX('[2]PV.STOCK TIAP GUDANG'!$A:$CV,MATCH($A11,'[2]PV.STOCK TIAP GUDANG'!$A:$A,0),MATCH("V60LITE5G|8+256|STOCK",[2]PVKEY!$1:$1,0))</f>
        <v>0</v>
      </c>
      <c r="BT11" s="11">
        <f>INDEX('[2]PV.STOCK TIAP GUDANG'!$A:$CV,MATCH($A11,'[2]PV.STOCK TIAP GUDANG'!$A:$A,0),MATCH("V60LITE5G|8+256|SALES",[2]PVKEY!$1:$1,0))</f>
        <v>0</v>
      </c>
      <c r="BU11" s="12" t="str">
        <f t="shared" si="31"/>
        <v/>
      </c>
      <c r="BV11" s="11">
        <f t="shared" si="32"/>
        <v>0</v>
      </c>
      <c r="BW11" s="10">
        <f>INDEX('[2]PV.STOCK TIAP GUDANG'!$A:$CV,MATCH($A11,'[2]PV.STOCK TIAP GUDANG'!$A:$A,0),MATCH("V60LITE|8+256|STOCK",[2]PVKEY!$1:$1,0))</f>
        <v>3</v>
      </c>
      <c r="BX11" s="11">
        <f>INDEX('[2]PV.STOCK TIAP GUDANG'!$A:$CV,MATCH($A11,'[2]PV.STOCK TIAP GUDANG'!$A:$A,0),MATCH("V60LITE|8+256|SALES",[2]PVKEY!$1:$1,0))</f>
        <v>12</v>
      </c>
      <c r="BY11" s="12">
        <f t="shared" si="33"/>
        <v>6.8</v>
      </c>
      <c r="BZ11" s="11">
        <f t="shared" si="34"/>
        <v>3.5555555555555554</v>
      </c>
      <c r="CA11" s="10">
        <f>INDEX('[2]PV.STOCK TIAP GUDANG'!$A:$CV,MATCH($A11,'[2]PV.STOCK TIAP GUDANG'!$A:$A,0),MATCH("Y05|4+128|STOCK",[2]PVKEY!$1:$1,0))</f>
        <v>0</v>
      </c>
      <c r="CB11" s="11">
        <f>INDEX('[2]PV.STOCK TIAP GUDANG'!$A:$CV,MATCH($A11,'[2]PV.STOCK TIAP GUDANG'!$A:$A,0),MATCH("Y05|4+128|SALES",[2]PVKEY!$1:$1,0))</f>
        <v>24</v>
      </c>
      <c r="CC11" s="12">
        <f t="shared" si="35"/>
        <v>0</v>
      </c>
      <c r="CD11" s="11">
        <f t="shared" si="44"/>
        <v>6.2222222222222214</v>
      </c>
      <c r="CE11" s="10">
        <f>INDEX('[2]PV.STOCK TIAP GUDANG'!$A:$CV,MATCH($A11,'[2]PV.STOCK TIAP GUDANG'!$A:$A,0),MATCH("Y05|4+64|STOCK",[2]PVKEY!$1:$1,0))</f>
        <v>3</v>
      </c>
      <c r="CF11" s="11">
        <f>INDEX('[2]PV.STOCK TIAP GUDANG'!$A:$CV,MATCH($A11,'[2]PV.STOCK TIAP GUDANG'!$A:$A,0),MATCH("Y05|4+64|SALES",[2]PVKEY!$1:$1,0))</f>
        <v>16</v>
      </c>
      <c r="CG11" s="12">
        <f t="shared" si="36"/>
        <v>5.0999999999999996</v>
      </c>
      <c r="CH11" s="11">
        <f t="shared" si="37"/>
        <v>4.1481481481481479</v>
      </c>
      <c r="CI11" s="10">
        <f>INDEX('[2]PV.STOCK TIAP GUDANG'!$A:$CV,MATCH($A11,'[2]PV.STOCK TIAP GUDANG'!$A:$A,0),MATCH("Y500|6+128|STOCK",[2]PVKEY!$1:$1,0))</f>
        <v>2</v>
      </c>
      <c r="CJ11" s="11">
        <f>INDEX('[2]PV.STOCK TIAP GUDANG'!$A:$CV,MATCH($A11,'[2]PV.STOCK TIAP GUDANG'!$A:$A,0),MATCH("Y500|6+128|SALES",[2]PVKEY!$1:$1,0))</f>
        <v>0</v>
      </c>
      <c r="CK11" s="12" t="str">
        <f t="shared" si="38"/>
        <v/>
      </c>
      <c r="CL11" s="10">
        <f>INDEX('[2]PV.STOCK TIAP GUDANG'!$A:$CV,MATCH($A11,'[2]PV.STOCK TIAP GUDANG'!$A:$A,0),MATCH("Y500|6+256|STOCK",[2]PVKEY!$1:$1,0))</f>
        <v>0</v>
      </c>
      <c r="CM11" s="11">
        <f>INDEX('[2]PV.STOCK TIAP GUDANG'!$A:$CV,MATCH($A11,'[2]PV.STOCK TIAP GUDANG'!$A:$A,0),MATCH("Y500|6+256|SALES",[2]PVKEY!$1:$1,0))</f>
        <v>1</v>
      </c>
      <c r="CN11" s="12">
        <f t="shared" si="39"/>
        <v>0</v>
      </c>
      <c r="CO11" s="10">
        <f>INDEX('[2]PV.STOCK TIAP GUDANG'!$A:$CV,MATCH($A11,'[2]PV.STOCK TIAP GUDANG'!$A:$A,0),MATCH("Y05E|4+64|STOCK",[2]PVKEY!$1:$1,0))</f>
        <v>13</v>
      </c>
      <c r="CP11" s="11">
        <f>INDEX('[2]PV.STOCK TIAP GUDANG'!$A:$CV,MATCH($A11,'[2]PV.STOCK TIAP GUDANG'!$A:$A,0),MATCH("Y05E|4+64|SALES",[2]PVKEY!$1:$1,0))</f>
        <v>11</v>
      </c>
      <c r="CQ11" s="12">
        <f t="shared" si="40"/>
        <v>31.9</v>
      </c>
      <c r="CR11" s="13">
        <f t="shared" si="41"/>
        <v>52</v>
      </c>
      <c r="CS11" s="13">
        <f t="shared" si="42"/>
        <v>120</v>
      </c>
      <c r="CT11" s="13">
        <f t="shared" si="43"/>
        <v>11.7</v>
      </c>
      <c r="CU11" t="s">
        <v>83</v>
      </c>
    </row>
    <row r="12" spans="1:99" ht="16" x14ac:dyDescent="0.2">
      <c r="A12" s="9" t="s">
        <v>31</v>
      </c>
      <c r="B12" s="10">
        <f>INDEX('[2]PV.STOCK TIAP GUDANG'!$A:$CV,MATCH($A12,'[2]PV.STOCK TIAP GUDANG'!$A:$A,0),MATCH("FOLD5|STOCK",[2]PVKEY!$5:$5,0))</f>
        <v>0</v>
      </c>
      <c r="C12" s="11">
        <f>INDEX('[2]PV.STOCK TIAP GUDANG'!$A:$CV,MATCH($A12,'[2]PV.STOCK TIAP GUDANG'!$A:$A,0),MATCH("FOLD5|SALES",[2]PVKEY!$5:$5,0))</f>
        <v>0</v>
      </c>
      <c r="D12" s="12" t="str">
        <f t="shared" si="0"/>
        <v/>
      </c>
      <c r="E12" s="10">
        <f>INDEX('[2]PV.STOCK TIAP GUDANG'!$A:$CV,MATCH($A12,'[2]PV.STOCK TIAP GUDANG'!$A:$A,0),MATCH("X300ULTRA|16+1T|STOCK",[2]PVKEY!$1:$1,0))</f>
        <v>1</v>
      </c>
      <c r="F12" s="11">
        <f>INDEX('[2]PV.STOCK TIAP GUDANG'!$A:$CV,MATCH($A12,'[2]PV.STOCK TIAP GUDANG'!$A:$A,0),MATCH("X300ULTRA|16+1T|SALES",[2]PVKEY!$1:$1,0))</f>
        <v>0</v>
      </c>
      <c r="G12" s="12" t="str">
        <f t="shared" si="1"/>
        <v/>
      </c>
      <c r="H12" s="10">
        <f>INDEX('[2]PV.STOCK TIAP GUDANG'!$A:$CV,MATCH($A12,'[2]PV.STOCK TIAP GUDANG'!$A:$A,0),MATCH("X300ULTRA|16+512|STOCK",[2]PVKEY!$1:$1,0))</f>
        <v>3</v>
      </c>
      <c r="I12" s="11">
        <f>INDEX('[2]PV.STOCK TIAP GUDANG'!$A:$CV,MATCH($A12,'[2]PV.STOCK TIAP GUDANG'!$A:$A,0),MATCH("X300ULTRA|16+512|SALES",[2]PVKEY!$1:$1,0))</f>
        <v>2</v>
      </c>
      <c r="J12" s="12">
        <f t="shared" si="2"/>
        <v>40.5</v>
      </c>
      <c r="K12" s="11">
        <f t="shared" si="3"/>
        <v>0.7407407407407407</v>
      </c>
      <c r="L12" s="10">
        <f>INDEX('[2]PV.STOCK TIAP GUDANG'!$A:$CV,MATCH($A12,'[2]PV.STOCK TIAP GUDANG'!$A:$A,0),MATCH("X300PRO|16+512|STOCK",[2]PVKEY!$1:$1,0))</f>
        <v>0</v>
      </c>
      <c r="M12" s="11">
        <f>INDEX('[2]PV.STOCK TIAP GUDANG'!$A:$CV,MATCH($A12,'[2]PV.STOCK TIAP GUDANG'!$A:$A,0),MATCH("X300PRO|16+512|SALES",[2]PVKEY!$1:$1,0))</f>
        <v>0</v>
      </c>
      <c r="N12" s="12" t="str">
        <f t="shared" si="4"/>
        <v/>
      </c>
      <c r="O12" s="11">
        <f t="shared" si="5"/>
        <v>0</v>
      </c>
      <c r="P12" s="10">
        <f>INDEX('[2]PV.STOCK TIAP GUDANG'!$A:$CV,MATCH($A12,'[2]PV.STOCK TIAP GUDANG'!$A:$A,0),MATCH("X300|12+256|STOCK",[2]PVKEY!$1:$1,0))</f>
        <v>0</v>
      </c>
      <c r="Q12" s="11">
        <f>INDEX('[2]PV.STOCK TIAP GUDANG'!$A:$CV,MATCH($A12,'[2]PV.STOCK TIAP GUDANG'!$A:$A,0),MATCH("X300|12+256|SALES",[2]PVKEY!$1:$1,0))</f>
        <v>0</v>
      </c>
      <c r="R12" s="12" t="str">
        <f t="shared" si="6"/>
        <v/>
      </c>
      <c r="S12" s="10">
        <f>INDEX('[2]PV.STOCK TIAP GUDANG'!$A:$CV,MATCH($A12,'[2]PV.STOCK TIAP GUDANG'!$A:$A,0),MATCH("X300|16+512|STOCK",[2]PVKEY!$1:$1,0))</f>
        <v>0</v>
      </c>
      <c r="T12" s="11">
        <f>INDEX('[2]PV.STOCK TIAP GUDANG'!$A:$CV,MATCH($A12,'[2]PV.STOCK TIAP GUDANG'!$A:$A,0),MATCH("X300|16+512|SALES",[2]PVKEY!$1:$1,0))</f>
        <v>0</v>
      </c>
      <c r="U12" s="12" t="str">
        <f t="shared" si="7"/>
        <v/>
      </c>
      <c r="V12" s="10">
        <f>INDEX('[2]PV.STOCK TIAP GUDANG'!$A:$CV,MATCH($A12,'[2]PV.STOCK TIAP GUDANG'!$A:$A,0),MATCH("Y11D|4+128|STOCK",[2]PVKEY!$1:$1,0))</f>
        <v>4</v>
      </c>
      <c r="W12" s="11">
        <f>INDEX('[2]PV.STOCK TIAP GUDANG'!$A:$CV,MATCH($A12,'[2]PV.STOCK TIAP GUDANG'!$A:$A,0),MATCH("Y11D|4+128|SALES",[2]PVKEY!$1:$1,0))</f>
        <v>9</v>
      </c>
      <c r="X12" s="12">
        <f t="shared" si="8"/>
        <v>12</v>
      </c>
      <c r="Y12" s="11">
        <f t="shared" si="9"/>
        <v>1.6666666666666665</v>
      </c>
      <c r="Z12" s="10">
        <f>INDEX('[2]PV.STOCK TIAP GUDANG'!$A:$CV,MATCH($A12,'[2]PV.STOCK TIAP GUDANG'!$A:$A,0),MATCH("Y11D|4+64|STOCK",[2]PVKEY!$1:$1,0))</f>
        <v>4</v>
      </c>
      <c r="AA12" s="11">
        <f>INDEX('[2]PV.STOCK TIAP GUDANG'!$A:$CV,MATCH($A12,'[2]PV.STOCK TIAP GUDANG'!$A:$A,0),MATCH("Y11D|4+64|SALES",[2]PVKEY!$1:$1,0))</f>
        <v>5</v>
      </c>
      <c r="AB12" s="12">
        <f t="shared" si="10"/>
        <v>21.6</v>
      </c>
      <c r="AC12" s="11">
        <f t="shared" si="11"/>
        <v>0.92592592592592582</v>
      </c>
      <c r="AD12" s="10">
        <f>INDEX('[2]PV.STOCK TIAP GUDANG'!$A:$CV,MATCH($A12,'[2]PV.STOCK TIAP GUDANG'!$A:$A,0),MATCH("Y11D|6+128|STOCK",[2]PVKEY!$1:$1,0))</f>
        <v>3</v>
      </c>
      <c r="AE12" s="11">
        <f>INDEX('[2]PV.STOCK TIAP GUDANG'!$A:$CV,MATCH($A12,'[2]PV.STOCK TIAP GUDANG'!$A:$A,0),MATCH("Y11D|6+128|SALES",[2]PVKEY!$1:$1,0))</f>
        <v>0</v>
      </c>
      <c r="AF12" s="12" t="str">
        <f t="shared" si="12"/>
        <v/>
      </c>
      <c r="AG12" s="11">
        <f t="shared" si="13"/>
        <v>0</v>
      </c>
      <c r="AH12" s="10">
        <f>INDEX('[2]PV.STOCK TIAP GUDANG'!$A:$CV,MATCH($A12,'[2]PV.STOCK TIAP GUDANG'!$A:$A,0),MATCH("Y31D|4+128|STOCK",[2]PVKEY!$1:$1,0))</f>
        <v>3</v>
      </c>
      <c r="AI12" s="11">
        <f>INDEX('[2]PV.STOCK TIAP GUDANG'!$A:$CV,MATCH($A12,'[2]PV.STOCK TIAP GUDANG'!$A:$A,0),MATCH("Y31D|4+128|SALES",[2]PVKEY!$1:$1,0))</f>
        <v>1</v>
      </c>
      <c r="AJ12" s="12">
        <f t="shared" si="14"/>
        <v>81</v>
      </c>
      <c r="AK12" s="10">
        <f>INDEX('[2]PV.STOCK TIAP GUDANG'!$A:$CV,MATCH($A12,'[2]PV.STOCK TIAP GUDANG'!$A:$A,0),MATCH("Y31DPRO|4+128|STOCK",[2]PVKEY!$1:$1,0))</f>
        <v>3</v>
      </c>
      <c r="AL12" s="11">
        <f>INDEX('[2]PV.STOCK TIAP GUDANG'!$A:$CV,MATCH($A12,'[2]PV.STOCK TIAP GUDANG'!$A:$A,0),MATCH("Y31DPRO|4+128|SALES",[2]PVKEY!$1:$1,0))</f>
        <v>2</v>
      </c>
      <c r="AM12" s="12">
        <f t="shared" si="15"/>
        <v>40.5</v>
      </c>
      <c r="AN12" s="10">
        <f>INDEX('[2]PV.STOCK TIAP GUDANG'!$A:$CV,MATCH($A12,'[2]PV.STOCK TIAP GUDANG'!$A:$A,0),MATCH("Y31DPRO|6+128|STOCK",[2]PVKEY!$1:$1,0))</f>
        <v>3</v>
      </c>
      <c r="AO12" s="11">
        <f>INDEX('[2]PV.STOCK TIAP GUDANG'!$A:$CV,MATCH($A12,'[2]PV.STOCK TIAP GUDANG'!$A:$A,0),MATCH("Y31DPRO|6+128|SALES",[2]PVKEY!$1:$1,0))</f>
        <v>5</v>
      </c>
      <c r="AP12" s="12">
        <f t="shared" si="16"/>
        <v>16.2</v>
      </c>
      <c r="AQ12" s="11">
        <f t="shared" si="17"/>
        <v>0.92592592592592582</v>
      </c>
      <c r="AR12" s="10">
        <f>INDEX('[2]PV.STOCK TIAP GUDANG'!$A:$CV,MATCH($A12,'[2]PV.STOCK TIAP GUDANG'!$A:$A,0),MATCH("Y31DPRO|8+128|STOCK",[2]PVKEY!$1:$1,0))</f>
        <v>3</v>
      </c>
      <c r="AS12" s="11">
        <f>INDEX('[2]PV.STOCK TIAP GUDANG'!$A:$CV,MATCH($A12,'[2]PV.STOCK TIAP GUDANG'!$A:$A,0),MATCH("Y31DPRO|8+128|SALES",[2]PVKEY!$1:$1,0))</f>
        <v>2</v>
      </c>
      <c r="AT12" s="12">
        <f t="shared" si="18"/>
        <v>40.5</v>
      </c>
      <c r="AU12" s="11">
        <f t="shared" si="19"/>
        <v>0.37037037037037035</v>
      </c>
      <c r="AV12" s="10">
        <f>INDEX('[2]PV.STOCK TIAP GUDANG'!$A:$CV,MATCH($A12,'[2]PV.STOCK TIAP GUDANG'!$A:$A,0),MATCH("Y31DPRO|8+256|STOCK",[2]PVKEY!$1:$1,0))</f>
        <v>2</v>
      </c>
      <c r="AW12" s="11">
        <f>INDEX('[2]PV.STOCK TIAP GUDANG'!$A:$CV,MATCH($A12,'[2]PV.STOCK TIAP GUDANG'!$A:$A,0),MATCH("Y31DPRO|8+256|SALES",[2]PVKEY!$1:$1,0))</f>
        <v>3</v>
      </c>
      <c r="AX12" s="12">
        <f t="shared" si="20"/>
        <v>18</v>
      </c>
      <c r="AY12" s="11">
        <f t="shared" si="21"/>
        <v>0.55555555555555558</v>
      </c>
      <c r="AZ12" s="10">
        <f>INDEX('[2]PV.STOCK TIAP GUDANG'!$A:$CV,MATCH($A12,'[2]PV.STOCK TIAP GUDANG'!$A:$A,0),MATCH("V70|12+256|STOCK",[2]PVKEY!$1:$1,0))</f>
        <v>0</v>
      </c>
      <c r="BA12" s="11">
        <f>INDEX('[2]PV.STOCK TIAP GUDANG'!$A:$CV,MATCH($A12,'[2]PV.STOCK TIAP GUDANG'!$A:$A,0),MATCH("V70|12+256|SALES",[2]PVKEY!$1:$1,0))</f>
        <v>0</v>
      </c>
      <c r="BB12" s="12" t="str">
        <f t="shared" si="22"/>
        <v/>
      </c>
      <c r="BC12" s="10">
        <f>INDEX('[2]PV.STOCK TIAP GUDANG'!$A:$CV,MATCH($A12,'[2]PV.STOCK TIAP GUDANG'!$A:$A,0),MATCH("V70|8+256|STOCK",[2]PVKEY!$1:$1,0))</f>
        <v>9</v>
      </c>
      <c r="BD12" s="11">
        <f>INDEX('[2]PV.STOCK TIAP GUDANG'!$A:$CV,MATCH($A12,'[2]PV.STOCK TIAP GUDANG'!$A:$A,0),MATCH("V70|8+256|SALES",[2]PVKEY!$1:$1,0))</f>
        <v>6</v>
      </c>
      <c r="BE12" s="12">
        <f t="shared" si="23"/>
        <v>40.5</v>
      </c>
      <c r="BF12" s="11">
        <f t="shared" si="24"/>
        <v>1.7777777777777777</v>
      </c>
      <c r="BG12" s="10">
        <f>INDEX('[2]PV.STOCK TIAP GUDANG'!$A:$CV,MATCH($A12,'[2]PV.STOCK TIAP GUDANG'!$A:$A,0),MATCH("V70|12+512|STOCK",[2]PVKEY!$1:$1,0))</f>
        <v>0</v>
      </c>
      <c r="BH12" s="11">
        <f>INDEX('[2]PV.STOCK TIAP GUDANG'!$A:$CV,MATCH($A12,'[2]PV.STOCK TIAP GUDANG'!$A:$A,0),MATCH("V70|12+512|SALES",[2]PVKEY!$1:$1,0))</f>
        <v>0</v>
      </c>
      <c r="BI12" s="12" t="str">
        <f t="shared" si="25"/>
        <v/>
      </c>
      <c r="BJ12" s="11">
        <f t="shared" si="26"/>
        <v>0</v>
      </c>
      <c r="BK12" s="10">
        <f>INDEX('[2]PV.STOCK TIAP GUDANG'!$A:$CV,MATCH($A12,'[2]PV.STOCK TIAP GUDANG'!$A:$A,0),MATCH("V70FE|8+256|STOCK",[2]PVKEY!$1:$1,0))</f>
        <v>4</v>
      </c>
      <c r="BL12" s="11">
        <f>INDEX('[2]PV.STOCK TIAP GUDANG'!$A:$CV,MATCH($A12,'[2]PV.STOCK TIAP GUDANG'!$A:$A,0),MATCH("V70FE|8+256|SALES",[2]PVKEY!$1:$1,0))</f>
        <v>1</v>
      </c>
      <c r="BM12" s="12">
        <f t="shared" si="27"/>
        <v>108</v>
      </c>
      <c r="BN12" s="11">
        <f t="shared" si="28"/>
        <v>0.29629629629629628</v>
      </c>
      <c r="BO12" s="10">
        <f>INDEX('[2]PV.STOCK TIAP GUDANG'!$A:$CV,MATCH($A12,'[2]PV.STOCK TIAP GUDANG'!$A:$A,0),MATCH("V70FE|12+256|STOCK",[2]PVKEY!$1:$1,0))</f>
        <v>0</v>
      </c>
      <c r="BP12" s="11">
        <f>INDEX('[2]PV.STOCK TIAP GUDANG'!$A:$CV,MATCH($A12,'[2]PV.STOCK TIAP GUDANG'!$A:$A,0),MATCH("V70FE|12+256|SALES",[2]PVKEY!$1:$1,0))</f>
        <v>5</v>
      </c>
      <c r="BQ12" s="12">
        <f t="shared" si="29"/>
        <v>0</v>
      </c>
      <c r="BR12" s="11">
        <f t="shared" si="30"/>
        <v>1.4814814814814814</v>
      </c>
      <c r="BS12" s="10">
        <f>INDEX('[2]PV.STOCK TIAP GUDANG'!$A:$CV,MATCH($A12,'[2]PV.STOCK TIAP GUDANG'!$A:$A,0),MATCH("V60LITE5G|8+256|STOCK",[2]PVKEY!$1:$1,0))</f>
        <v>0</v>
      </c>
      <c r="BT12" s="11">
        <f>INDEX('[2]PV.STOCK TIAP GUDANG'!$A:$CV,MATCH($A12,'[2]PV.STOCK TIAP GUDANG'!$A:$A,0),MATCH("V60LITE5G|8+256|SALES",[2]PVKEY!$1:$1,0))</f>
        <v>0</v>
      </c>
      <c r="BU12" s="12" t="str">
        <f t="shared" si="31"/>
        <v/>
      </c>
      <c r="BV12" s="11">
        <f t="shared" si="32"/>
        <v>0</v>
      </c>
      <c r="BW12" s="10">
        <f>INDEX('[2]PV.STOCK TIAP GUDANG'!$A:$CV,MATCH($A12,'[2]PV.STOCK TIAP GUDANG'!$A:$A,0),MATCH("V60LITE|8+256|STOCK",[2]PVKEY!$1:$1,0))</f>
        <v>4</v>
      </c>
      <c r="BX12" s="11">
        <f>INDEX('[2]PV.STOCK TIAP GUDANG'!$A:$CV,MATCH($A12,'[2]PV.STOCK TIAP GUDANG'!$A:$A,0),MATCH("V60LITE|8+256|SALES",[2]PVKEY!$1:$1,0))</f>
        <v>6</v>
      </c>
      <c r="BY12" s="12">
        <f t="shared" si="33"/>
        <v>18</v>
      </c>
      <c r="BZ12" s="11">
        <f t="shared" si="34"/>
        <v>1.7777777777777777</v>
      </c>
      <c r="CA12" s="10">
        <f>INDEX('[2]PV.STOCK TIAP GUDANG'!$A:$CV,MATCH($A12,'[2]PV.STOCK TIAP GUDANG'!$A:$A,0),MATCH("Y05|4+128|STOCK",[2]PVKEY!$1:$1,0))</f>
        <v>1</v>
      </c>
      <c r="CB12" s="11">
        <f>INDEX('[2]PV.STOCK TIAP GUDANG'!$A:$CV,MATCH($A12,'[2]PV.STOCK TIAP GUDANG'!$A:$A,0),MATCH("Y05|4+128|SALES",[2]PVKEY!$1:$1,0))</f>
        <v>10</v>
      </c>
      <c r="CC12" s="12">
        <f t="shared" si="35"/>
        <v>2.7</v>
      </c>
      <c r="CD12" s="11">
        <f t="shared" si="44"/>
        <v>2.5925925925925926</v>
      </c>
      <c r="CE12" s="10">
        <f>INDEX('[2]PV.STOCK TIAP GUDANG'!$A:$CV,MATCH($A12,'[2]PV.STOCK TIAP GUDANG'!$A:$A,0),MATCH("Y05|4+64|STOCK",[2]PVKEY!$1:$1,0))</f>
        <v>3</v>
      </c>
      <c r="CF12" s="11">
        <f>INDEX('[2]PV.STOCK TIAP GUDANG'!$A:$CV,MATCH($A12,'[2]PV.STOCK TIAP GUDANG'!$A:$A,0),MATCH("Y05|4+64|SALES",[2]PVKEY!$1:$1,0))</f>
        <v>8</v>
      </c>
      <c r="CG12" s="12">
        <f t="shared" si="36"/>
        <v>10.1</v>
      </c>
      <c r="CH12" s="11">
        <f t="shared" si="37"/>
        <v>2.074074074074074</v>
      </c>
      <c r="CI12" s="10">
        <f>INDEX('[2]PV.STOCK TIAP GUDANG'!$A:$CV,MATCH($A12,'[2]PV.STOCK TIAP GUDANG'!$A:$A,0),MATCH("Y500|6+128|STOCK",[2]PVKEY!$1:$1,0))</f>
        <v>1</v>
      </c>
      <c r="CJ12" s="11">
        <f>INDEX('[2]PV.STOCK TIAP GUDANG'!$A:$CV,MATCH($A12,'[2]PV.STOCK TIAP GUDANG'!$A:$A,0),MATCH("Y500|6+128|SALES",[2]PVKEY!$1:$1,0))</f>
        <v>2</v>
      </c>
      <c r="CK12" s="12">
        <f t="shared" si="38"/>
        <v>13.5</v>
      </c>
      <c r="CL12" s="10">
        <f>INDEX('[2]PV.STOCK TIAP GUDANG'!$A:$CV,MATCH($A12,'[2]PV.STOCK TIAP GUDANG'!$A:$A,0),MATCH("Y500|6+256|STOCK",[2]PVKEY!$1:$1,0))</f>
        <v>2</v>
      </c>
      <c r="CM12" s="11">
        <f>INDEX('[2]PV.STOCK TIAP GUDANG'!$A:$CV,MATCH($A12,'[2]PV.STOCK TIAP GUDANG'!$A:$A,0),MATCH("Y500|6+256|SALES",[2]PVKEY!$1:$1,0))</f>
        <v>3</v>
      </c>
      <c r="CN12" s="12">
        <f t="shared" si="39"/>
        <v>18</v>
      </c>
      <c r="CO12" s="10">
        <f>INDEX('[2]PV.STOCK TIAP GUDANG'!$A:$CV,MATCH($A12,'[2]PV.STOCK TIAP GUDANG'!$A:$A,0),MATCH("Y05E|4+64|STOCK",[2]PVKEY!$1:$1,0))</f>
        <v>5</v>
      </c>
      <c r="CP12" s="11">
        <f>INDEX('[2]PV.STOCK TIAP GUDANG'!$A:$CV,MATCH($A12,'[2]PV.STOCK TIAP GUDANG'!$A:$A,0),MATCH("Y05E|4+64|SALES",[2]PVKEY!$1:$1,0))</f>
        <v>3</v>
      </c>
      <c r="CQ12" s="12">
        <f t="shared" si="40"/>
        <v>45</v>
      </c>
      <c r="CR12" s="13">
        <f t="shared" si="41"/>
        <v>58</v>
      </c>
      <c r="CS12" s="13">
        <f t="shared" si="42"/>
        <v>73</v>
      </c>
      <c r="CT12" s="13">
        <f t="shared" si="43"/>
        <v>21.452054794520549</v>
      </c>
      <c r="CU12" t="s">
        <v>83</v>
      </c>
    </row>
    <row r="13" spans="1:99" ht="16" x14ac:dyDescent="0.2">
      <c r="A13" s="9" t="s">
        <v>32</v>
      </c>
      <c r="B13" s="10">
        <f>INDEX('[2]PV.STOCK TIAP GUDANG'!$A:$CV,MATCH($A13,'[2]PV.STOCK TIAP GUDANG'!$A:$A,0),MATCH("FOLD5|STOCK",[2]PVKEY!$5:$5,0))</f>
        <v>0</v>
      </c>
      <c r="C13" s="11">
        <f>INDEX('[2]PV.STOCK TIAP GUDANG'!$A:$CV,MATCH($A13,'[2]PV.STOCK TIAP GUDANG'!$A:$A,0),MATCH("FOLD5|SALES",[2]PVKEY!$5:$5,0))</f>
        <v>0</v>
      </c>
      <c r="D13" s="12" t="str">
        <f t="shared" si="0"/>
        <v/>
      </c>
      <c r="E13" s="10">
        <f>INDEX('[2]PV.STOCK TIAP GUDANG'!$A:$CV,MATCH($A13,'[2]PV.STOCK TIAP GUDANG'!$A:$A,0),MATCH("X300ULTRA|16+1T|STOCK",[2]PVKEY!$1:$1,0))</f>
        <v>0</v>
      </c>
      <c r="F13" s="11">
        <f>INDEX('[2]PV.STOCK TIAP GUDANG'!$A:$CV,MATCH($A13,'[2]PV.STOCK TIAP GUDANG'!$A:$A,0),MATCH("X300ULTRA|16+1T|SALES",[2]PVKEY!$1:$1,0))</f>
        <v>0</v>
      </c>
      <c r="G13" s="12" t="str">
        <f t="shared" si="1"/>
        <v/>
      </c>
      <c r="H13" s="10">
        <f>INDEX('[2]PV.STOCK TIAP GUDANG'!$A:$CV,MATCH($A13,'[2]PV.STOCK TIAP GUDANG'!$A:$A,0),MATCH("X300ULTRA|16+512|STOCK",[2]PVKEY!$1:$1,0))</f>
        <v>1</v>
      </c>
      <c r="I13" s="11">
        <f>INDEX('[2]PV.STOCK TIAP GUDANG'!$A:$CV,MATCH($A13,'[2]PV.STOCK TIAP GUDANG'!$A:$A,0),MATCH("X300ULTRA|16+512|SALES",[2]PVKEY!$1:$1,0))</f>
        <v>0</v>
      </c>
      <c r="J13" s="12" t="str">
        <f t="shared" si="2"/>
        <v/>
      </c>
      <c r="K13" s="11">
        <f t="shared" si="3"/>
        <v>0</v>
      </c>
      <c r="L13" s="10">
        <f>INDEX('[2]PV.STOCK TIAP GUDANG'!$A:$CV,MATCH($A13,'[2]PV.STOCK TIAP GUDANG'!$A:$A,0),MATCH("X300PRO|16+512|STOCK",[2]PVKEY!$1:$1,0))</f>
        <v>0</v>
      </c>
      <c r="M13" s="11">
        <f>INDEX('[2]PV.STOCK TIAP GUDANG'!$A:$CV,MATCH($A13,'[2]PV.STOCK TIAP GUDANG'!$A:$A,0),MATCH("X300PRO|16+512|SALES",[2]PVKEY!$1:$1,0))</f>
        <v>0</v>
      </c>
      <c r="N13" s="12" t="str">
        <f t="shared" si="4"/>
        <v/>
      </c>
      <c r="O13" s="11">
        <f t="shared" si="5"/>
        <v>0</v>
      </c>
      <c r="P13" s="10">
        <f>INDEX('[2]PV.STOCK TIAP GUDANG'!$A:$CV,MATCH($A13,'[2]PV.STOCK TIAP GUDANG'!$A:$A,0),MATCH("X300|12+256|STOCK",[2]PVKEY!$1:$1,0))</f>
        <v>0</v>
      </c>
      <c r="Q13" s="11">
        <f>INDEX('[2]PV.STOCK TIAP GUDANG'!$A:$CV,MATCH($A13,'[2]PV.STOCK TIAP GUDANG'!$A:$A,0),MATCH("X300|12+256|SALES",[2]PVKEY!$1:$1,0))</f>
        <v>0</v>
      </c>
      <c r="R13" s="12" t="str">
        <f t="shared" si="6"/>
        <v/>
      </c>
      <c r="S13" s="10">
        <f>INDEX('[2]PV.STOCK TIAP GUDANG'!$A:$CV,MATCH($A13,'[2]PV.STOCK TIAP GUDANG'!$A:$A,0),MATCH("X300|16+512|STOCK",[2]PVKEY!$1:$1,0))</f>
        <v>0</v>
      </c>
      <c r="T13" s="11">
        <f>INDEX('[2]PV.STOCK TIAP GUDANG'!$A:$CV,MATCH($A13,'[2]PV.STOCK TIAP GUDANG'!$A:$A,0),MATCH("X300|16+512|SALES",[2]PVKEY!$1:$1,0))</f>
        <v>0</v>
      </c>
      <c r="U13" s="12" t="str">
        <f t="shared" si="7"/>
        <v/>
      </c>
      <c r="V13" s="10">
        <f>INDEX('[2]PV.STOCK TIAP GUDANG'!$A:$CV,MATCH($A13,'[2]PV.STOCK TIAP GUDANG'!$A:$A,0),MATCH("Y11D|4+128|STOCK",[2]PVKEY!$1:$1,0))</f>
        <v>1</v>
      </c>
      <c r="W13" s="11">
        <f>INDEX('[2]PV.STOCK TIAP GUDANG'!$A:$CV,MATCH($A13,'[2]PV.STOCK TIAP GUDANG'!$A:$A,0),MATCH("Y11D|4+128|SALES",[2]PVKEY!$1:$1,0))</f>
        <v>6</v>
      </c>
      <c r="X13" s="12">
        <f t="shared" si="8"/>
        <v>4.5</v>
      </c>
      <c r="Y13" s="11">
        <f t="shared" si="9"/>
        <v>1.1111111111111112</v>
      </c>
      <c r="Z13" s="10">
        <f>INDEX('[2]PV.STOCK TIAP GUDANG'!$A:$CV,MATCH($A13,'[2]PV.STOCK TIAP GUDANG'!$A:$A,0),MATCH("Y11D|4+64|STOCK",[2]PVKEY!$1:$1,0))</f>
        <v>1</v>
      </c>
      <c r="AA13" s="11">
        <f>INDEX('[2]PV.STOCK TIAP GUDANG'!$A:$CV,MATCH($A13,'[2]PV.STOCK TIAP GUDANG'!$A:$A,0),MATCH("Y11D|4+64|SALES",[2]PVKEY!$1:$1,0))</f>
        <v>3</v>
      </c>
      <c r="AB13" s="12">
        <f t="shared" si="10"/>
        <v>9</v>
      </c>
      <c r="AC13" s="11">
        <f t="shared" si="11"/>
        <v>0.55555555555555558</v>
      </c>
      <c r="AD13" s="10">
        <f>INDEX('[2]PV.STOCK TIAP GUDANG'!$A:$CV,MATCH($A13,'[2]PV.STOCK TIAP GUDANG'!$A:$A,0),MATCH("Y11D|6+128|STOCK",[2]PVKEY!$1:$1,0))</f>
        <v>0</v>
      </c>
      <c r="AE13" s="11">
        <f>INDEX('[2]PV.STOCK TIAP GUDANG'!$A:$CV,MATCH($A13,'[2]PV.STOCK TIAP GUDANG'!$A:$A,0),MATCH("Y11D|6+128|SALES",[2]PVKEY!$1:$1,0))</f>
        <v>1</v>
      </c>
      <c r="AF13" s="12">
        <f t="shared" si="12"/>
        <v>0</v>
      </c>
      <c r="AG13" s="11">
        <f t="shared" si="13"/>
        <v>0.18518518518518517</v>
      </c>
      <c r="AH13" s="10">
        <f>INDEX('[2]PV.STOCK TIAP GUDANG'!$A:$CV,MATCH($A13,'[2]PV.STOCK TIAP GUDANG'!$A:$A,0),MATCH("Y31D|4+128|STOCK",[2]PVKEY!$1:$1,0))</f>
        <v>0</v>
      </c>
      <c r="AI13" s="11">
        <f>INDEX('[2]PV.STOCK TIAP GUDANG'!$A:$CV,MATCH($A13,'[2]PV.STOCK TIAP GUDANG'!$A:$A,0),MATCH("Y31D|4+128|SALES",[2]PVKEY!$1:$1,0))</f>
        <v>4</v>
      </c>
      <c r="AJ13" s="12">
        <f t="shared" si="14"/>
        <v>0</v>
      </c>
      <c r="AK13" s="10">
        <f>INDEX('[2]PV.STOCK TIAP GUDANG'!$A:$CV,MATCH($A13,'[2]PV.STOCK TIAP GUDANG'!$A:$A,0),MATCH("Y31DPRO|4+128|STOCK",[2]PVKEY!$1:$1,0))</f>
        <v>3</v>
      </c>
      <c r="AL13" s="11">
        <f>INDEX('[2]PV.STOCK TIAP GUDANG'!$A:$CV,MATCH($A13,'[2]PV.STOCK TIAP GUDANG'!$A:$A,0),MATCH("Y31DPRO|4+128|SALES",[2]PVKEY!$1:$1,0))</f>
        <v>2</v>
      </c>
      <c r="AM13" s="12">
        <f t="shared" si="15"/>
        <v>40.5</v>
      </c>
      <c r="AN13" s="10">
        <f>INDEX('[2]PV.STOCK TIAP GUDANG'!$A:$CV,MATCH($A13,'[2]PV.STOCK TIAP GUDANG'!$A:$A,0),MATCH("Y31DPRO|6+128|STOCK",[2]PVKEY!$1:$1,0))</f>
        <v>4</v>
      </c>
      <c r="AO13" s="11">
        <f>INDEX('[2]PV.STOCK TIAP GUDANG'!$A:$CV,MATCH($A13,'[2]PV.STOCK TIAP GUDANG'!$A:$A,0),MATCH("Y31DPRO|6+128|SALES",[2]PVKEY!$1:$1,0))</f>
        <v>5</v>
      </c>
      <c r="AP13" s="12">
        <f t="shared" si="16"/>
        <v>21.6</v>
      </c>
      <c r="AQ13" s="11">
        <f t="shared" si="17"/>
        <v>0.92592592592592582</v>
      </c>
      <c r="AR13" s="10">
        <f>INDEX('[2]PV.STOCK TIAP GUDANG'!$A:$CV,MATCH($A13,'[2]PV.STOCK TIAP GUDANG'!$A:$A,0),MATCH("Y31DPRO|8+128|STOCK",[2]PVKEY!$1:$1,0))</f>
        <v>2</v>
      </c>
      <c r="AS13" s="11">
        <f>INDEX('[2]PV.STOCK TIAP GUDANG'!$A:$CV,MATCH($A13,'[2]PV.STOCK TIAP GUDANG'!$A:$A,0),MATCH("Y31DPRO|8+128|SALES",[2]PVKEY!$1:$1,0))</f>
        <v>1</v>
      </c>
      <c r="AT13" s="12">
        <f t="shared" si="18"/>
        <v>54</v>
      </c>
      <c r="AU13" s="11">
        <f t="shared" si="19"/>
        <v>0.18518518518518517</v>
      </c>
      <c r="AV13" s="10">
        <f>INDEX('[2]PV.STOCK TIAP GUDANG'!$A:$CV,MATCH($A13,'[2]PV.STOCK TIAP GUDANG'!$A:$A,0),MATCH("Y31DPRO|8+256|STOCK",[2]PVKEY!$1:$1,0))</f>
        <v>1</v>
      </c>
      <c r="AW13" s="11">
        <f>INDEX('[2]PV.STOCK TIAP GUDANG'!$A:$CV,MATCH($A13,'[2]PV.STOCK TIAP GUDANG'!$A:$A,0),MATCH("Y31DPRO|8+256|SALES",[2]PVKEY!$1:$1,0))</f>
        <v>3</v>
      </c>
      <c r="AX13" s="12">
        <f t="shared" si="20"/>
        <v>9</v>
      </c>
      <c r="AY13" s="11">
        <f t="shared" si="21"/>
        <v>0.55555555555555558</v>
      </c>
      <c r="AZ13" s="10">
        <f>INDEX('[2]PV.STOCK TIAP GUDANG'!$A:$CV,MATCH($A13,'[2]PV.STOCK TIAP GUDANG'!$A:$A,0),MATCH("V70|12+256|STOCK",[2]PVKEY!$1:$1,0))</f>
        <v>0</v>
      </c>
      <c r="BA13" s="11">
        <f>INDEX('[2]PV.STOCK TIAP GUDANG'!$A:$CV,MATCH($A13,'[2]PV.STOCK TIAP GUDANG'!$A:$A,0),MATCH("V70|12+256|SALES",[2]PVKEY!$1:$1,0))</f>
        <v>0</v>
      </c>
      <c r="BB13" s="12" t="str">
        <f t="shared" si="22"/>
        <v/>
      </c>
      <c r="BC13" s="10">
        <f>INDEX('[2]PV.STOCK TIAP GUDANG'!$A:$CV,MATCH($A13,'[2]PV.STOCK TIAP GUDANG'!$A:$A,0),MATCH("V70|8+256|STOCK",[2]PVKEY!$1:$1,0))</f>
        <v>5</v>
      </c>
      <c r="BD13" s="11">
        <f>INDEX('[2]PV.STOCK TIAP GUDANG'!$A:$CV,MATCH($A13,'[2]PV.STOCK TIAP GUDANG'!$A:$A,0),MATCH("V70|8+256|SALES",[2]PVKEY!$1:$1,0))</f>
        <v>5</v>
      </c>
      <c r="BE13" s="12">
        <f t="shared" si="23"/>
        <v>27</v>
      </c>
      <c r="BF13" s="11">
        <f t="shared" si="24"/>
        <v>1.4814814814814814</v>
      </c>
      <c r="BG13" s="10">
        <f>INDEX('[2]PV.STOCK TIAP GUDANG'!$A:$CV,MATCH($A13,'[2]PV.STOCK TIAP GUDANG'!$A:$A,0),MATCH("V70|12+512|STOCK",[2]PVKEY!$1:$1,0))</f>
        <v>0</v>
      </c>
      <c r="BH13" s="11">
        <f>INDEX('[2]PV.STOCK TIAP GUDANG'!$A:$CV,MATCH($A13,'[2]PV.STOCK TIAP GUDANG'!$A:$A,0),MATCH("V70|12+512|SALES",[2]PVKEY!$1:$1,0))</f>
        <v>0</v>
      </c>
      <c r="BI13" s="12" t="str">
        <f t="shared" si="25"/>
        <v/>
      </c>
      <c r="BJ13" s="11">
        <f t="shared" si="26"/>
        <v>0</v>
      </c>
      <c r="BK13" s="10">
        <f>INDEX('[2]PV.STOCK TIAP GUDANG'!$A:$CV,MATCH($A13,'[2]PV.STOCK TIAP GUDANG'!$A:$A,0),MATCH("V70FE|8+256|STOCK",[2]PVKEY!$1:$1,0))</f>
        <v>0</v>
      </c>
      <c r="BL13" s="11">
        <f>INDEX('[2]PV.STOCK TIAP GUDANG'!$A:$CV,MATCH($A13,'[2]PV.STOCK TIAP GUDANG'!$A:$A,0),MATCH("V70FE|8+256|SALES",[2]PVKEY!$1:$1,0))</f>
        <v>0</v>
      </c>
      <c r="BM13" s="12" t="str">
        <f t="shared" si="27"/>
        <v/>
      </c>
      <c r="BN13" s="11">
        <f t="shared" si="28"/>
        <v>0</v>
      </c>
      <c r="BO13" s="10">
        <f>INDEX('[2]PV.STOCK TIAP GUDANG'!$A:$CV,MATCH($A13,'[2]PV.STOCK TIAP GUDANG'!$A:$A,0),MATCH("V70FE|12+256|STOCK",[2]PVKEY!$1:$1,0))</f>
        <v>0</v>
      </c>
      <c r="BP13" s="11">
        <f>INDEX('[2]PV.STOCK TIAP GUDANG'!$A:$CV,MATCH($A13,'[2]PV.STOCK TIAP GUDANG'!$A:$A,0),MATCH("V70FE|12+256|SALES",[2]PVKEY!$1:$1,0))</f>
        <v>3</v>
      </c>
      <c r="BQ13" s="12">
        <f t="shared" si="29"/>
        <v>0</v>
      </c>
      <c r="BR13" s="11">
        <f t="shared" si="30"/>
        <v>0.88888888888888884</v>
      </c>
      <c r="BS13" s="10">
        <f>INDEX('[2]PV.STOCK TIAP GUDANG'!$A:$CV,MATCH($A13,'[2]PV.STOCK TIAP GUDANG'!$A:$A,0),MATCH("V60LITE5G|8+256|STOCK",[2]PVKEY!$1:$1,0))</f>
        <v>0</v>
      </c>
      <c r="BT13" s="11">
        <f>INDEX('[2]PV.STOCK TIAP GUDANG'!$A:$CV,MATCH($A13,'[2]PV.STOCK TIAP GUDANG'!$A:$A,0),MATCH("V60LITE5G|8+256|SALES",[2]PVKEY!$1:$1,0))</f>
        <v>0</v>
      </c>
      <c r="BU13" s="12" t="str">
        <f t="shared" si="31"/>
        <v/>
      </c>
      <c r="BV13" s="11">
        <f t="shared" si="32"/>
        <v>0</v>
      </c>
      <c r="BW13" s="10">
        <f>INDEX('[2]PV.STOCK TIAP GUDANG'!$A:$CV,MATCH($A13,'[2]PV.STOCK TIAP GUDANG'!$A:$A,0),MATCH("V60LITE|8+256|STOCK",[2]PVKEY!$1:$1,0))</f>
        <v>1</v>
      </c>
      <c r="BX13" s="11">
        <f>INDEX('[2]PV.STOCK TIAP GUDANG'!$A:$CV,MATCH($A13,'[2]PV.STOCK TIAP GUDANG'!$A:$A,0),MATCH("V60LITE|8+256|SALES",[2]PVKEY!$1:$1,0))</f>
        <v>2</v>
      </c>
      <c r="BY13" s="12">
        <f t="shared" si="33"/>
        <v>13.5</v>
      </c>
      <c r="BZ13" s="11">
        <f t="shared" si="34"/>
        <v>0.59259259259259256</v>
      </c>
      <c r="CA13" s="10">
        <f>INDEX('[2]PV.STOCK TIAP GUDANG'!$A:$CV,MATCH($A13,'[2]PV.STOCK TIAP GUDANG'!$A:$A,0),MATCH("Y05|4+128|STOCK",[2]PVKEY!$1:$1,0))</f>
        <v>2</v>
      </c>
      <c r="CB13" s="11">
        <f>INDEX('[2]PV.STOCK TIAP GUDANG'!$A:$CV,MATCH($A13,'[2]PV.STOCK TIAP GUDANG'!$A:$A,0),MATCH("Y05|4+128|SALES",[2]PVKEY!$1:$1,0))</f>
        <v>4</v>
      </c>
      <c r="CC13" s="12">
        <f t="shared" si="35"/>
        <v>13.5</v>
      </c>
      <c r="CD13" s="11">
        <f t="shared" si="44"/>
        <v>1.037037037037037</v>
      </c>
      <c r="CE13" s="10">
        <f>INDEX('[2]PV.STOCK TIAP GUDANG'!$A:$CV,MATCH($A13,'[2]PV.STOCK TIAP GUDANG'!$A:$A,0),MATCH("Y05|4+64|STOCK",[2]PVKEY!$1:$1,0))</f>
        <v>3</v>
      </c>
      <c r="CF13" s="11">
        <f>INDEX('[2]PV.STOCK TIAP GUDANG'!$A:$CV,MATCH($A13,'[2]PV.STOCK TIAP GUDANG'!$A:$A,0),MATCH("Y05|4+64|SALES",[2]PVKEY!$1:$1,0))</f>
        <v>6</v>
      </c>
      <c r="CG13" s="12">
        <f t="shared" si="36"/>
        <v>13.5</v>
      </c>
      <c r="CH13" s="11">
        <f t="shared" si="37"/>
        <v>1.5555555555555554</v>
      </c>
      <c r="CI13" s="10">
        <f>INDEX('[2]PV.STOCK TIAP GUDANG'!$A:$CV,MATCH($A13,'[2]PV.STOCK TIAP GUDANG'!$A:$A,0),MATCH("Y500|6+128|STOCK",[2]PVKEY!$1:$1,0))</f>
        <v>3</v>
      </c>
      <c r="CJ13" s="11">
        <f>INDEX('[2]PV.STOCK TIAP GUDANG'!$A:$CV,MATCH($A13,'[2]PV.STOCK TIAP GUDANG'!$A:$A,0),MATCH("Y500|6+128|SALES",[2]PVKEY!$1:$1,0))</f>
        <v>0</v>
      </c>
      <c r="CK13" s="12" t="str">
        <f t="shared" si="38"/>
        <v/>
      </c>
      <c r="CL13" s="10">
        <f>INDEX('[2]PV.STOCK TIAP GUDANG'!$A:$CV,MATCH($A13,'[2]PV.STOCK TIAP GUDANG'!$A:$A,0),MATCH("Y500|6+256|STOCK",[2]PVKEY!$1:$1,0))</f>
        <v>3</v>
      </c>
      <c r="CM13" s="11">
        <f>INDEX('[2]PV.STOCK TIAP GUDANG'!$A:$CV,MATCH($A13,'[2]PV.STOCK TIAP GUDANG'!$A:$A,0),MATCH("Y500|6+256|SALES",[2]PVKEY!$1:$1,0))</f>
        <v>0</v>
      </c>
      <c r="CN13" s="12" t="str">
        <f t="shared" si="39"/>
        <v/>
      </c>
      <c r="CO13" s="10">
        <f>INDEX('[2]PV.STOCK TIAP GUDANG'!$A:$CV,MATCH($A13,'[2]PV.STOCK TIAP GUDANG'!$A:$A,0),MATCH("Y05E|4+64|STOCK",[2]PVKEY!$1:$1,0))</f>
        <v>5</v>
      </c>
      <c r="CP13" s="11">
        <f>INDEX('[2]PV.STOCK TIAP GUDANG'!$A:$CV,MATCH($A13,'[2]PV.STOCK TIAP GUDANG'!$A:$A,0),MATCH("Y05E|4+64|SALES",[2]PVKEY!$1:$1,0))</f>
        <v>3</v>
      </c>
      <c r="CQ13" s="12">
        <f t="shared" si="40"/>
        <v>45</v>
      </c>
      <c r="CR13" s="13">
        <f t="shared" si="41"/>
        <v>35</v>
      </c>
      <c r="CS13" s="13">
        <f t="shared" si="42"/>
        <v>48</v>
      </c>
      <c r="CT13" s="13">
        <f t="shared" si="43"/>
        <v>19.6875</v>
      </c>
      <c r="CU13" t="s">
        <v>84</v>
      </c>
    </row>
    <row r="14" spans="1:99" ht="16" x14ac:dyDescent="0.2">
      <c r="A14" s="9" t="s">
        <v>40</v>
      </c>
      <c r="B14" s="10">
        <f>INDEX('[2]PV.STOCK TIAP GUDANG'!$A:$CV,MATCH($A14,'[2]PV.STOCK TIAP GUDANG'!$A:$A,0),MATCH("FOLD5|STOCK",[2]PVKEY!$5:$5,0))</f>
        <v>0</v>
      </c>
      <c r="C14" s="11">
        <f>INDEX('[2]PV.STOCK TIAP GUDANG'!$A:$CV,MATCH($A14,'[2]PV.STOCK TIAP GUDANG'!$A:$A,0),MATCH("FOLD5|SALES",[2]PVKEY!$5:$5,0))</f>
        <v>0</v>
      </c>
      <c r="D14" s="12" t="str">
        <f t="shared" si="0"/>
        <v/>
      </c>
      <c r="E14" s="10">
        <f>INDEX('[2]PV.STOCK TIAP GUDANG'!$A:$CV,MATCH($A14,'[2]PV.STOCK TIAP GUDANG'!$A:$A,0),MATCH("X300ULTRA|16+1T|STOCK",[2]PVKEY!$1:$1,0))</f>
        <v>0</v>
      </c>
      <c r="F14" s="11">
        <f>INDEX('[2]PV.STOCK TIAP GUDANG'!$A:$CV,MATCH($A14,'[2]PV.STOCK TIAP GUDANG'!$A:$A,0),MATCH("X300ULTRA|16+1T|SALES",[2]PVKEY!$1:$1,0))</f>
        <v>0</v>
      </c>
      <c r="G14" s="12" t="str">
        <f t="shared" si="1"/>
        <v/>
      </c>
      <c r="H14" s="10">
        <f>INDEX('[2]PV.STOCK TIAP GUDANG'!$A:$CV,MATCH($A14,'[2]PV.STOCK TIAP GUDANG'!$A:$A,0),MATCH("X300ULTRA|16+512|STOCK",[2]PVKEY!$1:$1,0))</f>
        <v>1</v>
      </c>
      <c r="I14" s="11">
        <f>INDEX('[2]PV.STOCK TIAP GUDANG'!$A:$CV,MATCH($A14,'[2]PV.STOCK TIAP GUDANG'!$A:$A,0),MATCH("X300ULTRA|16+512|SALES",[2]PVKEY!$1:$1,0))</f>
        <v>0</v>
      </c>
      <c r="J14" s="12" t="str">
        <f t="shared" si="2"/>
        <v/>
      </c>
      <c r="K14" s="11">
        <f t="shared" si="3"/>
        <v>0</v>
      </c>
      <c r="L14" s="10">
        <f>INDEX('[2]PV.STOCK TIAP GUDANG'!$A:$CV,MATCH($A14,'[2]PV.STOCK TIAP GUDANG'!$A:$A,0),MATCH("X300PRO|16+512|STOCK",[2]PVKEY!$1:$1,0))</f>
        <v>0</v>
      </c>
      <c r="M14" s="11">
        <f>INDEX('[2]PV.STOCK TIAP GUDANG'!$A:$CV,MATCH($A14,'[2]PV.STOCK TIAP GUDANG'!$A:$A,0),MATCH("X300PRO|16+512|SALES",[2]PVKEY!$1:$1,0))</f>
        <v>0</v>
      </c>
      <c r="N14" s="12" t="str">
        <f t="shared" si="4"/>
        <v/>
      </c>
      <c r="O14" s="11">
        <f t="shared" si="5"/>
        <v>0</v>
      </c>
      <c r="P14" s="10">
        <f>INDEX('[2]PV.STOCK TIAP GUDANG'!$A:$CV,MATCH($A14,'[2]PV.STOCK TIAP GUDANG'!$A:$A,0),MATCH("X300|12+256|STOCK",[2]PVKEY!$1:$1,0))</f>
        <v>0</v>
      </c>
      <c r="Q14" s="11">
        <f>INDEX('[2]PV.STOCK TIAP GUDANG'!$A:$CV,MATCH($A14,'[2]PV.STOCK TIAP GUDANG'!$A:$A,0),MATCH("X300|12+256|SALES",[2]PVKEY!$1:$1,0))</f>
        <v>0</v>
      </c>
      <c r="R14" s="12" t="str">
        <f t="shared" si="6"/>
        <v/>
      </c>
      <c r="S14" s="10">
        <f>INDEX('[2]PV.STOCK TIAP GUDANG'!$A:$CV,MATCH($A14,'[2]PV.STOCK TIAP GUDANG'!$A:$A,0),MATCH("X300|16+512|STOCK",[2]PVKEY!$1:$1,0))</f>
        <v>0</v>
      </c>
      <c r="T14" s="11">
        <f>INDEX('[2]PV.STOCK TIAP GUDANG'!$A:$CV,MATCH($A14,'[2]PV.STOCK TIAP GUDANG'!$A:$A,0),MATCH("X300|16+512|SALES",[2]PVKEY!$1:$1,0))</f>
        <v>0</v>
      </c>
      <c r="U14" s="12" t="str">
        <f t="shared" si="7"/>
        <v/>
      </c>
      <c r="V14" s="10">
        <f>INDEX('[2]PV.STOCK TIAP GUDANG'!$A:$CV,MATCH($A14,'[2]PV.STOCK TIAP GUDANG'!$A:$A,0),MATCH("Y11D|4+128|STOCK",[2]PVKEY!$1:$1,0))</f>
        <v>2</v>
      </c>
      <c r="W14" s="11">
        <f>INDEX('[2]PV.STOCK TIAP GUDANG'!$A:$CV,MATCH($A14,'[2]PV.STOCK TIAP GUDANG'!$A:$A,0),MATCH("Y11D|4+128|SALES",[2]PVKEY!$1:$1,0))</f>
        <v>11</v>
      </c>
      <c r="X14" s="12">
        <f t="shared" si="8"/>
        <v>4.9000000000000004</v>
      </c>
      <c r="Y14" s="11">
        <f t="shared" si="9"/>
        <v>2.0370370370370368</v>
      </c>
      <c r="Z14" s="10">
        <f>INDEX('[2]PV.STOCK TIAP GUDANG'!$A:$CV,MATCH($A14,'[2]PV.STOCK TIAP GUDANG'!$A:$A,0),MATCH("Y11D|4+64|STOCK",[2]PVKEY!$1:$1,0))</f>
        <v>1</v>
      </c>
      <c r="AA14" s="11">
        <f>INDEX('[2]PV.STOCK TIAP GUDANG'!$A:$CV,MATCH($A14,'[2]PV.STOCK TIAP GUDANG'!$A:$A,0),MATCH("Y11D|4+64|SALES",[2]PVKEY!$1:$1,0))</f>
        <v>4</v>
      </c>
      <c r="AB14" s="12">
        <f t="shared" si="10"/>
        <v>6.8</v>
      </c>
      <c r="AC14" s="11">
        <f t="shared" si="11"/>
        <v>0.7407407407407407</v>
      </c>
      <c r="AD14" s="10">
        <f>INDEX('[2]PV.STOCK TIAP GUDANG'!$A:$CV,MATCH($A14,'[2]PV.STOCK TIAP GUDANG'!$A:$A,0),MATCH("Y11D|6+128|STOCK",[2]PVKEY!$1:$1,0))</f>
        <v>0</v>
      </c>
      <c r="AE14" s="11">
        <f>INDEX('[2]PV.STOCK TIAP GUDANG'!$A:$CV,MATCH($A14,'[2]PV.STOCK TIAP GUDANG'!$A:$A,0),MATCH("Y11D|6+128|SALES",[2]PVKEY!$1:$1,0))</f>
        <v>0</v>
      </c>
      <c r="AF14" s="12" t="str">
        <f t="shared" si="12"/>
        <v/>
      </c>
      <c r="AG14" s="11">
        <f t="shared" si="13"/>
        <v>0</v>
      </c>
      <c r="AH14" s="10">
        <f>INDEX('[2]PV.STOCK TIAP GUDANG'!$A:$CV,MATCH($A14,'[2]PV.STOCK TIAP GUDANG'!$A:$A,0),MATCH("Y31D|4+128|STOCK",[2]PVKEY!$1:$1,0))</f>
        <v>0</v>
      </c>
      <c r="AI14" s="11">
        <f>INDEX('[2]PV.STOCK TIAP GUDANG'!$A:$CV,MATCH($A14,'[2]PV.STOCK TIAP GUDANG'!$A:$A,0),MATCH("Y31D|4+128|SALES",[2]PVKEY!$1:$1,0))</f>
        <v>8</v>
      </c>
      <c r="AJ14" s="12">
        <f t="shared" si="14"/>
        <v>0</v>
      </c>
      <c r="AK14" s="10">
        <f>INDEX('[2]PV.STOCK TIAP GUDANG'!$A:$CV,MATCH($A14,'[2]PV.STOCK TIAP GUDANG'!$A:$A,0),MATCH("Y31DPRO|4+128|STOCK",[2]PVKEY!$1:$1,0))</f>
        <v>2</v>
      </c>
      <c r="AL14" s="11">
        <f>INDEX('[2]PV.STOCK TIAP GUDANG'!$A:$CV,MATCH($A14,'[2]PV.STOCK TIAP GUDANG'!$A:$A,0),MATCH("Y31DPRO|4+128|SALES",[2]PVKEY!$1:$1,0))</f>
        <v>3</v>
      </c>
      <c r="AM14" s="12">
        <f t="shared" si="15"/>
        <v>18</v>
      </c>
      <c r="AN14" s="10">
        <f>INDEX('[2]PV.STOCK TIAP GUDANG'!$A:$CV,MATCH($A14,'[2]PV.STOCK TIAP GUDANG'!$A:$A,0),MATCH("Y31DPRO|6+128|STOCK",[2]PVKEY!$1:$1,0))</f>
        <v>1</v>
      </c>
      <c r="AO14" s="11">
        <f>INDEX('[2]PV.STOCK TIAP GUDANG'!$A:$CV,MATCH($A14,'[2]PV.STOCK TIAP GUDANG'!$A:$A,0),MATCH("Y31DPRO|6+128|SALES",[2]PVKEY!$1:$1,0))</f>
        <v>10</v>
      </c>
      <c r="AP14" s="12">
        <f t="shared" si="16"/>
        <v>2.7</v>
      </c>
      <c r="AQ14" s="11">
        <f t="shared" si="17"/>
        <v>1.8518518518518516</v>
      </c>
      <c r="AR14" s="10">
        <f>INDEX('[2]PV.STOCK TIAP GUDANG'!$A:$CV,MATCH($A14,'[2]PV.STOCK TIAP GUDANG'!$A:$A,0),MATCH("Y31DPRO|8+128|STOCK",[2]PVKEY!$1:$1,0))</f>
        <v>2</v>
      </c>
      <c r="AS14" s="11">
        <f>INDEX('[2]PV.STOCK TIAP GUDANG'!$A:$CV,MATCH($A14,'[2]PV.STOCK TIAP GUDANG'!$A:$A,0),MATCH("Y31DPRO|8+128|SALES",[2]PVKEY!$1:$1,0))</f>
        <v>3</v>
      </c>
      <c r="AT14" s="12">
        <f t="shared" si="18"/>
        <v>18</v>
      </c>
      <c r="AU14" s="11">
        <f t="shared" si="19"/>
        <v>0.55555555555555558</v>
      </c>
      <c r="AV14" s="10">
        <f>INDEX('[2]PV.STOCK TIAP GUDANG'!$A:$CV,MATCH($A14,'[2]PV.STOCK TIAP GUDANG'!$A:$A,0),MATCH("Y31DPRO|8+256|STOCK",[2]PVKEY!$1:$1,0))</f>
        <v>2</v>
      </c>
      <c r="AW14" s="11">
        <f>INDEX('[2]PV.STOCK TIAP GUDANG'!$A:$CV,MATCH($A14,'[2]PV.STOCK TIAP GUDANG'!$A:$A,0),MATCH("Y31DPRO|8+256|SALES",[2]PVKEY!$1:$1,0))</f>
        <v>3</v>
      </c>
      <c r="AX14" s="12">
        <f t="shared" si="20"/>
        <v>18</v>
      </c>
      <c r="AY14" s="11">
        <f t="shared" si="21"/>
        <v>0.55555555555555558</v>
      </c>
      <c r="AZ14" s="10">
        <f>INDEX('[2]PV.STOCK TIAP GUDANG'!$A:$CV,MATCH($A14,'[2]PV.STOCK TIAP GUDANG'!$A:$A,0),MATCH("V70|12+256|STOCK",[2]PVKEY!$1:$1,0))</f>
        <v>0</v>
      </c>
      <c r="BA14" s="11">
        <f>INDEX('[2]PV.STOCK TIAP GUDANG'!$A:$CV,MATCH($A14,'[2]PV.STOCK TIAP GUDANG'!$A:$A,0),MATCH("V70|12+256|SALES",[2]PVKEY!$1:$1,0))</f>
        <v>0</v>
      </c>
      <c r="BB14" s="12" t="str">
        <f t="shared" si="22"/>
        <v/>
      </c>
      <c r="BC14" s="10">
        <f>INDEX('[2]PV.STOCK TIAP GUDANG'!$A:$CV,MATCH($A14,'[2]PV.STOCK TIAP GUDANG'!$A:$A,0),MATCH("V70|8+256|STOCK",[2]PVKEY!$1:$1,0))</f>
        <v>4</v>
      </c>
      <c r="BD14" s="11">
        <f>INDEX('[2]PV.STOCK TIAP GUDANG'!$A:$CV,MATCH($A14,'[2]PV.STOCK TIAP GUDANG'!$A:$A,0),MATCH("V70|8+256|SALES",[2]PVKEY!$1:$1,0))</f>
        <v>5</v>
      </c>
      <c r="BE14" s="12">
        <f t="shared" si="23"/>
        <v>21.6</v>
      </c>
      <c r="BF14" s="11">
        <f t="shared" si="24"/>
        <v>1.4814814814814814</v>
      </c>
      <c r="BG14" s="10">
        <f>INDEX('[2]PV.STOCK TIAP GUDANG'!$A:$CV,MATCH($A14,'[2]PV.STOCK TIAP GUDANG'!$A:$A,0),MATCH("V70|12+512|STOCK",[2]PVKEY!$1:$1,0))</f>
        <v>0</v>
      </c>
      <c r="BH14" s="11">
        <f>INDEX('[2]PV.STOCK TIAP GUDANG'!$A:$CV,MATCH($A14,'[2]PV.STOCK TIAP GUDANG'!$A:$A,0),MATCH("V70|12+512|SALES",[2]PVKEY!$1:$1,0))</f>
        <v>0</v>
      </c>
      <c r="BI14" s="12" t="str">
        <f t="shared" si="25"/>
        <v/>
      </c>
      <c r="BJ14" s="11">
        <f t="shared" si="26"/>
        <v>0</v>
      </c>
      <c r="BK14" s="10">
        <f>INDEX('[2]PV.STOCK TIAP GUDANG'!$A:$CV,MATCH($A14,'[2]PV.STOCK TIAP GUDANG'!$A:$A,0),MATCH("V70FE|8+256|STOCK",[2]PVKEY!$1:$1,0))</f>
        <v>1</v>
      </c>
      <c r="BL14" s="11">
        <f>INDEX('[2]PV.STOCK TIAP GUDANG'!$A:$CV,MATCH($A14,'[2]PV.STOCK TIAP GUDANG'!$A:$A,0),MATCH("V70FE|8+256|SALES",[2]PVKEY!$1:$1,0))</f>
        <v>1</v>
      </c>
      <c r="BM14" s="12">
        <f t="shared" si="27"/>
        <v>27</v>
      </c>
      <c r="BN14" s="11">
        <f t="shared" si="28"/>
        <v>0.29629629629629628</v>
      </c>
      <c r="BO14" s="10">
        <f>INDEX('[2]PV.STOCK TIAP GUDANG'!$A:$CV,MATCH($A14,'[2]PV.STOCK TIAP GUDANG'!$A:$A,0),MATCH("V70FE|12+256|STOCK",[2]PVKEY!$1:$1,0))</f>
        <v>1</v>
      </c>
      <c r="BP14" s="11">
        <f>INDEX('[2]PV.STOCK TIAP GUDANG'!$A:$CV,MATCH($A14,'[2]PV.STOCK TIAP GUDANG'!$A:$A,0),MATCH("V70FE|12+256|SALES",[2]PVKEY!$1:$1,0))</f>
        <v>3</v>
      </c>
      <c r="BQ14" s="12">
        <f t="shared" si="29"/>
        <v>9</v>
      </c>
      <c r="BR14" s="11">
        <f t="shared" si="30"/>
        <v>0.88888888888888884</v>
      </c>
      <c r="BS14" s="10">
        <f>INDEX('[2]PV.STOCK TIAP GUDANG'!$A:$CV,MATCH($A14,'[2]PV.STOCK TIAP GUDANG'!$A:$A,0),MATCH("V60LITE5G|8+256|STOCK",[2]PVKEY!$1:$1,0))</f>
        <v>0</v>
      </c>
      <c r="BT14" s="11">
        <f>INDEX('[2]PV.STOCK TIAP GUDANG'!$A:$CV,MATCH($A14,'[2]PV.STOCK TIAP GUDANG'!$A:$A,0),MATCH("V60LITE5G|8+256|SALES",[2]PVKEY!$1:$1,0))</f>
        <v>0</v>
      </c>
      <c r="BU14" s="12" t="str">
        <f t="shared" si="31"/>
        <v/>
      </c>
      <c r="BV14" s="11">
        <f t="shared" si="32"/>
        <v>0</v>
      </c>
      <c r="BW14" s="10">
        <f>INDEX('[2]PV.STOCK TIAP GUDANG'!$A:$CV,MATCH($A14,'[2]PV.STOCK TIAP GUDANG'!$A:$A,0),MATCH("V60LITE|8+256|STOCK",[2]PVKEY!$1:$1,0))</f>
        <v>1</v>
      </c>
      <c r="BX14" s="11">
        <f>INDEX('[2]PV.STOCK TIAP GUDANG'!$A:$CV,MATCH($A14,'[2]PV.STOCK TIAP GUDANG'!$A:$A,0),MATCH("V60LITE|8+256|SALES",[2]PVKEY!$1:$1,0))</f>
        <v>3</v>
      </c>
      <c r="BY14" s="12">
        <f t="shared" si="33"/>
        <v>9</v>
      </c>
      <c r="BZ14" s="11">
        <f t="shared" si="34"/>
        <v>0.88888888888888884</v>
      </c>
      <c r="CA14" s="10">
        <f>INDEX('[2]PV.STOCK TIAP GUDANG'!$A:$CV,MATCH($A14,'[2]PV.STOCK TIAP GUDANG'!$A:$A,0),MATCH("Y05|4+128|STOCK",[2]PVKEY!$1:$1,0))</f>
        <v>5</v>
      </c>
      <c r="CB14" s="11">
        <f>INDEX('[2]PV.STOCK TIAP GUDANG'!$A:$CV,MATCH($A14,'[2]PV.STOCK TIAP GUDANG'!$A:$A,0),MATCH("Y05|4+128|SALES",[2]PVKEY!$1:$1,0))</f>
        <v>10</v>
      </c>
      <c r="CC14" s="12">
        <f t="shared" si="35"/>
        <v>13.5</v>
      </c>
      <c r="CD14" s="11">
        <f t="shared" si="44"/>
        <v>2.5925925925925926</v>
      </c>
      <c r="CE14" s="10">
        <f>INDEX('[2]PV.STOCK TIAP GUDANG'!$A:$CV,MATCH($A14,'[2]PV.STOCK TIAP GUDANG'!$A:$A,0),MATCH("Y05|4+64|STOCK",[2]PVKEY!$1:$1,0))</f>
        <v>4</v>
      </c>
      <c r="CF14" s="11">
        <f>INDEX('[2]PV.STOCK TIAP GUDANG'!$A:$CV,MATCH($A14,'[2]PV.STOCK TIAP GUDANG'!$A:$A,0),MATCH("Y05|4+64|SALES",[2]PVKEY!$1:$1,0))</f>
        <v>7</v>
      </c>
      <c r="CG14" s="12">
        <f t="shared" si="36"/>
        <v>15.4</v>
      </c>
      <c r="CH14" s="11">
        <f t="shared" si="37"/>
        <v>1.8148148148148147</v>
      </c>
      <c r="CI14" s="10">
        <f>INDEX('[2]PV.STOCK TIAP GUDANG'!$A:$CV,MATCH($A14,'[2]PV.STOCK TIAP GUDANG'!$A:$A,0),MATCH("Y500|6+128|STOCK",[2]PVKEY!$1:$1,0))</f>
        <v>1</v>
      </c>
      <c r="CJ14" s="11">
        <f>INDEX('[2]PV.STOCK TIAP GUDANG'!$A:$CV,MATCH($A14,'[2]PV.STOCK TIAP GUDANG'!$A:$A,0),MATCH("Y500|6+128|SALES",[2]PVKEY!$1:$1,0))</f>
        <v>3</v>
      </c>
      <c r="CK14" s="12">
        <f t="shared" si="38"/>
        <v>9</v>
      </c>
      <c r="CL14" s="10">
        <f>INDEX('[2]PV.STOCK TIAP GUDANG'!$A:$CV,MATCH($A14,'[2]PV.STOCK TIAP GUDANG'!$A:$A,0),MATCH("Y500|6+256|STOCK",[2]PVKEY!$1:$1,0))</f>
        <v>4</v>
      </c>
      <c r="CM14" s="11">
        <f>INDEX('[2]PV.STOCK TIAP GUDANG'!$A:$CV,MATCH($A14,'[2]PV.STOCK TIAP GUDANG'!$A:$A,0),MATCH("Y500|6+256|SALES",[2]PVKEY!$1:$1,0))</f>
        <v>0</v>
      </c>
      <c r="CN14" s="12" t="str">
        <f t="shared" si="39"/>
        <v/>
      </c>
      <c r="CO14" s="10">
        <f>INDEX('[2]PV.STOCK TIAP GUDANG'!$A:$CV,MATCH($A14,'[2]PV.STOCK TIAP GUDANG'!$A:$A,0),MATCH("Y05E|4+64|STOCK",[2]PVKEY!$1:$1,0))</f>
        <v>9</v>
      </c>
      <c r="CP14" s="11">
        <f>INDEX('[2]PV.STOCK TIAP GUDANG'!$A:$CV,MATCH($A14,'[2]PV.STOCK TIAP GUDANG'!$A:$A,0),MATCH("Y05E|4+64|SALES",[2]PVKEY!$1:$1,0))</f>
        <v>5</v>
      </c>
      <c r="CQ14" s="12">
        <f t="shared" si="40"/>
        <v>48.6</v>
      </c>
      <c r="CR14" s="13">
        <f t="shared" si="41"/>
        <v>41</v>
      </c>
      <c r="CS14" s="13">
        <f t="shared" si="42"/>
        <v>79</v>
      </c>
      <c r="CT14" s="13">
        <f t="shared" si="43"/>
        <v>14.012658227848101</v>
      </c>
      <c r="CU14" t="s">
        <v>84</v>
      </c>
    </row>
    <row r="15" spans="1:99" ht="16" x14ac:dyDescent="0.2">
      <c r="A15" s="9" t="s">
        <v>33</v>
      </c>
      <c r="B15" s="10">
        <f>INDEX('[2]PV.STOCK TIAP GUDANG'!$A:$CV,MATCH($A15,'[2]PV.STOCK TIAP GUDANG'!$A:$A,0),MATCH("FOLD5|STOCK",[2]PVKEY!$5:$5,0))</f>
        <v>0</v>
      </c>
      <c r="C15" s="11">
        <f>INDEX('[2]PV.STOCK TIAP GUDANG'!$A:$CV,MATCH($A15,'[2]PV.STOCK TIAP GUDANG'!$A:$A,0),MATCH("FOLD5|SALES",[2]PVKEY!$5:$5,0))</f>
        <v>0</v>
      </c>
      <c r="D15" s="12" t="str">
        <f t="shared" si="0"/>
        <v/>
      </c>
      <c r="E15" s="10">
        <f>INDEX('[2]PV.STOCK TIAP GUDANG'!$A:$CV,MATCH($A15,'[2]PV.STOCK TIAP GUDANG'!$A:$A,0),MATCH("X300ULTRA|16+1T|STOCK",[2]PVKEY!$1:$1,0))</f>
        <v>0</v>
      </c>
      <c r="F15" s="11">
        <f>INDEX('[2]PV.STOCK TIAP GUDANG'!$A:$CV,MATCH($A15,'[2]PV.STOCK TIAP GUDANG'!$A:$A,0),MATCH("X300ULTRA|16+1T|SALES",[2]PVKEY!$1:$1,0))</f>
        <v>0</v>
      </c>
      <c r="G15" s="12" t="str">
        <f t="shared" si="1"/>
        <v/>
      </c>
      <c r="H15" s="10">
        <f>INDEX('[2]PV.STOCK TIAP GUDANG'!$A:$CV,MATCH($A15,'[2]PV.STOCK TIAP GUDANG'!$A:$A,0),MATCH("X300ULTRA|16+512|STOCK",[2]PVKEY!$1:$1,0))</f>
        <v>0</v>
      </c>
      <c r="I15" s="11">
        <f>INDEX('[2]PV.STOCK TIAP GUDANG'!$A:$CV,MATCH($A15,'[2]PV.STOCK TIAP GUDANG'!$A:$A,0),MATCH("X300ULTRA|16+512|SALES",[2]PVKEY!$1:$1,0))</f>
        <v>1</v>
      </c>
      <c r="J15" s="12">
        <f t="shared" si="2"/>
        <v>0</v>
      </c>
      <c r="K15" s="11">
        <f t="shared" si="3"/>
        <v>0.37037037037037035</v>
      </c>
      <c r="L15" s="10">
        <f>INDEX('[2]PV.STOCK TIAP GUDANG'!$A:$CV,MATCH($A15,'[2]PV.STOCK TIAP GUDANG'!$A:$A,0),MATCH("X300PRO|16+512|STOCK",[2]PVKEY!$1:$1,0))</f>
        <v>0</v>
      </c>
      <c r="M15" s="11">
        <f>INDEX('[2]PV.STOCK TIAP GUDANG'!$A:$CV,MATCH($A15,'[2]PV.STOCK TIAP GUDANG'!$A:$A,0),MATCH("X300PRO|16+512|SALES",[2]PVKEY!$1:$1,0))</f>
        <v>0</v>
      </c>
      <c r="N15" s="12" t="str">
        <f t="shared" si="4"/>
        <v/>
      </c>
      <c r="O15" s="11">
        <f t="shared" si="5"/>
        <v>0</v>
      </c>
      <c r="P15" s="10">
        <f>INDEX('[2]PV.STOCK TIAP GUDANG'!$A:$CV,MATCH($A15,'[2]PV.STOCK TIAP GUDANG'!$A:$A,0),MATCH("X300|12+256|STOCK",[2]PVKEY!$1:$1,0))</f>
        <v>0</v>
      </c>
      <c r="Q15" s="11">
        <f>INDEX('[2]PV.STOCK TIAP GUDANG'!$A:$CV,MATCH($A15,'[2]PV.STOCK TIAP GUDANG'!$A:$A,0),MATCH("X300|12+256|SALES",[2]PVKEY!$1:$1,0))</f>
        <v>0</v>
      </c>
      <c r="R15" s="12" t="str">
        <f t="shared" si="6"/>
        <v/>
      </c>
      <c r="S15" s="10">
        <f>INDEX('[2]PV.STOCK TIAP GUDANG'!$A:$CV,MATCH($A15,'[2]PV.STOCK TIAP GUDANG'!$A:$A,0),MATCH("X300|16+512|STOCK",[2]PVKEY!$1:$1,0))</f>
        <v>0</v>
      </c>
      <c r="T15" s="11">
        <f>INDEX('[2]PV.STOCK TIAP GUDANG'!$A:$CV,MATCH($A15,'[2]PV.STOCK TIAP GUDANG'!$A:$A,0),MATCH("X300|16+512|SALES",[2]PVKEY!$1:$1,0))</f>
        <v>0</v>
      </c>
      <c r="U15" s="12" t="str">
        <f t="shared" si="7"/>
        <v/>
      </c>
      <c r="V15" s="10">
        <f>INDEX('[2]PV.STOCK TIAP GUDANG'!$A:$CV,MATCH($A15,'[2]PV.STOCK TIAP GUDANG'!$A:$A,0),MATCH("Y11D|4+128|STOCK",[2]PVKEY!$1:$1,0))</f>
        <v>2</v>
      </c>
      <c r="W15" s="11">
        <f>INDEX('[2]PV.STOCK TIAP GUDANG'!$A:$CV,MATCH($A15,'[2]PV.STOCK TIAP GUDANG'!$A:$A,0),MATCH("Y11D|4+128|SALES",[2]PVKEY!$1:$1,0))</f>
        <v>11</v>
      </c>
      <c r="X15" s="12">
        <f t="shared" si="8"/>
        <v>4.9000000000000004</v>
      </c>
      <c r="Y15" s="11">
        <f t="shared" si="9"/>
        <v>2.0370370370370368</v>
      </c>
      <c r="Z15" s="10">
        <f>INDEX('[2]PV.STOCK TIAP GUDANG'!$A:$CV,MATCH($A15,'[2]PV.STOCK TIAP GUDANG'!$A:$A,0),MATCH("Y11D|4+64|STOCK",[2]PVKEY!$1:$1,0))</f>
        <v>4</v>
      </c>
      <c r="AA15" s="11">
        <f>INDEX('[2]PV.STOCK TIAP GUDANG'!$A:$CV,MATCH($A15,'[2]PV.STOCK TIAP GUDANG'!$A:$A,0),MATCH("Y11D|4+64|SALES",[2]PVKEY!$1:$1,0))</f>
        <v>3</v>
      </c>
      <c r="AB15" s="12">
        <f t="shared" si="10"/>
        <v>36</v>
      </c>
      <c r="AC15" s="11">
        <f t="shared" si="11"/>
        <v>0.55555555555555558</v>
      </c>
      <c r="AD15" s="10">
        <f>INDEX('[2]PV.STOCK TIAP GUDANG'!$A:$CV,MATCH($A15,'[2]PV.STOCK TIAP GUDANG'!$A:$A,0),MATCH("Y11D|6+128|STOCK",[2]PVKEY!$1:$1,0))</f>
        <v>0</v>
      </c>
      <c r="AE15" s="11">
        <f>INDEX('[2]PV.STOCK TIAP GUDANG'!$A:$CV,MATCH($A15,'[2]PV.STOCK TIAP GUDANG'!$A:$A,0),MATCH("Y11D|6+128|SALES",[2]PVKEY!$1:$1,0))</f>
        <v>0</v>
      </c>
      <c r="AF15" s="12" t="str">
        <f t="shared" si="12"/>
        <v/>
      </c>
      <c r="AG15" s="11">
        <f t="shared" si="13"/>
        <v>0</v>
      </c>
      <c r="AH15" s="10">
        <f>INDEX('[2]PV.STOCK TIAP GUDANG'!$A:$CV,MATCH($A15,'[2]PV.STOCK TIAP GUDANG'!$A:$A,0),MATCH("Y31D|4+128|STOCK",[2]PVKEY!$1:$1,0))</f>
        <v>0</v>
      </c>
      <c r="AI15" s="11">
        <f>INDEX('[2]PV.STOCK TIAP GUDANG'!$A:$CV,MATCH($A15,'[2]PV.STOCK TIAP GUDANG'!$A:$A,0),MATCH("Y31D|4+128|SALES",[2]PVKEY!$1:$1,0))</f>
        <v>2</v>
      </c>
      <c r="AJ15" s="12">
        <f t="shared" si="14"/>
        <v>0</v>
      </c>
      <c r="AK15" s="10">
        <f>INDEX('[2]PV.STOCK TIAP GUDANG'!$A:$CV,MATCH($A15,'[2]PV.STOCK TIAP GUDANG'!$A:$A,0),MATCH("Y31DPRO|4+128|STOCK",[2]PVKEY!$1:$1,0))</f>
        <v>0</v>
      </c>
      <c r="AL15" s="11">
        <f>INDEX('[2]PV.STOCK TIAP GUDANG'!$A:$CV,MATCH($A15,'[2]PV.STOCK TIAP GUDANG'!$A:$A,0),MATCH("Y31DPRO|4+128|SALES",[2]PVKEY!$1:$1,0))</f>
        <v>7</v>
      </c>
      <c r="AM15" s="12">
        <f t="shared" si="15"/>
        <v>0</v>
      </c>
      <c r="AN15" s="10">
        <f>INDEX('[2]PV.STOCK TIAP GUDANG'!$A:$CV,MATCH($A15,'[2]PV.STOCK TIAP GUDANG'!$A:$A,0),MATCH("Y31DPRO|6+128|STOCK",[2]PVKEY!$1:$1,0))</f>
        <v>2</v>
      </c>
      <c r="AO15" s="11">
        <f>INDEX('[2]PV.STOCK TIAP GUDANG'!$A:$CV,MATCH($A15,'[2]PV.STOCK TIAP GUDANG'!$A:$A,0),MATCH("Y31DPRO|6+128|SALES",[2]PVKEY!$1:$1,0))</f>
        <v>7</v>
      </c>
      <c r="AP15" s="12">
        <f t="shared" si="16"/>
        <v>7.7</v>
      </c>
      <c r="AQ15" s="11">
        <f t="shared" si="17"/>
        <v>1.2962962962962963</v>
      </c>
      <c r="AR15" s="10">
        <f>INDEX('[2]PV.STOCK TIAP GUDANG'!$A:$CV,MATCH($A15,'[2]PV.STOCK TIAP GUDANG'!$A:$A,0),MATCH("Y31DPRO|8+128|STOCK",[2]PVKEY!$1:$1,0))</f>
        <v>2</v>
      </c>
      <c r="AS15" s="11">
        <f>INDEX('[2]PV.STOCK TIAP GUDANG'!$A:$CV,MATCH($A15,'[2]PV.STOCK TIAP GUDANG'!$A:$A,0),MATCH("Y31DPRO|8+128|SALES",[2]PVKEY!$1:$1,0))</f>
        <v>0</v>
      </c>
      <c r="AT15" s="12" t="str">
        <f t="shared" si="18"/>
        <v/>
      </c>
      <c r="AU15" s="11">
        <f t="shared" si="19"/>
        <v>0</v>
      </c>
      <c r="AV15" s="10">
        <f>INDEX('[2]PV.STOCK TIAP GUDANG'!$A:$CV,MATCH($A15,'[2]PV.STOCK TIAP GUDANG'!$A:$A,0),MATCH("Y31DPRO|8+256|STOCK",[2]PVKEY!$1:$1,0))</f>
        <v>1</v>
      </c>
      <c r="AW15" s="11">
        <f>INDEX('[2]PV.STOCK TIAP GUDANG'!$A:$CV,MATCH($A15,'[2]PV.STOCK TIAP GUDANG'!$A:$A,0),MATCH("Y31DPRO|8+256|SALES",[2]PVKEY!$1:$1,0))</f>
        <v>5</v>
      </c>
      <c r="AX15" s="12">
        <f t="shared" si="20"/>
        <v>5.4</v>
      </c>
      <c r="AY15" s="11">
        <f t="shared" si="21"/>
        <v>0.92592592592592582</v>
      </c>
      <c r="AZ15" s="10">
        <f>INDEX('[2]PV.STOCK TIAP GUDANG'!$A:$CV,MATCH($A15,'[2]PV.STOCK TIAP GUDANG'!$A:$A,0),MATCH("V70|12+256|STOCK",[2]PVKEY!$1:$1,0))</f>
        <v>0</v>
      </c>
      <c r="BA15" s="11">
        <f>INDEX('[2]PV.STOCK TIAP GUDANG'!$A:$CV,MATCH($A15,'[2]PV.STOCK TIAP GUDANG'!$A:$A,0),MATCH("V70|12+256|SALES",[2]PVKEY!$1:$1,0))</f>
        <v>0</v>
      </c>
      <c r="BB15" s="12" t="str">
        <f t="shared" si="22"/>
        <v/>
      </c>
      <c r="BC15" s="10">
        <f>INDEX('[2]PV.STOCK TIAP GUDANG'!$A:$CV,MATCH($A15,'[2]PV.STOCK TIAP GUDANG'!$A:$A,0),MATCH("V70|8+256|STOCK",[2]PVKEY!$1:$1,0))</f>
        <v>4</v>
      </c>
      <c r="BD15" s="11">
        <f>INDEX('[2]PV.STOCK TIAP GUDANG'!$A:$CV,MATCH($A15,'[2]PV.STOCK TIAP GUDANG'!$A:$A,0),MATCH("V70|8+256|SALES",[2]PVKEY!$1:$1,0))</f>
        <v>8</v>
      </c>
      <c r="BE15" s="12">
        <f t="shared" si="23"/>
        <v>13.5</v>
      </c>
      <c r="BF15" s="11">
        <f t="shared" si="24"/>
        <v>2.3703703703703702</v>
      </c>
      <c r="BG15" s="10">
        <f>INDEX('[2]PV.STOCK TIAP GUDANG'!$A:$CV,MATCH($A15,'[2]PV.STOCK TIAP GUDANG'!$A:$A,0),MATCH("V70|12+512|STOCK",[2]PVKEY!$1:$1,0))</f>
        <v>0</v>
      </c>
      <c r="BH15" s="11">
        <f>INDEX('[2]PV.STOCK TIAP GUDANG'!$A:$CV,MATCH($A15,'[2]PV.STOCK TIAP GUDANG'!$A:$A,0),MATCH("V70|12+512|SALES",[2]PVKEY!$1:$1,0))</f>
        <v>0</v>
      </c>
      <c r="BI15" s="12" t="str">
        <f t="shared" si="25"/>
        <v/>
      </c>
      <c r="BJ15" s="11">
        <f t="shared" si="26"/>
        <v>0</v>
      </c>
      <c r="BK15" s="10">
        <f>INDEX('[2]PV.STOCK TIAP GUDANG'!$A:$CV,MATCH($A15,'[2]PV.STOCK TIAP GUDANG'!$A:$A,0),MATCH("V70FE|8+256|STOCK",[2]PVKEY!$1:$1,0))</f>
        <v>0</v>
      </c>
      <c r="BL15" s="11">
        <f>INDEX('[2]PV.STOCK TIAP GUDANG'!$A:$CV,MATCH($A15,'[2]PV.STOCK TIAP GUDANG'!$A:$A,0),MATCH("V70FE|8+256|SALES",[2]PVKEY!$1:$1,0))</f>
        <v>4</v>
      </c>
      <c r="BM15" s="12">
        <f t="shared" si="27"/>
        <v>0</v>
      </c>
      <c r="BN15" s="11">
        <f t="shared" si="28"/>
        <v>1.1851851851851851</v>
      </c>
      <c r="BO15" s="10">
        <f>INDEX('[2]PV.STOCK TIAP GUDANG'!$A:$CV,MATCH($A15,'[2]PV.STOCK TIAP GUDANG'!$A:$A,0),MATCH("V70FE|12+256|STOCK",[2]PVKEY!$1:$1,0))</f>
        <v>2</v>
      </c>
      <c r="BP15" s="11">
        <f>INDEX('[2]PV.STOCK TIAP GUDANG'!$A:$CV,MATCH($A15,'[2]PV.STOCK TIAP GUDANG'!$A:$A,0),MATCH("V70FE|12+256|SALES",[2]PVKEY!$1:$1,0))</f>
        <v>2</v>
      </c>
      <c r="BQ15" s="12">
        <f t="shared" si="29"/>
        <v>27</v>
      </c>
      <c r="BR15" s="11">
        <f t="shared" si="30"/>
        <v>0.59259259259259256</v>
      </c>
      <c r="BS15" s="10">
        <f>INDEX('[2]PV.STOCK TIAP GUDANG'!$A:$CV,MATCH($A15,'[2]PV.STOCK TIAP GUDANG'!$A:$A,0),MATCH("V60LITE5G|8+256|STOCK",[2]PVKEY!$1:$1,0))</f>
        <v>0</v>
      </c>
      <c r="BT15" s="11">
        <f>INDEX('[2]PV.STOCK TIAP GUDANG'!$A:$CV,MATCH($A15,'[2]PV.STOCK TIAP GUDANG'!$A:$A,0),MATCH("V60LITE5G|8+256|SALES",[2]PVKEY!$1:$1,0))</f>
        <v>0</v>
      </c>
      <c r="BU15" s="12" t="str">
        <f t="shared" si="31"/>
        <v/>
      </c>
      <c r="BV15" s="11">
        <f t="shared" si="32"/>
        <v>0</v>
      </c>
      <c r="BW15" s="10">
        <f>INDEX('[2]PV.STOCK TIAP GUDANG'!$A:$CV,MATCH($A15,'[2]PV.STOCK TIAP GUDANG'!$A:$A,0),MATCH("V60LITE|8+256|STOCK",[2]PVKEY!$1:$1,0))</f>
        <v>1</v>
      </c>
      <c r="BX15" s="11">
        <f>INDEX('[2]PV.STOCK TIAP GUDANG'!$A:$CV,MATCH($A15,'[2]PV.STOCK TIAP GUDANG'!$A:$A,0),MATCH("V60LITE|8+256|SALES",[2]PVKEY!$1:$1,0))</f>
        <v>11</v>
      </c>
      <c r="BY15" s="12">
        <f t="shared" si="33"/>
        <v>2.5</v>
      </c>
      <c r="BZ15" s="11">
        <f t="shared" si="34"/>
        <v>3.2592592592592591</v>
      </c>
      <c r="CA15" s="10">
        <f>INDEX('[2]PV.STOCK TIAP GUDANG'!$A:$CV,MATCH($A15,'[2]PV.STOCK TIAP GUDANG'!$A:$A,0),MATCH("Y05|4+128|STOCK",[2]PVKEY!$1:$1,0))</f>
        <v>3</v>
      </c>
      <c r="CB15" s="11">
        <f>INDEX('[2]PV.STOCK TIAP GUDANG'!$A:$CV,MATCH($A15,'[2]PV.STOCK TIAP GUDANG'!$A:$A,0),MATCH("Y05|4+128|SALES",[2]PVKEY!$1:$1,0))</f>
        <v>10</v>
      </c>
      <c r="CC15" s="12">
        <f t="shared" si="35"/>
        <v>8.1</v>
      </c>
      <c r="CD15" s="11">
        <f t="shared" si="44"/>
        <v>2.5925925925925926</v>
      </c>
      <c r="CE15" s="10">
        <f>INDEX('[2]PV.STOCK TIAP GUDANG'!$A:$CV,MATCH($A15,'[2]PV.STOCK TIAP GUDANG'!$A:$A,0),MATCH("Y05|4+64|STOCK",[2]PVKEY!$1:$1,0))</f>
        <v>2</v>
      </c>
      <c r="CF15" s="11">
        <f>INDEX('[2]PV.STOCK TIAP GUDANG'!$A:$CV,MATCH($A15,'[2]PV.STOCK TIAP GUDANG'!$A:$A,0),MATCH("Y05|4+64|SALES",[2]PVKEY!$1:$1,0))</f>
        <v>8</v>
      </c>
      <c r="CG15" s="12">
        <f t="shared" si="36"/>
        <v>6.8</v>
      </c>
      <c r="CH15" s="11">
        <f t="shared" si="37"/>
        <v>2.074074074074074</v>
      </c>
      <c r="CI15" s="10">
        <f>INDEX('[2]PV.STOCK TIAP GUDANG'!$A:$CV,MATCH($A15,'[2]PV.STOCK TIAP GUDANG'!$A:$A,0),MATCH("Y500|6+128|STOCK",[2]PVKEY!$1:$1,0))</f>
        <v>1</v>
      </c>
      <c r="CJ15" s="11">
        <f>INDEX('[2]PV.STOCK TIAP GUDANG'!$A:$CV,MATCH($A15,'[2]PV.STOCK TIAP GUDANG'!$A:$A,0),MATCH("Y500|6+128|SALES",[2]PVKEY!$1:$1,0))</f>
        <v>3</v>
      </c>
      <c r="CK15" s="12">
        <f t="shared" si="38"/>
        <v>9</v>
      </c>
      <c r="CL15" s="10">
        <f>INDEX('[2]PV.STOCK TIAP GUDANG'!$A:$CV,MATCH($A15,'[2]PV.STOCK TIAP GUDANG'!$A:$A,0),MATCH("Y500|6+256|STOCK",[2]PVKEY!$1:$1,0))</f>
        <v>2</v>
      </c>
      <c r="CM15" s="11">
        <f>INDEX('[2]PV.STOCK TIAP GUDANG'!$A:$CV,MATCH($A15,'[2]PV.STOCK TIAP GUDANG'!$A:$A,0),MATCH("Y500|6+256|SALES",[2]PVKEY!$1:$1,0))</f>
        <v>0</v>
      </c>
      <c r="CN15" s="12" t="str">
        <f t="shared" si="39"/>
        <v/>
      </c>
      <c r="CO15" s="10">
        <f>INDEX('[2]PV.STOCK TIAP GUDANG'!$A:$CV,MATCH($A15,'[2]PV.STOCK TIAP GUDANG'!$A:$A,0),MATCH("Y05E|4+64|STOCK",[2]PVKEY!$1:$1,0))</f>
        <v>4</v>
      </c>
      <c r="CP15" s="11">
        <f>INDEX('[2]PV.STOCK TIAP GUDANG'!$A:$CV,MATCH($A15,'[2]PV.STOCK TIAP GUDANG'!$A:$A,0),MATCH("Y05E|4+64|SALES",[2]PVKEY!$1:$1,0))</f>
        <v>13</v>
      </c>
      <c r="CQ15" s="12">
        <f t="shared" si="40"/>
        <v>8.3000000000000007</v>
      </c>
      <c r="CR15" s="13">
        <f t="shared" si="41"/>
        <v>30</v>
      </c>
      <c r="CS15" s="13">
        <f t="shared" si="42"/>
        <v>95</v>
      </c>
      <c r="CT15" s="13">
        <f t="shared" si="43"/>
        <v>8.5263157894736832</v>
      </c>
      <c r="CU15" t="s">
        <v>85</v>
      </c>
    </row>
    <row r="16" spans="1:99" ht="16" x14ac:dyDescent="0.2">
      <c r="A16" s="9" t="s">
        <v>37</v>
      </c>
      <c r="B16" s="10">
        <f>INDEX('[2]PV.STOCK TIAP GUDANG'!$A:$CV,MATCH($A16,'[2]PV.STOCK TIAP GUDANG'!$A:$A,0),MATCH("FOLD5|STOCK",[2]PVKEY!$5:$5,0))</f>
        <v>0</v>
      </c>
      <c r="C16" s="11">
        <f>INDEX('[2]PV.STOCK TIAP GUDANG'!$A:$CV,MATCH($A16,'[2]PV.STOCK TIAP GUDANG'!$A:$A,0),MATCH("FOLD5|SALES",[2]PVKEY!$5:$5,0))</f>
        <v>0</v>
      </c>
      <c r="D16" s="12" t="str">
        <f t="shared" si="0"/>
        <v/>
      </c>
      <c r="E16" s="10">
        <f>INDEX('[2]PV.STOCK TIAP GUDANG'!$A:$CV,MATCH($A16,'[2]PV.STOCK TIAP GUDANG'!$A:$A,0),MATCH("X300ULTRA|16+1T|STOCK",[2]PVKEY!$1:$1,0))</f>
        <v>2</v>
      </c>
      <c r="F16" s="11">
        <f>INDEX('[2]PV.STOCK TIAP GUDANG'!$A:$CV,MATCH($A16,'[2]PV.STOCK TIAP GUDANG'!$A:$A,0),MATCH("X300ULTRA|16+1T|SALES",[2]PVKEY!$1:$1,0))</f>
        <v>0</v>
      </c>
      <c r="G16" s="12" t="str">
        <f t="shared" si="1"/>
        <v/>
      </c>
      <c r="H16" s="10">
        <f>INDEX('[2]PV.STOCK TIAP GUDANG'!$A:$CV,MATCH($A16,'[2]PV.STOCK TIAP GUDANG'!$A:$A,0),MATCH("X300ULTRA|16+512|STOCK",[2]PVKEY!$1:$1,0))</f>
        <v>2</v>
      </c>
      <c r="I16" s="11">
        <f>INDEX('[2]PV.STOCK TIAP GUDANG'!$A:$CV,MATCH($A16,'[2]PV.STOCK TIAP GUDANG'!$A:$A,0),MATCH("X300ULTRA|16+512|SALES",[2]PVKEY!$1:$1,0))</f>
        <v>0</v>
      </c>
      <c r="J16" s="12" t="str">
        <f t="shared" si="2"/>
        <v/>
      </c>
      <c r="K16" s="11">
        <f t="shared" si="3"/>
        <v>0</v>
      </c>
      <c r="L16" s="10">
        <f>INDEX('[2]PV.STOCK TIAP GUDANG'!$A:$CV,MATCH($A16,'[2]PV.STOCK TIAP GUDANG'!$A:$A,0),MATCH("X300PRO|16+512|STOCK",[2]PVKEY!$1:$1,0))</f>
        <v>0</v>
      </c>
      <c r="M16" s="11">
        <f>INDEX('[2]PV.STOCK TIAP GUDANG'!$A:$CV,MATCH($A16,'[2]PV.STOCK TIAP GUDANG'!$A:$A,0),MATCH("X300PRO|16+512|SALES",[2]PVKEY!$1:$1,0))</f>
        <v>0</v>
      </c>
      <c r="N16" s="12" t="str">
        <f t="shared" si="4"/>
        <v/>
      </c>
      <c r="O16" s="11">
        <f t="shared" si="5"/>
        <v>0</v>
      </c>
      <c r="P16" s="10">
        <f>INDEX('[2]PV.STOCK TIAP GUDANG'!$A:$CV,MATCH($A16,'[2]PV.STOCK TIAP GUDANG'!$A:$A,0),MATCH("X300|12+256|STOCK",[2]PVKEY!$1:$1,0))</f>
        <v>0</v>
      </c>
      <c r="Q16" s="11">
        <f>INDEX('[2]PV.STOCK TIAP GUDANG'!$A:$CV,MATCH($A16,'[2]PV.STOCK TIAP GUDANG'!$A:$A,0),MATCH("X300|12+256|SALES",[2]PVKEY!$1:$1,0))</f>
        <v>0</v>
      </c>
      <c r="R16" s="12" t="str">
        <f t="shared" si="6"/>
        <v/>
      </c>
      <c r="S16" s="10">
        <f>INDEX('[2]PV.STOCK TIAP GUDANG'!$A:$CV,MATCH($A16,'[2]PV.STOCK TIAP GUDANG'!$A:$A,0),MATCH("X300|16+512|STOCK",[2]PVKEY!$1:$1,0))</f>
        <v>0</v>
      </c>
      <c r="T16" s="11">
        <f>INDEX('[2]PV.STOCK TIAP GUDANG'!$A:$CV,MATCH($A16,'[2]PV.STOCK TIAP GUDANG'!$A:$A,0),MATCH("X300|16+512|SALES",[2]PVKEY!$1:$1,0))</f>
        <v>0</v>
      </c>
      <c r="U16" s="12" t="str">
        <f t="shared" si="7"/>
        <v/>
      </c>
      <c r="V16" s="10">
        <f>INDEX('[2]PV.STOCK TIAP GUDANG'!$A:$CV,MATCH($A16,'[2]PV.STOCK TIAP GUDANG'!$A:$A,0),MATCH("Y11D|4+128|STOCK",[2]PVKEY!$1:$1,0))</f>
        <v>5</v>
      </c>
      <c r="W16" s="11">
        <f>INDEX('[2]PV.STOCK TIAP GUDANG'!$A:$CV,MATCH($A16,'[2]PV.STOCK TIAP GUDANG'!$A:$A,0),MATCH("Y11D|4+128|SALES",[2]PVKEY!$1:$1,0))</f>
        <v>14</v>
      </c>
      <c r="X16" s="12">
        <f t="shared" si="8"/>
        <v>9.6</v>
      </c>
      <c r="Y16" s="11">
        <f t="shared" si="9"/>
        <v>2.5925925925925926</v>
      </c>
      <c r="Z16" s="10">
        <f>INDEX('[2]PV.STOCK TIAP GUDANG'!$A:$CV,MATCH($A16,'[2]PV.STOCK TIAP GUDANG'!$A:$A,0),MATCH("Y11D|4+64|STOCK",[2]PVKEY!$1:$1,0))</f>
        <v>2</v>
      </c>
      <c r="AA16" s="11">
        <f>INDEX('[2]PV.STOCK TIAP GUDANG'!$A:$CV,MATCH($A16,'[2]PV.STOCK TIAP GUDANG'!$A:$A,0),MATCH("Y11D|4+64|SALES",[2]PVKEY!$1:$1,0))</f>
        <v>3</v>
      </c>
      <c r="AB16" s="12">
        <f t="shared" si="10"/>
        <v>18</v>
      </c>
      <c r="AC16" s="11">
        <f t="shared" si="11"/>
        <v>0.55555555555555558</v>
      </c>
      <c r="AD16" s="10">
        <f>INDEX('[2]PV.STOCK TIAP GUDANG'!$A:$CV,MATCH($A16,'[2]PV.STOCK TIAP GUDANG'!$A:$A,0),MATCH("Y11D|6+128|STOCK",[2]PVKEY!$1:$1,0))</f>
        <v>1</v>
      </c>
      <c r="AE16" s="11">
        <f>INDEX('[2]PV.STOCK TIAP GUDANG'!$A:$CV,MATCH($A16,'[2]PV.STOCK TIAP GUDANG'!$A:$A,0),MATCH("Y11D|6+128|SALES",[2]PVKEY!$1:$1,0))</f>
        <v>1</v>
      </c>
      <c r="AF16" s="12">
        <f t="shared" si="12"/>
        <v>27</v>
      </c>
      <c r="AG16" s="11">
        <f t="shared" si="13"/>
        <v>0.18518518518518517</v>
      </c>
      <c r="AH16" s="10">
        <f>INDEX('[2]PV.STOCK TIAP GUDANG'!$A:$CV,MATCH($A16,'[2]PV.STOCK TIAP GUDANG'!$A:$A,0),MATCH("Y31D|4+128|STOCK",[2]PVKEY!$1:$1,0))</f>
        <v>0</v>
      </c>
      <c r="AI16" s="11">
        <f>INDEX('[2]PV.STOCK TIAP GUDANG'!$A:$CV,MATCH($A16,'[2]PV.STOCK TIAP GUDANG'!$A:$A,0),MATCH("Y31D|4+128|SALES",[2]PVKEY!$1:$1,0))</f>
        <v>3</v>
      </c>
      <c r="AJ16" s="12">
        <f t="shared" si="14"/>
        <v>0</v>
      </c>
      <c r="AK16" s="10">
        <f>INDEX('[2]PV.STOCK TIAP GUDANG'!$A:$CV,MATCH($A16,'[2]PV.STOCK TIAP GUDANG'!$A:$A,0),MATCH("Y31DPRO|4+128|STOCK",[2]PVKEY!$1:$1,0))</f>
        <v>0</v>
      </c>
      <c r="AL16" s="11">
        <f>INDEX('[2]PV.STOCK TIAP GUDANG'!$A:$CV,MATCH($A16,'[2]PV.STOCK TIAP GUDANG'!$A:$A,0),MATCH("Y31DPRO|4+128|SALES",[2]PVKEY!$1:$1,0))</f>
        <v>2</v>
      </c>
      <c r="AM16" s="12">
        <f t="shared" si="15"/>
        <v>0</v>
      </c>
      <c r="AN16" s="10">
        <f>INDEX('[2]PV.STOCK TIAP GUDANG'!$A:$CV,MATCH($A16,'[2]PV.STOCK TIAP GUDANG'!$A:$A,0),MATCH("Y31DPRO|6+128|STOCK",[2]PVKEY!$1:$1,0))</f>
        <v>1</v>
      </c>
      <c r="AO16" s="11">
        <f>INDEX('[2]PV.STOCK TIAP GUDANG'!$A:$CV,MATCH($A16,'[2]PV.STOCK TIAP GUDANG'!$A:$A,0),MATCH("Y31DPRO|6+128|SALES",[2]PVKEY!$1:$1,0))</f>
        <v>6</v>
      </c>
      <c r="AP16" s="12">
        <f t="shared" si="16"/>
        <v>4.5</v>
      </c>
      <c r="AQ16" s="11">
        <f t="shared" si="17"/>
        <v>1.1111111111111112</v>
      </c>
      <c r="AR16" s="10">
        <f>INDEX('[2]PV.STOCK TIAP GUDANG'!$A:$CV,MATCH($A16,'[2]PV.STOCK TIAP GUDANG'!$A:$A,0),MATCH("Y31DPRO|8+128|STOCK",[2]PVKEY!$1:$1,0))</f>
        <v>2</v>
      </c>
      <c r="AS16" s="11">
        <f>INDEX('[2]PV.STOCK TIAP GUDANG'!$A:$CV,MATCH($A16,'[2]PV.STOCK TIAP GUDANG'!$A:$A,0),MATCH("Y31DPRO|8+128|SALES",[2]PVKEY!$1:$1,0))</f>
        <v>2</v>
      </c>
      <c r="AT16" s="12">
        <f t="shared" si="18"/>
        <v>27</v>
      </c>
      <c r="AU16" s="11">
        <f t="shared" si="19"/>
        <v>0.37037037037037035</v>
      </c>
      <c r="AV16" s="10">
        <f>INDEX('[2]PV.STOCK TIAP GUDANG'!$A:$CV,MATCH($A16,'[2]PV.STOCK TIAP GUDANG'!$A:$A,0),MATCH("Y31DPRO|8+256|STOCK",[2]PVKEY!$1:$1,0))</f>
        <v>0</v>
      </c>
      <c r="AW16" s="11">
        <f>INDEX('[2]PV.STOCK TIAP GUDANG'!$A:$CV,MATCH($A16,'[2]PV.STOCK TIAP GUDANG'!$A:$A,0),MATCH("Y31DPRO|8+256|SALES",[2]PVKEY!$1:$1,0))</f>
        <v>2</v>
      </c>
      <c r="AX16" s="12">
        <f t="shared" si="20"/>
        <v>0</v>
      </c>
      <c r="AY16" s="11">
        <f t="shared" si="21"/>
        <v>0.37037037037037035</v>
      </c>
      <c r="AZ16" s="10">
        <f>INDEX('[2]PV.STOCK TIAP GUDANG'!$A:$CV,MATCH($A16,'[2]PV.STOCK TIAP GUDANG'!$A:$A,0),MATCH("V70|12+256|STOCK",[2]PVKEY!$1:$1,0))</f>
        <v>0</v>
      </c>
      <c r="BA16" s="11">
        <f>INDEX('[2]PV.STOCK TIAP GUDANG'!$A:$CV,MATCH($A16,'[2]PV.STOCK TIAP GUDANG'!$A:$A,0),MATCH("V70|12+256|SALES",[2]PVKEY!$1:$1,0))</f>
        <v>0</v>
      </c>
      <c r="BB16" s="12" t="str">
        <f t="shared" si="22"/>
        <v/>
      </c>
      <c r="BC16" s="10">
        <f>INDEX('[2]PV.STOCK TIAP GUDANG'!$A:$CV,MATCH($A16,'[2]PV.STOCK TIAP GUDANG'!$A:$A,0),MATCH("V70|8+256|STOCK",[2]PVKEY!$1:$1,0))</f>
        <v>4</v>
      </c>
      <c r="BD16" s="11">
        <f>INDEX('[2]PV.STOCK TIAP GUDANG'!$A:$CV,MATCH($A16,'[2]PV.STOCK TIAP GUDANG'!$A:$A,0),MATCH("V70|8+256|SALES",[2]PVKEY!$1:$1,0))</f>
        <v>4</v>
      </c>
      <c r="BE16" s="12">
        <f t="shared" si="23"/>
        <v>27</v>
      </c>
      <c r="BF16" s="11">
        <f t="shared" si="24"/>
        <v>1.1851851851851851</v>
      </c>
      <c r="BG16" s="10">
        <f>INDEX('[2]PV.STOCK TIAP GUDANG'!$A:$CV,MATCH($A16,'[2]PV.STOCK TIAP GUDANG'!$A:$A,0),MATCH("V70|12+512|STOCK",[2]PVKEY!$1:$1,0))</f>
        <v>0</v>
      </c>
      <c r="BH16" s="11">
        <f>INDEX('[2]PV.STOCK TIAP GUDANG'!$A:$CV,MATCH($A16,'[2]PV.STOCK TIAP GUDANG'!$A:$A,0),MATCH("V70|12+512|SALES",[2]PVKEY!$1:$1,0))</f>
        <v>0</v>
      </c>
      <c r="BI16" s="12" t="str">
        <f t="shared" si="25"/>
        <v/>
      </c>
      <c r="BJ16" s="11">
        <f t="shared" si="26"/>
        <v>0</v>
      </c>
      <c r="BK16" s="10">
        <f>INDEX('[2]PV.STOCK TIAP GUDANG'!$A:$CV,MATCH($A16,'[2]PV.STOCK TIAP GUDANG'!$A:$A,0),MATCH("V70FE|8+256|STOCK",[2]PVKEY!$1:$1,0))</f>
        <v>2</v>
      </c>
      <c r="BL16" s="11">
        <f>INDEX('[2]PV.STOCK TIAP GUDANG'!$A:$CV,MATCH($A16,'[2]PV.STOCK TIAP GUDANG'!$A:$A,0),MATCH("V70FE|8+256|SALES",[2]PVKEY!$1:$1,0))</f>
        <v>0</v>
      </c>
      <c r="BM16" s="12" t="str">
        <f t="shared" si="27"/>
        <v/>
      </c>
      <c r="BN16" s="11">
        <f t="shared" si="28"/>
        <v>0</v>
      </c>
      <c r="BO16" s="10">
        <f>INDEX('[2]PV.STOCK TIAP GUDANG'!$A:$CV,MATCH($A16,'[2]PV.STOCK TIAP GUDANG'!$A:$A,0),MATCH("V70FE|12+256|STOCK",[2]PVKEY!$1:$1,0))</f>
        <v>0</v>
      </c>
      <c r="BP16" s="11">
        <f>INDEX('[2]PV.STOCK TIAP GUDANG'!$A:$CV,MATCH($A16,'[2]PV.STOCK TIAP GUDANG'!$A:$A,0),MATCH("V70FE|12+256|SALES",[2]PVKEY!$1:$1,0))</f>
        <v>1</v>
      </c>
      <c r="BQ16" s="12">
        <f t="shared" si="29"/>
        <v>0</v>
      </c>
      <c r="BR16" s="11">
        <f t="shared" si="30"/>
        <v>0.29629629629629628</v>
      </c>
      <c r="BS16" s="10">
        <f>INDEX('[2]PV.STOCK TIAP GUDANG'!$A:$CV,MATCH($A16,'[2]PV.STOCK TIAP GUDANG'!$A:$A,0),MATCH("V60LITE5G|8+256|STOCK",[2]PVKEY!$1:$1,0))</f>
        <v>0</v>
      </c>
      <c r="BT16" s="11">
        <f>INDEX('[2]PV.STOCK TIAP GUDANG'!$A:$CV,MATCH($A16,'[2]PV.STOCK TIAP GUDANG'!$A:$A,0),MATCH("V60LITE5G|8+256|SALES",[2]PVKEY!$1:$1,0))</f>
        <v>0</v>
      </c>
      <c r="BU16" s="12" t="str">
        <f t="shared" si="31"/>
        <v/>
      </c>
      <c r="BV16" s="11">
        <f t="shared" si="32"/>
        <v>0</v>
      </c>
      <c r="BW16" s="10">
        <f>INDEX('[2]PV.STOCK TIAP GUDANG'!$A:$CV,MATCH($A16,'[2]PV.STOCK TIAP GUDANG'!$A:$A,0),MATCH("V60LITE|8+256|STOCK",[2]PVKEY!$1:$1,0))</f>
        <v>1</v>
      </c>
      <c r="BX16" s="11">
        <f>INDEX('[2]PV.STOCK TIAP GUDANG'!$A:$CV,MATCH($A16,'[2]PV.STOCK TIAP GUDANG'!$A:$A,0),MATCH("V60LITE|8+256|SALES",[2]PVKEY!$1:$1,0))</f>
        <v>6</v>
      </c>
      <c r="BY16" s="12">
        <f t="shared" si="33"/>
        <v>4.5</v>
      </c>
      <c r="BZ16" s="11">
        <f t="shared" si="34"/>
        <v>1.7777777777777777</v>
      </c>
      <c r="CA16" s="10">
        <f>INDEX('[2]PV.STOCK TIAP GUDANG'!$A:$CV,MATCH($A16,'[2]PV.STOCK TIAP GUDANG'!$A:$A,0),MATCH("Y05|4+128|STOCK",[2]PVKEY!$1:$1,0))</f>
        <v>1</v>
      </c>
      <c r="CB16" s="11">
        <f>INDEX('[2]PV.STOCK TIAP GUDANG'!$A:$CV,MATCH($A16,'[2]PV.STOCK TIAP GUDANG'!$A:$A,0),MATCH("Y05|4+128|SALES",[2]PVKEY!$1:$1,0))</f>
        <v>6</v>
      </c>
      <c r="CC16" s="12">
        <f t="shared" si="35"/>
        <v>4.5</v>
      </c>
      <c r="CD16" s="11">
        <f t="shared" si="44"/>
        <v>1.5555555555555554</v>
      </c>
      <c r="CE16" s="10">
        <f>INDEX('[2]PV.STOCK TIAP GUDANG'!$A:$CV,MATCH($A16,'[2]PV.STOCK TIAP GUDANG'!$A:$A,0),MATCH("Y05|4+64|STOCK",[2]PVKEY!$1:$1,0))</f>
        <v>0</v>
      </c>
      <c r="CF16" s="11">
        <f>INDEX('[2]PV.STOCK TIAP GUDANG'!$A:$CV,MATCH($A16,'[2]PV.STOCK TIAP GUDANG'!$A:$A,0),MATCH("Y05|4+64|SALES",[2]PVKEY!$1:$1,0))</f>
        <v>9</v>
      </c>
      <c r="CG16" s="12">
        <f t="shared" si="36"/>
        <v>0</v>
      </c>
      <c r="CH16" s="11">
        <f t="shared" si="37"/>
        <v>2.333333333333333</v>
      </c>
      <c r="CI16" s="10">
        <f>INDEX('[2]PV.STOCK TIAP GUDANG'!$A:$CV,MATCH($A16,'[2]PV.STOCK TIAP GUDANG'!$A:$A,0),MATCH("Y500|6+128|STOCK",[2]PVKEY!$1:$1,0))</f>
        <v>1</v>
      </c>
      <c r="CJ16" s="11">
        <f>INDEX('[2]PV.STOCK TIAP GUDANG'!$A:$CV,MATCH($A16,'[2]PV.STOCK TIAP GUDANG'!$A:$A,0),MATCH("Y500|6+128|SALES",[2]PVKEY!$1:$1,0))</f>
        <v>1</v>
      </c>
      <c r="CK16" s="12">
        <f t="shared" si="38"/>
        <v>27</v>
      </c>
      <c r="CL16" s="10">
        <f>INDEX('[2]PV.STOCK TIAP GUDANG'!$A:$CV,MATCH($A16,'[2]PV.STOCK TIAP GUDANG'!$A:$A,0),MATCH("Y500|6+256|STOCK",[2]PVKEY!$1:$1,0))</f>
        <v>2</v>
      </c>
      <c r="CM16" s="11">
        <f>INDEX('[2]PV.STOCK TIAP GUDANG'!$A:$CV,MATCH($A16,'[2]PV.STOCK TIAP GUDANG'!$A:$A,0),MATCH("Y500|6+256|SALES",[2]PVKEY!$1:$1,0))</f>
        <v>0</v>
      </c>
      <c r="CN16" s="12" t="str">
        <f t="shared" si="39"/>
        <v/>
      </c>
      <c r="CO16" s="10">
        <f>INDEX('[2]PV.STOCK TIAP GUDANG'!$A:$CV,MATCH($A16,'[2]PV.STOCK TIAP GUDANG'!$A:$A,0),MATCH("Y05E|4+64|STOCK",[2]PVKEY!$1:$1,0))</f>
        <v>4</v>
      </c>
      <c r="CP16" s="11">
        <f>INDEX('[2]PV.STOCK TIAP GUDANG'!$A:$CV,MATCH($A16,'[2]PV.STOCK TIAP GUDANG'!$A:$A,0),MATCH("Y05E|4+64|SALES",[2]PVKEY!$1:$1,0))</f>
        <v>8</v>
      </c>
      <c r="CQ16" s="12">
        <f t="shared" si="40"/>
        <v>13.5</v>
      </c>
      <c r="CR16" s="13">
        <f t="shared" si="41"/>
        <v>30</v>
      </c>
      <c r="CS16" s="13">
        <f t="shared" si="42"/>
        <v>68</v>
      </c>
      <c r="CT16" s="13">
        <f t="shared" si="43"/>
        <v>11.911764705882353</v>
      </c>
      <c r="CU16" t="s">
        <v>86</v>
      </c>
    </row>
    <row r="17" spans="1:99" ht="16" x14ac:dyDescent="0.2">
      <c r="A17" s="9" t="s">
        <v>38</v>
      </c>
      <c r="B17" s="10">
        <f>INDEX('[2]PV.STOCK TIAP GUDANG'!$A:$CV,MATCH($A17,'[2]PV.STOCK TIAP GUDANG'!$A:$A,0),MATCH("FOLD5|STOCK",[2]PVKEY!$5:$5,0))</f>
        <v>0</v>
      </c>
      <c r="C17" s="11">
        <f>INDEX('[2]PV.STOCK TIAP GUDANG'!$A:$CV,MATCH($A17,'[2]PV.STOCK TIAP GUDANG'!$A:$A,0),MATCH("FOLD5|SALES",[2]PVKEY!$5:$5,0))</f>
        <v>0</v>
      </c>
      <c r="D17" s="12" t="str">
        <f t="shared" si="0"/>
        <v/>
      </c>
      <c r="E17" s="10">
        <f>INDEX('[2]PV.STOCK TIAP GUDANG'!$A:$CV,MATCH($A17,'[2]PV.STOCK TIAP GUDANG'!$A:$A,0),MATCH("X300ULTRA|16+1T|STOCK",[2]PVKEY!$1:$1,0))</f>
        <v>0</v>
      </c>
      <c r="F17" s="11">
        <f>INDEX('[2]PV.STOCK TIAP GUDANG'!$A:$CV,MATCH($A17,'[2]PV.STOCK TIAP GUDANG'!$A:$A,0),MATCH("X300ULTRA|16+1T|SALES",[2]PVKEY!$1:$1,0))</f>
        <v>0</v>
      </c>
      <c r="G17" s="12" t="str">
        <f t="shared" si="1"/>
        <v/>
      </c>
      <c r="H17" s="10">
        <f>INDEX('[2]PV.STOCK TIAP GUDANG'!$A:$CV,MATCH($A17,'[2]PV.STOCK TIAP GUDANG'!$A:$A,0),MATCH("X300ULTRA|16+512|STOCK",[2]PVKEY!$1:$1,0))</f>
        <v>0</v>
      </c>
      <c r="I17" s="11">
        <f>INDEX('[2]PV.STOCK TIAP GUDANG'!$A:$CV,MATCH($A17,'[2]PV.STOCK TIAP GUDANG'!$A:$A,0),MATCH("X300ULTRA|16+512|SALES",[2]PVKEY!$1:$1,0))</f>
        <v>0</v>
      </c>
      <c r="J17" s="12" t="str">
        <f t="shared" si="2"/>
        <v/>
      </c>
      <c r="K17" s="11">
        <f t="shared" si="3"/>
        <v>0</v>
      </c>
      <c r="L17" s="10">
        <f>INDEX('[2]PV.STOCK TIAP GUDANG'!$A:$CV,MATCH($A17,'[2]PV.STOCK TIAP GUDANG'!$A:$A,0),MATCH("X300PRO|16+512|STOCK",[2]PVKEY!$1:$1,0))</f>
        <v>0</v>
      </c>
      <c r="M17" s="11">
        <f>INDEX('[2]PV.STOCK TIAP GUDANG'!$A:$CV,MATCH($A17,'[2]PV.STOCK TIAP GUDANG'!$A:$A,0),MATCH("X300PRO|16+512|SALES",[2]PVKEY!$1:$1,0))</f>
        <v>0</v>
      </c>
      <c r="N17" s="12" t="str">
        <f t="shared" si="4"/>
        <v/>
      </c>
      <c r="O17" s="11">
        <f t="shared" si="5"/>
        <v>0</v>
      </c>
      <c r="P17" s="10">
        <f>INDEX('[2]PV.STOCK TIAP GUDANG'!$A:$CV,MATCH($A17,'[2]PV.STOCK TIAP GUDANG'!$A:$A,0),MATCH("X300|12+256|STOCK",[2]PVKEY!$1:$1,0))</f>
        <v>0</v>
      </c>
      <c r="Q17" s="11">
        <f>INDEX('[2]PV.STOCK TIAP GUDANG'!$A:$CV,MATCH($A17,'[2]PV.STOCK TIAP GUDANG'!$A:$A,0),MATCH("X300|12+256|SALES",[2]PVKEY!$1:$1,0))</f>
        <v>0</v>
      </c>
      <c r="R17" s="12" t="str">
        <f t="shared" si="6"/>
        <v/>
      </c>
      <c r="S17" s="10">
        <f>INDEX('[2]PV.STOCK TIAP GUDANG'!$A:$CV,MATCH($A17,'[2]PV.STOCK TIAP GUDANG'!$A:$A,0),MATCH("X300|16+512|STOCK",[2]PVKEY!$1:$1,0))</f>
        <v>0</v>
      </c>
      <c r="T17" s="11">
        <f>INDEX('[2]PV.STOCK TIAP GUDANG'!$A:$CV,MATCH($A17,'[2]PV.STOCK TIAP GUDANG'!$A:$A,0),MATCH("X300|16+512|SALES",[2]PVKEY!$1:$1,0))</f>
        <v>0</v>
      </c>
      <c r="U17" s="12" t="str">
        <f t="shared" si="7"/>
        <v/>
      </c>
      <c r="V17" s="10">
        <f>INDEX('[2]PV.STOCK TIAP GUDANG'!$A:$CV,MATCH($A17,'[2]PV.STOCK TIAP GUDANG'!$A:$A,0),MATCH("Y11D|4+128|STOCK",[2]PVKEY!$1:$1,0))</f>
        <v>2</v>
      </c>
      <c r="W17" s="11">
        <f>INDEX('[2]PV.STOCK TIAP GUDANG'!$A:$CV,MATCH($A17,'[2]PV.STOCK TIAP GUDANG'!$A:$A,0),MATCH("Y11D|4+128|SALES",[2]PVKEY!$1:$1,0))</f>
        <v>4</v>
      </c>
      <c r="X17" s="12">
        <f t="shared" si="8"/>
        <v>13.5</v>
      </c>
      <c r="Y17" s="11">
        <f t="shared" si="9"/>
        <v>0.7407407407407407</v>
      </c>
      <c r="Z17" s="10">
        <f>INDEX('[2]PV.STOCK TIAP GUDANG'!$A:$CV,MATCH($A17,'[2]PV.STOCK TIAP GUDANG'!$A:$A,0),MATCH("Y11D|4+64|STOCK",[2]PVKEY!$1:$1,0))</f>
        <v>1</v>
      </c>
      <c r="AA17" s="11">
        <f>INDEX('[2]PV.STOCK TIAP GUDANG'!$A:$CV,MATCH($A17,'[2]PV.STOCK TIAP GUDANG'!$A:$A,0),MATCH("Y11D|4+64|SALES",[2]PVKEY!$1:$1,0))</f>
        <v>1</v>
      </c>
      <c r="AB17" s="12">
        <f t="shared" si="10"/>
        <v>27</v>
      </c>
      <c r="AC17" s="11">
        <f t="shared" si="11"/>
        <v>0.18518518518518517</v>
      </c>
      <c r="AD17" s="10">
        <f>INDEX('[2]PV.STOCK TIAP GUDANG'!$A:$CV,MATCH($A17,'[2]PV.STOCK TIAP GUDANG'!$A:$A,0),MATCH("Y11D|6+128|STOCK",[2]PVKEY!$1:$1,0))</f>
        <v>0</v>
      </c>
      <c r="AE17" s="11">
        <f>INDEX('[2]PV.STOCK TIAP GUDANG'!$A:$CV,MATCH($A17,'[2]PV.STOCK TIAP GUDANG'!$A:$A,0),MATCH("Y11D|6+128|SALES",[2]PVKEY!$1:$1,0))</f>
        <v>0</v>
      </c>
      <c r="AF17" s="12" t="str">
        <f t="shared" si="12"/>
        <v/>
      </c>
      <c r="AG17" s="11">
        <f t="shared" si="13"/>
        <v>0</v>
      </c>
      <c r="AH17" s="10">
        <f>INDEX('[2]PV.STOCK TIAP GUDANG'!$A:$CV,MATCH($A17,'[2]PV.STOCK TIAP GUDANG'!$A:$A,0),MATCH("Y31D|4+128|STOCK",[2]PVKEY!$1:$1,0))</f>
        <v>0</v>
      </c>
      <c r="AI17" s="11">
        <f>INDEX('[2]PV.STOCK TIAP GUDANG'!$A:$CV,MATCH($A17,'[2]PV.STOCK TIAP GUDANG'!$A:$A,0),MATCH("Y31D|4+128|SALES",[2]PVKEY!$1:$1,0))</f>
        <v>2</v>
      </c>
      <c r="AJ17" s="12">
        <f t="shared" si="14"/>
        <v>0</v>
      </c>
      <c r="AK17" s="10">
        <f>INDEX('[2]PV.STOCK TIAP GUDANG'!$A:$CV,MATCH($A17,'[2]PV.STOCK TIAP GUDANG'!$A:$A,0),MATCH("Y31DPRO|4+128|STOCK",[2]PVKEY!$1:$1,0))</f>
        <v>1</v>
      </c>
      <c r="AL17" s="11">
        <f>INDEX('[2]PV.STOCK TIAP GUDANG'!$A:$CV,MATCH($A17,'[2]PV.STOCK TIAP GUDANG'!$A:$A,0),MATCH("Y31DPRO|4+128|SALES",[2]PVKEY!$1:$1,0))</f>
        <v>0</v>
      </c>
      <c r="AM17" s="12" t="str">
        <f t="shared" si="15"/>
        <v/>
      </c>
      <c r="AN17" s="10">
        <f>INDEX('[2]PV.STOCK TIAP GUDANG'!$A:$CV,MATCH($A17,'[2]PV.STOCK TIAP GUDANG'!$A:$A,0),MATCH("Y31DPRO|6+128|STOCK",[2]PVKEY!$1:$1,0))</f>
        <v>2</v>
      </c>
      <c r="AO17" s="11">
        <f>INDEX('[2]PV.STOCK TIAP GUDANG'!$A:$CV,MATCH($A17,'[2]PV.STOCK TIAP GUDANG'!$A:$A,0),MATCH("Y31DPRO|6+128|SALES",[2]PVKEY!$1:$1,0))</f>
        <v>2</v>
      </c>
      <c r="AP17" s="12">
        <f t="shared" si="16"/>
        <v>27</v>
      </c>
      <c r="AQ17" s="11">
        <f t="shared" si="17"/>
        <v>0.37037037037037035</v>
      </c>
      <c r="AR17" s="10">
        <f>INDEX('[2]PV.STOCK TIAP GUDANG'!$A:$CV,MATCH($A17,'[2]PV.STOCK TIAP GUDANG'!$A:$A,0),MATCH("Y31DPRO|8+128|STOCK",[2]PVKEY!$1:$1,0))</f>
        <v>1</v>
      </c>
      <c r="AS17" s="11">
        <f>INDEX('[2]PV.STOCK TIAP GUDANG'!$A:$CV,MATCH($A17,'[2]PV.STOCK TIAP GUDANG'!$A:$A,0),MATCH("Y31DPRO|8+128|SALES",[2]PVKEY!$1:$1,0))</f>
        <v>1</v>
      </c>
      <c r="AT17" s="12">
        <f t="shared" si="18"/>
        <v>27</v>
      </c>
      <c r="AU17" s="11">
        <f t="shared" si="19"/>
        <v>0.18518518518518517</v>
      </c>
      <c r="AV17" s="10">
        <f>INDEX('[2]PV.STOCK TIAP GUDANG'!$A:$CV,MATCH($A17,'[2]PV.STOCK TIAP GUDANG'!$A:$A,0),MATCH("Y31DPRO|8+256|STOCK",[2]PVKEY!$1:$1,0))</f>
        <v>0</v>
      </c>
      <c r="AW17" s="11">
        <f>INDEX('[2]PV.STOCK TIAP GUDANG'!$A:$CV,MATCH($A17,'[2]PV.STOCK TIAP GUDANG'!$A:$A,0),MATCH("Y31DPRO|8+256|SALES",[2]PVKEY!$1:$1,0))</f>
        <v>0</v>
      </c>
      <c r="AX17" s="12" t="str">
        <f t="shared" si="20"/>
        <v/>
      </c>
      <c r="AY17" s="11">
        <f t="shared" si="21"/>
        <v>0</v>
      </c>
      <c r="AZ17" s="10">
        <f>INDEX('[2]PV.STOCK TIAP GUDANG'!$A:$CV,MATCH($A17,'[2]PV.STOCK TIAP GUDANG'!$A:$A,0),MATCH("V70|12+256|STOCK",[2]PVKEY!$1:$1,0))</f>
        <v>0</v>
      </c>
      <c r="BA17" s="11">
        <f>INDEX('[2]PV.STOCK TIAP GUDANG'!$A:$CV,MATCH($A17,'[2]PV.STOCK TIAP GUDANG'!$A:$A,0),MATCH("V70|12+256|SALES",[2]PVKEY!$1:$1,0))</f>
        <v>0</v>
      </c>
      <c r="BB17" s="12" t="str">
        <f t="shared" si="22"/>
        <v/>
      </c>
      <c r="BC17" s="10">
        <f>INDEX('[2]PV.STOCK TIAP GUDANG'!$A:$CV,MATCH($A17,'[2]PV.STOCK TIAP GUDANG'!$A:$A,0),MATCH("V70|8+256|STOCK",[2]PVKEY!$1:$1,0))</f>
        <v>0</v>
      </c>
      <c r="BD17" s="11">
        <f>INDEX('[2]PV.STOCK TIAP GUDANG'!$A:$CV,MATCH($A17,'[2]PV.STOCK TIAP GUDANG'!$A:$A,0),MATCH("V70|8+256|SALES",[2]PVKEY!$1:$1,0))</f>
        <v>2</v>
      </c>
      <c r="BE17" s="12">
        <f t="shared" si="23"/>
        <v>0</v>
      </c>
      <c r="BF17" s="11">
        <f t="shared" si="24"/>
        <v>0.59259259259259256</v>
      </c>
      <c r="BG17" s="10">
        <f>INDEX('[2]PV.STOCK TIAP GUDANG'!$A:$CV,MATCH($A17,'[2]PV.STOCK TIAP GUDANG'!$A:$A,0),MATCH("V70|12+512|STOCK",[2]PVKEY!$1:$1,0))</f>
        <v>0</v>
      </c>
      <c r="BH17" s="11">
        <f>INDEX('[2]PV.STOCK TIAP GUDANG'!$A:$CV,MATCH($A17,'[2]PV.STOCK TIAP GUDANG'!$A:$A,0),MATCH("V70|12+512|SALES",[2]PVKEY!$1:$1,0))</f>
        <v>0</v>
      </c>
      <c r="BI17" s="12" t="str">
        <f t="shared" si="25"/>
        <v/>
      </c>
      <c r="BJ17" s="11">
        <f t="shared" si="26"/>
        <v>0</v>
      </c>
      <c r="BK17" s="10">
        <f>INDEX('[2]PV.STOCK TIAP GUDANG'!$A:$CV,MATCH($A17,'[2]PV.STOCK TIAP GUDANG'!$A:$A,0),MATCH("V70FE|8+256|STOCK",[2]PVKEY!$1:$1,0))</f>
        <v>1</v>
      </c>
      <c r="BL17" s="11">
        <f>INDEX('[2]PV.STOCK TIAP GUDANG'!$A:$CV,MATCH($A17,'[2]PV.STOCK TIAP GUDANG'!$A:$A,0),MATCH("V70FE|8+256|SALES",[2]PVKEY!$1:$1,0))</f>
        <v>0</v>
      </c>
      <c r="BM17" s="12" t="str">
        <f t="shared" si="27"/>
        <v/>
      </c>
      <c r="BN17" s="11">
        <f t="shared" si="28"/>
        <v>0</v>
      </c>
      <c r="BO17" s="10">
        <f>INDEX('[2]PV.STOCK TIAP GUDANG'!$A:$CV,MATCH($A17,'[2]PV.STOCK TIAP GUDANG'!$A:$A,0),MATCH("V70FE|12+256|STOCK",[2]PVKEY!$1:$1,0))</f>
        <v>0</v>
      </c>
      <c r="BP17" s="11">
        <f>INDEX('[2]PV.STOCK TIAP GUDANG'!$A:$CV,MATCH($A17,'[2]PV.STOCK TIAP GUDANG'!$A:$A,0),MATCH("V70FE|12+256|SALES",[2]PVKEY!$1:$1,0))</f>
        <v>0</v>
      </c>
      <c r="BQ17" s="12" t="str">
        <f t="shared" si="29"/>
        <v/>
      </c>
      <c r="BR17" s="11">
        <f t="shared" si="30"/>
        <v>0</v>
      </c>
      <c r="BS17" s="10">
        <f>INDEX('[2]PV.STOCK TIAP GUDANG'!$A:$CV,MATCH($A17,'[2]PV.STOCK TIAP GUDANG'!$A:$A,0),MATCH("V60LITE5G|8+256|STOCK",[2]PVKEY!$1:$1,0))</f>
        <v>0</v>
      </c>
      <c r="BT17" s="11">
        <f>INDEX('[2]PV.STOCK TIAP GUDANG'!$A:$CV,MATCH($A17,'[2]PV.STOCK TIAP GUDANG'!$A:$A,0),MATCH("V60LITE5G|8+256|SALES",[2]PVKEY!$1:$1,0))</f>
        <v>0</v>
      </c>
      <c r="BU17" s="12" t="str">
        <f t="shared" si="31"/>
        <v/>
      </c>
      <c r="BV17" s="11">
        <f t="shared" si="32"/>
        <v>0</v>
      </c>
      <c r="BW17" s="10">
        <f>INDEX('[2]PV.STOCK TIAP GUDANG'!$A:$CV,MATCH($A17,'[2]PV.STOCK TIAP GUDANG'!$A:$A,0),MATCH("V60LITE|8+256|STOCK",[2]PVKEY!$1:$1,0))</f>
        <v>0</v>
      </c>
      <c r="BX17" s="11">
        <f>INDEX('[2]PV.STOCK TIAP GUDANG'!$A:$CV,MATCH($A17,'[2]PV.STOCK TIAP GUDANG'!$A:$A,0),MATCH("V60LITE|8+256|SALES",[2]PVKEY!$1:$1,0))</f>
        <v>2</v>
      </c>
      <c r="BY17" s="12">
        <f t="shared" si="33"/>
        <v>0</v>
      </c>
      <c r="BZ17" s="11">
        <f t="shared" si="34"/>
        <v>0.59259259259259256</v>
      </c>
      <c r="CA17" s="10">
        <f>INDEX('[2]PV.STOCK TIAP GUDANG'!$A:$CV,MATCH($A17,'[2]PV.STOCK TIAP GUDANG'!$A:$A,0),MATCH("Y05|4+128|STOCK",[2]PVKEY!$1:$1,0))</f>
        <v>1</v>
      </c>
      <c r="CB17" s="11">
        <f>INDEX('[2]PV.STOCK TIAP GUDANG'!$A:$CV,MATCH($A17,'[2]PV.STOCK TIAP GUDANG'!$A:$A,0),MATCH("Y05|4+128|SALES",[2]PVKEY!$1:$1,0))</f>
        <v>2</v>
      </c>
      <c r="CC17" s="12">
        <f t="shared" si="35"/>
        <v>13.5</v>
      </c>
      <c r="CD17" s="11">
        <f t="shared" si="44"/>
        <v>0.51851851851851849</v>
      </c>
      <c r="CE17" s="10">
        <f>INDEX('[2]PV.STOCK TIAP GUDANG'!$A:$CV,MATCH($A17,'[2]PV.STOCK TIAP GUDANG'!$A:$A,0),MATCH("Y05|4+64|STOCK",[2]PVKEY!$1:$1,0))</f>
        <v>2</v>
      </c>
      <c r="CF17" s="11">
        <f>INDEX('[2]PV.STOCK TIAP GUDANG'!$A:$CV,MATCH($A17,'[2]PV.STOCK TIAP GUDANG'!$A:$A,0),MATCH("Y05|4+64|SALES",[2]PVKEY!$1:$1,0))</f>
        <v>3</v>
      </c>
      <c r="CG17" s="12">
        <f t="shared" si="36"/>
        <v>18</v>
      </c>
      <c r="CH17" s="11">
        <f t="shared" si="37"/>
        <v>0.77777777777777768</v>
      </c>
      <c r="CI17" s="10">
        <f>INDEX('[2]PV.STOCK TIAP GUDANG'!$A:$CV,MATCH($A17,'[2]PV.STOCK TIAP GUDANG'!$A:$A,0),MATCH("Y500|6+128|STOCK",[2]PVKEY!$1:$1,0))</f>
        <v>0</v>
      </c>
      <c r="CJ17" s="11">
        <f>INDEX('[2]PV.STOCK TIAP GUDANG'!$A:$CV,MATCH($A17,'[2]PV.STOCK TIAP GUDANG'!$A:$A,0),MATCH("Y500|6+128|SALES",[2]PVKEY!$1:$1,0))</f>
        <v>1</v>
      </c>
      <c r="CK17" s="12">
        <f t="shared" si="38"/>
        <v>0</v>
      </c>
      <c r="CL17" s="10">
        <f>INDEX('[2]PV.STOCK TIAP GUDANG'!$A:$CV,MATCH($A17,'[2]PV.STOCK TIAP GUDANG'!$A:$A,0),MATCH("Y500|6+256|STOCK",[2]PVKEY!$1:$1,0))</f>
        <v>1</v>
      </c>
      <c r="CM17" s="11">
        <f>INDEX('[2]PV.STOCK TIAP GUDANG'!$A:$CV,MATCH($A17,'[2]PV.STOCK TIAP GUDANG'!$A:$A,0),MATCH("Y500|6+256|SALES",[2]PVKEY!$1:$1,0))</f>
        <v>1</v>
      </c>
      <c r="CN17" s="12">
        <f t="shared" si="39"/>
        <v>27</v>
      </c>
      <c r="CO17" s="10">
        <f>INDEX('[2]PV.STOCK TIAP GUDANG'!$A:$CV,MATCH($A17,'[2]PV.STOCK TIAP GUDANG'!$A:$A,0),MATCH("Y05E|4+64|STOCK",[2]PVKEY!$1:$1,0))</f>
        <v>1</v>
      </c>
      <c r="CP17" s="11">
        <f>INDEX('[2]PV.STOCK TIAP GUDANG'!$A:$CV,MATCH($A17,'[2]PV.STOCK TIAP GUDANG'!$A:$A,0),MATCH("Y05E|4+64|SALES",[2]PVKEY!$1:$1,0))</f>
        <v>2</v>
      </c>
      <c r="CQ17" s="12">
        <f t="shared" si="40"/>
        <v>13.5</v>
      </c>
      <c r="CR17" s="13">
        <f t="shared" si="41"/>
        <v>13</v>
      </c>
      <c r="CS17" s="13">
        <f t="shared" si="42"/>
        <v>23</v>
      </c>
      <c r="CT17" s="13">
        <f t="shared" si="43"/>
        <v>15.260869565217391</v>
      </c>
      <c r="CU17" t="s">
        <v>86</v>
      </c>
    </row>
    <row r="18" spans="1:99" ht="15" x14ac:dyDescent="0.15">
      <c r="A18" s="9" t="s">
        <v>36</v>
      </c>
      <c r="B18" s="10">
        <f>INDEX('[2]PV.STOCK TIAP GUDANG'!$A:$CV,MATCH($A18,'[2]PV.STOCK TIAP GUDANG'!$A:$A,0),MATCH("FOLD5|STOCK",[2]PVKEY!$5:$5,0))</f>
        <v>0</v>
      </c>
      <c r="C18" s="11">
        <f>INDEX('[2]PV.STOCK TIAP GUDANG'!$A:$CV,MATCH($A18,'[2]PV.STOCK TIAP GUDANG'!$A:$A,0),MATCH("FOLD5|SALES",[2]PVKEY!$5:$5,0))</f>
        <v>0</v>
      </c>
      <c r="D18" s="12" t="str">
        <f t="shared" si="0"/>
        <v/>
      </c>
      <c r="E18" s="10">
        <f>INDEX('[2]PV.STOCK TIAP GUDANG'!$A:$CV,MATCH($A18,'[2]PV.STOCK TIAP GUDANG'!$A:$A,0),MATCH("X300ULTRA|16+1T|STOCK",[2]PVKEY!$1:$1,0))</f>
        <v>0</v>
      </c>
      <c r="F18" s="11">
        <f>INDEX('[2]PV.STOCK TIAP GUDANG'!$A:$CV,MATCH($A18,'[2]PV.STOCK TIAP GUDANG'!$A:$A,0),MATCH("X300ULTRA|16+1T|SALES",[2]PVKEY!$1:$1,0))</f>
        <v>1</v>
      </c>
      <c r="G18" s="12">
        <f t="shared" si="1"/>
        <v>0</v>
      </c>
      <c r="H18" s="10">
        <f>INDEX('[2]PV.STOCK TIAP GUDANG'!$A:$CV,MATCH($A18,'[2]PV.STOCK TIAP GUDANG'!$A:$A,0),MATCH("X300ULTRA|16+512|STOCK",[2]PVKEY!$1:$1,0))</f>
        <v>1</v>
      </c>
      <c r="I18" s="11">
        <f>INDEX('[2]PV.STOCK TIAP GUDANG'!$A:$CV,MATCH($A18,'[2]PV.STOCK TIAP GUDANG'!$A:$A,0),MATCH("X300ULTRA|16+512|SALES",[2]PVKEY!$1:$1,0))</f>
        <v>0</v>
      </c>
      <c r="J18" s="12" t="str">
        <f t="shared" si="2"/>
        <v/>
      </c>
      <c r="K18" s="11">
        <f t="shared" si="3"/>
        <v>0</v>
      </c>
      <c r="L18" s="10">
        <f>INDEX('[2]PV.STOCK TIAP GUDANG'!$A:$CV,MATCH($A18,'[2]PV.STOCK TIAP GUDANG'!$A:$A,0),MATCH("X300PRO|16+512|STOCK",[2]PVKEY!$1:$1,0))</f>
        <v>0</v>
      </c>
      <c r="M18" s="11">
        <f>INDEX('[2]PV.STOCK TIAP GUDANG'!$A:$CV,MATCH($A18,'[2]PV.STOCK TIAP GUDANG'!$A:$A,0),MATCH("X300PRO|16+512|SALES",[2]PVKEY!$1:$1,0))</f>
        <v>0</v>
      </c>
      <c r="N18" s="12" t="str">
        <f t="shared" si="4"/>
        <v/>
      </c>
      <c r="O18" s="11">
        <f t="shared" si="5"/>
        <v>0</v>
      </c>
      <c r="P18" s="10">
        <f>INDEX('[2]PV.STOCK TIAP GUDANG'!$A:$CV,MATCH($A18,'[2]PV.STOCK TIAP GUDANG'!$A:$A,0),MATCH("X300|12+256|STOCK",[2]PVKEY!$1:$1,0))</f>
        <v>0</v>
      </c>
      <c r="Q18" s="11">
        <f>INDEX('[2]PV.STOCK TIAP GUDANG'!$A:$CV,MATCH($A18,'[2]PV.STOCK TIAP GUDANG'!$A:$A,0),MATCH("X300|12+256|SALES",[2]PVKEY!$1:$1,0))</f>
        <v>0</v>
      </c>
      <c r="R18" s="12" t="str">
        <f t="shared" si="6"/>
        <v/>
      </c>
      <c r="S18" s="10">
        <f>INDEX('[2]PV.STOCK TIAP GUDANG'!$A:$CV,MATCH($A18,'[2]PV.STOCK TIAP GUDANG'!$A:$A,0),MATCH("X300|16+512|STOCK",[2]PVKEY!$1:$1,0))</f>
        <v>0</v>
      </c>
      <c r="T18" s="11">
        <f>INDEX('[2]PV.STOCK TIAP GUDANG'!$A:$CV,MATCH($A18,'[2]PV.STOCK TIAP GUDANG'!$A:$A,0),MATCH("X300|16+512|SALES",[2]PVKEY!$1:$1,0))</f>
        <v>0</v>
      </c>
      <c r="U18" s="12" t="str">
        <f t="shared" si="7"/>
        <v/>
      </c>
      <c r="V18" s="10">
        <f>INDEX('[2]PV.STOCK TIAP GUDANG'!$A:$CV,MATCH($A18,'[2]PV.STOCK TIAP GUDANG'!$A:$A,0),MATCH("Y11D|4+128|STOCK",[2]PVKEY!$1:$1,0))</f>
        <v>4</v>
      </c>
      <c r="W18" s="11">
        <f>INDEX('[2]PV.STOCK TIAP GUDANG'!$A:$CV,MATCH($A18,'[2]PV.STOCK TIAP GUDANG'!$A:$A,0),MATCH("Y11D|4+128|SALES",[2]PVKEY!$1:$1,0))</f>
        <v>30</v>
      </c>
      <c r="X18" s="12">
        <f t="shared" si="8"/>
        <v>3.6</v>
      </c>
      <c r="Y18" s="11">
        <f t="shared" si="9"/>
        <v>5.5555555555555554</v>
      </c>
      <c r="Z18" s="10">
        <f>INDEX('[2]PV.STOCK TIAP GUDANG'!$A:$CV,MATCH($A18,'[2]PV.STOCK TIAP GUDANG'!$A:$A,0),MATCH("Y11D|4+64|STOCK",[2]PVKEY!$1:$1,0))</f>
        <v>0</v>
      </c>
      <c r="AA18" s="11">
        <f>INDEX('[2]PV.STOCK TIAP GUDANG'!$A:$CV,MATCH($A18,'[2]PV.STOCK TIAP GUDANG'!$A:$A,0),MATCH("Y11D|4+64|SALES",[2]PVKEY!$1:$1,0))</f>
        <v>14</v>
      </c>
      <c r="AB18" s="12">
        <f t="shared" si="10"/>
        <v>0</v>
      </c>
      <c r="AC18" s="11">
        <f t="shared" si="11"/>
        <v>2.5925925925925926</v>
      </c>
      <c r="AD18" s="10">
        <f>INDEX('[2]PV.STOCK TIAP GUDANG'!$A:$CV,MATCH($A18,'[2]PV.STOCK TIAP GUDANG'!$A:$A,0),MATCH("Y11D|6+128|STOCK",[2]PVKEY!$1:$1,0))</f>
        <v>0</v>
      </c>
      <c r="AE18" s="11">
        <f>INDEX('[2]PV.STOCK TIAP GUDANG'!$A:$CV,MATCH($A18,'[2]PV.STOCK TIAP GUDANG'!$A:$A,0),MATCH("Y11D|6+128|SALES",[2]PVKEY!$1:$1,0))</f>
        <v>2</v>
      </c>
      <c r="AF18" s="12">
        <f t="shared" si="12"/>
        <v>0</v>
      </c>
      <c r="AG18" s="11">
        <f t="shared" si="13"/>
        <v>0.37037037037037035</v>
      </c>
      <c r="AH18" s="10">
        <f>INDEX('[2]PV.STOCK TIAP GUDANG'!$A:$CV,MATCH($A18,'[2]PV.STOCK TIAP GUDANG'!$A:$A,0),MATCH("Y31D|4+128|STOCK",[2]PVKEY!$1:$1,0))</f>
        <v>0</v>
      </c>
      <c r="AI18" s="11">
        <f>INDEX('[2]PV.STOCK TIAP GUDANG'!$A:$CV,MATCH($A18,'[2]PV.STOCK TIAP GUDANG'!$A:$A,0),MATCH("Y31D|4+128|SALES",[2]PVKEY!$1:$1,0))</f>
        <v>1</v>
      </c>
      <c r="AJ18" s="12">
        <f t="shared" si="14"/>
        <v>0</v>
      </c>
      <c r="AK18" s="10">
        <f>INDEX('[2]PV.STOCK TIAP GUDANG'!$A:$CV,MATCH($A18,'[2]PV.STOCK TIAP GUDANG'!$A:$A,0),MATCH("Y31DPRO|4+128|STOCK",[2]PVKEY!$1:$1,0))</f>
        <v>0</v>
      </c>
      <c r="AL18" s="11">
        <f>INDEX('[2]PV.STOCK TIAP GUDANG'!$A:$CV,MATCH($A18,'[2]PV.STOCK TIAP GUDANG'!$A:$A,0),MATCH("Y31DPRO|4+128|SALES",[2]PVKEY!$1:$1,0))</f>
        <v>11</v>
      </c>
      <c r="AM18" s="12">
        <f t="shared" si="15"/>
        <v>0</v>
      </c>
      <c r="AN18" s="10">
        <f>INDEX('[2]PV.STOCK TIAP GUDANG'!$A:$CV,MATCH($A18,'[2]PV.STOCK TIAP GUDANG'!$A:$A,0),MATCH("Y31DPRO|6+128|STOCK",[2]PVKEY!$1:$1,0))</f>
        <v>4</v>
      </c>
      <c r="AO18" s="11">
        <f>INDEX('[2]PV.STOCK TIAP GUDANG'!$A:$CV,MATCH($A18,'[2]PV.STOCK TIAP GUDANG'!$A:$A,0),MATCH("Y31DPRO|6+128|SALES",[2]PVKEY!$1:$1,0))</f>
        <v>7</v>
      </c>
      <c r="AP18" s="12">
        <f t="shared" si="16"/>
        <v>15.4</v>
      </c>
      <c r="AQ18" s="11">
        <f t="shared" si="17"/>
        <v>1.2962962962962963</v>
      </c>
      <c r="AR18" s="10">
        <f>INDEX('[2]PV.STOCK TIAP GUDANG'!$A:$CV,MATCH($A18,'[2]PV.STOCK TIAP GUDANG'!$A:$A,0),MATCH("Y31DPRO|8+128|STOCK",[2]PVKEY!$1:$1,0))</f>
        <v>5</v>
      </c>
      <c r="AS18" s="11">
        <f>INDEX('[2]PV.STOCK TIAP GUDANG'!$A:$CV,MATCH($A18,'[2]PV.STOCK TIAP GUDANG'!$A:$A,0),MATCH("Y31DPRO|8+128|SALES",[2]PVKEY!$1:$1,0))</f>
        <v>2</v>
      </c>
      <c r="AT18" s="12">
        <f t="shared" si="18"/>
        <v>67.5</v>
      </c>
      <c r="AU18" s="11">
        <f t="shared" si="19"/>
        <v>0.37037037037037035</v>
      </c>
      <c r="AV18" s="10">
        <f>INDEX('[2]PV.STOCK TIAP GUDANG'!$A:$CV,MATCH($A18,'[2]PV.STOCK TIAP GUDANG'!$A:$A,0),MATCH("Y31DPRO|8+256|STOCK",[2]PVKEY!$1:$1,0))</f>
        <v>1</v>
      </c>
      <c r="AW18" s="11">
        <f>INDEX('[2]PV.STOCK TIAP GUDANG'!$A:$CV,MATCH($A18,'[2]PV.STOCK TIAP GUDANG'!$A:$A,0),MATCH("Y31DPRO|8+256|SALES",[2]PVKEY!$1:$1,0))</f>
        <v>2</v>
      </c>
      <c r="AX18" s="12">
        <f t="shared" si="20"/>
        <v>13.5</v>
      </c>
      <c r="AY18" s="11">
        <f t="shared" si="21"/>
        <v>0.37037037037037035</v>
      </c>
      <c r="AZ18" s="10">
        <f>INDEX('[2]PV.STOCK TIAP GUDANG'!$A:$CV,MATCH($A18,'[2]PV.STOCK TIAP GUDANG'!$A:$A,0),MATCH("V70|12+256|STOCK",[2]PVKEY!$1:$1,0))</f>
        <v>0</v>
      </c>
      <c r="BA18" s="11">
        <f>INDEX('[2]PV.STOCK TIAP GUDANG'!$A:$CV,MATCH($A18,'[2]PV.STOCK TIAP GUDANG'!$A:$A,0),MATCH("V70|12+256|SALES",[2]PVKEY!$1:$1,0))</f>
        <v>7</v>
      </c>
      <c r="BB18" s="12">
        <f t="shared" si="22"/>
        <v>0</v>
      </c>
      <c r="BC18" s="10">
        <f>INDEX('[2]PV.STOCK TIAP GUDANG'!$A:$CV,MATCH($A18,'[2]PV.STOCK TIAP GUDANG'!$A:$A,0),MATCH("V70|8+256|STOCK",[2]PVKEY!$1:$1,0))</f>
        <v>5</v>
      </c>
      <c r="BD18" s="11">
        <f>INDEX('[2]PV.STOCK TIAP GUDANG'!$A:$CV,MATCH($A18,'[2]PV.STOCK TIAP GUDANG'!$A:$A,0),MATCH("V70|8+256|SALES",[2]PVKEY!$1:$1,0))</f>
        <v>8</v>
      </c>
      <c r="BE18" s="12">
        <f t="shared" si="23"/>
        <v>16.899999999999999</v>
      </c>
      <c r="BF18" s="11">
        <f t="shared" si="24"/>
        <v>2.3703703703703702</v>
      </c>
      <c r="BG18" s="10">
        <f>INDEX('[2]PV.STOCK TIAP GUDANG'!$A:$CV,MATCH($A18,'[2]PV.STOCK TIAP GUDANG'!$A:$A,0),MATCH("V70|12+512|STOCK",[2]PVKEY!$1:$1,0))</f>
        <v>0</v>
      </c>
      <c r="BH18" s="11">
        <f>INDEX('[2]PV.STOCK TIAP GUDANG'!$A:$CV,MATCH($A18,'[2]PV.STOCK TIAP GUDANG'!$A:$A,0),MATCH("V70|12+512|SALES",[2]PVKEY!$1:$1,0))</f>
        <v>0</v>
      </c>
      <c r="BI18" s="12" t="str">
        <f t="shared" si="25"/>
        <v/>
      </c>
      <c r="BJ18" s="11">
        <f t="shared" si="26"/>
        <v>0</v>
      </c>
      <c r="BK18" s="10">
        <f>INDEX('[2]PV.STOCK TIAP GUDANG'!$A:$CV,MATCH($A18,'[2]PV.STOCK TIAP GUDANG'!$A:$A,0),MATCH("V70FE|8+256|STOCK",[2]PVKEY!$1:$1,0))</f>
        <v>0</v>
      </c>
      <c r="BL18" s="11">
        <f>INDEX('[2]PV.STOCK TIAP GUDANG'!$A:$CV,MATCH($A18,'[2]PV.STOCK TIAP GUDANG'!$A:$A,0),MATCH("V70FE|8+256|SALES",[2]PVKEY!$1:$1,0))</f>
        <v>4</v>
      </c>
      <c r="BM18" s="12">
        <f t="shared" si="27"/>
        <v>0</v>
      </c>
      <c r="BN18" s="11">
        <f t="shared" si="28"/>
        <v>1.1851851851851851</v>
      </c>
      <c r="BO18" s="10">
        <f>INDEX('[2]PV.STOCK TIAP GUDANG'!$A:$CV,MATCH($A18,'[2]PV.STOCK TIAP GUDANG'!$A:$A,0),MATCH("V70FE|12+256|STOCK",[2]PVKEY!$1:$1,0))</f>
        <v>4</v>
      </c>
      <c r="BP18" s="11">
        <f>INDEX('[2]PV.STOCK TIAP GUDANG'!$A:$CV,MATCH($A18,'[2]PV.STOCK TIAP GUDANG'!$A:$A,0),MATCH("V70FE|12+256|SALES",[2]PVKEY!$1:$1,0))</f>
        <v>1</v>
      </c>
      <c r="BQ18" s="12">
        <f t="shared" si="29"/>
        <v>108</v>
      </c>
      <c r="BR18" s="11">
        <f t="shared" si="30"/>
        <v>0.29629629629629628</v>
      </c>
      <c r="BS18" s="10">
        <f>INDEX('[2]PV.STOCK TIAP GUDANG'!$A:$CV,MATCH($A18,'[2]PV.STOCK TIAP GUDANG'!$A:$A,0),MATCH("V60LITE5G|8+256|STOCK",[2]PVKEY!$1:$1,0))</f>
        <v>0</v>
      </c>
      <c r="BT18" s="11">
        <f>INDEX('[2]PV.STOCK TIAP GUDANG'!$A:$CV,MATCH($A18,'[2]PV.STOCK TIAP GUDANG'!$A:$A,0),MATCH("V60LITE5G|8+256|SALES",[2]PVKEY!$1:$1,0))</f>
        <v>0</v>
      </c>
      <c r="BU18" s="12" t="str">
        <f t="shared" si="31"/>
        <v/>
      </c>
      <c r="BV18" s="11">
        <f t="shared" si="32"/>
        <v>0</v>
      </c>
      <c r="BW18" s="10">
        <f>INDEX('[2]PV.STOCK TIAP GUDANG'!$A:$CV,MATCH($A18,'[2]PV.STOCK TIAP GUDANG'!$A:$A,0),MATCH("V60LITE|8+256|STOCK",[2]PVKEY!$1:$1,0))</f>
        <v>3</v>
      </c>
      <c r="BX18" s="11">
        <f>INDEX('[2]PV.STOCK TIAP GUDANG'!$A:$CV,MATCH($A18,'[2]PV.STOCK TIAP GUDANG'!$A:$A,0),MATCH("V60LITE|8+256|SALES",[2]PVKEY!$1:$1,0))</f>
        <v>17</v>
      </c>
      <c r="BY18" s="12">
        <f t="shared" si="33"/>
        <v>4.8</v>
      </c>
      <c r="BZ18" s="11">
        <f t="shared" si="34"/>
        <v>5.0370370370370372</v>
      </c>
      <c r="CA18" s="10">
        <f>INDEX('[2]PV.STOCK TIAP GUDANG'!$A:$CV,MATCH($A18,'[2]PV.STOCK TIAP GUDANG'!$A:$A,0),MATCH("Y05|4+128|STOCK",[2]PVKEY!$1:$1,0))</f>
        <v>1</v>
      </c>
      <c r="CB18" s="11">
        <f>INDEX('[2]PV.STOCK TIAP GUDANG'!$A:$CV,MATCH($A18,'[2]PV.STOCK TIAP GUDANG'!$A:$A,0),MATCH("Y05|4+128|SALES",[2]PVKEY!$1:$1,0))</f>
        <v>31</v>
      </c>
      <c r="CC18" s="12">
        <f t="shared" si="35"/>
        <v>0.9</v>
      </c>
      <c r="CD18" s="11">
        <f t="shared" si="44"/>
        <v>8.0370370370370363</v>
      </c>
      <c r="CE18" s="10">
        <f>INDEX('[2]PV.STOCK TIAP GUDANG'!$A:$CV,MATCH($A18,'[2]PV.STOCK TIAP GUDANG'!$A:$A,0),MATCH("Y05|4+64|STOCK",[2]PVKEY!$1:$1,0))</f>
        <v>0</v>
      </c>
      <c r="CF18" s="11">
        <f>INDEX('[2]PV.STOCK TIAP GUDANG'!$A:$CV,MATCH($A18,'[2]PV.STOCK TIAP GUDANG'!$A:$A,0),MATCH("Y05|4+64|SALES",[2]PVKEY!$1:$1,0))</f>
        <v>33</v>
      </c>
      <c r="CG18" s="12">
        <f t="shared" si="36"/>
        <v>0</v>
      </c>
      <c r="CH18" s="11">
        <f t="shared" si="37"/>
        <v>8.5555555555555571</v>
      </c>
      <c r="CI18" s="10">
        <f>INDEX('[2]PV.STOCK TIAP GUDANG'!$A:$CV,MATCH($A18,'[2]PV.STOCK TIAP GUDANG'!$A:$A,0),MATCH("Y500|6+128|STOCK",[2]PVKEY!$1:$1,0))</f>
        <v>3</v>
      </c>
      <c r="CJ18" s="11">
        <f>INDEX('[2]PV.STOCK TIAP GUDANG'!$A:$CV,MATCH($A18,'[2]PV.STOCK TIAP GUDANG'!$A:$A,0),MATCH("Y500|6+128|SALES",[2]PVKEY!$1:$1,0))</f>
        <v>0</v>
      </c>
      <c r="CK18" s="12" t="str">
        <f t="shared" si="38"/>
        <v/>
      </c>
      <c r="CL18" s="10">
        <f>INDEX('[2]PV.STOCK TIAP GUDANG'!$A:$CV,MATCH($A18,'[2]PV.STOCK TIAP GUDANG'!$A:$A,0),MATCH("Y500|6+256|STOCK",[2]PVKEY!$1:$1,0))</f>
        <v>2</v>
      </c>
      <c r="CM18" s="11">
        <f>INDEX('[2]PV.STOCK TIAP GUDANG'!$A:$CV,MATCH($A18,'[2]PV.STOCK TIAP GUDANG'!$A:$A,0),MATCH("Y500|6+256|SALES",[2]PVKEY!$1:$1,0))</f>
        <v>0</v>
      </c>
      <c r="CN18" s="12" t="str">
        <f t="shared" si="39"/>
        <v/>
      </c>
      <c r="CO18" s="10">
        <f>INDEX('[2]PV.STOCK TIAP GUDANG'!$A:$CV,MATCH($A18,'[2]PV.STOCK TIAP GUDANG'!$A:$A,0),MATCH("Y05E|4+64|STOCK",[2]PVKEY!$1:$1,0))</f>
        <v>7</v>
      </c>
      <c r="CP18" s="11">
        <f>INDEX('[2]PV.STOCK TIAP GUDANG'!$A:$CV,MATCH($A18,'[2]PV.STOCK TIAP GUDANG'!$A:$A,0),MATCH("Y05E|4+64|SALES",[2]PVKEY!$1:$1,0))</f>
        <v>17</v>
      </c>
      <c r="CQ18" s="12">
        <f t="shared" si="40"/>
        <v>11.1</v>
      </c>
      <c r="CR18" s="13">
        <f t="shared" si="41"/>
        <v>40</v>
      </c>
      <c r="CS18" s="13">
        <f t="shared" si="42"/>
        <v>188</v>
      </c>
      <c r="CT18" s="13">
        <f t="shared" si="43"/>
        <v>5.7446808510638299</v>
      </c>
      <c r="CU18" s="26" t="s">
        <v>87</v>
      </c>
    </row>
    <row r="19" spans="1:99" ht="15" x14ac:dyDescent="0.15">
      <c r="A19" s="9" t="s">
        <v>35</v>
      </c>
      <c r="B19" s="10">
        <f>INDEX('[2]PV.STOCK TIAP GUDANG'!$A:$CV,MATCH($A19,'[2]PV.STOCK TIAP GUDANG'!$A:$A,0),MATCH("FOLD5|STOCK",[2]PVKEY!$5:$5,0))</f>
        <v>0</v>
      </c>
      <c r="C19" s="11">
        <f>INDEX('[2]PV.STOCK TIAP GUDANG'!$A:$CV,MATCH($A19,'[2]PV.STOCK TIAP GUDANG'!$A:$A,0),MATCH("FOLD5|SALES",[2]PVKEY!$5:$5,0))</f>
        <v>0</v>
      </c>
      <c r="D19" s="12" t="str">
        <f t="shared" si="0"/>
        <v/>
      </c>
      <c r="E19" s="10">
        <f>INDEX('[2]PV.STOCK TIAP GUDANG'!$A:$CV,MATCH($A19,'[2]PV.STOCK TIAP GUDANG'!$A:$A,0),MATCH("X300ULTRA|16+1T|STOCK",[2]PVKEY!$1:$1,0))</f>
        <v>0</v>
      </c>
      <c r="F19" s="11">
        <f>INDEX('[2]PV.STOCK TIAP GUDANG'!$A:$CV,MATCH($A19,'[2]PV.STOCK TIAP GUDANG'!$A:$A,0),MATCH("X300ULTRA|16+1T|SALES",[2]PVKEY!$1:$1,0))</f>
        <v>0</v>
      </c>
      <c r="G19" s="12" t="str">
        <f t="shared" si="1"/>
        <v/>
      </c>
      <c r="H19" s="10">
        <f>INDEX('[2]PV.STOCK TIAP GUDANG'!$A:$CV,MATCH($A19,'[2]PV.STOCK TIAP GUDANG'!$A:$A,0),MATCH("X300ULTRA|16+512|STOCK",[2]PVKEY!$1:$1,0))</f>
        <v>1</v>
      </c>
      <c r="I19" s="11">
        <f>INDEX('[2]PV.STOCK TIAP GUDANG'!$A:$CV,MATCH($A19,'[2]PV.STOCK TIAP GUDANG'!$A:$A,0),MATCH("X300ULTRA|16+512|SALES",[2]PVKEY!$1:$1,0))</f>
        <v>1</v>
      </c>
      <c r="J19" s="12">
        <f t="shared" si="2"/>
        <v>27</v>
      </c>
      <c r="K19" s="11">
        <f t="shared" si="3"/>
        <v>0.37037037037037035</v>
      </c>
      <c r="L19" s="10">
        <f>INDEX('[2]PV.STOCK TIAP GUDANG'!$A:$CV,MATCH($A19,'[2]PV.STOCK TIAP GUDANG'!$A:$A,0),MATCH("X300PRO|16+512|STOCK",[2]PVKEY!$1:$1,0))</f>
        <v>0</v>
      </c>
      <c r="M19" s="11">
        <f>INDEX('[2]PV.STOCK TIAP GUDANG'!$A:$CV,MATCH($A19,'[2]PV.STOCK TIAP GUDANG'!$A:$A,0),MATCH("X300PRO|16+512|SALES",[2]PVKEY!$1:$1,0))</f>
        <v>0</v>
      </c>
      <c r="N19" s="12" t="str">
        <f t="shared" si="4"/>
        <v/>
      </c>
      <c r="O19" s="11">
        <f t="shared" si="5"/>
        <v>0</v>
      </c>
      <c r="P19" s="10">
        <f>INDEX('[2]PV.STOCK TIAP GUDANG'!$A:$CV,MATCH($A19,'[2]PV.STOCK TIAP GUDANG'!$A:$A,0),MATCH("X300|12+256|STOCK",[2]PVKEY!$1:$1,0))</f>
        <v>0</v>
      </c>
      <c r="Q19" s="11">
        <f>INDEX('[2]PV.STOCK TIAP GUDANG'!$A:$CV,MATCH($A19,'[2]PV.STOCK TIAP GUDANG'!$A:$A,0),MATCH("X300|12+256|SALES",[2]PVKEY!$1:$1,0))</f>
        <v>0</v>
      </c>
      <c r="R19" s="12" t="str">
        <f t="shared" si="6"/>
        <v/>
      </c>
      <c r="S19" s="10">
        <f>INDEX('[2]PV.STOCK TIAP GUDANG'!$A:$CV,MATCH($A19,'[2]PV.STOCK TIAP GUDANG'!$A:$A,0),MATCH("X300|16+512|STOCK",[2]PVKEY!$1:$1,0))</f>
        <v>0</v>
      </c>
      <c r="T19" s="11">
        <f>INDEX('[2]PV.STOCK TIAP GUDANG'!$A:$CV,MATCH($A19,'[2]PV.STOCK TIAP GUDANG'!$A:$A,0),MATCH("X300|16+512|SALES",[2]PVKEY!$1:$1,0))</f>
        <v>0</v>
      </c>
      <c r="U19" s="12" t="str">
        <f t="shared" si="7"/>
        <v/>
      </c>
      <c r="V19" s="10">
        <f>INDEX('[2]PV.STOCK TIAP GUDANG'!$A:$CV,MATCH($A19,'[2]PV.STOCK TIAP GUDANG'!$A:$A,0),MATCH("Y11D|4+128|STOCK",[2]PVKEY!$1:$1,0))</f>
        <v>2</v>
      </c>
      <c r="W19" s="11">
        <f>INDEX('[2]PV.STOCK TIAP GUDANG'!$A:$CV,MATCH($A19,'[2]PV.STOCK TIAP GUDANG'!$A:$A,0),MATCH("Y11D|4+128|SALES",[2]PVKEY!$1:$1,0))</f>
        <v>0</v>
      </c>
      <c r="X19" s="12" t="str">
        <f t="shared" si="8"/>
        <v/>
      </c>
      <c r="Y19" s="11">
        <f t="shared" si="9"/>
        <v>0</v>
      </c>
      <c r="Z19" s="10">
        <f>INDEX('[2]PV.STOCK TIAP GUDANG'!$A:$CV,MATCH($A19,'[2]PV.STOCK TIAP GUDANG'!$A:$A,0),MATCH("Y11D|4+64|STOCK",[2]PVKEY!$1:$1,0))</f>
        <v>2</v>
      </c>
      <c r="AA19" s="11">
        <f>INDEX('[2]PV.STOCK TIAP GUDANG'!$A:$CV,MATCH($A19,'[2]PV.STOCK TIAP GUDANG'!$A:$A,0),MATCH("Y11D|4+64|SALES",[2]PVKEY!$1:$1,0))</f>
        <v>0</v>
      </c>
      <c r="AB19" s="12" t="str">
        <f t="shared" si="10"/>
        <v/>
      </c>
      <c r="AC19" s="11">
        <f t="shared" si="11"/>
        <v>0</v>
      </c>
      <c r="AD19" s="10">
        <f>INDEX('[2]PV.STOCK TIAP GUDANG'!$A:$CV,MATCH($A19,'[2]PV.STOCK TIAP GUDANG'!$A:$A,0),MATCH("Y11D|6+128|STOCK",[2]PVKEY!$1:$1,0))</f>
        <v>0</v>
      </c>
      <c r="AE19" s="11">
        <f>INDEX('[2]PV.STOCK TIAP GUDANG'!$A:$CV,MATCH($A19,'[2]PV.STOCK TIAP GUDANG'!$A:$A,0),MATCH("Y11D|6+128|SALES",[2]PVKEY!$1:$1,0))</f>
        <v>0</v>
      </c>
      <c r="AF19" s="12" t="str">
        <f t="shared" si="12"/>
        <v/>
      </c>
      <c r="AG19" s="11">
        <f t="shared" si="13"/>
        <v>0</v>
      </c>
      <c r="AH19" s="10">
        <f>INDEX('[2]PV.STOCK TIAP GUDANG'!$A:$CV,MATCH($A19,'[2]PV.STOCK TIAP GUDANG'!$A:$A,0),MATCH("Y31D|4+128|STOCK",[2]PVKEY!$1:$1,0))</f>
        <v>2</v>
      </c>
      <c r="AI19" s="11">
        <f>INDEX('[2]PV.STOCK TIAP GUDANG'!$A:$CV,MATCH($A19,'[2]PV.STOCK TIAP GUDANG'!$A:$A,0),MATCH("Y31D|4+128|SALES",[2]PVKEY!$1:$1,0))</f>
        <v>0</v>
      </c>
      <c r="AJ19" s="12" t="str">
        <f t="shared" si="14"/>
        <v/>
      </c>
      <c r="AK19" s="10">
        <f>INDEX('[2]PV.STOCK TIAP GUDANG'!$A:$CV,MATCH($A19,'[2]PV.STOCK TIAP GUDANG'!$A:$A,0),MATCH("Y31DPRO|4+128|STOCK",[2]PVKEY!$1:$1,0))</f>
        <v>0</v>
      </c>
      <c r="AL19" s="11">
        <f>INDEX('[2]PV.STOCK TIAP GUDANG'!$A:$CV,MATCH($A19,'[2]PV.STOCK TIAP GUDANG'!$A:$A,0),MATCH("Y31DPRO|4+128|SALES",[2]PVKEY!$1:$1,0))</f>
        <v>1</v>
      </c>
      <c r="AM19" s="12">
        <f t="shared" si="15"/>
        <v>0</v>
      </c>
      <c r="AN19" s="10">
        <f>INDEX('[2]PV.STOCK TIAP GUDANG'!$A:$CV,MATCH($A19,'[2]PV.STOCK TIAP GUDANG'!$A:$A,0),MATCH("Y31DPRO|6+128|STOCK",[2]PVKEY!$1:$1,0))</f>
        <v>2</v>
      </c>
      <c r="AO19" s="11">
        <f>INDEX('[2]PV.STOCK TIAP GUDANG'!$A:$CV,MATCH($A19,'[2]PV.STOCK TIAP GUDANG'!$A:$A,0),MATCH("Y31DPRO|6+128|SALES",[2]PVKEY!$1:$1,0))</f>
        <v>0</v>
      </c>
      <c r="AP19" s="12" t="str">
        <f t="shared" si="16"/>
        <v/>
      </c>
      <c r="AQ19" s="11">
        <f t="shared" si="17"/>
        <v>0</v>
      </c>
      <c r="AR19" s="10">
        <f>INDEX('[2]PV.STOCK TIAP GUDANG'!$A:$CV,MATCH($A19,'[2]PV.STOCK TIAP GUDANG'!$A:$A,0),MATCH("Y31DPRO|8+128|STOCK",[2]PVKEY!$1:$1,0))</f>
        <v>1</v>
      </c>
      <c r="AS19" s="11">
        <f>INDEX('[2]PV.STOCK TIAP GUDANG'!$A:$CV,MATCH($A19,'[2]PV.STOCK TIAP GUDANG'!$A:$A,0),MATCH("Y31DPRO|8+128|SALES",[2]PVKEY!$1:$1,0))</f>
        <v>0</v>
      </c>
      <c r="AT19" s="12" t="str">
        <f t="shared" si="18"/>
        <v/>
      </c>
      <c r="AU19" s="11">
        <f t="shared" si="19"/>
        <v>0</v>
      </c>
      <c r="AV19" s="10">
        <f>INDEX('[2]PV.STOCK TIAP GUDANG'!$A:$CV,MATCH($A19,'[2]PV.STOCK TIAP GUDANG'!$A:$A,0),MATCH("Y31DPRO|8+256|STOCK",[2]PVKEY!$1:$1,0))</f>
        <v>2</v>
      </c>
      <c r="AW19" s="11">
        <f>INDEX('[2]PV.STOCK TIAP GUDANG'!$A:$CV,MATCH($A19,'[2]PV.STOCK TIAP GUDANG'!$A:$A,0),MATCH("Y31DPRO|8+256|SALES",[2]PVKEY!$1:$1,0))</f>
        <v>0</v>
      </c>
      <c r="AX19" s="12" t="str">
        <f t="shared" si="20"/>
        <v/>
      </c>
      <c r="AY19" s="11">
        <f t="shared" si="21"/>
        <v>0</v>
      </c>
      <c r="AZ19" s="10">
        <f>INDEX('[2]PV.STOCK TIAP GUDANG'!$A:$CV,MATCH($A19,'[2]PV.STOCK TIAP GUDANG'!$A:$A,0),MATCH("V70|12+256|STOCK",[2]PVKEY!$1:$1,0))</f>
        <v>0</v>
      </c>
      <c r="BA19" s="11">
        <f>INDEX('[2]PV.STOCK TIAP GUDANG'!$A:$CV,MATCH($A19,'[2]PV.STOCK TIAP GUDANG'!$A:$A,0),MATCH("V70|12+256|SALES",[2]PVKEY!$1:$1,0))</f>
        <v>0</v>
      </c>
      <c r="BB19" s="12" t="str">
        <f t="shared" si="22"/>
        <v/>
      </c>
      <c r="BC19" s="10">
        <f>INDEX('[2]PV.STOCK TIAP GUDANG'!$A:$CV,MATCH($A19,'[2]PV.STOCK TIAP GUDANG'!$A:$A,0),MATCH("V70|8+256|STOCK",[2]PVKEY!$1:$1,0))</f>
        <v>3</v>
      </c>
      <c r="BD19" s="11">
        <f>INDEX('[2]PV.STOCK TIAP GUDANG'!$A:$CV,MATCH($A19,'[2]PV.STOCK TIAP GUDANG'!$A:$A,0),MATCH("V70|8+256|SALES",[2]PVKEY!$1:$1,0))</f>
        <v>0</v>
      </c>
      <c r="BE19" s="12" t="str">
        <f t="shared" si="23"/>
        <v/>
      </c>
      <c r="BF19" s="11">
        <f t="shared" si="24"/>
        <v>0</v>
      </c>
      <c r="BG19" s="10">
        <f>INDEX('[2]PV.STOCK TIAP GUDANG'!$A:$CV,MATCH($A19,'[2]PV.STOCK TIAP GUDANG'!$A:$A,0),MATCH("V70|12+512|STOCK",[2]PVKEY!$1:$1,0))</f>
        <v>0</v>
      </c>
      <c r="BH19" s="11">
        <f>INDEX('[2]PV.STOCK TIAP GUDANG'!$A:$CV,MATCH($A19,'[2]PV.STOCK TIAP GUDANG'!$A:$A,0),MATCH("V70|12+512|SALES",[2]PVKEY!$1:$1,0))</f>
        <v>0</v>
      </c>
      <c r="BI19" s="12" t="str">
        <f t="shared" si="25"/>
        <v/>
      </c>
      <c r="BJ19" s="11">
        <f t="shared" si="26"/>
        <v>0</v>
      </c>
      <c r="BK19" s="10">
        <f>INDEX('[2]PV.STOCK TIAP GUDANG'!$A:$CV,MATCH($A19,'[2]PV.STOCK TIAP GUDANG'!$A:$A,0),MATCH("V70FE|8+256|STOCK",[2]PVKEY!$1:$1,0))</f>
        <v>0</v>
      </c>
      <c r="BL19" s="11">
        <f>INDEX('[2]PV.STOCK TIAP GUDANG'!$A:$CV,MATCH($A19,'[2]PV.STOCK TIAP GUDANG'!$A:$A,0),MATCH("V70FE|8+256|SALES",[2]PVKEY!$1:$1,0))</f>
        <v>0</v>
      </c>
      <c r="BM19" s="12" t="str">
        <f t="shared" si="27"/>
        <v/>
      </c>
      <c r="BN19" s="11">
        <f t="shared" si="28"/>
        <v>0</v>
      </c>
      <c r="BO19" s="10">
        <f>INDEX('[2]PV.STOCK TIAP GUDANG'!$A:$CV,MATCH($A19,'[2]PV.STOCK TIAP GUDANG'!$A:$A,0),MATCH("V70FE|12+256|STOCK",[2]PVKEY!$1:$1,0))</f>
        <v>2</v>
      </c>
      <c r="BP19" s="11">
        <f>INDEX('[2]PV.STOCK TIAP GUDANG'!$A:$CV,MATCH($A19,'[2]PV.STOCK TIAP GUDANG'!$A:$A,0),MATCH("V70FE|12+256|SALES",[2]PVKEY!$1:$1,0))</f>
        <v>0</v>
      </c>
      <c r="BQ19" s="12" t="str">
        <f t="shared" si="29"/>
        <v/>
      </c>
      <c r="BR19" s="11">
        <f t="shared" si="30"/>
        <v>0</v>
      </c>
      <c r="BS19" s="10">
        <f>INDEX('[2]PV.STOCK TIAP GUDANG'!$A:$CV,MATCH($A19,'[2]PV.STOCK TIAP GUDANG'!$A:$A,0),MATCH("V60LITE5G|8+256|STOCK",[2]PVKEY!$1:$1,0))</f>
        <v>0</v>
      </c>
      <c r="BT19" s="11">
        <f>INDEX('[2]PV.STOCK TIAP GUDANG'!$A:$CV,MATCH($A19,'[2]PV.STOCK TIAP GUDANG'!$A:$A,0),MATCH("V60LITE5G|8+256|SALES",[2]PVKEY!$1:$1,0))</f>
        <v>0</v>
      </c>
      <c r="BU19" s="12" t="str">
        <f t="shared" si="31"/>
        <v/>
      </c>
      <c r="BV19" s="11">
        <f t="shared" si="32"/>
        <v>0</v>
      </c>
      <c r="BW19" s="10">
        <f>INDEX('[2]PV.STOCK TIAP GUDANG'!$A:$CV,MATCH($A19,'[2]PV.STOCK TIAP GUDANG'!$A:$A,0),MATCH("V60LITE|8+256|STOCK",[2]PVKEY!$1:$1,0))</f>
        <v>2</v>
      </c>
      <c r="BX19" s="11">
        <f>INDEX('[2]PV.STOCK TIAP GUDANG'!$A:$CV,MATCH($A19,'[2]PV.STOCK TIAP GUDANG'!$A:$A,0),MATCH("V60LITE|8+256|SALES",[2]PVKEY!$1:$1,0))</f>
        <v>0</v>
      </c>
      <c r="BY19" s="12" t="str">
        <f t="shared" si="33"/>
        <v/>
      </c>
      <c r="BZ19" s="11">
        <f t="shared" si="34"/>
        <v>0</v>
      </c>
      <c r="CA19" s="10">
        <f>INDEX('[2]PV.STOCK TIAP GUDANG'!$A:$CV,MATCH($A19,'[2]PV.STOCK TIAP GUDANG'!$A:$A,0),MATCH("Y05|4+128|STOCK",[2]PVKEY!$1:$1,0))</f>
        <v>1</v>
      </c>
      <c r="CB19" s="11">
        <f>INDEX('[2]PV.STOCK TIAP GUDANG'!$A:$CV,MATCH($A19,'[2]PV.STOCK TIAP GUDANG'!$A:$A,0),MATCH("Y05|4+128|SALES",[2]PVKEY!$1:$1,0))</f>
        <v>2</v>
      </c>
      <c r="CC19" s="12">
        <f t="shared" si="35"/>
        <v>13.5</v>
      </c>
      <c r="CD19" s="11">
        <f t="shared" si="44"/>
        <v>0.51851851851851849</v>
      </c>
      <c r="CE19" s="10">
        <f>INDEX('[2]PV.STOCK TIAP GUDANG'!$A:$CV,MATCH($A19,'[2]PV.STOCK TIAP GUDANG'!$A:$A,0),MATCH("Y05|4+64|STOCK",[2]PVKEY!$1:$1,0))</f>
        <v>2</v>
      </c>
      <c r="CF19" s="11">
        <f>INDEX('[2]PV.STOCK TIAP GUDANG'!$A:$CV,MATCH($A19,'[2]PV.STOCK TIAP GUDANG'!$A:$A,0),MATCH("Y05|4+64|SALES",[2]PVKEY!$1:$1,0))</f>
        <v>1</v>
      </c>
      <c r="CG19" s="12">
        <f t="shared" si="36"/>
        <v>54</v>
      </c>
      <c r="CH19" s="11">
        <f t="shared" si="37"/>
        <v>0.25925925925925924</v>
      </c>
      <c r="CI19" s="10">
        <f>INDEX('[2]PV.STOCK TIAP GUDANG'!$A:$CV,MATCH($A19,'[2]PV.STOCK TIAP GUDANG'!$A:$A,0),MATCH("Y500|6+128|STOCK",[2]PVKEY!$1:$1,0))</f>
        <v>0</v>
      </c>
      <c r="CJ19" s="11">
        <f>INDEX('[2]PV.STOCK TIAP GUDANG'!$A:$CV,MATCH($A19,'[2]PV.STOCK TIAP GUDANG'!$A:$A,0),MATCH("Y500|6+128|SALES",[2]PVKEY!$1:$1,0))</f>
        <v>1</v>
      </c>
      <c r="CK19" s="12">
        <f t="shared" si="38"/>
        <v>0</v>
      </c>
      <c r="CL19" s="10">
        <f>INDEX('[2]PV.STOCK TIAP GUDANG'!$A:$CV,MATCH($A19,'[2]PV.STOCK TIAP GUDANG'!$A:$A,0),MATCH("Y500|6+256|STOCK",[2]PVKEY!$1:$1,0))</f>
        <v>2</v>
      </c>
      <c r="CM19" s="11">
        <f>INDEX('[2]PV.STOCK TIAP GUDANG'!$A:$CV,MATCH($A19,'[2]PV.STOCK TIAP GUDANG'!$A:$A,0),MATCH("Y500|6+256|SALES",[2]PVKEY!$1:$1,0))</f>
        <v>0</v>
      </c>
      <c r="CN19" s="12" t="str">
        <f t="shared" si="39"/>
        <v/>
      </c>
      <c r="CO19" s="10">
        <f>INDEX('[2]PV.STOCK TIAP GUDANG'!$A:$CV,MATCH($A19,'[2]PV.STOCK TIAP GUDANG'!$A:$A,0),MATCH("Y05E|4+64|STOCK",[2]PVKEY!$1:$1,0))</f>
        <v>1</v>
      </c>
      <c r="CP19" s="11">
        <f>INDEX('[2]PV.STOCK TIAP GUDANG'!$A:$CV,MATCH($A19,'[2]PV.STOCK TIAP GUDANG'!$A:$A,0),MATCH("Y05E|4+64|SALES",[2]PVKEY!$1:$1,0))</f>
        <v>1</v>
      </c>
      <c r="CQ19" s="12">
        <f t="shared" si="40"/>
        <v>27</v>
      </c>
      <c r="CR19" s="13">
        <f t="shared" si="41"/>
        <v>25</v>
      </c>
      <c r="CS19" s="13">
        <f t="shared" si="42"/>
        <v>7</v>
      </c>
      <c r="CT19" s="13">
        <f t="shared" si="43"/>
        <v>96.428571428571431</v>
      </c>
      <c r="CU19" s="26" t="s">
        <v>87</v>
      </c>
    </row>
    <row r="20" spans="1:99" ht="16" x14ac:dyDescent="0.2">
      <c r="A20" s="9" t="s">
        <v>39</v>
      </c>
      <c r="B20" s="10">
        <f>INDEX('[2]PV.STOCK TIAP GUDANG'!$A:$CV,MATCH($A20,'[2]PV.STOCK TIAP GUDANG'!$A:$A,0),MATCH("FOLD5|STOCK",[2]PVKEY!$5:$5,0))</f>
        <v>0</v>
      </c>
      <c r="C20" s="11">
        <f>INDEX('[2]PV.STOCK TIAP GUDANG'!$A:$CV,MATCH($A20,'[2]PV.STOCK TIAP GUDANG'!$A:$A,0),MATCH("FOLD5|SALES",[2]PVKEY!$5:$5,0))</f>
        <v>0</v>
      </c>
      <c r="D20" s="12" t="str">
        <f t="shared" si="0"/>
        <v/>
      </c>
      <c r="E20" s="10">
        <f>INDEX('[2]PV.STOCK TIAP GUDANG'!$A:$CV,MATCH($A20,'[2]PV.STOCK TIAP GUDANG'!$A:$A,0),MATCH("X300ULTRA|16+1T|STOCK",[2]PVKEY!$1:$1,0))</f>
        <v>0</v>
      </c>
      <c r="F20" s="11">
        <f>INDEX('[2]PV.STOCK TIAP GUDANG'!$A:$CV,MATCH($A20,'[2]PV.STOCK TIAP GUDANG'!$A:$A,0),MATCH("X300ULTRA|16+1T|SALES",[2]PVKEY!$1:$1,0))</f>
        <v>0</v>
      </c>
      <c r="G20" s="12" t="str">
        <f t="shared" si="1"/>
        <v/>
      </c>
      <c r="H20" s="10">
        <f>INDEX('[2]PV.STOCK TIAP GUDANG'!$A:$CV,MATCH($A20,'[2]PV.STOCK TIAP GUDANG'!$A:$A,0),MATCH("X300ULTRA|16+512|STOCK",[2]PVKEY!$1:$1,0))</f>
        <v>1</v>
      </c>
      <c r="I20" s="11">
        <f>INDEX('[2]PV.STOCK TIAP GUDANG'!$A:$CV,MATCH($A20,'[2]PV.STOCK TIAP GUDANG'!$A:$A,0),MATCH("X300ULTRA|16+512|SALES",[2]PVKEY!$1:$1,0))</f>
        <v>0</v>
      </c>
      <c r="J20" s="12" t="str">
        <f t="shared" si="2"/>
        <v/>
      </c>
      <c r="K20" s="11">
        <f t="shared" si="3"/>
        <v>0</v>
      </c>
      <c r="L20" s="10">
        <f>INDEX('[2]PV.STOCK TIAP GUDANG'!$A:$CV,MATCH($A20,'[2]PV.STOCK TIAP GUDANG'!$A:$A,0),MATCH("X300PRO|16+512|STOCK",[2]PVKEY!$1:$1,0))</f>
        <v>0</v>
      </c>
      <c r="M20" s="11">
        <f>INDEX('[2]PV.STOCK TIAP GUDANG'!$A:$CV,MATCH($A20,'[2]PV.STOCK TIAP GUDANG'!$A:$A,0),MATCH("X300PRO|16+512|SALES",[2]PVKEY!$1:$1,0))</f>
        <v>0</v>
      </c>
      <c r="N20" s="12" t="str">
        <f t="shared" si="4"/>
        <v/>
      </c>
      <c r="O20" s="11">
        <f t="shared" si="5"/>
        <v>0</v>
      </c>
      <c r="P20" s="10">
        <f>INDEX('[2]PV.STOCK TIAP GUDANG'!$A:$CV,MATCH($A20,'[2]PV.STOCK TIAP GUDANG'!$A:$A,0),MATCH("X300|12+256|STOCK",[2]PVKEY!$1:$1,0))</f>
        <v>0</v>
      </c>
      <c r="Q20" s="11">
        <f>INDEX('[2]PV.STOCK TIAP GUDANG'!$A:$CV,MATCH($A20,'[2]PV.STOCK TIAP GUDANG'!$A:$A,0),MATCH("X300|12+256|SALES",[2]PVKEY!$1:$1,0))</f>
        <v>0</v>
      </c>
      <c r="R20" s="12" t="str">
        <f t="shared" si="6"/>
        <v/>
      </c>
      <c r="S20" s="10">
        <f>INDEX('[2]PV.STOCK TIAP GUDANG'!$A:$CV,MATCH($A20,'[2]PV.STOCK TIAP GUDANG'!$A:$A,0),MATCH("X300|16+512|STOCK",[2]PVKEY!$1:$1,0))</f>
        <v>0</v>
      </c>
      <c r="T20" s="11">
        <f>INDEX('[2]PV.STOCK TIAP GUDANG'!$A:$CV,MATCH($A20,'[2]PV.STOCK TIAP GUDANG'!$A:$A,0),MATCH("X300|16+512|SALES",[2]PVKEY!$1:$1,0))</f>
        <v>0</v>
      </c>
      <c r="U20" s="12" t="str">
        <f t="shared" si="7"/>
        <v/>
      </c>
      <c r="V20" s="10">
        <f>INDEX('[2]PV.STOCK TIAP GUDANG'!$A:$CV,MATCH($A20,'[2]PV.STOCK TIAP GUDANG'!$A:$A,0),MATCH("Y11D|4+128|STOCK",[2]PVKEY!$1:$1,0))</f>
        <v>4</v>
      </c>
      <c r="W20" s="11">
        <f>INDEX('[2]PV.STOCK TIAP GUDANG'!$A:$CV,MATCH($A20,'[2]PV.STOCK TIAP GUDANG'!$A:$A,0),MATCH("Y11D|4+128|SALES",[2]PVKEY!$1:$1,0))</f>
        <v>23</v>
      </c>
      <c r="X20" s="12">
        <f t="shared" si="8"/>
        <v>4.7</v>
      </c>
      <c r="Y20" s="11">
        <f t="shared" si="9"/>
        <v>4.2592592592592595</v>
      </c>
      <c r="Z20" s="10">
        <f>INDEX('[2]PV.STOCK TIAP GUDANG'!$A:$CV,MATCH($A20,'[2]PV.STOCK TIAP GUDANG'!$A:$A,0),MATCH("Y11D|4+64|STOCK",[2]PVKEY!$1:$1,0))</f>
        <v>4</v>
      </c>
      <c r="AA20" s="11">
        <f>INDEX('[2]PV.STOCK TIAP GUDANG'!$A:$CV,MATCH($A20,'[2]PV.STOCK TIAP GUDANG'!$A:$A,0),MATCH("Y11D|4+64|SALES",[2]PVKEY!$1:$1,0))</f>
        <v>8</v>
      </c>
      <c r="AB20" s="12">
        <f t="shared" si="10"/>
        <v>13.5</v>
      </c>
      <c r="AC20" s="11">
        <f t="shared" si="11"/>
        <v>1.4814814814814814</v>
      </c>
      <c r="AD20" s="10">
        <f>INDEX('[2]PV.STOCK TIAP GUDANG'!$A:$CV,MATCH($A20,'[2]PV.STOCK TIAP GUDANG'!$A:$A,0),MATCH("Y11D|6+128|STOCK",[2]PVKEY!$1:$1,0))</f>
        <v>0</v>
      </c>
      <c r="AE20" s="11">
        <f>INDEX('[2]PV.STOCK TIAP GUDANG'!$A:$CV,MATCH($A20,'[2]PV.STOCK TIAP GUDANG'!$A:$A,0),MATCH("Y11D|6+128|SALES",[2]PVKEY!$1:$1,0))</f>
        <v>0</v>
      </c>
      <c r="AF20" s="12" t="str">
        <f t="shared" si="12"/>
        <v/>
      </c>
      <c r="AG20" s="11">
        <f t="shared" si="13"/>
        <v>0</v>
      </c>
      <c r="AH20" s="10">
        <f>INDEX('[2]PV.STOCK TIAP GUDANG'!$A:$CV,MATCH($A20,'[2]PV.STOCK TIAP GUDANG'!$A:$A,0),MATCH("Y31D|4+128|STOCK",[2]PVKEY!$1:$1,0))</f>
        <v>0</v>
      </c>
      <c r="AI20" s="11">
        <f>INDEX('[2]PV.STOCK TIAP GUDANG'!$A:$CV,MATCH($A20,'[2]PV.STOCK TIAP GUDANG'!$A:$A,0),MATCH("Y31D|4+128|SALES",[2]PVKEY!$1:$1,0))</f>
        <v>5</v>
      </c>
      <c r="AJ20" s="12">
        <f t="shared" si="14"/>
        <v>0</v>
      </c>
      <c r="AK20" s="10">
        <f>INDEX('[2]PV.STOCK TIAP GUDANG'!$A:$CV,MATCH($A20,'[2]PV.STOCK TIAP GUDANG'!$A:$A,0),MATCH("Y31DPRO|4+128|STOCK",[2]PVKEY!$1:$1,0))</f>
        <v>3</v>
      </c>
      <c r="AL20" s="11">
        <f>INDEX('[2]PV.STOCK TIAP GUDANG'!$A:$CV,MATCH($A20,'[2]PV.STOCK TIAP GUDANG'!$A:$A,0),MATCH("Y31DPRO|4+128|SALES",[2]PVKEY!$1:$1,0))</f>
        <v>7</v>
      </c>
      <c r="AM20" s="12">
        <f t="shared" si="15"/>
        <v>11.6</v>
      </c>
      <c r="AN20" s="10">
        <f>INDEX('[2]PV.STOCK TIAP GUDANG'!$A:$CV,MATCH($A20,'[2]PV.STOCK TIAP GUDANG'!$A:$A,0),MATCH("Y31DPRO|6+128|STOCK",[2]PVKEY!$1:$1,0))</f>
        <v>4</v>
      </c>
      <c r="AO20" s="11">
        <f>INDEX('[2]PV.STOCK TIAP GUDANG'!$A:$CV,MATCH($A20,'[2]PV.STOCK TIAP GUDANG'!$A:$A,0),MATCH("Y31DPRO|6+128|SALES",[2]PVKEY!$1:$1,0))</f>
        <v>11</v>
      </c>
      <c r="AP20" s="12">
        <f t="shared" si="16"/>
        <v>9.8000000000000007</v>
      </c>
      <c r="AQ20" s="11">
        <f t="shared" si="17"/>
        <v>2.0370370370370368</v>
      </c>
      <c r="AR20" s="10">
        <f>INDEX('[2]PV.STOCK TIAP GUDANG'!$A:$CV,MATCH($A20,'[2]PV.STOCK TIAP GUDANG'!$A:$A,0),MATCH("Y31DPRO|8+128|STOCK",[2]PVKEY!$1:$1,0))</f>
        <v>4</v>
      </c>
      <c r="AS20" s="11">
        <f>INDEX('[2]PV.STOCK TIAP GUDANG'!$A:$CV,MATCH($A20,'[2]PV.STOCK TIAP GUDANG'!$A:$A,0),MATCH("Y31DPRO|8+128|SALES",[2]PVKEY!$1:$1,0))</f>
        <v>1</v>
      </c>
      <c r="AT20" s="12">
        <f t="shared" si="18"/>
        <v>108</v>
      </c>
      <c r="AU20" s="11">
        <f t="shared" si="19"/>
        <v>0.18518518518518517</v>
      </c>
      <c r="AV20" s="10">
        <f>INDEX('[2]PV.STOCK TIAP GUDANG'!$A:$CV,MATCH($A20,'[2]PV.STOCK TIAP GUDANG'!$A:$A,0),MATCH("Y31DPRO|8+256|STOCK",[2]PVKEY!$1:$1,0))</f>
        <v>4</v>
      </c>
      <c r="AW20" s="11">
        <f>INDEX('[2]PV.STOCK TIAP GUDANG'!$A:$CV,MATCH($A20,'[2]PV.STOCK TIAP GUDANG'!$A:$A,0),MATCH("Y31DPRO|8+256|SALES",[2]PVKEY!$1:$1,0))</f>
        <v>4</v>
      </c>
      <c r="AX20" s="12">
        <f t="shared" si="20"/>
        <v>27</v>
      </c>
      <c r="AY20" s="11">
        <f t="shared" si="21"/>
        <v>0.7407407407407407</v>
      </c>
      <c r="AZ20" s="10">
        <f>INDEX('[2]PV.STOCK TIAP GUDANG'!$A:$CV,MATCH($A20,'[2]PV.STOCK TIAP GUDANG'!$A:$A,0),MATCH("V70|12+256|STOCK",[2]PVKEY!$1:$1,0))</f>
        <v>0</v>
      </c>
      <c r="BA20" s="11">
        <f>INDEX('[2]PV.STOCK TIAP GUDANG'!$A:$CV,MATCH($A20,'[2]PV.STOCK TIAP GUDANG'!$A:$A,0),MATCH("V70|12+256|SALES",[2]PVKEY!$1:$1,0))</f>
        <v>0</v>
      </c>
      <c r="BB20" s="12" t="str">
        <f t="shared" si="22"/>
        <v/>
      </c>
      <c r="BC20" s="10">
        <f>INDEX('[2]PV.STOCK TIAP GUDANG'!$A:$CV,MATCH($A20,'[2]PV.STOCK TIAP GUDANG'!$A:$A,0),MATCH("V70|8+256|STOCK",[2]PVKEY!$1:$1,0))</f>
        <v>4</v>
      </c>
      <c r="BD20" s="11">
        <f>INDEX('[2]PV.STOCK TIAP GUDANG'!$A:$CV,MATCH($A20,'[2]PV.STOCK TIAP GUDANG'!$A:$A,0),MATCH("V70|8+256|SALES",[2]PVKEY!$1:$1,0))</f>
        <v>8</v>
      </c>
      <c r="BE20" s="12">
        <f t="shared" si="23"/>
        <v>13.5</v>
      </c>
      <c r="BF20" s="11">
        <f t="shared" si="24"/>
        <v>2.3703703703703702</v>
      </c>
      <c r="BG20" s="10">
        <f>INDEX('[2]PV.STOCK TIAP GUDANG'!$A:$CV,MATCH($A20,'[2]PV.STOCK TIAP GUDANG'!$A:$A,0),MATCH("V70|12+512|STOCK",[2]PVKEY!$1:$1,0))</f>
        <v>0</v>
      </c>
      <c r="BH20" s="11">
        <f>INDEX('[2]PV.STOCK TIAP GUDANG'!$A:$CV,MATCH($A20,'[2]PV.STOCK TIAP GUDANG'!$A:$A,0),MATCH("V70|12+512|SALES",[2]PVKEY!$1:$1,0))</f>
        <v>0</v>
      </c>
      <c r="BI20" s="12" t="str">
        <f t="shared" si="25"/>
        <v/>
      </c>
      <c r="BJ20" s="11">
        <f t="shared" si="26"/>
        <v>0</v>
      </c>
      <c r="BK20" s="10">
        <f>INDEX('[2]PV.STOCK TIAP GUDANG'!$A:$CV,MATCH($A20,'[2]PV.STOCK TIAP GUDANG'!$A:$A,0),MATCH("V70FE|8+256|STOCK",[2]PVKEY!$1:$1,0))</f>
        <v>0</v>
      </c>
      <c r="BL20" s="11">
        <f>INDEX('[2]PV.STOCK TIAP GUDANG'!$A:$CV,MATCH($A20,'[2]PV.STOCK TIAP GUDANG'!$A:$A,0),MATCH("V70FE|8+256|SALES",[2]PVKEY!$1:$1,0))</f>
        <v>4</v>
      </c>
      <c r="BM20" s="12">
        <f t="shared" si="27"/>
        <v>0</v>
      </c>
      <c r="BN20" s="11">
        <f t="shared" si="28"/>
        <v>1.1851851851851851</v>
      </c>
      <c r="BO20" s="10">
        <f>INDEX('[2]PV.STOCK TIAP GUDANG'!$A:$CV,MATCH($A20,'[2]PV.STOCK TIAP GUDANG'!$A:$A,0),MATCH("V70FE|12+256|STOCK",[2]PVKEY!$1:$1,0))</f>
        <v>0</v>
      </c>
      <c r="BP20" s="11">
        <f>INDEX('[2]PV.STOCK TIAP GUDANG'!$A:$CV,MATCH($A20,'[2]PV.STOCK TIAP GUDANG'!$A:$A,0),MATCH("V70FE|12+256|SALES",[2]PVKEY!$1:$1,0))</f>
        <v>6</v>
      </c>
      <c r="BQ20" s="12">
        <f t="shared" si="29"/>
        <v>0</v>
      </c>
      <c r="BR20" s="11">
        <f t="shared" si="30"/>
        <v>1.7777777777777777</v>
      </c>
      <c r="BS20" s="10">
        <f>INDEX('[2]PV.STOCK TIAP GUDANG'!$A:$CV,MATCH($A20,'[2]PV.STOCK TIAP GUDANG'!$A:$A,0),MATCH("V60LITE5G|8+256|STOCK",[2]PVKEY!$1:$1,0))</f>
        <v>0</v>
      </c>
      <c r="BT20" s="11">
        <f>INDEX('[2]PV.STOCK TIAP GUDANG'!$A:$CV,MATCH($A20,'[2]PV.STOCK TIAP GUDANG'!$A:$A,0),MATCH("V60LITE5G|8+256|SALES",[2]PVKEY!$1:$1,0))</f>
        <v>0</v>
      </c>
      <c r="BU20" s="12" t="str">
        <f t="shared" si="31"/>
        <v/>
      </c>
      <c r="BV20" s="11">
        <f t="shared" si="32"/>
        <v>0</v>
      </c>
      <c r="BW20" s="10">
        <f>INDEX('[2]PV.STOCK TIAP GUDANG'!$A:$CV,MATCH($A20,'[2]PV.STOCK TIAP GUDANG'!$A:$A,0),MATCH("V60LITE|8+256|STOCK",[2]PVKEY!$1:$1,0))</f>
        <v>3</v>
      </c>
      <c r="BX20" s="11">
        <f>INDEX('[2]PV.STOCK TIAP GUDANG'!$A:$CV,MATCH($A20,'[2]PV.STOCK TIAP GUDANG'!$A:$A,0),MATCH("V60LITE|8+256|SALES",[2]PVKEY!$1:$1,0))</f>
        <v>10</v>
      </c>
      <c r="BY20" s="12">
        <f t="shared" si="33"/>
        <v>8.1</v>
      </c>
      <c r="BZ20" s="11">
        <f t="shared" si="34"/>
        <v>2.9629629629629628</v>
      </c>
      <c r="CA20" s="10">
        <f>INDEX('[2]PV.STOCK TIAP GUDANG'!$A:$CV,MATCH($A20,'[2]PV.STOCK TIAP GUDANG'!$A:$A,0),MATCH("Y05|4+128|STOCK",[2]PVKEY!$1:$1,0))</f>
        <v>4</v>
      </c>
      <c r="CB20" s="11">
        <f>INDEX('[2]PV.STOCK TIAP GUDANG'!$A:$CV,MATCH($A20,'[2]PV.STOCK TIAP GUDANG'!$A:$A,0),MATCH("Y05|4+128|SALES",[2]PVKEY!$1:$1,0))</f>
        <v>20</v>
      </c>
      <c r="CC20" s="12">
        <f t="shared" si="35"/>
        <v>5.4</v>
      </c>
      <c r="CD20" s="11">
        <f t="shared" si="44"/>
        <v>5.1851851851851851</v>
      </c>
      <c r="CE20" s="10">
        <f>INDEX('[2]PV.STOCK TIAP GUDANG'!$A:$CV,MATCH($A20,'[2]PV.STOCK TIAP GUDANG'!$A:$A,0),MATCH("Y05|4+64|STOCK",[2]PVKEY!$1:$1,0))</f>
        <v>7</v>
      </c>
      <c r="CF20" s="11">
        <f>INDEX('[2]PV.STOCK TIAP GUDANG'!$A:$CV,MATCH($A20,'[2]PV.STOCK TIAP GUDANG'!$A:$A,0),MATCH("Y05|4+64|SALES",[2]PVKEY!$1:$1,0))</f>
        <v>19</v>
      </c>
      <c r="CG20" s="12">
        <f t="shared" si="36"/>
        <v>9.9</v>
      </c>
      <c r="CH20" s="11">
        <f t="shared" si="37"/>
        <v>4.9259259259259256</v>
      </c>
      <c r="CI20" s="10">
        <f>INDEX('[2]PV.STOCK TIAP GUDANG'!$A:$CV,MATCH($A20,'[2]PV.STOCK TIAP GUDANG'!$A:$A,0),MATCH("Y500|6+128|STOCK",[2]PVKEY!$1:$1,0))</f>
        <v>2</v>
      </c>
      <c r="CJ20" s="11">
        <f>INDEX('[2]PV.STOCK TIAP GUDANG'!$A:$CV,MATCH($A20,'[2]PV.STOCK TIAP GUDANG'!$A:$A,0),MATCH("Y500|6+128|SALES",[2]PVKEY!$1:$1,0))</f>
        <v>3</v>
      </c>
      <c r="CK20" s="12">
        <f t="shared" si="38"/>
        <v>18</v>
      </c>
      <c r="CL20" s="10">
        <f>INDEX('[2]PV.STOCK TIAP GUDANG'!$A:$CV,MATCH($A20,'[2]PV.STOCK TIAP GUDANG'!$A:$A,0),MATCH("Y500|6+256|STOCK",[2]PVKEY!$1:$1,0))</f>
        <v>2</v>
      </c>
      <c r="CM20" s="11">
        <f>INDEX('[2]PV.STOCK TIAP GUDANG'!$A:$CV,MATCH($A20,'[2]PV.STOCK TIAP GUDANG'!$A:$A,0),MATCH("Y500|6+256|SALES",[2]PVKEY!$1:$1,0))</f>
        <v>0</v>
      </c>
      <c r="CN20" s="12" t="str">
        <f t="shared" si="39"/>
        <v/>
      </c>
      <c r="CO20" s="10">
        <f>INDEX('[2]PV.STOCK TIAP GUDANG'!$A:$CV,MATCH($A20,'[2]PV.STOCK TIAP GUDANG'!$A:$A,0),MATCH("Y05E|4+64|STOCK",[2]PVKEY!$1:$1,0))</f>
        <v>8</v>
      </c>
      <c r="CP20" s="11">
        <f>INDEX('[2]PV.STOCK TIAP GUDANG'!$A:$CV,MATCH($A20,'[2]PV.STOCK TIAP GUDANG'!$A:$A,0),MATCH("Y05E|4+64|SALES",[2]PVKEY!$1:$1,0))</f>
        <v>14</v>
      </c>
      <c r="CQ20" s="12">
        <f t="shared" si="40"/>
        <v>15.4</v>
      </c>
      <c r="CR20" s="13">
        <f t="shared" si="41"/>
        <v>54</v>
      </c>
      <c r="CS20" s="13">
        <f t="shared" si="42"/>
        <v>143</v>
      </c>
      <c r="CT20" s="13">
        <f t="shared" si="43"/>
        <v>10.195804195804195</v>
      </c>
      <c r="CU20" t="s">
        <v>88</v>
      </c>
    </row>
    <row r="21" spans="1:99" ht="15" x14ac:dyDescent="0.15">
      <c r="A21" s="9" t="s">
        <v>34</v>
      </c>
      <c r="B21" s="10">
        <f>INDEX('[2]PV.STOCK TIAP GUDANG'!$A:$CV,MATCH($A21,'[2]PV.STOCK TIAP GUDANG'!$A:$A,0),MATCH("FOLD5|STOCK",[2]PVKEY!$5:$5,0))</f>
        <v>0</v>
      </c>
      <c r="C21" s="11">
        <f>INDEX('[2]PV.STOCK TIAP GUDANG'!$A:$CV,MATCH($A21,'[2]PV.STOCK TIAP GUDANG'!$A:$A,0),MATCH("FOLD5|SALES",[2]PVKEY!$5:$5,0))</f>
        <v>0</v>
      </c>
      <c r="D21" s="12" t="str">
        <f t="shared" si="0"/>
        <v/>
      </c>
      <c r="E21" s="10">
        <f>INDEX('[2]PV.STOCK TIAP GUDANG'!$A:$CV,MATCH($A21,'[2]PV.STOCK TIAP GUDANG'!$A:$A,0),MATCH("X300ULTRA|16+1T|STOCK",[2]PVKEY!$1:$1,0))</f>
        <v>0</v>
      </c>
      <c r="F21" s="11">
        <f>INDEX('[2]PV.STOCK TIAP GUDANG'!$A:$CV,MATCH($A21,'[2]PV.STOCK TIAP GUDANG'!$A:$A,0),MATCH("X300ULTRA|16+1T|SALES",[2]PVKEY!$1:$1,0))</f>
        <v>0</v>
      </c>
      <c r="G21" s="12" t="str">
        <f t="shared" si="1"/>
        <v/>
      </c>
      <c r="H21" s="10">
        <f>INDEX('[2]PV.STOCK TIAP GUDANG'!$A:$CV,MATCH($A21,'[2]PV.STOCK TIAP GUDANG'!$A:$A,0),MATCH("X300ULTRA|16+512|STOCK",[2]PVKEY!$1:$1,0))</f>
        <v>2</v>
      </c>
      <c r="I21" s="11">
        <f>INDEX('[2]PV.STOCK TIAP GUDANG'!$A:$CV,MATCH($A21,'[2]PV.STOCK TIAP GUDANG'!$A:$A,0),MATCH("X300ULTRA|16+512|SALES",[2]PVKEY!$1:$1,0))</f>
        <v>0</v>
      </c>
      <c r="J21" s="12" t="str">
        <f t="shared" si="2"/>
        <v/>
      </c>
      <c r="K21" s="11">
        <f t="shared" si="3"/>
        <v>0</v>
      </c>
      <c r="L21" s="10">
        <f>INDEX('[2]PV.STOCK TIAP GUDANG'!$A:$CV,MATCH($A21,'[2]PV.STOCK TIAP GUDANG'!$A:$A,0),MATCH("X300PRO|16+512|STOCK",[2]PVKEY!$1:$1,0))</f>
        <v>0</v>
      </c>
      <c r="M21" s="11">
        <f>INDEX('[2]PV.STOCK TIAP GUDANG'!$A:$CV,MATCH($A21,'[2]PV.STOCK TIAP GUDANG'!$A:$A,0),MATCH("X300PRO|16+512|SALES",[2]PVKEY!$1:$1,0))</f>
        <v>0</v>
      </c>
      <c r="N21" s="12" t="str">
        <f t="shared" si="4"/>
        <v/>
      </c>
      <c r="O21" s="11">
        <f t="shared" si="5"/>
        <v>0</v>
      </c>
      <c r="P21" s="10">
        <f>INDEX('[2]PV.STOCK TIAP GUDANG'!$A:$CV,MATCH($A21,'[2]PV.STOCK TIAP GUDANG'!$A:$A,0),MATCH("X300|12+256|STOCK",[2]PVKEY!$1:$1,0))</f>
        <v>0</v>
      </c>
      <c r="Q21" s="11">
        <f>INDEX('[2]PV.STOCK TIAP GUDANG'!$A:$CV,MATCH($A21,'[2]PV.STOCK TIAP GUDANG'!$A:$A,0),MATCH("X300|12+256|SALES",[2]PVKEY!$1:$1,0))</f>
        <v>0</v>
      </c>
      <c r="R21" s="12" t="str">
        <f t="shared" si="6"/>
        <v/>
      </c>
      <c r="S21" s="10">
        <f>INDEX('[2]PV.STOCK TIAP GUDANG'!$A:$CV,MATCH($A21,'[2]PV.STOCK TIAP GUDANG'!$A:$A,0),MATCH("X300|16+512|STOCK",[2]PVKEY!$1:$1,0))</f>
        <v>0</v>
      </c>
      <c r="T21" s="11">
        <f>INDEX('[2]PV.STOCK TIAP GUDANG'!$A:$CV,MATCH($A21,'[2]PV.STOCK TIAP GUDANG'!$A:$A,0),MATCH("X300|16+512|SALES",[2]PVKEY!$1:$1,0))</f>
        <v>0</v>
      </c>
      <c r="U21" s="12" t="str">
        <f t="shared" si="7"/>
        <v/>
      </c>
      <c r="V21" s="10">
        <f>INDEX('[2]PV.STOCK TIAP GUDANG'!$A:$CV,MATCH($A21,'[2]PV.STOCK TIAP GUDANG'!$A:$A,0),MATCH("Y11D|4+128|STOCK",[2]PVKEY!$1:$1,0))</f>
        <v>2</v>
      </c>
      <c r="W21" s="11">
        <f>INDEX('[2]PV.STOCK TIAP GUDANG'!$A:$CV,MATCH($A21,'[2]PV.STOCK TIAP GUDANG'!$A:$A,0),MATCH("Y11D|4+128|SALES",[2]PVKEY!$1:$1,0))</f>
        <v>0</v>
      </c>
      <c r="X21" s="12" t="str">
        <f t="shared" si="8"/>
        <v/>
      </c>
      <c r="Y21" s="11">
        <f t="shared" si="9"/>
        <v>0</v>
      </c>
      <c r="Z21" s="10">
        <f>INDEX('[2]PV.STOCK TIAP GUDANG'!$A:$CV,MATCH($A21,'[2]PV.STOCK TIAP GUDANG'!$A:$A,0),MATCH("Y11D|4+64|STOCK",[2]PVKEY!$1:$1,0))</f>
        <v>1</v>
      </c>
      <c r="AA21" s="11">
        <f>INDEX('[2]PV.STOCK TIAP GUDANG'!$A:$CV,MATCH($A21,'[2]PV.STOCK TIAP GUDANG'!$A:$A,0),MATCH("Y11D|4+64|SALES",[2]PVKEY!$1:$1,0))</f>
        <v>1</v>
      </c>
      <c r="AB21" s="12">
        <f t="shared" si="10"/>
        <v>27</v>
      </c>
      <c r="AC21" s="11">
        <f t="shared" si="11"/>
        <v>0.18518518518518517</v>
      </c>
      <c r="AD21" s="10">
        <f>INDEX('[2]PV.STOCK TIAP GUDANG'!$A:$CV,MATCH($A21,'[2]PV.STOCK TIAP GUDANG'!$A:$A,0),MATCH("Y11D|6+128|STOCK",[2]PVKEY!$1:$1,0))</f>
        <v>3</v>
      </c>
      <c r="AE21" s="11">
        <f>INDEX('[2]PV.STOCK TIAP GUDANG'!$A:$CV,MATCH($A21,'[2]PV.STOCK TIAP GUDANG'!$A:$A,0),MATCH("Y11D|6+128|SALES",[2]PVKEY!$1:$1,0))</f>
        <v>0</v>
      </c>
      <c r="AF21" s="12" t="str">
        <f t="shared" si="12"/>
        <v/>
      </c>
      <c r="AG21" s="11">
        <f t="shared" si="13"/>
        <v>0</v>
      </c>
      <c r="AH21" s="10">
        <f>INDEX('[2]PV.STOCK TIAP GUDANG'!$A:$CV,MATCH($A21,'[2]PV.STOCK TIAP GUDANG'!$A:$A,0),MATCH("Y31D|4+128|STOCK",[2]PVKEY!$1:$1,0))</f>
        <v>0</v>
      </c>
      <c r="AI21" s="11">
        <f>INDEX('[2]PV.STOCK TIAP GUDANG'!$A:$CV,MATCH($A21,'[2]PV.STOCK TIAP GUDANG'!$A:$A,0),MATCH("Y31D|4+128|SALES",[2]PVKEY!$1:$1,0))</f>
        <v>3</v>
      </c>
      <c r="AJ21" s="12">
        <f t="shared" si="14"/>
        <v>0</v>
      </c>
      <c r="AK21" s="10">
        <f>INDEX('[2]PV.STOCK TIAP GUDANG'!$A:$CV,MATCH($A21,'[2]PV.STOCK TIAP GUDANG'!$A:$A,0),MATCH("Y31DPRO|4+128|STOCK",[2]PVKEY!$1:$1,0))</f>
        <v>1</v>
      </c>
      <c r="AL21" s="11">
        <f>INDEX('[2]PV.STOCK TIAP GUDANG'!$A:$CV,MATCH($A21,'[2]PV.STOCK TIAP GUDANG'!$A:$A,0),MATCH("Y31DPRO|4+128|SALES",[2]PVKEY!$1:$1,0))</f>
        <v>1</v>
      </c>
      <c r="AM21" s="12">
        <f t="shared" si="15"/>
        <v>27</v>
      </c>
      <c r="AN21" s="10">
        <f>INDEX('[2]PV.STOCK TIAP GUDANG'!$A:$CV,MATCH($A21,'[2]PV.STOCK TIAP GUDANG'!$A:$A,0),MATCH("Y31DPRO|6+128|STOCK",[2]PVKEY!$1:$1,0))</f>
        <v>2</v>
      </c>
      <c r="AO21" s="11">
        <f>INDEX('[2]PV.STOCK TIAP GUDANG'!$A:$CV,MATCH($A21,'[2]PV.STOCK TIAP GUDANG'!$A:$A,0),MATCH("Y31DPRO|6+128|SALES",[2]PVKEY!$1:$1,0))</f>
        <v>0</v>
      </c>
      <c r="AP21" s="12" t="str">
        <f t="shared" si="16"/>
        <v/>
      </c>
      <c r="AQ21" s="11">
        <f t="shared" si="17"/>
        <v>0</v>
      </c>
      <c r="AR21" s="10">
        <f>INDEX('[2]PV.STOCK TIAP GUDANG'!$A:$CV,MATCH($A21,'[2]PV.STOCK TIAP GUDANG'!$A:$A,0),MATCH("Y31DPRO|8+128|STOCK",[2]PVKEY!$1:$1,0))</f>
        <v>2</v>
      </c>
      <c r="AS21" s="11">
        <f>INDEX('[2]PV.STOCK TIAP GUDANG'!$A:$CV,MATCH($A21,'[2]PV.STOCK TIAP GUDANG'!$A:$A,0),MATCH("Y31DPRO|8+128|SALES",[2]PVKEY!$1:$1,0))</f>
        <v>0</v>
      </c>
      <c r="AT21" s="12" t="str">
        <f t="shared" si="18"/>
        <v/>
      </c>
      <c r="AU21" s="11">
        <f t="shared" si="19"/>
        <v>0</v>
      </c>
      <c r="AV21" s="10">
        <f>INDEX('[2]PV.STOCK TIAP GUDANG'!$A:$CV,MATCH($A21,'[2]PV.STOCK TIAP GUDANG'!$A:$A,0),MATCH("Y31DPRO|8+256|STOCK",[2]PVKEY!$1:$1,0))</f>
        <v>1</v>
      </c>
      <c r="AW21" s="11">
        <f>INDEX('[2]PV.STOCK TIAP GUDANG'!$A:$CV,MATCH($A21,'[2]PV.STOCK TIAP GUDANG'!$A:$A,0),MATCH("Y31DPRO|8+256|SALES",[2]PVKEY!$1:$1,0))</f>
        <v>0</v>
      </c>
      <c r="AX21" s="12" t="str">
        <f t="shared" si="20"/>
        <v/>
      </c>
      <c r="AY21" s="11">
        <f t="shared" si="21"/>
        <v>0</v>
      </c>
      <c r="AZ21" s="10">
        <f>INDEX('[2]PV.STOCK TIAP GUDANG'!$A:$CV,MATCH($A21,'[2]PV.STOCK TIAP GUDANG'!$A:$A,0),MATCH("V70|12+256|STOCK",[2]PVKEY!$1:$1,0))</f>
        <v>0</v>
      </c>
      <c r="BA21" s="11">
        <f>INDEX('[2]PV.STOCK TIAP GUDANG'!$A:$CV,MATCH($A21,'[2]PV.STOCK TIAP GUDANG'!$A:$A,0),MATCH("V70|12+256|SALES",[2]PVKEY!$1:$1,0))</f>
        <v>0</v>
      </c>
      <c r="BB21" s="12" t="str">
        <f t="shared" si="22"/>
        <v/>
      </c>
      <c r="BC21" s="10">
        <f>INDEX('[2]PV.STOCK TIAP GUDANG'!$A:$CV,MATCH($A21,'[2]PV.STOCK TIAP GUDANG'!$A:$A,0),MATCH("V70|8+256|STOCK",[2]PVKEY!$1:$1,0))</f>
        <v>4</v>
      </c>
      <c r="BD21" s="11">
        <f>INDEX('[2]PV.STOCK TIAP GUDANG'!$A:$CV,MATCH($A21,'[2]PV.STOCK TIAP GUDANG'!$A:$A,0),MATCH("V70|8+256|SALES",[2]PVKEY!$1:$1,0))</f>
        <v>2</v>
      </c>
      <c r="BE21" s="12">
        <f t="shared" si="23"/>
        <v>54</v>
      </c>
      <c r="BF21" s="11">
        <f t="shared" si="24"/>
        <v>0.59259259259259256</v>
      </c>
      <c r="BG21" s="10">
        <f>INDEX('[2]PV.STOCK TIAP GUDANG'!$A:$CV,MATCH($A21,'[2]PV.STOCK TIAP GUDANG'!$A:$A,0),MATCH("V70|12+512|STOCK",[2]PVKEY!$1:$1,0))</f>
        <v>0</v>
      </c>
      <c r="BH21" s="11">
        <f>INDEX('[2]PV.STOCK TIAP GUDANG'!$A:$CV,MATCH($A21,'[2]PV.STOCK TIAP GUDANG'!$A:$A,0),MATCH("V70|12+512|SALES",[2]PVKEY!$1:$1,0))</f>
        <v>0</v>
      </c>
      <c r="BI21" s="12" t="str">
        <f t="shared" si="25"/>
        <v/>
      </c>
      <c r="BJ21" s="11">
        <f t="shared" si="26"/>
        <v>0</v>
      </c>
      <c r="BK21" s="10">
        <f>INDEX('[2]PV.STOCK TIAP GUDANG'!$A:$CV,MATCH($A21,'[2]PV.STOCK TIAP GUDANG'!$A:$A,0),MATCH("V70FE|8+256|STOCK",[2]PVKEY!$1:$1,0))</f>
        <v>1</v>
      </c>
      <c r="BL21" s="11">
        <f>INDEX('[2]PV.STOCK TIAP GUDANG'!$A:$CV,MATCH($A21,'[2]PV.STOCK TIAP GUDANG'!$A:$A,0),MATCH("V70FE|8+256|SALES",[2]PVKEY!$1:$1,0))</f>
        <v>2</v>
      </c>
      <c r="BM21" s="12">
        <f t="shared" si="27"/>
        <v>13.5</v>
      </c>
      <c r="BN21" s="11">
        <f t="shared" si="28"/>
        <v>0.59259259259259256</v>
      </c>
      <c r="BO21" s="10">
        <f>INDEX('[2]PV.STOCK TIAP GUDANG'!$A:$CV,MATCH($A21,'[2]PV.STOCK TIAP GUDANG'!$A:$A,0),MATCH("V70FE|12+256|STOCK",[2]PVKEY!$1:$1,0))</f>
        <v>2</v>
      </c>
      <c r="BP21" s="11">
        <f>INDEX('[2]PV.STOCK TIAP GUDANG'!$A:$CV,MATCH($A21,'[2]PV.STOCK TIAP GUDANG'!$A:$A,0),MATCH("V70FE|12+256|SALES",[2]PVKEY!$1:$1,0))</f>
        <v>0</v>
      </c>
      <c r="BQ21" s="12" t="str">
        <f t="shared" si="29"/>
        <v/>
      </c>
      <c r="BR21" s="11">
        <f t="shared" si="30"/>
        <v>0</v>
      </c>
      <c r="BS21" s="10">
        <f>INDEX('[2]PV.STOCK TIAP GUDANG'!$A:$CV,MATCH($A21,'[2]PV.STOCK TIAP GUDANG'!$A:$A,0),MATCH("V60LITE5G|8+256|STOCK",[2]PVKEY!$1:$1,0))</f>
        <v>0</v>
      </c>
      <c r="BT21" s="11">
        <f>INDEX('[2]PV.STOCK TIAP GUDANG'!$A:$CV,MATCH($A21,'[2]PV.STOCK TIAP GUDANG'!$A:$A,0),MATCH("V60LITE5G|8+256|SALES",[2]PVKEY!$1:$1,0))</f>
        <v>0</v>
      </c>
      <c r="BU21" s="12" t="str">
        <f t="shared" si="31"/>
        <v/>
      </c>
      <c r="BV21" s="11">
        <f t="shared" si="32"/>
        <v>0</v>
      </c>
      <c r="BW21" s="10">
        <f>INDEX('[2]PV.STOCK TIAP GUDANG'!$A:$CV,MATCH($A21,'[2]PV.STOCK TIAP GUDANG'!$A:$A,0),MATCH("V60LITE|8+256|STOCK",[2]PVKEY!$1:$1,0))</f>
        <v>3</v>
      </c>
      <c r="BX21" s="11">
        <f>INDEX('[2]PV.STOCK TIAP GUDANG'!$A:$CV,MATCH($A21,'[2]PV.STOCK TIAP GUDANG'!$A:$A,0),MATCH("V60LITE|8+256|SALES",[2]PVKEY!$1:$1,0))</f>
        <v>0</v>
      </c>
      <c r="BY21" s="12" t="str">
        <f t="shared" si="33"/>
        <v/>
      </c>
      <c r="BZ21" s="11">
        <f t="shared" si="34"/>
        <v>0</v>
      </c>
      <c r="CA21" s="10">
        <f>INDEX('[2]PV.STOCK TIAP GUDANG'!$A:$CV,MATCH($A21,'[2]PV.STOCK TIAP GUDANG'!$A:$A,0),MATCH("Y05|4+128|STOCK",[2]PVKEY!$1:$1,0))</f>
        <v>0</v>
      </c>
      <c r="CB21" s="11">
        <f>INDEX('[2]PV.STOCK TIAP GUDANG'!$A:$CV,MATCH($A21,'[2]PV.STOCK TIAP GUDANG'!$A:$A,0),MATCH("Y05|4+128|SALES",[2]PVKEY!$1:$1,0))</f>
        <v>3</v>
      </c>
      <c r="CC21" s="12">
        <f t="shared" si="35"/>
        <v>0</v>
      </c>
      <c r="CD21" s="11">
        <f t="shared" si="44"/>
        <v>0.77777777777777768</v>
      </c>
      <c r="CE21" s="10">
        <f>INDEX('[2]PV.STOCK TIAP GUDANG'!$A:$CV,MATCH($A21,'[2]PV.STOCK TIAP GUDANG'!$A:$A,0),MATCH("Y05|4+64|STOCK",[2]PVKEY!$1:$1,0))</f>
        <v>1</v>
      </c>
      <c r="CF21" s="11">
        <f>INDEX('[2]PV.STOCK TIAP GUDANG'!$A:$CV,MATCH($A21,'[2]PV.STOCK TIAP GUDANG'!$A:$A,0),MATCH("Y05|4+64|SALES",[2]PVKEY!$1:$1,0))</f>
        <v>2</v>
      </c>
      <c r="CG21" s="12">
        <f t="shared" si="36"/>
        <v>13.5</v>
      </c>
      <c r="CH21" s="11">
        <f t="shared" si="37"/>
        <v>0.51851851851851849</v>
      </c>
      <c r="CI21" s="10">
        <f>INDEX('[2]PV.STOCK TIAP GUDANG'!$A:$CV,MATCH($A21,'[2]PV.STOCK TIAP GUDANG'!$A:$A,0),MATCH("Y500|6+128|STOCK",[2]PVKEY!$1:$1,0))</f>
        <v>2</v>
      </c>
      <c r="CJ21" s="11">
        <f>INDEX('[2]PV.STOCK TIAP GUDANG'!$A:$CV,MATCH($A21,'[2]PV.STOCK TIAP GUDANG'!$A:$A,0),MATCH("Y500|6+128|SALES",[2]PVKEY!$1:$1,0))</f>
        <v>1</v>
      </c>
      <c r="CK21" s="12">
        <f t="shared" si="38"/>
        <v>54</v>
      </c>
      <c r="CL21" s="10">
        <f>INDEX('[2]PV.STOCK TIAP GUDANG'!$A:$CV,MATCH($A21,'[2]PV.STOCK TIAP GUDANG'!$A:$A,0),MATCH("Y500|6+256|STOCK",[2]PVKEY!$1:$1,0))</f>
        <v>2</v>
      </c>
      <c r="CM21" s="11">
        <f>INDEX('[2]PV.STOCK TIAP GUDANG'!$A:$CV,MATCH($A21,'[2]PV.STOCK TIAP GUDANG'!$A:$A,0),MATCH("Y500|6+256|SALES",[2]PVKEY!$1:$1,0))</f>
        <v>2</v>
      </c>
      <c r="CN21" s="12">
        <f t="shared" si="39"/>
        <v>27</v>
      </c>
      <c r="CO21" s="10">
        <f>INDEX('[2]PV.STOCK TIAP GUDANG'!$A:$CV,MATCH($A21,'[2]PV.STOCK TIAP GUDANG'!$A:$A,0),MATCH("Y05E|4+64|STOCK",[2]PVKEY!$1:$1,0))</f>
        <v>2</v>
      </c>
      <c r="CP21" s="11">
        <f>INDEX('[2]PV.STOCK TIAP GUDANG'!$A:$CV,MATCH($A21,'[2]PV.STOCK TIAP GUDANG'!$A:$A,0),MATCH("Y05E|4+64|SALES",[2]PVKEY!$1:$1,0))</f>
        <v>3</v>
      </c>
      <c r="CQ21" s="12">
        <f t="shared" si="40"/>
        <v>18</v>
      </c>
      <c r="CR21" s="13">
        <f t="shared" si="41"/>
        <v>31</v>
      </c>
      <c r="CS21" s="13">
        <f t="shared" si="42"/>
        <v>20</v>
      </c>
      <c r="CT21" s="13">
        <f t="shared" si="43"/>
        <v>41.85</v>
      </c>
      <c r="CU21" s="27" t="s">
        <v>89</v>
      </c>
    </row>
    <row r="22" spans="1:99" ht="15" x14ac:dyDescent="0.15">
      <c r="A22" s="9" t="s">
        <v>41</v>
      </c>
      <c r="B22" s="10">
        <f>INDEX('[2]PV.STOCK TIAP GUDANG'!$A:$CV,MATCH($A22,'[2]PV.STOCK TIAP GUDANG'!$A:$A,0),MATCH("FOLD5|STOCK",[2]PVKEY!$5:$5,0))</f>
        <v>0</v>
      </c>
      <c r="C22" s="11">
        <f>INDEX('[2]PV.STOCK TIAP GUDANG'!$A:$CV,MATCH($A22,'[2]PV.STOCK TIAP GUDANG'!$A:$A,0),MATCH("FOLD5|SALES",[2]PVKEY!$5:$5,0))</f>
        <v>0</v>
      </c>
      <c r="D22" s="12" t="str">
        <f t="shared" si="0"/>
        <v/>
      </c>
      <c r="E22" s="10">
        <f>INDEX('[2]PV.STOCK TIAP GUDANG'!$A:$CV,MATCH($A22,'[2]PV.STOCK TIAP GUDANG'!$A:$A,0),MATCH("X300ULTRA|16+1T|STOCK",[2]PVKEY!$1:$1,0))</f>
        <v>2</v>
      </c>
      <c r="F22" s="11">
        <f>INDEX('[2]PV.STOCK TIAP GUDANG'!$A:$CV,MATCH($A22,'[2]PV.STOCK TIAP GUDANG'!$A:$A,0),MATCH("X300ULTRA|16+1T|SALES",[2]PVKEY!$1:$1,0))</f>
        <v>0</v>
      </c>
      <c r="G22" s="12" t="str">
        <f t="shared" si="1"/>
        <v/>
      </c>
      <c r="H22" s="10">
        <f>INDEX('[2]PV.STOCK TIAP GUDANG'!$A:$CV,MATCH($A22,'[2]PV.STOCK TIAP GUDANG'!$A:$A,0),MATCH("X300ULTRA|16+512|STOCK",[2]PVKEY!$1:$1,0))</f>
        <v>0</v>
      </c>
      <c r="I22" s="11">
        <f>INDEX('[2]PV.STOCK TIAP GUDANG'!$A:$CV,MATCH($A22,'[2]PV.STOCK TIAP GUDANG'!$A:$A,0),MATCH("X300ULTRA|16+512|SALES",[2]PVKEY!$1:$1,0))</f>
        <v>0</v>
      </c>
      <c r="J22" s="12" t="str">
        <f t="shared" si="2"/>
        <v/>
      </c>
      <c r="K22" s="11">
        <f t="shared" si="3"/>
        <v>0</v>
      </c>
      <c r="L22" s="10">
        <f>INDEX('[2]PV.STOCK TIAP GUDANG'!$A:$CV,MATCH($A22,'[2]PV.STOCK TIAP GUDANG'!$A:$A,0),MATCH("X300PRO|16+512|STOCK",[2]PVKEY!$1:$1,0))</f>
        <v>0</v>
      </c>
      <c r="M22" s="11">
        <f>INDEX('[2]PV.STOCK TIAP GUDANG'!$A:$CV,MATCH($A22,'[2]PV.STOCK TIAP GUDANG'!$A:$A,0),MATCH("X300PRO|16+512|SALES",[2]PVKEY!$1:$1,0))</f>
        <v>0</v>
      </c>
      <c r="N22" s="12" t="str">
        <f t="shared" si="4"/>
        <v/>
      </c>
      <c r="O22" s="11">
        <f t="shared" si="5"/>
        <v>0</v>
      </c>
      <c r="P22" s="10">
        <f>INDEX('[2]PV.STOCK TIAP GUDANG'!$A:$CV,MATCH($A22,'[2]PV.STOCK TIAP GUDANG'!$A:$A,0),MATCH("X300|12+256|STOCK",[2]PVKEY!$1:$1,0))</f>
        <v>0</v>
      </c>
      <c r="Q22" s="11">
        <f>INDEX('[2]PV.STOCK TIAP GUDANG'!$A:$CV,MATCH($A22,'[2]PV.STOCK TIAP GUDANG'!$A:$A,0),MATCH("X300|12+256|SALES",[2]PVKEY!$1:$1,0))</f>
        <v>0</v>
      </c>
      <c r="R22" s="12" t="str">
        <f t="shared" si="6"/>
        <v/>
      </c>
      <c r="S22" s="10">
        <f>INDEX('[2]PV.STOCK TIAP GUDANG'!$A:$CV,MATCH($A22,'[2]PV.STOCK TIAP GUDANG'!$A:$A,0),MATCH("X300|16+512|STOCK",[2]PVKEY!$1:$1,0))</f>
        <v>0</v>
      </c>
      <c r="T22" s="11">
        <f>INDEX('[2]PV.STOCK TIAP GUDANG'!$A:$CV,MATCH($A22,'[2]PV.STOCK TIAP GUDANG'!$A:$A,0),MATCH("X300|16+512|SALES",[2]PVKEY!$1:$1,0))</f>
        <v>0</v>
      </c>
      <c r="U22" s="12" t="str">
        <f t="shared" si="7"/>
        <v/>
      </c>
      <c r="V22" s="10">
        <f>INDEX('[2]PV.STOCK TIAP GUDANG'!$A:$CV,MATCH($A22,'[2]PV.STOCK TIAP GUDANG'!$A:$A,0),MATCH("Y11D|4+128|STOCK",[2]PVKEY!$1:$1,0))</f>
        <v>11</v>
      </c>
      <c r="W22" s="11">
        <f>INDEX('[2]PV.STOCK TIAP GUDANG'!$A:$CV,MATCH($A22,'[2]PV.STOCK TIAP GUDANG'!$A:$A,0),MATCH("Y11D|4+128|SALES",[2]PVKEY!$1:$1,0))</f>
        <v>38</v>
      </c>
      <c r="X22" s="12">
        <f t="shared" si="8"/>
        <v>7.8</v>
      </c>
      <c r="Y22" s="11">
        <f t="shared" si="9"/>
        <v>7.0370370370370372</v>
      </c>
      <c r="Z22" s="10">
        <f>INDEX('[2]PV.STOCK TIAP GUDANG'!$A:$CV,MATCH($A22,'[2]PV.STOCK TIAP GUDANG'!$A:$A,0),MATCH("Y11D|4+64|STOCK",[2]PVKEY!$1:$1,0))</f>
        <v>5</v>
      </c>
      <c r="AA22" s="11">
        <f>INDEX('[2]PV.STOCK TIAP GUDANG'!$A:$CV,MATCH($A22,'[2]PV.STOCK TIAP GUDANG'!$A:$A,0),MATCH("Y11D|4+64|SALES",[2]PVKEY!$1:$1,0))</f>
        <v>14</v>
      </c>
      <c r="AB22" s="12">
        <f t="shared" si="10"/>
        <v>9.6</v>
      </c>
      <c r="AC22" s="11">
        <f t="shared" si="11"/>
        <v>2.5925925925925926</v>
      </c>
      <c r="AD22" s="10">
        <f>INDEX('[2]PV.STOCK TIAP GUDANG'!$A:$CV,MATCH($A22,'[2]PV.STOCK TIAP GUDANG'!$A:$A,0),MATCH("Y11D|6+128|STOCK",[2]PVKEY!$1:$1,0))</f>
        <v>0</v>
      </c>
      <c r="AE22" s="11">
        <f>INDEX('[2]PV.STOCK TIAP GUDANG'!$A:$CV,MATCH($A22,'[2]PV.STOCK TIAP GUDANG'!$A:$A,0),MATCH("Y11D|6+128|SALES",[2]PVKEY!$1:$1,0))</f>
        <v>0</v>
      </c>
      <c r="AF22" s="12" t="str">
        <f t="shared" si="12"/>
        <v/>
      </c>
      <c r="AG22" s="11">
        <f t="shared" si="13"/>
        <v>0</v>
      </c>
      <c r="AH22" s="10">
        <f>INDEX('[2]PV.STOCK TIAP GUDANG'!$A:$CV,MATCH($A22,'[2]PV.STOCK TIAP GUDANG'!$A:$A,0),MATCH("Y31D|4+128|STOCK",[2]PVKEY!$1:$1,0))</f>
        <v>0</v>
      </c>
      <c r="AI22" s="11">
        <f>INDEX('[2]PV.STOCK TIAP GUDANG'!$A:$CV,MATCH($A22,'[2]PV.STOCK TIAP GUDANG'!$A:$A,0),MATCH("Y31D|4+128|SALES",[2]PVKEY!$1:$1,0))</f>
        <v>6</v>
      </c>
      <c r="AJ22" s="12">
        <f t="shared" si="14"/>
        <v>0</v>
      </c>
      <c r="AK22" s="10">
        <f>INDEX('[2]PV.STOCK TIAP GUDANG'!$A:$CV,MATCH($A22,'[2]PV.STOCK TIAP GUDANG'!$A:$A,0),MATCH("Y31DPRO|4+128|STOCK",[2]PVKEY!$1:$1,0))</f>
        <v>2</v>
      </c>
      <c r="AL22" s="11">
        <f>INDEX('[2]PV.STOCK TIAP GUDANG'!$A:$CV,MATCH($A22,'[2]PV.STOCK TIAP GUDANG'!$A:$A,0),MATCH("Y31DPRO|4+128|SALES",[2]PVKEY!$1:$1,0))</f>
        <v>13</v>
      </c>
      <c r="AM22" s="12">
        <f t="shared" si="15"/>
        <v>4.2</v>
      </c>
      <c r="AN22" s="10">
        <f>INDEX('[2]PV.STOCK TIAP GUDANG'!$A:$CV,MATCH($A22,'[2]PV.STOCK TIAP GUDANG'!$A:$A,0),MATCH("Y31DPRO|6+128|STOCK",[2]PVKEY!$1:$1,0))</f>
        <v>4</v>
      </c>
      <c r="AO22" s="11">
        <f>INDEX('[2]PV.STOCK TIAP GUDANG'!$A:$CV,MATCH($A22,'[2]PV.STOCK TIAP GUDANG'!$A:$A,0),MATCH("Y31DPRO|6+128|SALES",[2]PVKEY!$1:$1,0))</f>
        <v>10</v>
      </c>
      <c r="AP22" s="12">
        <f t="shared" si="16"/>
        <v>10.8</v>
      </c>
      <c r="AQ22" s="11">
        <f t="shared" si="17"/>
        <v>1.8518518518518516</v>
      </c>
      <c r="AR22" s="10">
        <f>INDEX('[2]PV.STOCK TIAP GUDANG'!$A:$CV,MATCH($A22,'[2]PV.STOCK TIAP GUDANG'!$A:$A,0),MATCH("Y31DPRO|8+128|STOCK",[2]PVKEY!$1:$1,0))</f>
        <v>2</v>
      </c>
      <c r="AS22" s="11">
        <f>INDEX('[2]PV.STOCK TIAP GUDANG'!$A:$CV,MATCH($A22,'[2]PV.STOCK TIAP GUDANG'!$A:$A,0),MATCH("Y31DPRO|8+128|SALES",[2]PVKEY!$1:$1,0))</f>
        <v>2</v>
      </c>
      <c r="AT22" s="12">
        <f t="shared" si="18"/>
        <v>27</v>
      </c>
      <c r="AU22" s="11">
        <f t="shared" si="19"/>
        <v>0.37037037037037035</v>
      </c>
      <c r="AV22" s="10">
        <f>INDEX('[2]PV.STOCK TIAP GUDANG'!$A:$CV,MATCH($A22,'[2]PV.STOCK TIAP GUDANG'!$A:$A,0),MATCH("Y31DPRO|8+256|STOCK",[2]PVKEY!$1:$1,0))</f>
        <v>0</v>
      </c>
      <c r="AW22" s="11">
        <f>INDEX('[2]PV.STOCK TIAP GUDANG'!$A:$CV,MATCH($A22,'[2]PV.STOCK TIAP GUDANG'!$A:$A,0),MATCH("Y31DPRO|8+256|SALES",[2]PVKEY!$1:$1,0))</f>
        <v>3</v>
      </c>
      <c r="AX22" s="12">
        <f t="shared" si="20"/>
        <v>0</v>
      </c>
      <c r="AY22" s="11">
        <f t="shared" si="21"/>
        <v>0.55555555555555558</v>
      </c>
      <c r="AZ22" s="10">
        <f>INDEX('[2]PV.STOCK TIAP GUDANG'!$A:$CV,MATCH($A22,'[2]PV.STOCK TIAP GUDANG'!$A:$A,0),MATCH("V70|12+256|STOCK",[2]PVKEY!$1:$1,0))</f>
        <v>0</v>
      </c>
      <c r="BA22" s="11">
        <f>INDEX('[2]PV.STOCK TIAP GUDANG'!$A:$CV,MATCH($A22,'[2]PV.STOCK TIAP GUDANG'!$A:$A,0),MATCH("V70|12+256|SALES",[2]PVKEY!$1:$1,0))</f>
        <v>5</v>
      </c>
      <c r="BB22" s="12">
        <f t="shared" si="22"/>
        <v>0</v>
      </c>
      <c r="BC22" s="10">
        <f>INDEX('[2]PV.STOCK TIAP GUDANG'!$A:$CV,MATCH($A22,'[2]PV.STOCK TIAP GUDANG'!$A:$A,0),MATCH("V70|8+256|STOCK",[2]PVKEY!$1:$1,0))</f>
        <v>6</v>
      </c>
      <c r="BD22" s="11">
        <f>INDEX('[2]PV.STOCK TIAP GUDANG'!$A:$CV,MATCH($A22,'[2]PV.STOCK TIAP GUDANG'!$A:$A,0),MATCH("V70|8+256|SALES",[2]PVKEY!$1:$1,0))</f>
        <v>4</v>
      </c>
      <c r="BE22" s="12">
        <f t="shared" si="23"/>
        <v>40.5</v>
      </c>
      <c r="BF22" s="11">
        <f t="shared" si="24"/>
        <v>1.1851851851851851</v>
      </c>
      <c r="BG22" s="10">
        <f>INDEX('[2]PV.STOCK TIAP GUDANG'!$A:$CV,MATCH($A22,'[2]PV.STOCK TIAP GUDANG'!$A:$A,0),MATCH("V70|12+512|STOCK",[2]PVKEY!$1:$1,0))</f>
        <v>0</v>
      </c>
      <c r="BH22" s="11">
        <f>INDEX('[2]PV.STOCK TIAP GUDANG'!$A:$CV,MATCH($A22,'[2]PV.STOCK TIAP GUDANG'!$A:$A,0),MATCH("V70|12+512|SALES",[2]PVKEY!$1:$1,0))</f>
        <v>0</v>
      </c>
      <c r="BI22" s="12" t="str">
        <f t="shared" si="25"/>
        <v/>
      </c>
      <c r="BJ22" s="11">
        <f t="shared" si="26"/>
        <v>0</v>
      </c>
      <c r="BK22" s="10">
        <f>INDEX('[2]PV.STOCK TIAP GUDANG'!$A:$CV,MATCH($A22,'[2]PV.STOCK TIAP GUDANG'!$A:$A,0),MATCH("V70FE|8+256|STOCK",[2]PVKEY!$1:$1,0))</f>
        <v>1</v>
      </c>
      <c r="BL22" s="11">
        <f>INDEX('[2]PV.STOCK TIAP GUDANG'!$A:$CV,MATCH($A22,'[2]PV.STOCK TIAP GUDANG'!$A:$A,0),MATCH("V70FE|8+256|SALES",[2]PVKEY!$1:$1,0))</f>
        <v>3</v>
      </c>
      <c r="BM22" s="12">
        <f t="shared" si="27"/>
        <v>9</v>
      </c>
      <c r="BN22" s="11">
        <f t="shared" si="28"/>
        <v>0.88888888888888884</v>
      </c>
      <c r="BO22" s="10">
        <f>INDEX('[2]PV.STOCK TIAP GUDANG'!$A:$CV,MATCH($A22,'[2]PV.STOCK TIAP GUDANG'!$A:$A,0),MATCH("V70FE|12+256|STOCK",[2]PVKEY!$1:$1,0))</f>
        <v>1</v>
      </c>
      <c r="BP22" s="11">
        <f>INDEX('[2]PV.STOCK TIAP GUDANG'!$A:$CV,MATCH($A22,'[2]PV.STOCK TIAP GUDANG'!$A:$A,0),MATCH("V70FE|12+256|SALES",[2]PVKEY!$1:$1,0))</f>
        <v>0</v>
      </c>
      <c r="BQ22" s="12" t="str">
        <f t="shared" si="29"/>
        <v/>
      </c>
      <c r="BR22" s="11">
        <f t="shared" si="30"/>
        <v>0</v>
      </c>
      <c r="BS22" s="10">
        <f>INDEX('[2]PV.STOCK TIAP GUDANG'!$A:$CV,MATCH($A22,'[2]PV.STOCK TIAP GUDANG'!$A:$A,0),MATCH("V60LITE5G|8+256|STOCK",[2]PVKEY!$1:$1,0))</f>
        <v>0</v>
      </c>
      <c r="BT22" s="11">
        <f>INDEX('[2]PV.STOCK TIAP GUDANG'!$A:$CV,MATCH($A22,'[2]PV.STOCK TIAP GUDANG'!$A:$A,0),MATCH("V60LITE5G|8+256|SALES",[2]PVKEY!$1:$1,0))</f>
        <v>0</v>
      </c>
      <c r="BU22" s="12" t="str">
        <f t="shared" si="31"/>
        <v/>
      </c>
      <c r="BV22" s="11">
        <f t="shared" si="32"/>
        <v>0</v>
      </c>
      <c r="BW22" s="10">
        <f>INDEX('[2]PV.STOCK TIAP GUDANG'!$A:$CV,MATCH($A22,'[2]PV.STOCK TIAP GUDANG'!$A:$A,0),MATCH("V60LITE|8+256|STOCK",[2]PVKEY!$1:$1,0))</f>
        <v>3</v>
      </c>
      <c r="BX22" s="11">
        <f>INDEX('[2]PV.STOCK TIAP GUDANG'!$A:$CV,MATCH($A22,'[2]PV.STOCK TIAP GUDANG'!$A:$A,0),MATCH("V60LITE|8+256|SALES",[2]PVKEY!$1:$1,0))</f>
        <v>9</v>
      </c>
      <c r="BY22" s="12">
        <f t="shared" si="33"/>
        <v>9</v>
      </c>
      <c r="BZ22" s="11">
        <f t="shared" si="34"/>
        <v>2.6666666666666665</v>
      </c>
      <c r="CA22" s="10">
        <f>INDEX('[2]PV.STOCK TIAP GUDANG'!$A:$CV,MATCH($A22,'[2]PV.STOCK TIAP GUDANG'!$A:$A,0),MATCH("Y05|4+128|STOCK",[2]PVKEY!$1:$1,0))</f>
        <v>2</v>
      </c>
      <c r="CB22" s="11">
        <f>INDEX('[2]PV.STOCK TIAP GUDANG'!$A:$CV,MATCH($A22,'[2]PV.STOCK TIAP GUDANG'!$A:$A,0),MATCH("Y05|4+128|SALES",[2]PVKEY!$1:$1,0))</f>
        <v>25</v>
      </c>
      <c r="CC22" s="12">
        <f t="shared" si="35"/>
        <v>2.2000000000000002</v>
      </c>
      <c r="CD22" s="11">
        <f t="shared" si="44"/>
        <v>6.4814814814814818</v>
      </c>
      <c r="CE22" s="10">
        <f>INDEX('[2]PV.STOCK TIAP GUDANG'!$A:$CV,MATCH($A22,'[2]PV.STOCK TIAP GUDANG'!$A:$A,0),MATCH("Y05|4+64|STOCK",[2]PVKEY!$1:$1,0))</f>
        <v>1</v>
      </c>
      <c r="CF22" s="11">
        <f>INDEX('[2]PV.STOCK TIAP GUDANG'!$A:$CV,MATCH($A22,'[2]PV.STOCK TIAP GUDANG'!$A:$A,0),MATCH("Y05|4+64|SALES",[2]PVKEY!$1:$1,0))</f>
        <v>28</v>
      </c>
      <c r="CG22" s="12">
        <f t="shared" si="36"/>
        <v>1</v>
      </c>
      <c r="CH22" s="11">
        <f t="shared" si="37"/>
        <v>7.2592592592592586</v>
      </c>
      <c r="CI22" s="10">
        <f>INDEX('[2]PV.STOCK TIAP GUDANG'!$A:$CV,MATCH($A22,'[2]PV.STOCK TIAP GUDANG'!$A:$A,0),MATCH("Y500|6+128|STOCK",[2]PVKEY!$1:$1,0))</f>
        <v>2</v>
      </c>
      <c r="CJ22" s="11">
        <f>INDEX('[2]PV.STOCK TIAP GUDANG'!$A:$CV,MATCH($A22,'[2]PV.STOCK TIAP GUDANG'!$A:$A,0),MATCH("Y500|6+128|SALES",[2]PVKEY!$1:$1,0))</f>
        <v>1</v>
      </c>
      <c r="CK22" s="12">
        <f t="shared" si="38"/>
        <v>54</v>
      </c>
      <c r="CL22" s="10">
        <f>INDEX('[2]PV.STOCK TIAP GUDANG'!$A:$CV,MATCH($A22,'[2]PV.STOCK TIAP GUDANG'!$A:$A,0),MATCH("Y500|6+256|STOCK",[2]PVKEY!$1:$1,0))</f>
        <v>2</v>
      </c>
      <c r="CM22" s="11">
        <f>INDEX('[2]PV.STOCK TIAP GUDANG'!$A:$CV,MATCH($A22,'[2]PV.STOCK TIAP GUDANG'!$A:$A,0),MATCH("Y500|6+256|SALES",[2]PVKEY!$1:$1,0))</f>
        <v>0</v>
      </c>
      <c r="CN22" s="12" t="str">
        <f t="shared" si="39"/>
        <v/>
      </c>
      <c r="CO22" s="10">
        <f>INDEX('[2]PV.STOCK TIAP GUDANG'!$A:$CV,MATCH($A22,'[2]PV.STOCK TIAP GUDANG'!$A:$A,0),MATCH("Y05E|4+64|STOCK",[2]PVKEY!$1:$1,0))</f>
        <v>9</v>
      </c>
      <c r="CP22" s="11">
        <f>INDEX('[2]PV.STOCK TIAP GUDANG'!$A:$CV,MATCH($A22,'[2]PV.STOCK TIAP GUDANG'!$A:$A,0),MATCH("Y05E|4+64|SALES",[2]PVKEY!$1:$1,0))</f>
        <v>21</v>
      </c>
      <c r="CQ22" s="12">
        <f t="shared" si="40"/>
        <v>11.6</v>
      </c>
      <c r="CR22" s="13">
        <f t="shared" si="41"/>
        <v>53</v>
      </c>
      <c r="CS22" s="13">
        <f t="shared" si="42"/>
        <v>182</v>
      </c>
      <c r="CT22" s="13">
        <f t="shared" si="43"/>
        <v>7.8626373626373631</v>
      </c>
      <c r="CU22" s="26" t="s">
        <v>87</v>
      </c>
    </row>
    <row r="23" spans="1:99" ht="16" x14ac:dyDescent="0.2">
      <c r="A23" s="9" t="s">
        <v>42</v>
      </c>
      <c r="B23" s="10">
        <f>INDEX('[2]PV.STOCK TIAP GUDANG'!$A:$CV,MATCH($A23,'[2]PV.STOCK TIAP GUDANG'!$A:$A,0),MATCH("FOLD5|STOCK",[2]PVKEY!$5:$5,0))</f>
        <v>0</v>
      </c>
      <c r="C23" s="11">
        <f>INDEX('[2]PV.STOCK TIAP GUDANG'!$A:$CV,MATCH($A23,'[2]PV.STOCK TIAP GUDANG'!$A:$A,0),MATCH("FOLD5|SALES",[2]PVKEY!$5:$5,0))</f>
        <v>0</v>
      </c>
      <c r="D23" s="12" t="str">
        <f t="shared" si="0"/>
        <v/>
      </c>
      <c r="E23" s="10">
        <f>INDEX('[2]PV.STOCK TIAP GUDANG'!$A:$CV,MATCH($A23,'[2]PV.STOCK TIAP GUDANG'!$A:$A,0),MATCH("X300ULTRA|16+1T|STOCK",[2]PVKEY!$1:$1,0))</f>
        <v>0</v>
      </c>
      <c r="F23" s="11">
        <f>INDEX('[2]PV.STOCK TIAP GUDANG'!$A:$CV,MATCH($A23,'[2]PV.STOCK TIAP GUDANG'!$A:$A,0),MATCH("X300ULTRA|16+1T|SALES",[2]PVKEY!$1:$1,0))</f>
        <v>0</v>
      </c>
      <c r="G23" s="12" t="str">
        <f t="shared" si="1"/>
        <v/>
      </c>
      <c r="H23" s="10">
        <f>INDEX('[2]PV.STOCK TIAP GUDANG'!$A:$CV,MATCH($A23,'[2]PV.STOCK TIAP GUDANG'!$A:$A,0),MATCH("X300ULTRA|16+512|STOCK",[2]PVKEY!$1:$1,0))</f>
        <v>1</v>
      </c>
      <c r="I23" s="11">
        <f>INDEX('[2]PV.STOCK TIAP GUDANG'!$A:$CV,MATCH($A23,'[2]PV.STOCK TIAP GUDANG'!$A:$A,0),MATCH("X300ULTRA|16+512|SALES",[2]PVKEY!$1:$1,0))</f>
        <v>0</v>
      </c>
      <c r="J23" s="12" t="str">
        <f t="shared" si="2"/>
        <v/>
      </c>
      <c r="K23" s="11">
        <f t="shared" si="3"/>
        <v>0</v>
      </c>
      <c r="L23" s="10">
        <f>INDEX('[2]PV.STOCK TIAP GUDANG'!$A:$CV,MATCH($A23,'[2]PV.STOCK TIAP GUDANG'!$A:$A,0),MATCH("X300PRO|16+512|STOCK",[2]PVKEY!$1:$1,0))</f>
        <v>0</v>
      </c>
      <c r="M23" s="11">
        <f>INDEX('[2]PV.STOCK TIAP GUDANG'!$A:$CV,MATCH($A23,'[2]PV.STOCK TIAP GUDANG'!$A:$A,0),MATCH("X300PRO|16+512|SALES",[2]PVKEY!$1:$1,0))</f>
        <v>0</v>
      </c>
      <c r="N23" s="12" t="str">
        <f t="shared" si="4"/>
        <v/>
      </c>
      <c r="O23" s="11">
        <f t="shared" si="5"/>
        <v>0</v>
      </c>
      <c r="P23" s="10">
        <f>INDEX('[2]PV.STOCK TIAP GUDANG'!$A:$CV,MATCH($A23,'[2]PV.STOCK TIAP GUDANG'!$A:$A,0),MATCH("X300|12+256|STOCK",[2]PVKEY!$1:$1,0))</f>
        <v>0</v>
      </c>
      <c r="Q23" s="11">
        <f>INDEX('[2]PV.STOCK TIAP GUDANG'!$A:$CV,MATCH($A23,'[2]PV.STOCK TIAP GUDANG'!$A:$A,0),MATCH("X300|12+256|SALES",[2]PVKEY!$1:$1,0))</f>
        <v>0</v>
      </c>
      <c r="R23" s="12" t="str">
        <f t="shared" si="6"/>
        <v/>
      </c>
      <c r="S23" s="10">
        <f>INDEX('[2]PV.STOCK TIAP GUDANG'!$A:$CV,MATCH($A23,'[2]PV.STOCK TIAP GUDANG'!$A:$A,0),MATCH("X300|16+512|STOCK",[2]PVKEY!$1:$1,0))</f>
        <v>0</v>
      </c>
      <c r="T23" s="11">
        <f>INDEX('[2]PV.STOCK TIAP GUDANG'!$A:$CV,MATCH($A23,'[2]PV.STOCK TIAP GUDANG'!$A:$A,0),MATCH("X300|16+512|SALES",[2]PVKEY!$1:$1,0))</f>
        <v>0</v>
      </c>
      <c r="U23" s="12" t="str">
        <f t="shared" si="7"/>
        <v/>
      </c>
      <c r="V23" s="10">
        <f>INDEX('[2]PV.STOCK TIAP GUDANG'!$A:$CV,MATCH($A23,'[2]PV.STOCK TIAP GUDANG'!$A:$A,0),MATCH("Y11D|4+128|STOCK",[2]PVKEY!$1:$1,0))</f>
        <v>9</v>
      </c>
      <c r="W23" s="11">
        <f>INDEX('[2]PV.STOCK TIAP GUDANG'!$A:$CV,MATCH($A23,'[2]PV.STOCK TIAP GUDANG'!$A:$A,0),MATCH("Y11D|4+128|SALES",[2]PVKEY!$1:$1,0))</f>
        <v>36</v>
      </c>
      <c r="X23" s="12">
        <f t="shared" si="8"/>
        <v>6.8</v>
      </c>
      <c r="Y23" s="11">
        <f t="shared" si="9"/>
        <v>6.6666666666666661</v>
      </c>
      <c r="Z23" s="10">
        <f>INDEX('[2]PV.STOCK TIAP GUDANG'!$A:$CV,MATCH($A23,'[2]PV.STOCK TIAP GUDANG'!$A:$A,0),MATCH("Y11D|4+64|STOCK",[2]PVKEY!$1:$1,0))</f>
        <v>6</v>
      </c>
      <c r="AA23" s="11">
        <f>INDEX('[2]PV.STOCK TIAP GUDANG'!$A:$CV,MATCH($A23,'[2]PV.STOCK TIAP GUDANG'!$A:$A,0),MATCH("Y11D|4+64|SALES",[2]PVKEY!$1:$1,0))</f>
        <v>15</v>
      </c>
      <c r="AB23" s="12">
        <f t="shared" si="10"/>
        <v>10.8</v>
      </c>
      <c r="AC23" s="11">
        <f t="shared" si="11"/>
        <v>2.7777777777777777</v>
      </c>
      <c r="AD23" s="10">
        <f>INDEX('[2]PV.STOCK TIAP GUDANG'!$A:$CV,MATCH($A23,'[2]PV.STOCK TIAP GUDANG'!$A:$A,0),MATCH("Y11D|6+128|STOCK",[2]PVKEY!$1:$1,0))</f>
        <v>0</v>
      </c>
      <c r="AE23" s="11">
        <f>INDEX('[2]PV.STOCK TIAP GUDANG'!$A:$CV,MATCH($A23,'[2]PV.STOCK TIAP GUDANG'!$A:$A,0),MATCH("Y11D|6+128|SALES",[2]PVKEY!$1:$1,0))</f>
        <v>1</v>
      </c>
      <c r="AF23" s="12">
        <f t="shared" si="12"/>
        <v>0</v>
      </c>
      <c r="AG23" s="11">
        <f t="shared" si="13"/>
        <v>0.18518518518518517</v>
      </c>
      <c r="AH23" s="10">
        <f>INDEX('[2]PV.STOCK TIAP GUDANG'!$A:$CV,MATCH($A23,'[2]PV.STOCK TIAP GUDANG'!$A:$A,0),MATCH("Y31D|4+128|STOCK",[2]PVKEY!$1:$1,0))</f>
        <v>0</v>
      </c>
      <c r="AI23" s="11">
        <f>INDEX('[2]PV.STOCK TIAP GUDANG'!$A:$CV,MATCH($A23,'[2]PV.STOCK TIAP GUDANG'!$A:$A,0),MATCH("Y31D|4+128|SALES",[2]PVKEY!$1:$1,0))</f>
        <v>21</v>
      </c>
      <c r="AJ23" s="12">
        <f t="shared" si="14"/>
        <v>0</v>
      </c>
      <c r="AK23" s="10">
        <f>INDEX('[2]PV.STOCK TIAP GUDANG'!$A:$CV,MATCH($A23,'[2]PV.STOCK TIAP GUDANG'!$A:$A,0),MATCH("Y31DPRO|4+128|STOCK",[2]PVKEY!$1:$1,0))</f>
        <v>2</v>
      </c>
      <c r="AL23" s="11">
        <f>INDEX('[2]PV.STOCK TIAP GUDANG'!$A:$CV,MATCH($A23,'[2]PV.STOCK TIAP GUDANG'!$A:$A,0),MATCH("Y31DPRO|4+128|SALES",[2]PVKEY!$1:$1,0))</f>
        <v>11</v>
      </c>
      <c r="AM23" s="12">
        <f t="shared" si="15"/>
        <v>4.9000000000000004</v>
      </c>
      <c r="AN23" s="10">
        <f>INDEX('[2]PV.STOCK TIAP GUDANG'!$A:$CV,MATCH($A23,'[2]PV.STOCK TIAP GUDANG'!$A:$A,0),MATCH("Y31DPRO|6+128|STOCK",[2]PVKEY!$1:$1,0))</f>
        <v>4</v>
      </c>
      <c r="AO23" s="11">
        <f>INDEX('[2]PV.STOCK TIAP GUDANG'!$A:$CV,MATCH($A23,'[2]PV.STOCK TIAP GUDANG'!$A:$A,0),MATCH("Y31DPRO|6+128|SALES",[2]PVKEY!$1:$1,0))</f>
        <v>16</v>
      </c>
      <c r="AP23" s="12">
        <f t="shared" si="16"/>
        <v>6.8</v>
      </c>
      <c r="AQ23" s="11">
        <f t="shared" si="17"/>
        <v>2.9629629629629628</v>
      </c>
      <c r="AR23" s="10">
        <f>INDEX('[2]PV.STOCK TIAP GUDANG'!$A:$CV,MATCH($A23,'[2]PV.STOCK TIAP GUDANG'!$A:$A,0),MATCH("Y31DPRO|8+128|STOCK",[2]PVKEY!$1:$1,0))</f>
        <v>4</v>
      </c>
      <c r="AS23" s="11">
        <f>INDEX('[2]PV.STOCK TIAP GUDANG'!$A:$CV,MATCH($A23,'[2]PV.STOCK TIAP GUDANG'!$A:$A,0),MATCH("Y31DPRO|8+128|SALES",[2]PVKEY!$1:$1,0))</f>
        <v>2</v>
      </c>
      <c r="AT23" s="12">
        <f t="shared" si="18"/>
        <v>54</v>
      </c>
      <c r="AU23" s="11">
        <f t="shared" si="19"/>
        <v>0.37037037037037035</v>
      </c>
      <c r="AV23" s="10">
        <f>INDEX('[2]PV.STOCK TIAP GUDANG'!$A:$CV,MATCH($A23,'[2]PV.STOCK TIAP GUDANG'!$A:$A,0),MATCH("Y31DPRO|8+256|STOCK",[2]PVKEY!$1:$1,0))</f>
        <v>2</v>
      </c>
      <c r="AW23" s="11">
        <f>INDEX('[2]PV.STOCK TIAP GUDANG'!$A:$CV,MATCH($A23,'[2]PV.STOCK TIAP GUDANG'!$A:$A,0),MATCH("Y31DPRO|8+256|SALES",[2]PVKEY!$1:$1,0))</f>
        <v>4</v>
      </c>
      <c r="AX23" s="12">
        <f t="shared" si="20"/>
        <v>13.5</v>
      </c>
      <c r="AY23" s="11">
        <f t="shared" si="21"/>
        <v>0.7407407407407407</v>
      </c>
      <c r="AZ23" s="10">
        <f>INDEX('[2]PV.STOCK TIAP GUDANG'!$A:$CV,MATCH($A23,'[2]PV.STOCK TIAP GUDANG'!$A:$A,0),MATCH("V70|12+256|STOCK",[2]PVKEY!$1:$1,0))</f>
        <v>0</v>
      </c>
      <c r="BA23" s="11">
        <f>INDEX('[2]PV.STOCK TIAP GUDANG'!$A:$CV,MATCH($A23,'[2]PV.STOCK TIAP GUDANG'!$A:$A,0),MATCH("V70|12+256|SALES",[2]PVKEY!$1:$1,0))</f>
        <v>0</v>
      </c>
      <c r="BB23" s="12" t="str">
        <f t="shared" si="22"/>
        <v/>
      </c>
      <c r="BC23" s="10">
        <f>INDEX('[2]PV.STOCK TIAP GUDANG'!$A:$CV,MATCH($A23,'[2]PV.STOCK TIAP GUDANG'!$A:$A,0),MATCH("V70|8+256|STOCK",[2]PVKEY!$1:$1,0))</f>
        <v>2</v>
      </c>
      <c r="BD23" s="11">
        <f>INDEX('[2]PV.STOCK TIAP GUDANG'!$A:$CV,MATCH($A23,'[2]PV.STOCK TIAP GUDANG'!$A:$A,0),MATCH("V70|8+256|SALES",[2]PVKEY!$1:$1,0))</f>
        <v>11</v>
      </c>
      <c r="BE23" s="12">
        <f t="shared" si="23"/>
        <v>4.9000000000000004</v>
      </c>
      <c r="BF23" s="11">
        <f t="shared" si="24"/>
        <v>3.2592592592592591</v>
      </c>
      <c r="BG23" s="10">
        <f>INDEX('[2]PV.STOCK TIAP GUDANG'!$A:$CV,MATCH($A23,'[2]PV.STOCK TIAP GUDANG'!$A:$A,0),MATCH("V70|12+512|STOCK",[2]PVKEY!$1:$1,0))</f>
        <v>0</v>
      </c>
      <c r="BH23" s="11">
        <f>INDEX('[2]PV.STOCK TIAP GUDANG'!$A:$CV,MATCH($A23,'[2]PV.STOCK TIAP GUDANG'!$A:$A,0),MATCH("V70|12+512|SALES",[2]PVKEY!$1:$1,0))</f>
        <v>0</v>
      </c>
      <c r="BI23" s="12" t="str">
        <f t="shared" si="25"/>
        <v/>
      </c>
      <c r="BJ23" s="11">
        <f t="shared" si="26"/>
        <v>0</v>
      </c>
      <c r="BK23" s="10">
        <f>INDEX('[2]PV.STOCK TIAP GUDANG'!$A:$CV,MATCH($A23,'[2]PV.STOCK TIAP GUDANG'!$A:$A,0),MATCH("V70FE|8+256|STOCK",[2]PVKEY!$1:$1,0))</f>
        <v>0</v>
      </c>
      <c r="BL23" s="11">
        <f>INDEX('[2]PV.STOCK TIAP GUDANG'!$A:$CV,MATCH($A23,'[2]PV.STOCK TIAP GUDANG'!$A:$A,0),MATCH("V70FE|8+256|SALES",[2]PVKEY!$1:$1,0))</f>
        <v>5</v>
      </c>
      <c r="BM23" s="12">
        <f t="shared" si="27"/>
        <v>0</v>
      </c>
      <c r="BN23" s="11">
        <f t="shared" si="28"/>
        <v>1.4814814814814814</v>
      </c>
      <c r="BO23" s="10">
        <f>INDEX('[2]PV.STOCK TIAP GUDANG'!$A:$CV,MATCH($A23,'[2]PV.STOCK TIAP GUDANG'!$A:$A,0),MATCH("V70FE|12+256|STOCK",[2]PVKEY!$1:$1,0))</f>
        <v>0</v>
      </c>
      <c r="BP23" s="11">
        <f>INDEX('[2]PV.STOCK TIAP GUDANG'!$A:$CV,MATCH($A23,'[2]PV.STOCK TIAP GUDANG'!$A:$A,0),MATCH("V70FE|12+256|SALES",[2]PVKEY!$1:$1,0))</f>
        <v>6</v>
      </c>
      <c r="BQ23" s="12">
        <f t="shared" si="29"/>
        <v>0</v>
      </c>
      <c r="BR23" s="11">
        <f t="shared" si="30"/>
        <v>1.7777777777777777</v>
      </c>
      <c r="BS23" s="10">
        <f>INDEX('[2]PV.STOCK TIAP GUDANG'!$A:$CV,MATCH($A23,'[2]PV.STOCK TIAP GUDANG'!$A:$A,0),MATCH("V60LITE5G|8+256|STOCK",[2]PVKEY!$1:$1,0))</f>
        <v>0</v>
      </c>
      <c r="BT23" s="11">
        <f>INDEX('[2]PV.STOCK TIAP GUDANG'!$A:$CV,MATCH($A23,'[2]PV.STOCK TIAP GUDANG'!$A:$A,0),MATCH("V60LITE5G|8+256|SALES",[2]PVKEY!$1:$1,0))</f>
        <v>0</v>
      </c>
      <c r="BU23" s="12" t="str">
        <f t="shared" si="31"/>
        <v/>
      </c>
      <c r="BV23" s="11">
        <f t="shared" si="32"/>
        <v>0</v>
      </c>
      <c r="BW23" s="10">
        <f>INDEX('[2]PV.STOCK TIAP GUDANG'!$A:$CV,MATCH($A23,'[2]PV.STOCK TIAP GUDANG'!$A:$A,0),MATCH("V60LITE|8+256|STOCK",[2]PVKEY!$1:$1,0))</f>
        <v>3</v>
      </c>
      <c r="BX23" s="11">
        <f>INDEX('[2]PV.STOCK TIAP GUDANG'!$A:$CV,MATCH($A23,'[2]PV.STOCK TIAP GUDANG'!$A:$A,0),MATCH("V60LITE|8+256|SALES",[2]PVKEY!$1:$1,0))</f>
        <v>25</v>
      </c>
      <c r="BY23" s="12">
        <f t="shared" si="33"/>
        <v>3.2</v>
      </c>
      <c r="BZ23" s="11">
        <f t="shared" si="34"/>
        <v>7.4074074074074074</v>
      </c>
      <c r="CA23" s="10">
        <f>INDEX('[2]PV.STOCK TIAP GUDANG'!$A:$CV,MATCH($A23,'[2]PV.STOCK TIAP GUDANG'!$A:$A,0),MATCH("Y05|4+128|STOCK",[2]PVKEY!$1:$1,0))</f>
        <v>0</v>
      </c>
      <c r="CB23" s="11">
        <f>INDEX('[2]PV.STOCK TIAP GUDANG'!$A:$CV,MATCH($A23,'[2]PV.STOCK TIAP GUDANG'!$A:$A,0),MATCH("Y05|4+128|SALES",[2]PVKEY!$1:$1,0))</f>
        <v>34</v>
      </c>
      <c r="CC23" s="12">
        <f t="shared" si="35"/>
        <v>0</v>
      </c>
      <c r="CD23" s="11">
        <f t="shared" si="44"/>
        <v>8.8148148148148149</v>
      </c>
      <c r="CE23" s="10">
        <f>INDEX('[2]PV.STOCK TIAP GUDANG'!$A:$CV,MATCH($A23,'[2]PV.STOCK TIAP GUDANG'!$A:$A,0),MATCH("Y05|4+64|STOCK",[2]PVKEY!$1:$1,0))</f>
        <v>4</v>
      </c>
      <c r="CF23" s="11">
        <f>INDEX('[2]PV.STOCK TIAP GUDANG'!$A:$CV,MATCH($A23,'[2]PV.STOCK TIAP GUDANG'!$A:$A,0),MATCH("Y05|4+64|SALES",[2]PVKEY!$1:$1,0))</f>
        <v>38</v>
      </c>
      <c r="CG23" s="12">
        <f t="shared" si="36"/>
        <v>2.8</v>
      </c>
      <c r="CH23" s="11">
        <f t="shared" si="37"/>
        <v>9.8518518518518512</v>
      </c>
      <c r="CI23" s="10">
        <f>INDEX('[2]PV.STOCK TIAP GUDANG'!$A:$CV,MATCH($A23,'[2]PV.STOCK TIAP GUDANG'!$A:$A,0),MATCH("Y500|6+128|STOCK",[2]PVKEY!$1:$1,0))</f>
        <v>3</v>
      </c>
      <c r="CJ23" s="11">
        <f>INDEX('[2]PV.STOCK TIAP GUDANG'!$A:$CV,MATCH($A23,'[2]PV.STOCK TIAP GUDANG'!$A:$A,0),MATCH("Y500|6+128|SALES",[2]PVKEY!$1:$1,0))</f>
        <v>5</v>
      </c>
      <c r="CK23" s="12">
        <f t="shared" si="38"/>
        <v>16.2</v>
      </c>
      <c r="CL23" s="10">
        <f>INDEX('[2]PV.STOCK TIAP GUDANG'!$A:$CV,MATCH($A23,'[2]PV.STOCK TIAP GUDANG'!$A:$A,0),MATCH("Y500|6+256|STOCK",[2]PVKEY!$1:$1,0))</f>
        <v>2</v>
      </c>
      <c r="CM23" s="11">
        <f>INDEX('[2]PV.STOCK TIAP GUDANG'!$A:$CV,MATCH($A23,'[2]PV.STOCK TIAP GUDANG'!$A:$A,0),MATCH("Y500|6+256|SALES",[2]PVKEY!$1:$1,0))</f>
        <v>3</v>
      </c>
      <c r="CN23" s="12">
        <f t="shared" si="39"/>
        <v>18</v>
      </c>
      <c r="CO23" s="10">
        <f>INDEX('[2]PV.STOCK TIAP GUDANG'!$A:$CV,MATCH($A23,'[2]PV.STOCK TIAP GUDANG'!$A:$A,0),MATCH("Y05E|4+64|STOCK",[2]PVKEY!$1:$1,0))</f>
        <v>8</v>
      </c>
      <c r="CP23" s="11">
        <f>INDEX('[2]PV.STOCK TIAP GUDANG'!$A:$CV,MATCH($A23,'[2]PV.STOCK TIAP GUDANG'!$A:$A,0),MATCH("Y05E|4+64|SALES",[2]PVKEY!$1:$1,0))</f>
        <v>28</v>
      </c>
      <c r="CQ23" s="12">
        <f t="shared" si="40"/>
        <v>7.7</v>
      </c>
      <c r="CR23" s="13">
        <f t="shared" si="41"/>
        <v>50</v>
      </c>
      <c r="CS23" s="13">
        <f t="shared" si="42"/>
        <v>261</v>
      </c>
      <c r="CT23" s="13">
        <f t="shared" si="43"/>
        <v>5.1724137931034484</v>
      </c>
      <c r="CU23" t="s">
        <v>88</v>
      </c>
    </row>
    <row r="24" spans="1:99" ht="16" x14ac:dyDescent="0.2">
      <c r="A24" s="9" t="s">
        <v>47</v>
      </c>
      <c r="B24" s="10">
        <f>INDEX('[2]PV.STOCK TIAP GUDANG'!$A:$CV,MATCH($A24,'[2]PV.STOCK TIAP GUDANG'!$A:$A,0),MATCH("FOLD5|STOCK",[2]PVKEY!$5:$5,0))</f>
        <v>0</v>
      </c>
      <c r="C24" s="11">
        <f>INDEX('[2]PV.STOCK TIAP GUDANG'!$A:$CV,MATCH($A24,'[2]PV.STOCK TIAP GUDANG'!$A:$A,0),MATCH("FOLD5|SALES",[2]PVKEY!$5:$5,0))</f>
        <v>0</v>
      </c>
      <c r="D24" s="12" t="str">
        <f t="shared" si="0"/>
        <v/>
      </c>
      <c r="E24" s="10">
        <f>INDEX('[2]PV.STOCK TIAP GUDANG'!$A:$CV,MATCH($A24,'[2]PV.STOCK TIAP GUDANG'!$A:$A,0),MATCH("X300ULTRA|16+1T|STOCK",[2]PVKEY!$1:$1,0))</f>
        <v>0</v>
      </c>
      <c r="F24" s="11">
        <f>INDEX('[2]PV.STOCK TIAP GUDANG'!$A:$CV,MATCH($A24,'[2]PV.STOCK TIAP GUDANG'!$A:$A,0),MATCH("X300ULTRA|16+1T|SALES",[2]PVKEY!$1:$1,0))</f>
        <v>0</v>
      </c>
      <c r="G24" s="12" t="str">
        <f t="shared" si="1"/>
        <v/>
      </c>
      <c r="H24" s="10">
        <f>INDEX('[2]PV.STOCK TIAP GUDANG'!$A:$CV,MATCH($A24,'[2]PV.STOCK TIAP GUDANG'!$A:$A,0),MATCH("X300ULTRA|16+512|STOCK",[2]PVKEY!$1:$1,0))</f>
        <v>1</v>
      </c>
      <c r="I24" s="11">
        <f>INDEX('[2]PV.STOCK TIAP GUDANG'!$A:$CV,MATCH($A24,'[2]PV.STOCK TIAP GUDANG'!$A:$A,0),MATCH("X300ULTRA|16+512|SALES",[2]PVKEY!$1:$1,0))</f>
        <v>0</v>
      </c>
      <c r="J24" s="12" t="str">
        <f t="shared" si="2"/>
        <v/>
      </c>
      <c r="K24" s="11">
        <f t="shared" si="3"/>
        <v>0</v>
      </c>
      <c r="L24" s="10">
        <f>INDEX('[2]PV.STOCK TIAP GUDANG'!$A:$CV,MATCH($A24,'[2]PV.STOCK TIAP GUDANG'!$A:$A,0),MATCH("X300PRO|16+512|STOCK",[2]PVKEY!$1:$1,0))</f>
        <v>0</v>
      </c>
      <c r="M24" s="11">
        <f>INDEX('[2]PV.STOCK TIAP GUDANG'!$A:$CV,MATCH($A24,'[2]PV.STOCK TIAP GUDANG'!$A:$A,0),MATCH("X300PRO|16+512|SALES",[2]PVKEY!$1:$1,0))</f>
        <v>0</v>
      </c>
      <c r="N24" s="12" t="str">
        <f t="shared" si="4"/>
        <v/>
      </c>
      <c r="O24" s="11">
        <f t="shared" si="5"/>
        <v>0</v>
      </c>
      <c r="P24" s="10">
        <f>INDEX('[2]PV.STOCK TIAP GUDANG'!$A:$CV,MATCH($A24,'[2]PV.STOCK TIAP GUDANG'!$A:$A,0),MATCH("X300|12+256|STOCK",[2]PVKEY!$1:$1,0))</f>
        <v>0</v>
      </c>
      <c r="Q24" s="11">
        <f>INDEX('[2]PV.STOCK TIAP GUDANG'!$A:$CV,MATCH($A24,'[2]PV.STOCK TIAP GUDANG'!$A:$A,0),MATCH("X300|12+256|SALES",[2]PVKEY!$1:$1,0))</f>
        <v>0</v>
      </c>
      <c r="R24" s="12" t="str">
        <f t="shared" si="6"/>
        <v/>
      </c>
      <c r="S24" s="10">
        <f>INDEX('[2]PV.STOCK TIAP GUDANG'!$A:$CV,MATCH($A24,'[2]PV.STOCK TIAP GUDANG'!$A:$A,0),MATCH("X300|16+512|STOCK",[2]PVKEY!$1:$1,0))</f>
        <v>0</v>
      </c>
      <c r="T24" s="11">
        <f>INDEX('[2]PV.STOCK TIAP GUDANG'!$A:$CV,MATCH($A24,'[2]PV.STOCK TIAP GUDANG'!$A:$A,0),MATCH("X300|16+512|SALES",[2]PVKEY!$1:$1,0))</f>
        <v>0</v>
      </c>
      <c r="U24" s="12" t="str">
        <f t="shared" si="7"/>
        <v/>
      </c>
      <c r="V24" s="10">
        <f>INDEX('[2]PV.STOCK TIAP GUDANG'!$A:$CV,MATCH($A24,'[2]PV.STOCK TIAP GUDANG'!$A:$A,0),MATCH("Y11D|4+128|STOCK",[2]PVKEY!$1:$1,0))</f>
        <v>3</v>
      </c>
      <c r="W24" s="11">
        <f>INDEX('[2]PV.STOCK TIAP GUDANG'!$A:$CV,MATCH($A24,'[2]PV.STOCK TIAP GUDANG'!$A:$A,0),MATCH("Y11D|4+128|SALES",[2]PVKEY!$1:$1,0))</f>
        <v>2</v>
      </c>
      <c r="X24" s="12">
        <f t="shared" si="8"/>
        <v>40.5</v>
      </c>
      <c r="Y24" s="11">
        <f t="shared" si="9"/>
        <v>0.37037037037037035</v>
      </c>
      <c r="Z24" s="10">
        <f>INDEX('[2]PV.STOCK TIAP GUDANG'!$A:$CV,MATCH($A24,'[2]PV.STOCK TIAP GUDANG'!$A:$A,0),MATCH("Y11D|4+64|STOCK",[2]PVKEY!$1:$1,0))</f>
        <v>4</v>
      </c>
      <c r="AA24" s="11">
        <f>INDEX('[2]PV.STOCK TIAP GUDANG'!$A:$CV,MATCH($A24,'[2]PV.STOCK TIAP GUDANG'!$A:$A,0),MATCH("Y11D|4+64|SALES",[2]PVKEY!$1:$1,0))</f>
        <v>0</v>
      </c>
      <c r="AB24" s="12" t="str">
        <f t="shared" si="10"/>
        <v/>
      </c>
      <c r="AC24" s="11">
        <f t="shared" si="11"/>
        <v>0</v>
      </c>
      <c r="AD24" s="10">
        <f>INDEX('[2]PV.STOCK TIAP GUDANG'!$A:$CV,MATCH($A24,'[2]PV.STOCK TIAP GUDANG'!$A:$A,0),MATCH("Y11D|6+128|STOCK",[2]PVKEY!$1:$1,0))</f>
        <v>1</v>
      </c>
      <c r="AE24" s="11">
        <f>INDEX('[2]PV.STOCK TIAP GUDANG'!$A:$CV,MATCH($A24,'[2]PV.STOCK TIAP GUDANG'!$A:$A,0),MATCH("Y11D|6+128|SALES",[2]PVKEY!$1:$1,0))</f>
        <v>0</v>
      </c>
      <c r="AF24" s="12" t="str">
        <f t="shared" si="12"/>
        <v/>
      </c>
      <c r="AG24" s="11">
        <f t="shared" si="13"/>
        <v>0</v>
      </c>
      <c r="AH24" s="10">
        <f>INDEX('[2]PV.STOCK TIAP GUDANG'!$A:$CV,MATCH($A24,'[2]PV.STOCK TIAP GUDANG'!$A:$A,0),MATCH("Y31D|4+128|STOCK",[2]PVKEY!$1:$1,0))</f>
        <v>0</v>
      </c>
      <c r="AI24" s="11">
        <f>INDEX('[2]PV.STOCK TIAP GUDANG'!$A:$CV,MATCH($A24,'[2]PV.STOCK TIAP GUDANG'!$A:$A,0),MATCH("Y31D|4+128|SALES",[2]PVKEY!$1:$1,0))</f>
        <v>2</v>
      </c>
      <c r="AJ24" s="12">
        <f t="shared" si="14"/>
        <v>0</v>
      </c>
      <c r="AK24" s="10">
        <f>INDEX('[2]PV.STOCK TIAP GUDANG'!$A:$CV,MATCH($A24,'[2]PV.STOCK TIAP GUDANG'!$A:$A,0),MATCH("Y31DPRO|4+128|STOCK",[2]PVKEY!$1:$1,0))</f>
        <v>4</v>
      </c>
      <c r="AL24" s="11">
        <f>INDEX('[2]PV.STOCK TIAP GUDANG'!$A:$CV,MATCH($A24,'[2]PV.STOCK TIAP GUDANG'!$A:$A,0),MATCH("Y31DPRO|4+128|SALES",[2]PVKEY!$1:$1,0))</f>
        <v>2</v>
      </c>
      <c r="AM24" s="12">
        <f t="shared" si="15"/>
        <v>54</v>
      </c>
      <c r="AN24" s="10">
        <f>INDEX('[2]PV.STOCK TIAP GUDANG'!$A:$CV,MATCH($A24,'[2]PV.STOCK TIAP GUDANG'!$A:$A,0),MATCH("Y31DPRO|6+128|STOCK",[2]PVKEY!$1:$1,0))</f>
        <v>0</v>
      </c>
      <c r="AO24" s="11">
        <f>INDEX('[2]PV.STOCK TIAP GUDANG'!$A:$CV,MATCH($A24,'[2]PV.STOCK TIAP GUDANG'!$A:$A,0),MATCH("Y31DPRO|6+128|SALES",[2]PVKEY!$1:$1,0))</f>
        <v>2</v>
      </c>
      <c r="AP24" s="12">
        <f t="shared" si="16"/>
        <v>0</v>
      </c>
      <c r="AQ24" s="11">
        <f t="shared" si="17"/>
        <v>0.37037037037037035</v>
      </c>
      <c r="AR24" s="10">
        <f>INDEX('[2]PV.STOCK TIAP GUDANG'!$A:$CV,MATCH($A24,'[2]PV.STOCK TIAP GUDANG'!$A:$A,0),MATCH("Y31DPRO|8+128|STOCK",[2]PVKEY!$1:$1,0))</f>
        <v>2</v>
      </c>
      <c r="AS24" s="11">
        <f>INDEX('[2]PV.STOCK TIAP GUDANG'!$A:$CV,MATCH($A24,'[2]PV.STOCK TIAP GUDANG'!$A:$A,0),MATCH("Y31DPRO|8+128|SALES",[2]PVKEY!$1:$1,0))</f>
        <v>0</v>
      </c>
      <c r="AT24" s="12" t="str">
        <f t="shared" si="18"/>
        <v/>
      </c>
      <c r="AU24" s="11">
        <f t="shared" si="19"/>
        <v>0</v>
      </c>
      <c r="AV24" s="10">
        <f>INDEX('[2]PV.STOCK TIAP GUDANG'!$A:$CV,MATCH($A24,'[2]PV.STOCK TIAP GUDANG'!$A:$A,0),MATCH("Y31DPRO|8+256|STOCK",[2]PVKEY!$1:$1,0))</f>
        <v>1</v>
      </c>
      <c r="AW24" s="11">
        <f>INDEX('[2]PV.STOCK TIAP GUDANG'!$A:$CV,MATCH($A24,'[2]PV.STOCK TIAP GUDANG'!$A:$A,0),MATCH("Y31DPRO|8+256|SALES",[2]PVKEY!$1:$1,0))</f>
        <v>0</v>
      </c>
      <c r="AX24" s="12" t="str">
        <f t="shared" si="20"/>
        <v/>
      </c>
      <c r="AY24" s="11">
        <f t="shared" si="21"/>
        <v>0</v>
      </c>
      <c r="AZ24" s="10">
        <f>INDEX('[2]PV.STOCK TIAP GUDANG'!$A:$CV,MATCH($A24,'[2]PV.STOCK TIAP GUDANG'!$A:$A,0),MATCH("V70|12+256|STOCK",[2]PVKEY!$1:$1,0))</f>
        <v>0</v>
      </c>
      <c r="BA24" s="11">
        <f>INDEX('[2]PV.STOCK TIAP GUDANG'!$A:$CV,MATCH($A24,'[2]PV.STOCK TIAP GUDANG'!$A:$A,0),MATCH("V70|12+256|SALES",[2]PVKEY!$1:$1,0))</f>
        <v>0</v>
      </c>
      <c r="BB24" s="12" t="str">
        <f t="shared" si="22"/>
        <v/>
      </c>
      <c r="BC24" s="10">
        <f>INDEX('[2]PV.STOCK TIAP GUDANG'!$A:$CV,MATCH($A24,'[2]PV.STOCK TIAP GUDANG'!$A:$A,0),MATCH("V70|8+256|STOCK",[2]PVKEY!$1:$1,0))</f>
        <v>6</v>
      </c>
      <c r="BD24" s="11">
        <f>INDEX('[2]PV.STOCK TIAP GUDANG'!$A:$CV,MATCH($A24,'[2]PV.STOCK TIAP GUDANG'!$A:$A,0),MATCH("V70|8+256|SALES",[2]PVKEY!$1:$1,0))</f>
        <v>1</v>
      </c>
      <c r="BE24" s="12">
        <f t="shared" si="23"/>
        <v>162</v>
      </c>
      <c r="BF24" s="11">
        <f t="shared" si="24"/>
        <v>0.29629629629629628</v>
      </c>
      <c r="BG24" s="10">
        <f>INDEX('[2]PV.STOCK TIAP GUDANG'!$A:$CV,MATCH($A24,'[2]PV.STOCK TIAP GUDANG'!$A:$A,0),MATCH("V70|12+512|STOCK",[2]PVKEY!$1:$1,0))</f>
        <v>0</v>
      </c>
      <c r="BH24" s="11">
        <f>INDEX('[2]PV.STOCK TIAP GUDANG'!$A:$CV,MATCH($A24,'[2]PV.STOCK TIAP GUDANG'!$A:$A,0),MATCH("V70|12+512|SALES",[2]PVKEY!$1:$1,0))</f>
        <v>0</v>
      </c>
      <c r="BI24" s="12" t="str">
        <f t="shared" si="25"/>
        <v/>
      </c>
      <c r="BJ24" s="11">
        <f t="shared" si="26"/>
        <v>0</v>
      </c>
      <c r="BK24" s="10">
        <f>INDEX('[2]PV.STOCK TIAP GUDANG'!$A:$CV,MATCH($A24,'[2]PV.STOCK TIAP GUDANG'!$A:$A,0),MATCH("V70FE|8+256|STOCK",[2]PVKEY!$1:$1,0))</f>
        <v>0</v>
      </c>
      <c r="BL24" s="11">
        <f>INDEX('[2]PV.STOCK TIAP GUDANG'!$A:$CV,MATCH($A24,'[2]PV.STOCK TIAP GUDANG'!$A:$A,0),MATCH("V70FE|8+256|SALES",[2]PVKEY!$1:$1,0))</f>
        <v>2</v>
      </c>
      <c r="BM24" s="12">
        <f t="shared" si="27"/>
        <v>0</v>
      </c>
      <c r="BN24" s="11">
        <f t="shared" si="28"/>
        <v>0.59259259259259256</v>
      </c>
      <c r="BO24" s="10">
        <f>INDEX('[2]PV.STOCK TIAP GUDANG'!$A:$CV,MATCH($A24,'[2]PV.STOCK TIAP GUDANG'!$A:$A,0),MATCH("V70FE|12+256|STOCK",[2]PVKEY!$1:$1,0))</f>
        <v>2</v>
      </c>
      <c r="BP24" s="11">
        <f>INDEX('[2]PV.STOCK TIAP GUDANG'!$A:$CV,MATCH($A24,'[2]PV.STOCK TIAP GUDANG'!$A:$A,0),MATCH("V70FE|12+256|SALES",[2]PVKEY!$1:$1,0))</f>
        <v>0</v>
      </c>
      <c r="BQ24" s="12" t="str">
        <f t="shared" si="29"/>
        <v/>
      </c>
      <c r="BR24" s="11">
        <f t="shared" si="30"/>
        <v>0</v>
      </c>
      <c r="BS24" s="10">
        <f>INDEX('[2]PV.STOCK TIAP GUDANG'!$A:$CV,MATCH($A24,'[2]PV.STOCK TIAP GUDANG'!$A:$A,0),MATCH("V60LITE5G|8+256|STOCK",[2]PVKEY!$1:$1,0))</f>
        <v>0</v>
      </c>
      <c r="BT24" s="11">
        <f>INDEX('[2]PV.STOCK TIAP GUDANG'!$A:$CV,MATCH($A24,'[2]PV.STOCK TIAP GUDANG'!$A:$A,0),MATCH("V60LITE5G|8+256|SALES",[2]PVKEY!$1:$1,0))</f>
        <v>0</v>
      </c>
      <c r="BU24" s="12" t="str">
        <f t="shared" si="31"/>
        <v/>
      </c>
      <c r="BV24" s="11">
        <f t="shared" si="32"/>
        <v>0</v>
      </c>
      <c r="BW24" s="10">
        <f>INDEX('[2]PV.STOCK TIAP GUDANG'!$A:$CV,MATCH($A24,'[2]PV.STOCK TIAP GUDANG'!$A:$A,0),MATCH("V60LITE|8+256|STOCK",[2]PVKEY!$1:$1,0))</f>
        <v>1</v>
      </c>
      <c r="BX24" s="11">
        <f>INDEX('[2]PV.STOCK TIAP GUDANG'!$A:$CV,MATCH($A24,'[2]PV.STOCK TIAP GUDANG'!$A:$A,0),MATCH("V60LITE|8+256|SALES",[2]PVKEY!$1:$1,0))</f>
        <v>2</v>
      </c>
      <c r="BY24" s="12">
        <f t="shared" si="33"/>
        <v>13.5</v>
      </c>
      <c r="BZ24" s="11">
        <f t="shared" si="34"/>
        <v>0.59259259259259256</v>
      </c>
      <c r="CA24" s="10">
        <f>INDEX('[2]PV.STOCK TIAP GUDANG'!$A:$CV,MATCH($A24,'[2]PV.STOCK TIAP GUDANG'!$A:$A,0),MATCH("Y05|4+128|STOCK",[2]PVKEY!$1:$1,0))</f>
        <v>2</v>
      </c>
      <c r="CB24" s="11">
        <f>INDEX('[2]PV.STOCK TIAP GUDANG'!$A:$CV,MATCH($A24,'[2]PV.STOCK TIAP GUDANG'!$A:$A,0),MATCH("Y05|4+128|SALES",[2]PVKEY!$1:$1,0))</f>
        <v>3</v>
      </c>
      <c r="CC24" s="12">
        <f t="shared" si="35"/>
        <v>18</v>
      </c>
      <c r="CD24" s="11">
        <f t="shared" si="44"/>
        <v>0.77777777777777768</v>
      </c>
      <c r="CE24" s="10">
        <f>INDEX('[2]PV.STOCK TIAP GUDANG'!$A:$CV,MATCH($A24,'[2]PV.STOCK TIAP GUDANG'!$A:$A,0),MATCH("Y05|4+64|STOCK",[2]PVKEY!$1:$1,0))</f>
        <v>3</v>
      </c>
      <c r="CF24" s="11">
        <f>INDEX('[2]PV.STOCK TIAP GUDANG'!$A:$CV,MATCH($A24,'[2]PV.STOCK TIAP GUDANG'!$A:$A,0),MATCH("Y05|4+64|SALES",[2]PVKEY!$1:$1,0))</f>
        <v>1</v>
      </c>
      <c r="CG24" s="12">
        <f t="shared" si="36"/>
        <v>81</v>
      </c>
      <c r="CH24" s="11">
        <f t="shared" si="37"/>
        <v>0.25925925925925924</v>
      </c>
      <c r="CI24" s="10">
        <f>INDEX('[2]PV.STOCK TIAP GUDANG'!$A:$CV,MATCH($A24,'[2]PV.STOCK TIAP GUDANG'!$A:$A,0),MATCH("Y500|6+128|STOCK",[2]PVKEY!$1:$1,0))</f>
        <v>2</v>
      </c>
      <c r="CJ24" s="11">
        <f>INDEX('[2]PV.STOCK TIAP GUDANG'!$A:$CV,MATCH($A24,'[2]PV.STOCK TIAP GUDANG'!$A:$A,0),MATCH("Y500|6+128|SALES",[2]PVKEY!$1:$1,0))</f>
        <v>1</v>
      </c>
      <c r="CK24" s="12">
        <f t="shared" si="38"/>
        <v>54</v>
      </c>
      <c r="CL24" s="10">
        <f>INDEX('[2]PV.STOCK TIAP GUDANG'!$A:$CV,MATCH($A24,'[2]PV.STOCK TIAP GUDANG'!$A:$A,0),MATCH("Y500|6+256|STOCK",[2]PVKEY!$1:$1,0))</f>
        <v>1</v>
      </c>
      <c r="CM24" s="11">
        <f>INDEX('[2]PV.STOCK TIAP GUDANG'!$A:$CV,MATCH($A24,'[2]PV.STOCK TIAP GUDANG'!$A:$A,0),MATCH("Y500|6+256|SALES",[2]PVKEY!$1:$1,0))</f>
        <v>1</v>
      </c>
      <c r="CN24" s="12">
        <f t="shared" si="39"/>
        <v>27</v>
      </c>
      <c r="CO24" s="10">
        <f>INDEX('[2]PV.STOCK TIAP GUDANG'!$A:$CV,MATCH($A24,'[2]PV.STOCK TIAP GUDANG'!$A:$A,0),MATCH("Y05E|4+64|STOCK",[2]PVKEY!$1:$1,0))</f>
        <v>2</v>
      </c>
      <c r="CP24" s="11">
        <f>INDEX('[2]PV.STOCK TIAP GUDANG'!$A:$CV,MATCH($A24,'[2]PV.STOCK TIAP GUDANG'!$A:$A,0),MATCH("Y05E|4+64|SALES",[2]PVKEY!$1:$1,0))</f>
        <v>2</v>
      </c>
      <c r="CQ24" s="12">
        <f t="shared" si="40"/>
        <v>27</v>
      </c>
      <c r="CR24" s="13">
        <f t="shared" si="41"/>
        <v>35</v>
      </c>
      <c r="CS24" s="13">
        <f t="shared" si="42"/>
        <v>21</v>
      </c>
      <c r="CT24" s="13">
        <f t="shared" si="43"/>
        <v>45</v>
      </c>
      <c r="CU24" t="s">
        <v>87</v>
      </c>
    </row>
    <row r="25" spans="1:99" ht="16" x14ac:dyDescent="0.2">
      <c r="A25" s="9" t="s">
        <v>53</v>
      </c>
      <c r="B25" s="10">
        <f>INDEX('[2]PV.STOCK TIAP GUDANG'!$A:$CV,MATCH($A25,'[2]PV.STOCK TIAP GUDANG'!$A:$A,0),MATCH("FOLD5|STOCK",[2]PVKEY!$5:$5,0))</f>
        <v>0</v>
      </c>
      <c r="C25" s="11">
        <f>INDEX('[2]PV.STOCK TIAP GUDANG'!$A:$CV,MATCH($A25,'[2]PV.STOCK TIAP GUDANG'!$A:$A,0),MATCH("FOLD5|SALES",[2]PVKEY!$5:$5,0))</f>
        <v>0</v>
      </c>
      <c r="D25" s="12" t="str">
        <f t="shared" si="0"/>
        <v/>
      </c>
      <c r="E25" s="10">
        <f>INDEX('[2]PV.STOCK TIAP GUDANG'!$A:$CV,MATCH($A25,'[2]PV.STOCK TIAP GUDANG'!$A:$A,0),MATCH("X300ULTRA|16+1T|STOCK",[2]PVKEY!$1:$1,0))</f>
        <v>1</v>
      </c>
      <c r="F25" s="11">
        <f>INDEX('[2]PV.STOCK TIAP GUDANG'!$A:$CV,MATCH($A25,'[2]PV.STOCK TIAP GUDANG'!$A:$A,0),MATCH("X300ULTRA|16+1T|SALES",[2]PVKEY!$1:$1,0))</f>
        <v>0</v>
      </c>
      <c r="G25" s="12" t="str">
        <f t="shared" si="1"/>
        <v/>
      </c>
      <c r="H25" s="10">
        <f>INDEX('[2]PV.STOCK TIAP GUDANG'!$A:$CV,MATCH($A25,'[2]PV.STOCK TIAP GUDANG'!$A:$A,0),MATCH("X300ULTRA|16+512|STOCK",[2]PVKEY!$1:$1,0))</f>
        <v>1</v>
      </c>
      <c r="I25" s="11">
        <f>INDEX('[2]PV.STOCK TIAP GUDANG'!$A:$CV,MATCH($A25,'[2]PV.STOCK TIAP GUDANG'!$A:$A,0),MATCH("X300ULTRA|16+512|SALES",[2]PVKEY!$1:$1,0))</f>
        <v>0</v>
      </c>
      <c r="J25" s="12" t="str">
        <f t="shared" si="2"/>
        <v/>
      </c>
      <c r="K25" s="11">
        <f t="shared" si="3"/>
        <v>0</v>
      </c>
      <c r="L25" s="10">
        <f>INDEX('[2]PV.STOCK TIAP GUDANG'!$A:$CV,MATCH($A25,'[2]PV.STOCK TIAP GUDANG'!$A:$A,0),MATCH("X300PRO|16+512|STOCK",[2]PVKEY!$1:$1,0))</f>
        <v>0</v>
      </c>
      <c r="M25" s="11">
        <f>INDEX('[2]PV.STOCK TIAP GUDANG'!$A:$CV,MATCH($A25,'[2]PV.STOCK TIAP GUDANG'!$A:$A,0),MATCH("X300PRO|16+512|SALES",[2]PVKEY!$1:$1,0))</f>
        <v>0</v>
      </c>
      <c r="N25" s="12" t="str">
        <f t="shared" si="4"/>
        <v/>
      </c>
      <c r="O25" s="11">
        <f t="shared" si="5"/>
        <v>0</v>
      </c>
      <c r="P25" s="10">
        <f>INDEX('[2]PV.STOCK TIAP GUDANG'!$A:$CV,MATCH($A25,'[2]PV.STOCK TIAP GUDANG'!$A:$A,0),MATCH("X300|12+256|STOCK",[2]PVKEY!$1:$1,0))</f>
        <v>0</v>
      </c>
      <c r="Q25" s="11">
        <f>INDEX('[2]PV.STOCK TIAP GUDANG'!$A:$CV,MATCH($A25,'[2]PV.STOCK TIAP GUDANG'!$A:$A,0),MATCH("X300|12+256|SALES",[2]PVKEY!$1:$1,0))</f>
        <v>0</v>
      </c>
      <c r="R25" s="12" t="str">
        <f t="shared" si="6"/>
        <v/>
      </c>
      <c r="S25" s="10">
        <f>INDEX('[2]PV.STOCK TIAP GUDANG'!$A:$CV,MATCH($A25,'[2]PV.STOCK TIAP GUDANG'!$A:$A,0),MATCH("X300|16+512|STOCK",[2]PVKEY!$1:$1,0))</f>
        <v>0</v>
      </c>
      <c r="T25" s="11">
        <f>INDEX('[2]PV.STOCK TIAP GUDANG'!$A:$CV,MATCH($A25,'[2]PV.STOCK TIAP GUDANG'!$A:$A,0),MATCH("X300|16+512|SALES",[2]PVKEY!$1:$1,0))</f>
        <v>0</v>
      </c>
      <c r="U25" s="12" t="str">
        <f t="shared" si="7"/>
        <v/>
      </c>
      <c r="V25" s="10">
        <f>INDEX('[2]PV.STOCK TIAP GUDANG'!$A:$CV,MATCH($A25,'[2]PV.STOCK TIAP GUDANG'!$A:$A,0),MATCH("Y11D|4+128|STOCK",[2]PVKEY!$1:$1,0))</f>
        <v>3</v>
      </c>
      <c r="W25" s="11">
        <f>INDEX('[2]PV.STOCK TIAP GUDANG'!$A:$CV,MATCH($A25,'[2]PV.STOCK TIAP GUDANG'!$A:$A,0),MATCH("Y11D|4+128|SALES",[2]PVKEY!$1:$1,0))</f>
        <v>3</v>
      </c>
      <c r="X25" s="12">
        <f t="shared" si="8"/>
        <v>27</v>
      </c>
      <c r="Y25" s="11">
        <f t="shared" si="9"/>
        <v>0.55555555555555558</v>
      </c>
      <c r="Z25" s="10">
        <f>INDEX('[2]PV.STOCK TIAP GUDANG'!$A:$CV,MATCH($A25,'[2]PV.STOCK TIAP GUDANG'!$A:$A,0),MATCH("Y11D|4+64|STOCK",[2]PVKEY!$1:$1,0))</f>
        <v>1</v>
      </c>
      <c r="AA25" s="11">
        <f>INDEX('[2]PV.STOCK TIAP GUDANG'!$A:$CV,MATCH($A25,'[2]PV.STOCK TIAP GUDANG'!$A:$A,0),MATCH("Y11D|4+64|SALES",[2]PVKEY!$1:$1,0))</f>
        <v>3</v>
      </c>
      <c r="AB25" s="12">
        <f t="shared" si="10"/>
        <v>9</v>
      </c>
      <c r="AC25" s="11">
        <f t="shared" si="11"/>
        <v>0.55555555555555558</v>
      </c>
      <c r="AD25" s="10">
        <f>INDEX('[2]PV.STOCK TIAP GUDANG'!$A:$CV,MATCH($A25,'[2]PV.STOCK TIAP GUDANG'!$A:$A,0),MATCH("Y11D|6+128|STOCK",[2]PVKEY!$1:$1,0))</f>
        <v>0</v>
      </c>
      <c r="AE25" s="11">
        <f>INDEX('[2]PV.STOCK TIAP GUDANG'!$A:$CV,MATCH($A25,'[2]PV.STOCK TIAP GUDANG'!$A:$A,0),MATCH("Y11D|6+128|SALES",[2]PVKEY!$1:$1,0))</f>
        <v>0</v>
      </c>
      <c r="AF25" s="12" t="str">
        <f t="shared" si="12"/>
        <v/>
      </c>
      <c r="AG25" s="11">
        <f t="shared" si="13"/>
        <v>0</v>
      </c>
      <c r="AH25" s="10">
        <f>INDEX('[2]PV.STOCK TIAP GUDANG'!$A:$CV,MATCH($A25,'[2]PV.STOCK TIAP GUDANG'!$A:$A,0),MATCH("Y31D|4+128|STOCK",[2]PVKEY!$1:$1,0))</f>
        <v>1</v>
      </c>
      <c r="AI25" s="11">
        <f>INDEX('[2]PV.STOCK TIAP GUDANG'!$A:$CV,MATCH($A25,'[2]PV.STOCK TIAP GUDANG'!$A:$A,0),MATCH("Y31D|4+128|SALES",[2]PVKEY!$1:$1,0))</f>
        <v>1</v>
      </c>
      <c r="AJ25" s="12">
        <f t="shared" si="14"/>
        <v>27</v>
      </c>
      <c r="AK25" s="10">
        <f>INDEX('[2]PV.STOCK TIAP GUDANG'!$A:$CV,MATCH($A25,'[2]PV.STOCK TIAP GUDANG'!$A:$A,0),MATCH("Y31DPRO|4+128|STOCK",[2]PVKEY!$1:$1,0))</f>
        <v>2</v>
      </c>
      <c r="AL25" s="11">
        <f>INDEX('[2]PV.STOCK TIAP GUDANG'!$A:$CV,MATCH($A25,'[2]PV.STOCK TIAP GUDANG'!$A:$A,0),MATCH("Y31DPRO|4+128|SALES",[2]PVKEY!$1:$1,0))</f>
        <v>1</v>
      </c>
      <c r="AM25" s="12">
        <f t="shared" si="15"/>
        <v>54</v>
      </c>
      <c r="AN25" s="10">
        <f>INDEX('[2]PV.STOCK TIAP GUDANG'!$A:$CV,MATCH($A25,'[2]PV.STOCK TIAP GUDANG'!$A:$A,0),MATCH("Y31DPRO|6+128|STOCK",[2]PVKEY!$1:$1,0))</f>
        <v>2</v>
      </c>
      <c r="AO25" s="11">
        <f>INDEX('[2]PV.STOCK TIAP GUDANG'!$A:$CV,MATCH($A25,'[2]PV.STOCK TIAP GUDANG'!$A:$A,0),MATCH("Y31DPRO|6+128|SALES",[2]PVKEY!$1:$1,0))</f>
        <v>1</v>
      </c>
      <c r="AP25" s="12">
        <f t="shared" si="16"/>
        <v>54</v>
      </c>
      <c r="AQ25" s="11">
        <f t="shared" si="17"/>
        <v>0.18518518518518517</v>
      </c>
      <c r="AR25" s="10">
        <f>INDEX('[2]PV.STOCK TIAP GUDANG'!$A:$CV,MATCH($A25,'[2]PV.STOCK TIAP GUDANG'!$A:$A,0),MATCH("Y31DPRO|8+128|STOCK",[2]PVKEY!$1:$1,0))</f>
        <v>1</v>
      </c>
      <c r="AS25" s="11">
        <f>INDEX('[2]PV.STOCK TIAP GUDANG'!$A:$CV,MATCH($A25,'[2]PV.STOCK TIAP GUDANG'!$A:$A,0),MATCH("Y31DPRO|8+128|SALES",[2]PVKEY!$1:$1,0))</f>
        <v>0</v>
      </c>
      <c r="AT25" s="12" t="str">
        <f t="shared" si="18"/>
        <v/>
      </c>
      <c r="AU25" s="11">
        <f t="shared" si="19"/>
        <v>0</v>
      </c>
      <c r="AV25" s="10">
        <f>INDEX('[2]PV.STOCK TIAP GUDANG'!$A:$CV,MATCH($A25,'[2]PV.STOCK TIAP GUDANG'!$A:$A,0),MATCH("Y31DPRO|8+256|STOCK",[2]PVKEY!$1:$1,0))</f>
        <v>2</v>
      </c>
      <c r="AW25" s="11">
        <f>INDEX('[2]PV.STOCK TIAP GUDANG'!$A:$CV,MATCH($A25,'[2]PV.STOCK TIAP GUDANG'!$A:$A,0),MATCH("Y31DPRO|8+256|SALES",[2]PVKEY!$1:$1,0))</f>
        <v>1</v>
      </c>
      <c r="AX25" s="12">
        <f t="shared" si="20"/>
        <v>54</v>
      </c>
      <c r="AY25" s="11">
        <f t="shared" si="21"/>
        <v>0.18518518518518517</v>
      </c>
      <c r="AZ25" s="10">
        <f>INDEX('[2]PV.STOCK TIAP GUDANG'!$A:$CV,MATCH($A25,'[2]PV.STOCK TIAP GUDANG'!$A:$A,0),MATCH("V70|12+256|STOCK",[2]PVKEY!$1:$1,0))</f>
        <v>1</v>
      </c>
      <c r="BA25" s="11">
        <f>INDEX('[2]PV.STOCK TIAP GUDANG'!$A:$CV,MATCH($A25,'[2]PV.STOCK TIAP GUDANG'!$A:$A,0),MATCH("V70|12+256|SALES",[2]PVKEY!$1:$1,0))</f>
        <v>0</v>
      </c>
      <c r="BB25" s="12" t="str">
        <f t="shared" si="22"/>
        <v/>
      </c>
      <c r="BC25" s="10">
        <f>INDEX('[2]PV.STOCK TIAP GUDANG'!$A:$CV,MATCH($A25,'[2]PV.STOCK TIAP GUDANG'!$A:$A,0),MATCH("V70|8+256|STOCK",[2]PVKEY!$1:$1,0))</f>
        <v>2</v>
      </c>
      <c r="BD25" s="11">
        <f>INDEX('[2]PV.STOCK TIAP GUDANG'!$A:$CV,MATCH($A25,'[2]PV.STOCK TIAP GUDANG'!$A:$A,0),MATCH("V70|8+256|SALES",[2]PVKEY!$1:$1,0))</f>
        <v>2</v>
      </c>
      <c r="BE25" s="12">
        <f t="shared" si="23"/>
        <v>27</v>
      </c>
      <c r="BF25" s="11">
        <f t="shared" si="24"/>
        <v>0.59259259259259256</v>
      </c>
      <c r="BG25" s="10">
        <f>INDEX('[2]PV.STOCK TIAP GUDANG'!$A:$CV,MATCH($A25,'[2]PV.STOCK TIAP GUDANG'!$A:$A,0),MATCH("V70|12+512|STOCK",[2]PVKEY!$1:$1,0))</f>
        <v>0</v>
      </c>
      <c r="BH25" s="11">
        <f>INDEX('[2]PV.STOCK TIAP GUDANG'!$A:$CV,MATCH($A25,'[2]PV.STOCK TIAP GUDANG'!$A:$A,0),MATCH("V70|12+512|SALES",[2]PVKEY!$1:$1,0))</f>
        <v>0</v>
      </c>
      <c r="BI25" s="12" t="str">
        <f t="shared" si="25"/>
        <v/>
      </c>
      <c r="BJ25" s="11">
        <f t="shared" si="26"/>
        <v>0</v>
      </c>
      <c r="BK25" s="10">
        <f>INDEX('[2]PV.STOCK TIAP GUDANG'!$A:$CV,MATCH($A25,'[2]PV.STOCK TIAP GUDANG'!$A:$A,0),MATCH("V70FE|8+256|STOCK",[2]PVKEY!$1:$1,0))</f>
        <v>0</v>
      </c>
      <c r="BL25" s="11">
        <f>INDEX('[2]PV.STOCK TIAP GUDANG'!$A:$CV,MATCH($A25,'[2]PV.STOCK TIAP GUDANG'!$A:$A,0),MATCH("V70FE|8+256|SALES",[2]PVKEY!$1:$1,0))</f>
        <v>0</v>
      </c>
      <c r="BM25" s="12" t="str">
        <f t="shared" si="27"/>
        <v/>
      </c>
      <c r="BN25" s="11">
        <f t="shared" si="28"/>
        <v>0</v>
      </c>
      <c r="BO25" s="10">
        <f>INDEX('[2]PV.STOCK TIAP GUDANG'!$A:$CV,MATCH($A25,'[2]PV.STOCK TIAP GUDANG'!$A:$A,0),MATCH("V70FE|12+256|STOCK",[2]PVKEY!$1:$1,0))</f>
        <v>1</v>
      </c>
      <c r="BP25" s="11">
        <f>INDEX('[2]PV.STOCK TIAP GUDANG'!$A:$CV,MATCH($A25,'[2]PV.STOCK TIAP GUDANG'!$A:$A,0),MATCH("V70FE|12+256|SALES",[2]PVKEY!$1:$1,0))</f>
        <v>0</v>
      </c>
      <c r="BQ25" s="12" t="str">
        <f t="shared" si="29"/>
        <v/>
      </c>
      <c r="BR25" s="11">
        <f t="shared" si="30"/>
        <v>0</v>
      </c>
      <c r="BS25" s="10">
        <f>INDEX('[2]PV.STOCK TIAP GUDANG'!$A:$CV,MATCH($A25,'[2]PV.STOCK TIAP GUDANG'!$A:$A,0),MATCH("V60LITE5G|8+256|STOCK",[2]PVKEY!$1:$1,0))</f>
        <v>0</v>
      </c>
      <c r="BT25" s="11">
        <f>INDEX('[2]PV.STOCK TIAP GUDANG'!$A:$CV,MATCH($A25,'[2]PV.STOCK TIAP GUDANG'!$A:$A,0),MATCH("V60LITE5G|8+256|SALES",[2]PVKEY!$1:$1,0))</f>
        <v>0</v>
      </c>
      <c r="BU25" s="12" t="str">
        <f t="shared" si="31"/>
        <v/>
      </c>
      <c r="BV25" s="11">
        <f t="shared" si="32"/>
        <v>0</v>
      </c>
      <c r="BW25" s="10">
        <f>INDEX('[2]PV.STOCK TIAP GUDANG'!$A:$CV,MATCH($A25,'[2]PV.STOCK TIAP GUDANG'!$A:$A,0),MATCH("V60LITE|8+256|STOCK",[2]PVKEY!$1:$1,0))</f>
        <v>2</v>
      </c>
      <c r="BX25" s="11">
        <f>INDEX('[2]PV.STOCK TIAP GUDANG'!$A:$CV,MATCH($A25,'[2]PV.STOCK TIAP GUDANG'!$A:$A,0),MATCH("V60LITE|8+256|SALES",[2]PVKEY!$1:$1,0))</f>
        <v>1</v>
      </c>
      <c r="BY25" s="12">
        <f t="shared" si="33"/>
        <v>54</v>
      </c>
      <c r="BZ25" s="11">
        <f t="shared" si="34"/>
        <v>0.29629629629629628</v>
      </c>
      <c r="CA25" s="10">
        <f>INDEX('[2]PV.STOCK TIAP GUDANG'!$A:$CV,MATCH($A25,'[2]PV.STOCK TIAP GUDANG'!$A:$A,0),MATCH("Y05|4+128|STOCK",[2]PVKEY!$1:$1,0))</f>
        <v>3</v>
      </c>
      <c r="CB25" s="11">
        <f>INDEX('[2]PV.STOCK TIAP GUDANG'!$A:$CV,MATCH($A25,'[2]PV.STOCK TIAP GUDANG'!$A:$A,0),MATCH("Y05|4+128|SALES",[2]PVKEY!$1:$1,0))</f>
        <v>0</v>
      </c>
      <c r="CC25" s="12" t="str">
        <f t="shared" si="35"/>
        <v/>
      </c>
      <c r="CD25" s="11">
        <f t="shared" si="44"/>
        <v>0</v>
      </c>
      <c r="CE25" s="10">
        <f>INDEX('[2]PV.STOCK TIAP GUDANG'!$A:$CV,MATCH($A25,'[2]PV.STOCK TIAP GUDANG'!$A:$A,0),MATCH("Y05|4+64|STOCK",[2]PVKEY!$1:$1,0))</f>
        <v>2</v>
      </c>
      <c r="CF25" s="11">
        <f>INDEX('[2]PV.STOCK TIAP GUDANG'!$A:$CV,MATCH($A25,'[2]PV.STOCK TIAP GUDANG'!$A:$A,0),MATCH("Y05|4+64|SALES",[2]PVKEY!$1:$1,0))</f>
        <v>2</v>
      </c>
      <c r="CG25" s="12">
        <f t="shared" si="36"/>
        <v>27</v>
      </c>
      <c r="CH25" s="11">
        <f t="shared" si="37"/>
        <v>0.51851851851851849</v>
      </c>
      <c r="CI25" s="10">
        <f>INDEX('[2]PV.STOCK TIAP GUDANG'!$A:$CV,MATCH($A25,'[2]PV.STOCK TIAP GUDANG'!$A:$A,0),MATCH("Y500|6+128|STOCK",[2]PVKEY!$1:$1,0))</f>
        <v>2</v>
      </c>
      <c r="CJ25" s="11">
        <f>INDEX('[2]PV.STOCK TIAP GUDANG'!$A:$CV,MATCH($A25,'[2]PV.STOCK TIAP GUDANG'!$A:$A,0),MATCH("Y500|6+128|SALES",[2]PVKEY!$1:$1,0))</f>
        <v>0</v>
      </c>
      <c r="CK25" s="12" t="str">
        <f t="shared" si="38"/>
        <v/>
      </c>
      <c r="CL25" s="10">
        <f>INDEX('[2]PV.STOCK TIAP GUDANG'!$A:$CV,MATCH($A25,'[2]PV.STOCK TIAP GUDANG'!$A:$A,0),MATCH("Y500|6+256|STOCK",[2]PVKEY!$1:$1,0))</f>
        <v>2</v>
      </c>
      <c r="CM25" s="11">
        <f>INDEX('[2]PV.STOCK TIAP GUDANG'!$A:$CV,MATCH($A25,'[2]PV.STOCK TIAP GUDANG'!$A:$A,0),MATCH("Y500|6+256|SALES",[2]PVKEY!$1:$1,0))</f>
        <v>0</v>
      </c>
      <c r="CN25" s="12" t="str">
        <f t="shared" si="39"/>
        <v/>
      </c>
      <c r="CO25" s="10">
        <f>INDEX('[2]PV.STOCK TIAP GUDANG'!$A:$CV,MATCH($A25,'[2]PV.STOCK TIAP GUDANG'!$A:$A,0),MATCH("Y05E|4+64|STOCK",[2]PVKEY!$1:$1,0))</f>
        <v>4</v>
      </c>
      <c r="CP25" s="11">
        <f>INDEX('[2]PV.STOCK TIAP GUDANG'!$A:$CV,MATCH($A25,'[2]PV.STOCK TIAP GUDANG'!$A:$A,0),MATCH("Y05E|4+64|SALES",[2]PVKEY!$1:$1,0))</f>
        <v>3</v>
      </c>
      <c r="CQ25" s="12">
        <f t="shared" si="40"/>
        <v>36</v>
      </c>
      <c r="CR25" s="13">
        <f t="shared" si="41"/>
        <v>33</v>
      </c>
      <c r="CS25" s="13">
        <f t="shared" si="42"/>
        <v>18</v>
      </c>
      <c r="CT25" s="13">
        <f t="shared" si="43"/>
        <v>49.5</v>
      </c>
      <c r="CU25" t="s">
        <v>85</v>
      </c>
    </row>
    <row r="26" spans="1:99" ht="16" x14ac:dyDescent="0.2">
      <c r="A26" s="9" t="s">
        <v>43</v>
      </c>
      <c r="B26" s="10">
        <f>INDEX('[2]PV.STOCK TIAP GUDANG'!$A:$CV,MATCH($A26,'[2]PV.STOCK TIAP GUDANG'!$A:$A,0),MATCH("FOLD5|STOCK",[2]PVKEY!$5:$5,0))</f>
        <v>0</v>
      </c>
      <c r="C26" s="11">
        <f>INDEX('[2]PV.STOCK TIAP GUDANG'!$A:$CV,MATCH($A26,'[2]PV.STOCK TIAP GUDANG'!$A:$A,0),MATCH("FOLD5|SALES",[2]PVKEY!$5:$5,0))</f>
        <v>0</v>
      </c>
      <c r="D26" s="12" t="str">
        <f t="shared" si="0"/>
        <v/>
      </c>
      <c r="E26" s="10">
        <f>INDEX('[2]PV.STOCK TIAP GUDANG'!$A:$CV,MATCH($A26,'[2]PV.STOCK TIAP GUDANG'!$A:$A,0),MATCH("X300ULTRA|16+1T|STOCK",[2]PVKEY!$1:$1,0))</f>
        <v>1</v>
      </c>
      <c r="F26" s="11">
        <f>INDEX('[2]PV.STOCK TIAP GUDANG'!$A:$CV,MATCH($A26,'[2]PV.STOCK TIAP GUDANG'!$A:$A,0),MATCH("X300ULTRA|16+1T|SALES",[2]PVKEY!$1:$1,0))</f>
        <v>0</v>
      </c>
      <c r="G26" s="12" t="str">
        <f t="shared" si="1"/>
        <v/>
      </c>
      <c r="H26" s="10">
        <f>INDEX('[2]PV.STOCK TIAP GUDANG'!$A:$CV,MATCH($A26,'[2]PV.STOCK TIAP GUDANG'!$A:$A,0),MATCH("X300ULTRA|16+512|STOCK",[2]PVKEY!$1:$1,0))</f>
        <v>1</v>
      </c>
      <c r="I26" s="11">
        <f>INDEX('[2]PV.STOCK TIAP GUDANG'!$A:$CV,MATCH($A26,'[2]PV.STOCK TIAP GUDANG'!$A:$A,0),MATCH("X300ULTRA|16+512|SALES",[2]PVKEY!$1:$1,0))</f>
        <v>0</v>
      </c>
      <c r="J26" s="12" t="str">
        <f t="shared" si="2"/>
        <v/>
      </c>
      <c r="K26" s="11">
        <f t="shared" si="3"/>
        <v>0</v>
      </c>
      <c r="L26" s="10">
        <f>INDEX('[2]PV.STOCK TIAP GUDANG'!$A:$CV,MATCH($A26,'[2]PV.STOCK TIAP GUDANG'!$A:$A,0),MATCH("X300PRO|16+512|STOCK",[2]PVKEY!$1:$1,0))</f>
        <v>0</v>
      </c>
      <c r="M26" s="11">
        <f>INDEX('[2]PV.STOCK TIAP GUDANG'!$A:$CV,MATCH($A26,'[2]PV.STOCK TIAP GUDANG'!$A:$A,0),MATCH("X300PRO|16+512|SALES",[2]PVKEY!$1:$1,0))</f>
        <v>0</v>
      </c>
      <c r="N26" s="12" t="str">
        <f t="shared" si="4"/>
        <v/>
      </c>
      <c r="O26" s="11">
        <f t="shared" si="5"/>
        <v>0</v>
      </c>
      <c r="P26" s="10">
        <f>INDEX('[2]PV.STOCK TIAP GUDANG'!$A:$CV,MATCH($A26,'[2]PV.STOCK TIAP GUDANG'!$A:$A,0),MATCH("X300|12+256|STOCK",[2]PVKEY!$1:$1,0))</f>
        <v>0</v>
      </c>
      <c r="Q26" s="11">
        <f>INDEX('[2]PV.STOCK TIAP GUDANG'!$A:$CV,MATCH($A26,'[2]PV.STOCK TIAP GUDANG'!$A:$A,0),MATCH("X300|12+256|SALES",[2]PVKEY!$1:$1,0))</f>
        <v>0</v>
      </c>
      <c r="R26" s="12" t="str">
        <f t="shared" si="6"/>
        <v/>
      </c>
      <c r="S26" s="10">
        <f>INDEX('[2]PV.STOCK TIAP GUDANG'!$A:$CV,MATCH($A26,'[2]PV.STOCK TIAP GUDANG'!$A:$A,0),MATCH("X300|16+512|STOCK",[2]PVKEY!$1:$1,0))</f>
        <v>0</v>
      </c>
      <c r="T26" s="11">
        <f>INDEX('[2]PV.STOCK TIAP GUDANG'!$A:$CV,MATCH($A26,'[2]PV.STOCK TIAP GUDANG'!$A:$A,0),MATCH("X300|16+512|SALES",[2]PVKEY!$1:$1,0))</f>
        <v>0</v>
      </c>
      <c r="U26" s="12" t="str">
        <f t="shared" si="7"/>
        <v/>
      </c>
      <c r="V26" s="10">
        <f>INDEX('[2]PV.STOCK TIAP GUDANG'!$A:$CV,MATCH($A26,'[2]PV.STOCK TIAP GUDANG'!$A:$A,0),MATCH("Y11D|4+128|STOCK",[2]PVKEY!$1:$1,0))</f>
        <v>4</v>
      </c>
      <c r="W26" s="11">
        <f>INDEX('[2]PV.STOCK TIAP GUDANG'!$A:$CV,MATCH($A26,'[2]PV.STOCK TIAP GUDANG'!$A:$A,0),MATCH("Y11D|4+128|SALES",[2]PVKEY!$1:$1,0))</f>
        <v>3</v>
      </c>
      <c r="X26" s="12">
        <f t="shared" si="8"/>
        <v>36</v>
      </c>
      <c r="Y26" s="11">
        <f t="shared" si="9"/>
        <v>0.55555555555555558</v>
      </c>
      <c r="Z26" s="10">
        <f>INDEX('[2]PV.STOCK TIAP GUDANG'!$A:$CV,MATCH($A26,'[2]PV.STOCK TIAP GUDANG'!$A:$A,0),MATCH("Y11D|4+64|STOCK",[2]PVKEY!$1:$1,0))</f>
        <v>2</v>
      </c>
      <c r="AA26" s="11">
        <f>INDEX('[2]PV.STOCK TIAP GUDANG'!$A:$CV,MATCH($A26,'[2]PV.STOCK TIAP GUDANG'!$A:$A,0),MATCH("Y11D|4+64|SALES",[2]PVKEY!$1:$1,0))</f>
        <v>0</v>
      </c>
      <c r="AB26" s="12" t="str">
        <f t="shared" si="10"/>
        <v/>
      </c>
      <c r="AC26" s="11">
        <f t="shared" si="11"/>
        <v>0</v>
      </c>
      <c r="AD26" s="10">
        <f>INDEX('[2]PV.STOCK TIAP GUDANG'!$A:$CV,MATCH($A26,'[2]PV.STOCK TIAP GUDANG'!$A:$A,0),MATCH("Y11D|6+128|STOCK",[2]PVKEY!$1:$1,0))</f>
        <v>0</v>
      </c>
      <c r="AE26" s="11">
        <f>INDEX('[2]PV.STOCK TIAP GUDANG'!$A:$CV,MATCH($A26,'[2]PV.STOCK TIAP GUDANG'!$A:$A,0),MATCH("Y11D|6+128|SALES",[2]PVKEY!$1:$1,0))</f>
        <v>1</v>
      </c>
      <c r="AF26" s="12">
        <f t="shared" si="12"/>
        <v>0</v>
      </c>
      <c r="AG26" s="11">
        <f t="shared" si="13"/>
        <v>0.18518518518518517</v>
      </c>
      <c r="AH26" s="10">
        <f>INDEX('[2]PV.STOCK TIAP GUDANG'!$A:$CV,MATCH($A26,'[2]PV.STOCK TIAP GUDANG'!$A:$A,0),MATCH("Y31D|4+128|STOCK",[2]PVKEY!$1:$1,0))</f>
        <v>0</v>
      </c>
      <c r="AI26" s="11">
        <f>INDEX('[2]PV.STOCK TIAP GUDANG'!$A:$CV,MATCH($A26,'[2]PV.STOCK TIAP GUDANG'!$A:$A,0),MATCH("Y31D|4+128|SALES",[2]PVKEY!$1:$1,0))</f>
        <v>2</v>
      </c>
      <c r="AJ26" s="12">
        <f t="shared" si="14"/>
        <v>0</v>
      </c>
      <c r="AK26" s="10">
        <f>INDEX('[2]PV.STOCK TIAP GUDANG'!$A:$CV,MATCH($A26,'[2]PV.STOCK TIAP GUDANG'!$A:$A,0),MATCH("Y31DPRO|4+128|STOCK",[2]PVKEY!$1:$1,0))</f>
        <v>1</v>
      </c>
      <c r="AL26" s="11">
        <f>INDEX('[2]PV.STOCK TIAP GUDANG'!$A:$CV,MATCH($A26,'[2]PV.STOCK TIAP GUDANG'!$A:$A,0),MATCH("Y31DPRO|4+128|SALES",[2]PVKEY!$1:$1,0))</f>
        <v>1</v>
      </c>
      <c r="AM26" s="12">
        <f t="shared" si="15"/>
        <v>27</v>
      </c>
      <c r="AN26" s="10">
        <f>INDEX('[2]PV.STOCK TIAP GUDANG'!$A:$CV,MATCH($A26,'[2]PV.STOCK TIAP GUDANG'!$A:$A,0),MATCH("Y31DPRO|6+128|STOCK",[2]PVKEY!$1:$1,0))</f>
        <v>2</v>
      </c>
      <c r="AO26" s="11">
        <f>INDEX('[2]PV.STOCK TIAP GUDANG'!$A:$CV,MATCH($A26,'[2]PV.STOCK TIAP GUDANG'!$A:$A,0),MATCH("Y31DPRO|6+128|SALES",[2]PVKEY!$1:$1,0))</f>
        <v>1</v>
      </c>
      <c r="AP26" s="12">
        <f t="shared" si="16"/>
        <v>54</v>
      </c>
      <c r="AQ26" s="11">
        <f t="shared" si="17"/>
        <v>0.18518518518518517</v>
      </c>
      <c r="AR26" s="10">
        <f>INDEX('[2]PV.STOCK TIAP GUDANG'!$A:$CV,MATCH($A26,'[2]PV.STOCK TIAP GUDANG'!$A:$A,0),MATCH("Y31DPRO|8+128|STOCK",[2]PVKEY!$1:$1,0))</f>
        <v>3</v>
      </c>
      <c r="AS26" s="11">
        <f>INDEX('[2]PV.STOCK TIAP GUDANG'!$A:$CV,MATCH($A26,'[2]PV.STOCK TIAP GUDANG'!$A:$A,0),MATCH("Y31DPRO|8+128|SALES",[2]PVKEY!$1:$1,0))</f>
        <v>0</v>
      </c>
      <c r="AT26" s="12" t="str">
        <f t="shared" si="18"/>
        <v/>
      </c>
      <c r="AU26" s="11">
        <f t="shared" si="19"/>
        <v>0</v>
      </c>
      <c r="AV26" s="10">
        <f>INDEX('[2]PV.STOCK TIAP GUDANG'!$A:$CV,MATCH($A26,'[2]PV.STOCK TIAP GUDANG'!$A:$A,0),MATCH("Y31DPRO|8+256|STOCK",[2]PVKEY!$1:$1,0))</f>
        <v>2</v>
      </c>
      <c r="AW26" s="11">
        <f>INDEX('[2]PV.STOCK TIAP GUDANG'!$A:$CV,MATCH($A26,'[2]PV.STOCK TIAP GUDANG'!$A:$A,0),MATCH("Y31DPRO|8+256|SALES",[2]PVKEY!$1:$1,0))</f>
        <v>0</v>
      </c>
      <c r="AX26" s="12" t="str">
        <f t="shared" si="20"/>
        <v/>
      </c>
      <c r="AY26" s="11">
        <f t="shared" si="21"/>
        <v>0</v>
      </c>
      <c r="AZ26" s="10">
        <f>INDEX('[2]PV.STOCK TIAP GUDANG'!$A:$CV,MATCH($A26,'[2]PV.STOCK TIAP GUDANG'!$A:$A,0),MATCH("V70|12+256|STOCK",[2]PVKEY!$1:$1,0))</f>
        <v>0</v>
      </c>
      <c r="BA26" s="11">
        <f>INDEX('[2]PV.STOCK TIAP GUDANG'!$A:$CV,MATCH($A26,'[2]PV.STOCK TIAP GUDANG'!$A:$A,0),MATCH("V70|12+256|SALES",[2]PVKEY!$1:$1,0))</f>
        <v>0</v>
      </c>
      <c r="BB26" s="12" t="str">
        <f t="shared" si="22"/>
        <v/>
      </c>
      <c r="BC26" s="10">
        <f>INDEX('[2]PV.STOCK TIAP GUDANG'!$A:$CV,MATCH($A26,'[2]PV.STOCK TIAP GUDANG'!$A:$A,0),MATCH("V70|8+256|STOCK",[2]PVKEY!$1:$1,0))</f>
        <v>3</v>
      </c>
      <c r="BD26" s="11">
        <f>INDEX('[2]PV.STOCK TIAP GUDANG'!$A:$CV,MATCH($A26,'[2]PV.STOCK TIAP GUDANG'!$A:$A,0),MATCH("V70|8+256|SALES",[2]PVKEY!$1:$1,0))</f>
        <v>2</v>
      </c>
      <c r="BE26" s="12">
        <f t="shared" si="23"/>
        <v>40.5</v>
      </c>
      <c r="BF26" s="11">
        <f t="shared" si="24"/>
        <v>0.59259259259259256</v>
      </c>
      <c r="BG26" s="10">
        <f>INDEX('[2]PV.STOCK TIAP GUDANG'!$A:$CV,MATCH($A26,'[2]PV.STOCK TIAP GUDANG'!$A:$A,0),MATCH("V70|12+512|STOCK",[2]PVKEY!$1:$1,0))</f>
        <v>0</v>
      </c>
      <c r="BH26" s="11">
        <f>INDEX('[2]PV.STOCK TIAP GUDANG'!$A:$CV,MATCH($A26,'[2]PV.STOCK TIAP GUDANG'!$A:$A,0),MATCH("V70|12+512|SALES",[2]PVKEY!$1:$1,0))</f>
        <v>0</v>
      </c>
      <c r="BI26" s="12" t="str">
        <f t="shared" si="25"/>
        <v/>
      </c>
      <c r="BJ26" s="11">
        <f t="shared" si="26"/>
        <v>0</v>
      </c>
      <c r="BK26" s="10">
        <f>INDEX('[2]PV.STOCK TIAP GUDANG'!$A:$CV,MATCH($A26,'[2]PV.STOCK TIAP GUDANG'!$A:$A,0),MATCH("V70FE|8+256|STOCK",[2]PVKEY!$1:$1,0))</f>
        <v>1</v>
      </c>
      <c r="BL26" s="11">
        <f>INDEX('[2]PV.STOCK TIAP GUDANG'!$A:$CV,MATCH($A26,'[2]PV.STOCK TIAP GUDANG'!$A:$A,0),MATCH("V70FE|8+256|SALES",[2]PVKEY!$1:$1,0))</f>
        <v>2</v>
      </c>
      <c r="BM26" s="12">
        <f t="shared" si="27"/>
        <v>13.5</v>
      </c>
      <c r="BN26" s="11">
        <f t="shared" si="28"/>
        <v>0.59259259259259256</v>
      </c>
      <c r="BO26" s="10">
        <f>INDEX('[2]PV.STOCK TIAP GUDANG'!$A:$CV,MATCH($A26,'[2]PV.STOCK TIAP GUDANG'!$A:$A,0),MATCH("V70FE|12+256|STOCK",[2]PVKEY!$1:$1,0))</f>
        <v>0</v>
      </c>
      <c r="BP26" s="11">
        <f>INDEX('[2]PV.STOCK TIAP GUDANG'!$A:$CV,MATCH($A26,'[2]PV.STOCK TIAP GUDANG'!$A:$A,0),MATCH("V70FE|12+256|SALES",[2]PVKEY!$1:$1,0))</f>
        <v>1</v>
      </c>
      <c r="BQ26" s="12">
        <f t="shared" si="29"/>
        <v>0</v>
      </c>
      <c r="BR26" s="11">
        <f t="shared" si="30"/>
        <v>0.29629629629629628</v>
      </c>
      <c r="BS26" s="10">
        <f>INDEX('[2]PV.STOCK TIAP GUDANG'!$A:$CV,MATCH($A26,'[2]PV.STOCK TIAP GUDANG'!$A:$A,0),MATCH("V60LITE5G|8+256|STOCK",[2]PVKEY!$1:$1,0))</f>
        <v>2</v>
      </c>
      <c r="BT26" s="11">
        <f>INDEX('[2]PV.STOCK TIAP GUDANG'!$A:$CV,MATCH($A26,'[2]PV.STOCK TIAP GUDANG'!$A:$A,0),MATCH("V60LITE5G|8+256|SALES",[2]PVKEY!$1:$1,0))</f>
        <v>1</v>
      </c>
      <c r="BU26" s="12">
        <f t="shared" si="31"/>
        <v>54</v>
      </c>
      <c r="BV26" s="11">
        <f t="shared" si="32"/>
        <v>0.29629629629629628</v>
      </c>
      <c r="BW26" s="10">
        <f>INDEX('[2]PV.STOCK TIAP GUDANG'!$A:$CV,MATCH($A26,'[2]PV.STOCK TIAP GUDANG'!$A:$A,0),MATCH("V60LITE|8+256|STOCK",[2]PVKEY!$1:$1,0))</f>
        <v>0</v>
      </c>
      <c r="BX26" s="11">
        <f>INDEX('[2]PV.STOCK TIAP GUDANG'!$A:$CV,MATCH($A26,'[2]PV.STOCK TIAP GUDANG'!$A:$A,0),MATCH("V60LITE|8+256|SALES",[2]PVKEY!$1:$1,0))</f>
        <v>3</v>
      </c>
      <c r="BY26" s="12">
        <f t="shared" si="33"/>
        <v>0</v>
      </c>
      <c r="BZ26" s="11">
        <f t="shared" si="34"/>
        <v>0.88888888888888884</v>
      </c>
      <c r="CA26" s="10">
        <f>INDEX('[2]PV.STOCK TIAP GUDANG'!$A:$CV,MATCH($A26,'[2]PV.STOCK TIAP GUDANG'!$A:$A,0),MATCH("Y05|4+128|STOCK",[2]PVKEY!$1:$1,0))</f>
        <v>4</v>
      </c>
      <c r="CB26" s="11">
        <f>INDEX('[2]PV.STOCK TIAP GUDANG'!$A:$CV,MATCH($A26,'[2]PV.STOCK TIAP GUDANG'!$A:$A,0),MATCH("Y05|4+128|SALES",[2]PVKEY!$1:$1,0))</f>
        <v>4</v>
      </c>
      <c r="CC26" s="12">
        <f t="shared" si="35"/>
        <v>27</v>
      </c>
      <c r="CD26" s="11">
        <f t="shared" si="44"/>
        <v>1.037037037037037</v>
      </c>
      <c r="CE26" s="10">
        <f>INDEX('[2]PV.STOCK TIAP GUDANG'!$A:$CV,MATCH($A26,'[2]PV.STOCK TIAP GUDANG'!$A:$A,0),MATCH("Y05|4+64|STOCK",[2]PVKEY!$1:$1,0))</f>
        <v>2</v>
      </c>
      <c r="CF26" s="11">
        <f>INDEX('[2]PV.STOCK TIAP GUDANG'!$A:$CV,MATCH($A26,'[2]PV.STOCK TIAP GUDANG'!$A:$A,0),MATCH("Y05|4+64|SALES",[2]PVKEY!$1:$1,0))</f>
        <v>4</v>
      </c>
      <c r="CG26" s="12">
        <f t="shared" si="36"/>
        <v>13.5</v>
      </c>
      <c r="CH26" s="11">
        <f t="shared" si="37"/>
        <v>1.037037037037037</v>
      </c>
      <c r="CI26" s="10">
        <f>INDEX('[2]PV.STOCK TIAP GUDANG'!$A:$CV,MATCH($A26,'[2]PV.STOCK TIAP GUDANG'!$A:$A,0),MATCH("Y500|6+128|STOCK",[2]PVKEY!$1:$1,0))</f>
        <v>0</v>
      </c>
      <c r="CJ26" s="11">
        <f>INDEX('[2]PV.STOCK TIAP GUDANG'!$A:$CV,MATCH($A26,'[2]PV.STOCK TIAP GUDANG'!$A:$A,0),MATCH("Y500|6+128|SALES",[2]PVKEY!$1:$1,0))</f>
        <v>1</v>
      </c>
      <c r="CK26" s="12">
        <f t="shared" si="38"/>
        <v>0</v>
      </c>
      <c r="CL26" s="10">
        <f>INDEX('[2]PV.STOCK TIAP GUDANG'!$A:$CV,MATCH($A26,'[2]PV.STOCK TIAP GUDANG'!$A:$A,0),MATCH("Y500|6+256|STOCK",[2]PVKEY!$1:$1,0))</f>
        <v>0</v>
      </c>
      <c r="CM26" s="11">
        <f>INDEX('[2]PV.STOCK TIAP GUDANG'!$A:$CV,MATCH($A26,'[2]PV.STOCK TIAP GUDANG'!$A:$A,0),MATCH("Y500|6+256|SALES",[2]PVKEY!$1:$1,0))</f>
        <v>1</v>
      </c>
      <c r="CN26" s="12">
        <f t="shared" si="39"/>
        <v>0</v>
      </c>
      <c r="CO26" s="10">
        <f>INDEX('[2]PV.STOCK TIAP GUDANG'!$A:$CV,MATCH($A26,'[2]PV.STOCK TIAP GUDANG'!$A:$A,0),MATCH("Y05E|4+64|STOCK",[2]PVKEY!$1:$1,0))</f>
        <v>5</v>
      </c>
      <c r="CP26" s="11">
        <f>INDEX('[2]PV.STOCK TIAP GUDANG'!$A:$CV,MATCH($A26,'[2]PV.STOCK TIAP GUDANG'!$A:$A,0),MATCH("Y05E|4+64|SALES",[2]PVKEY!$1:$1,0))</f>
        <v>3</v>
      </c>
      <c r="CQ26" s="12">
        <f t="shared" si="40"/>
        <v>45</v>
      </c>
      <c r="CR26" s="13">
        <f t="shared" si="41"/>
        <v>33</v>
      </c>
      <c r="CS26" s="13">
        <f t="shared" si="42"/>
        <v>30</v>
      </c>
      <c r="CT26" s="13">
        <f t="shared" si="43"/>
        <v>29.7</v>
      </c>
      <c r="CU26" t="s">
        <v>87</v>
      </c>
    </row>
    <row r="27" spans="1:99" ht="15" x14ac:dyDescent="0.15">
      <c r="A27" s="9" t="s">
        <v>44</v>
      </c>
      <c r="B27" s="10">
        <f>INDEX('[2]PV.STOCK TIAP GUDANG'!$A:$CV,MATCH($A27,'[2]PV.STOCK TIAP GUDANG'!$A:$A,0),MATCH("FOLD5|STOCK",[2]PVKEY!$5:$5,0))</f>
        <v>0</v>
      </c>
      <c r="C27" s="11">
        <f>INDEX('[2]PV.STOCK TIAP GUDANG'!$A:$CV,MATCH($A27,'[2]PV.STOCK TIAP GUDANG'!$A:$A,0),MATCH("FOLD5|SALES",[2]PVKEY!$5:$5,0))</f>
        <v>0</v>
      </c>
      <c r="D27" s="12" t="str">
        <f t="shared" si="0"/>
        <v/>
      </c>
      <c r="E27" s="10">
        <f>INDEX('[2]PV.STOCK TIAP GUDANG'!$A:$CV,MATCH($A27,'[2]PV.STOCK TIAP GUDANG'!$A:$A,0),MATCH("X300ULTRA|16+1T|STOCK",[2]PVKEY!$1:$1,0))</f>
        <v>0</v>
      </c>
      <c r="F27" s="11">
        <f>INDEX('[2]PV.STOCK TIAP GUDANG'!$A:$CV,MATCH($A27,'[2]PV.STOCK TIAP GUDANG'!$A:$A,0),MATCH("X300ULTRA|16+1T|SALES",[2]PVKEY!$1:$1,0))</f>
        <v>0</v>
      </c>
      <c r="G27" s="12" t="str">
        <f t="shared" si="1"/>
        <v/>
      </c>
      <c r="H27" s="10">
        <f>INDEX('[2]PV.STOCK TIAP GUDANG'!$A:$CV,MATCH($A27,'[2]PV.STOCK TIAP GUDANG'!$A:$A,0),MATCH("X300ULTRA|16+512|STOCK",[2]PVKEY!$1:$1,0))</f>
        <v>1</v>
      </c>
      <c r="I27" s="11">
        <f>INDEX('[2]PV.STOCK TIAP GUDANG'!$A:$CV,MATCH($A27,'[2]PV.STOCK TIAP GUDANG'!$A:$A,0),MATCH("X300ULTRA|16+512|SALES",[2]PVKEY!$1:$1,0))</f>
        <v>0</v>
      </c>
      <c r="J27" s="12" t="str">
        <f t="shared" si="2"/>
        <v/>
      </c>
      <c r="K27" s="11">
        <f t="shared" si="3"/>
        <v>0</v>
      </c>
      <c r="L27" s="10">
        <f>INDEX('[2]PV.STOCK TIAP GUDANG'!$A:$CV,MATCH($A27,'[2]PV.STOCK TIAP GUDANG'!$A:$A,0),MATCH("X300PRO|16+512|STOCK",[2]PVKEY!$1:$1,0))</f>
        <v>0</v>
      </c>
      <c r="M27" s="11">
        <f>INDEX('[2]PV.STOCK TIAP GUDANG'!$A:$CV,MATCH($A27,'[2]PV.STOCK TIAP GUDANG'!$A:$A,0),MATCH("X300PRO|16+512|SALES",[2]PVKEY!$1:$1,0))</f>
        <v>0</v>
      </c>
      <c r="N27" s="12" t="str">
        <f t="shared" si="4"/>
        <v/>
      </c>
      <c r="O27" s="11">
        <f t="shared" si="5"/>
        <v>0</v>
      </c>
      <c r="P27" s="10">
        <f>INDEX('[2]PV.STOCK TIAP GUDANG'!$A:$CV,MATCH($A27,'[2]PV.STOCK TIAP GUDANG'!$A:$A,0),MATCH("X300|12+256|STOCK",[2]PVKEY!$1:$1,0))</f>
        <v>0</v>
      </c>
      <c r="Q27" s="11">
        <f>INDEX('[2]PV.STOCK TIAP GUDANG'!$A:$CV,MATCH($A27,'[2]PV.STOCK TIAP GUDANG'!$A:$A,0),MATCH("X300|12+256|SALES",[2]PVKEY!$1:$1,0))</f>
        <v>0</v>
      </c>
      <c r="R27" s="12" t="str">
        <f t="shared" si="6"/>
        <v/>
      </c>
      <c r="S27" s="10">
        <f>INDEX('[2]PV.STOCK TIAP GUDANG'!$A:$CV,MATCH($A27,'[2]PV.STOCK TIAP GUDANG'!$A:$A,0),MATCH("X300|16+512|STOCK",[2]PVKEY!$1:$1,0))</f>
        <v>0</v>
      </c>
      <c r="T27" s="11">
        <f>INDEX('[2]PV.STOCK TIAP GUDANG'!$A:$CV,MATCH($A27,'[2]PV.STOCK TIAP GUDANG'!$A:$A,0),MATCH("X300|16+512|SALES",[2]PVKEY!$1:$1,0))</f>
        <v>0</v>
      </c>
      <c r="U27" s="12" t="str">
        <f t="shared" si="7"/>
        <v/>
      </c>
      <c r="V27" s="10">
        <f>INDEX('[2]PV.STOCK TIAP GUDANG'!$A:$CV,MATCH($A27,'[2]PV.STOCK TIAP GUDANG'!$A:$A,0),MATCH("Y11D|4+128|STOCK",[2]PVKEY!$1:$1,0))</f>
        <v>3</v>
      </c>
      <c r="W27" s="11">
        <f>INDEX('[2]PV.STOCK TIAP GUDANG'!$A:$CV,MATCH($A27,'[2]PV.STOCK TIAP GUDANG'!$A:$A,0),MATCH("Y11D|4+128|SALES",[2]PVKEY!$1:$1,0))</f>
        <v>5</v>
      </c>
      <c r="X27" s="12">
        <f t="shared" si="8"/>
        <v>16.2</v>
      </c>
      <c r="Y27" s="11">
        <f t="shared" si="9"/>
        <v>0.92592592592592582</v>
      </c>
      <c r="Z27" s="10">
        <f>INDEX('[2]PV.STOCK TIAP GUDANG'!$A:$CV,MATCH($A27,'[2]PV.STOCK TIAP GUDANG'!$A:$A,0),MATCH("Y11D|4+64|STOCK",[2]PVKEY!$1:$1,0))</f>
        <v>1</v>
      </c>
      <c r="AA27" s="11">
        <f>INDEX('[2]PV.STOCK TIAP GUDANG'!$A:$CV,MATCH($A27,'[2]PV.STOCK TIAP GUDANG'!$A:$A,0),MATCH("Y11D|4+64|SALES",[2]PVKEY!$1:$1,0))</f>
        <v>4</v>
      </c>
      <c r="AB27" s="12">
        <f t="shared" si="10"/>
        <v>6.8</v>
      </c>
      <c r="AC27" s="11">
        <f t="shared" si="11"/>
        <v>0.7407407407407407</v>
      </c>
      <c r="AD27" s="10">
        <f>INDEX('[2]PV.STOCK TIAP GUDANG'!$A:$CV,MATCH($A27,'[2]PV.STOCK TIAP GUDANG'!$A:$A,0),MATCH("Y11D|6+128|STOCK",[2]PVKEY!$1:$1,0))</f>
        <v>1</v>
      </c>
      <c r="AE27" s="11">
        <f>INDEX('[2]PV.STOCK TIAP GUDANG'!$A:$CV,MATCH($A27,'[2]PV.STOCK TIAP GUDANG'!$A:$A,0),MATCH("Y11D|6+128|SALES",[2]PVKEY!$1:$1,0))</f>
        <v>0</v>
      </c>
      <c r="AF27" s="12" t="str">
        <f t="shared" si="12"/>
        <v/>
      </c>
      <c r="AG27" s="11">
        <f t="shared" si="13"/>
        <v>0</v>
      </c>
      <c r="AH27" s="10">
        <f>INDEX('[2]PV.STOCK TIAP GUDANG'!$A:$CV,MATCH($A27,'[2]PV.STOCK TIAP GUDANG'!$A:$A,0),MATCH("Y31D|4+128|STOCK",[2]PVKEY!$1:$1,0))</f>
        <v>1</v>
      </c>
      <c r="AI27" s="11">
        <f>INDEX('[2]PV.STOCK TIAP GUDANG'!$A:$CV,MATCH($A27,'[2]PV.STOCK TIAP GUDANG'!$A:$A,0),MATCH("Y31D|4+128|SALES",[2]PVKEY!$1:$1,0))</f>
        <v>1</v>
      </c>
      <c r="AJ27" s="12">
        <f t="shared" si="14"/>
        <v>27</v>
      </c>
      <c r="AK27" s="10">
        <f>INDEX('[2]PV.STOCK TIAP GUDANG'!$A:$CV,MATCH($A27,'[2]PV.STOCK TIAP GUDANG'!$A:$A,0),MATCH("Y31DPRO|4+128|STOCK",[2]PVKEY!$1:$1,0))</f>
        <v>2</v>
      </c>
      <c r="AL27" s="11">
        <f>INDEX('[2]PV.STOCK TIAP GUDANG'!$A:$CV,MATCH($A27,'[2]PV.STOCK TIAP GUDANG'!$A:$A,0),MATCH("Y31DPRO|4+128|SALES",[2]PVKEY!$1:$1,0))</f>
        <v>2</v>
      </c>
      <c r="AM27" s="12">
        <f t="shared" si="15"/>
        <v>27</v>
      </c>
      <c r="AN27" s="10">
        <f>INDEX('[2]PV.STOCK TIAP GUDANG'!$A:$CV,MATCH($A27,'[2]PV.STOCK TIAP GUDANG'!$A:$A,0),MATCH("Y31DPRO|6+128|STOCK",[2]PVKEY!$1:$1,0))</f>
        <v>2</v>
      </c>
      <c r="AO27" s="11">
        <f>INDEX('[2]PV.STOCK TIAP GUDANG'!$A:$CV,MATCH($A27,'[2]PV.STOCK TIAP GUDANG'!$A:$A,0),MATCH("Y31DPRO|6+128|SALES",[2]PVKEY!$1:$1,0))</f>
        <v>2</v>
      </c>
      <c r="AP27" s="12">
        <f t="shared" si="16"/>
        <v>27</v>
      </c>
      <c r="AQ27" s="11">
        <f t="shared" si="17"/>
        <v>0.37037037037037035</v>
      </c>
      <c r="AR27" s="10">
        <f>INDEX('[2]PV.STOCK TIAP GUDANG'!$A:$CV,MATCH($A27,'[2]PV.STOCK TIAP GUDANG'!$A:$A,0),MATCH("Y31DPRO|8+128|STOCK",[2]PVKEY!$1:$1,0))</f>
        <v>1</v>
      </c>
      <c r="AS27" s="11">
        <f>INDEX('[2]PV.STOCK TIAP GUDANG'!$A:$CV,MATCH($A27,'[2]PV.STOCK TIAP GUDANG'!$A:$A,0),MATCH("Y31DPRO|8+128|SALES",[2]PVKEY!$1:$1,0))</f>
        <v>1</v>
      </c>
      <c r="AT27" s="12">
        <f t="shared" si="18"/>
        <v>27</v>
      </c>
      <c r="AU27" s="11">
        <f t="shared" si="19"/>
        <v>0.18518518518518517</v>
      </c>
      <c r="AV27" s="10">
        <f>INDEX('[2]PV.STOCK TIAP GUDANG'!$A:$CV,MATCH($A27,'[2]PV.STOCK TIAP GUDANG'!$A:$A,0),MATCH("Y31DPRO|8+256|STOCK",[2]PVKEY!$1:$1,0))</f>
        <v>1</v>
      </c>
      <c r="AW27" s="11">
        <f>INDEX('[2]PV.STOCK TIAP GUDANG'!$A:$CV,MATCH($A27,'[2]PV.STOCK TIAP GUDANG'!$A:$A,0),MATCH("Y31DPRO|8+256|SALES",[2]PVKEY!$1:$1,0))</f>
        <v>0</v>
      </c>
      <c r="AX27" s="12" t="str">
        <f t="shared" si="20"/>
        <v/>
      </c>
      <c r="AY27" s="11">
        <f t="shared" si="21"/>
        <v>0</v>
      </c>
      <c r="AZ27" s="10">
        <f>INDEX('[2]PV.STOCK TIAP GUDANG'!$A:$CV,MATCH($A27,'[2]PV.STOCK TIAP GUDANG'!$A:$A,0),MATCH("V70|12+256|STOCK",[2]PVKEY!$1:$1,0))</f>
        <v>0</v>
      </c>
      <c r="BA27" s="11">
        <f>INDEX('[2]PV.STOCK TIAP GUDANG'!$A:$CV,MATCH($A27,'[2]PV.STOCK TIAP GUDANG'!$A:$A,0),MATCH("V70|12+256|SALES",[2]PVKEY!$1:$1,0))</f>
        <v>0</v>
      </c>
      <c r="BB27" s="12" t="str">
        <f t="shared" si="22"/>
        <v/>
      </c>
      <c r="BC27" s="10">
        <f>INDEX('[2]PV.STOCK TIAP GUDANG'!$A:$CV,MATCH($A27,'[2]PV.STOCK TIAP GUDANG'!$A:$A,0),MATCH("V70|8+256|STOCK",[2]PVKEY!$1:$1,0))</f>
        <v>4</v>
      </c>
      <c r="BD27" s="11">
        <f>INDEX('[2]PV.STOCK TIAP GUDANG'!$A:$CV,MATCH($A27,'[2]PV.STOCK TIAP GUDANG'!$A:$A,0),MATCH("V70|8+256|SALES",[2]PVKEY!$1:$1,0))</f>
        <v>2</v>
      </c>
      <c r="BE27" s="12">
        <f t="shared" si="23"/>
        <v>54</v>
      </c>
      <c r="BF27" s="11">
        <f t="shared" si="24"/>
        <v>0.59259259259259256</v>
      </c>
      <c r="BG27" s="10">
        <f>INDEX('[2]PV.STOCK TIAP GUDANG'!$A:$CV,MATCH($A27,'[2]PV.STOCK TIAP GUDANG'!$A:$A,0),MATCH("V70|12+512|STOCK",[2]PVKEY!$1:$1,0))</f>
        <v>0</v>
      </c>
      <c r="BH27" s="11">
        <f>INDEX('[2]PV.STOCK TIAP GUDANG'!$A:$CV,MATCH($A27,'[2]PV.STOCK TIAP GUDANG'!$A:$A,0),MATCH("V70|12+512|SALES",[2]PVKEY!$1:$1,0))</f>
        <v>0</v>
      </c>
      <c r="BI27" s="12" t="str">
        <f t="shared" si="25"/>
        <v/>
      </c>
      <c r="BJ27" s="11">
        <f t="shared" si="26"/>
        <v>0</v>
      </c>
      <c r="BK27" s="10">
        <f>INDEX('[2]PV.STOCK TIAP GUDANG'!$A:$CV,MATCH($A27,'[2]PV.STOCK TIAP GUDANG'!$A:$A,0),MATCH("V70FE|8+256|STOCK",[2]PVKEY!$1:$1,0))</f>
        <v>0</v>
      </c>
      <c r="BL27" s="11">
        <f>INDEX('[2]PV.STOCK TIAP GUDANG'!$A:$CV,MATCH($A27,'[2]PV.STOCK TIAP GUDANG'!$A:$A,0),MATCH("V70FE|8+256|SALES",[2]PVKEY!$1:$1,0))</f>
        <v>0</v>
      </c>
      <c r="BM27" s="12" t="str">
        <f t="shared" si="27"/>
        <v/>
      </c>
      <c r="BN27" s="11">
        <f t="shared" si="28"/>
        <v>0</v>
      </c>
      <c r="BO27" s="10">
        <f>INDEX('[2]PV.STOCK TIAP GUDANG'!$A:$CV,MATCH($A27,'[2]PV.STOCK TIAP GUDANG'!$A:$A,0),MATCH("V70FE|12+256|STOCK",[2]PVKEY!$1:$1,0))</f>
        <v>1</v>
      </c>
      <c r="BP27" s="11">
        <f>INDEX('[2]PV.STOCK TIAP GUDANG'!$A:$CV,MATCH($A27,'[2]PV.STOCK TIAP GUDANG'!$A:$A,0),MATCH("V70FE|12+256|SALES",[2]PVKEY!$1:$1,0))</f>
        <v>3</v>
      </c>
      <c r="BQ27" s="12">
        <f t="shared" si="29"/>
        <v>9</v>
      </c>
      <c r="BR27" s="11">
        <f t="shared" si="30"/>
        <v>0.88888888888888884</v>
      </c>
      <c r="BS27" s="10">
        <f>INDEX('[2]PV.STOCK TIAP GUDANG'!$A:$CV,MATCH($A27,'[2]PV.STOCK TIAP GUDANG'!$A:$A,0),MATCH("V60LITE5G|8+256|STOCK",[2]PVKEY!$1:$1,0))</f>
        <v>0</v>
      </c>
      <c r="BT27" s="11">
        <f>INDEX('[2]PV.STOCK TIAP GUDANG'!$A:$CV,MATCH($A27,'[2]PV.STOCK TIAP GUDANG'!$A:$A,0),MATCH("V60LITE5G|8+256|SALES",[2]PVKEY!$1:$1,0))</f>
        <v>0</v>
      </c>
      <c r="BU27" s="12" t="str">
        <f t="shared" si="31"/>
        <v/>
      </c>
      <c r="BV27" s="11">
        <f t="shared" si="32"/>
        <v>0</v>
      </c>
      <c r="BW27" s="10">
        <f>INDEX('[2]PV.STOCK TIAP GUDANG'!$A:$CV,MATCH($A27,'[2]PV.STOCK TIAP GUDANG'!$A:$A,0),MATCH("V60LITE|8+256|STOCK",[2]PVKEY!$1:$1,0))</f>
        <v>3</v>
      </c>
      <c r="BX27" s="11">
        <f>INDEX('[2]PV.STOCK TIAP GUDANG'!$A:$CV,MATCH($A27,'[2]PV.STOCK TIAP GUDANG'!$A:$A,0),MATCH("V60LITE|8+256|SALES",[2]PVKEY!$1:$1,0))</f>
        <v>4</v>
      </c>
      <c r="BY27" s="12">
        <f t="shared" si="33"/>
        <v>20.3</v>
      </c>
      <c r="BZ27" s="11">
        <f t="shared" si="34"/>
        <v>1.1851851851851851</v>
      </c>
      <c r="CA27" s="10">
        <f>INDEX('[2]PV.STOCK TIAP GUDANG'!$A:$CV,MATCH($A27,'[2]PV.STOCK TIAP GUDANG'!$A:$A,0),MATCH("Y05|4+128|STOCK",[2]PVKEY!$1:$1,0))</f>
        <v>1</v>
      </c>
      <c r="CB27" s="11">
        <f>INDEX('[2]PV.STOCK TIAP GUDANG'!$A:$CV,MATCH($A27,'[2]PV.STOCK TIAP GUDANG'!$A:$A,0),MATCH("Y05|4+128|SALES",[2]PVKEY!$1:$1,0))</f>
        <v>4</v>
      </c>
      <c r="CC27" s="12">
        <f t="shared" si="35"/>
        <v>6.8</v>
      </c>
      <c r="CD27" s="11">
        <f t="shared" si="44"/>
        <v>1.037037037037037</v>
      </c>
      <c r="CE27" s="10">
        <f>INDEX('[2]PV.STOCK TIAP GUDANG'!$A:$CV,MATCH($A27,'[2]PV.STOCK TIAP GUDANG'!$A:$A,0),MATCH("Y05|4+64|STOCK",[2]PVKEY!$1:$1,0))</f>
        <v>1</v>
      </c>
      <c r="CF27" s="11">
        <f>INDEX('[2]PV.STOCK TIAP GUDANG'!$A:$CV,MATCH($A27,'[2]PV.STOCK TIAP GUDANG'!$A:$A,0),MATCH("Y05|4+64|SALES",[2]PVKEY!$1:$1,0))</f>
        <v>7</v>
      </c>
      <c r="CG27" s="12">
        <f t="shared" si="36"/>
        <v>3.9</v>
      </c>
      <c r="CH27" s="11">
        <f t="shared" si="37"/>
        <v>1.8148148148148147</v>
      </c>
      <c r="CI27" s="10">
        <f>INDEX('[2]PV.STOCK TIAP GUDANG'!$A:$CV,MATCH($A27,'[2]PV.STOCK TIAP GUDANG'!$A:$A,0),MATCH("Y500|6+128|STOCK",[2]PVKEY!$1:$1,0))</f>
        <v>4</v>
      </c>
      <c r="CJ27" s="11">
        <f>INDEX('[2]PV.STOCK TIAP GUDANG'!$A:$CV,MATCH($A27,'[2]PV.STOCK TIAP GUDANG'!$A:$A,0),MATCH("Y500|6+128|SALES",[2]PVKEY!$1:$1,0))</f>
        <v>0</v>
      </c>
      <c r="CK27" s="12" t="str">
        <f t="shared" si="38"/>
        <v/>
      </c>
      <c r="CL27" s="10">
        <f>INDEX('[2]PV.STOCK TIAP GUDANG'!$A:$CV,MATCH($A27,'[2]PV.STOCK TIAP GUDANG'!$A:$A,0),MATCH("Y500|6+256|STOCK",[2]PVKEY!$1:$1,0))</f>
        <v>2</v>
      </c>
      <c r="CM27" s="11">
        <f>INDEX('[2]PV.STOCK TIAP GUDANG'!$A:$CV,MATCH($A27,'[2]PV.STOCK TIAP GUDANG'!$A:$A,0),MATCH("Y500|6+256|SALES",[2]PVKEY!$1:$1,0))</f>
        <v>0</v>
      </c>
      <c r="CN27" s="12" t="str">
        <f t="shared" si="39"/>
        <v/>
      </c>
      <c r="CO27" s="10">
        <f>INDEX('[2]PV.STOCK TIAP GUDANG'!$A:$CV,MATCH($A27,'[2]PV.STOCK TIAP GUDANG'!$A:$A,0),MATCH("Y05E|4+64|STOCK",[2]PVKEY!$1:$1,0))</f>
        <v>5</v>
      </c>
      <c r="CP27" s="11">
        <f>INDEX('[2]PV.STOCK TIAP GUDANG'!$A:$CV,MATCH($A27,'[2]PV.STOCK TIAP GUDANG'!$A:$A,0),MATCH("Y05E|4+64|SALES",[2]PVKEY!$1:$1,0))</f>
        <v>0</v>
      </c>
      <c r="CQ27" s="12" t="str">
        <f t="shared" si="40"/>
        <v/>
      </c>
      <c r="CR27" s="13">
        <f t="shared" si="41"/>
        <v>34</v>
      </c>
      <c r="CS27" s="13">
        <f t="shared" si="42"/>
        <v>35</v>
      </c>
      <c r="CT27" s="13">
        <f t="shared" si="43"/>
        <v>26.228571428571428</v>
      </c>
      <c r="CU27" s="26" t="s">
        <v>90</v>
      </c>
    </row>
    <row r="28" spans="1:99" ht="16" x14ac:dyDescent="0.2">
      <c r="A28" s="9" t="s">
        <v>48</v>
      </c>
      <c r="B28" s="10">
        <f>INDEX('[2]PV.STOCK TIAP GUDANG'!$A:$CV,MATCH($A28,'[2]PV.STOCK TIAP GUDANG'!$A:$A,0),MATCH("FOLD5|STOCK",[2]PVKEY!$5:$5,0))</f>
        <v>0</v>
      </c>
      <c r="C28" s="11">
        <f>INDEX('[2]PV.STOCK TIAP GUDANG'!$A:$CV,MATCH($A28,'[2]PV.STOCK TIAP GUDANG'!$A:$A,0),MATCH("FOLD5|SALES",[2]PVKEY!$5:$5,0))</f>
        <v>0</v>
      </c>
      <c r="D28" s="12" t="str">
        <f t="shared" si="0"/>
        <v/>
      </c>
      <c r="E28" s="10">
        <f>INDEX('[2]PV.STOCK TIAP GUDANG'!$A:$CV,MATCH($A28,'[2]PV.STOCK TIAP GUDANG'!$A:$A,0),MATCH("X300ULTRA|16+1T|STOCK",[2]PVKEY!$1:$1,0))</f>
        <v>2</v>
      </c>
      <c r="F28" s="11">
        <f>INDEX('[2]PV.STOCK TIAP GUDANG'!$A:$CV,MATCH($A28,'[2]PV.STOCK TIAP GUDANG'!$A:$A,0),MATCH("X300ULTRA|16+1T|SALES",[2]PVKEY!$1:$1,0))</f>
        <v>0</v>
      </c>
      <c r="G28" s="12" t="str">
        <f t="shared" si="1"/>
        <v/>
      </c>
      <c r="H28" s="10">
        <f>INDEX('[2]PV.STOCK TIAP GUDANG'!$A:$CV,MATCH($A28,'[2]PV.STOCK TIAP GUDANG'!$A:$A,0),MATCH("X300ULTRA|16+512|STOCK",[2]PVKEY!$1:$1,0))</f>
        <v>2</v>
      </c>
      <c r="I28" s="11">
        <f>INDEX('[2]PV.STOCK TIAP GUDANG'!$A:$CV,MATCH($A28,'[2]PV.STOCK TIAP GUDANG'!$A:$A,0),MATCH("X300ULTRA|16+512|SALES",[2]PVKEY!$1:$1,0))</f>
        <v>2</v>
      </c>
      <c r="J28" s="12">
        <f t="shared" si="2"/>
        <v>27</v>
      </c>
      <c r="K28" s="11">
        <f t="shared" si="3"/>
        <v>0.7407407407407407</v>
      </c>
      <c r="L28" s="10">
        <f>INDEX('[2]PV.STOCK TIAP GUDANG'!$A:$CV,MATCH($A28,'[2]PV.STOCK TIAP GUDANG'!$A:$A,0),MATCH("X300PRO|16+512|STOCK",[2]PVKEY!$1:$1,0))</f>
        <v>0</v>
      </c>
      <c r="M28" s="11">
        <f>INDEX('[2]PV.STOCK TIAP GUDANG'!$A:$CV,MATCH($A28,'[2]PV.STOCK TIAP GUDANG'!$A:$A,0),MATCH("X300PRO|16+512|SALES",[2]PVKEY!$1:$1,0))</f>
        <v>0</v>
      </c>
      <c r="N28" s="12" t="str">
        <f t="shared" si="4"/>
        <v/>
      </c>
      <c r="O28" s="11">
        <f t="shared" si="5"/>
        <v>0</v>
      </c>
      <c r="P28" s="10">
        <f>INDEX('[2]PV.STOCK TIAP GUDANG'!$A:$CV,MATCH($A28,'[2]PV.STOCK TIAP GUDANG'!$A:$A,0),MATCH("X300|12+256|STOCK",[2]PVKEY!$1:$1,0))</f>
        <v>0</v>
      </c>
      <c r="Q28" s="11">
        <f>INDEX('[2]PV.STOCK TIAP GUDANG'!$A:$CV,MATCH($A28,'[2]PV.STOCK TIAP GUDANG'!$A:$A,0),MATCH("X300|12+256|SALES",[2]PVKEY!$1:$1,0))</f>
        <v>0</v>
      </c>
      <c r="R28" s="12" t="str">
        <f t="shared" si="6"/>
        <v/>
      </c>
      <c r="S28" s="10">
        <f>INDEX('[2]PV.STOCK TIAP GUDANG'!$A:$CV,MATCH($A28,'[2]PV.STOCK TIAP GUDANG'!$A:$A,0),MATCH("X300|16+512|STOCK",[2]PVKEY!$1:$1,0))</f>
        <v>0</v>
      </c>
      <c r="T28" s="11">
        <f>INDEX('[2]PV.STOCK TIAP GUDANG'!$A:$CV,MATCH($A28,'[2]PV.STOCK TIAP GUDANG'!$A:$A,0),MATCH("X300|16+512|SALES",[2]PVKEY!$1:$1,0))</f>
        <v>0</v>
      </c>
      <c r="U28" s="12" t="str">
        <f t="shared" si="7"/>
        <v/>
      </c>
      <c r="V28" s="10">
        <f>INDEX('[2]PV.STOCK TIAP GUDANG'!$A:$CV,MATCH($A28,'[2]PV.STOCK TIAP GUDANG'!$A:$A,0),MATCH("Y11D|4+128|STOCK",[2]PVKEY!$1:$1,0))</f>
        <v>1</v>
      </c>
      <c r="W28" s="11">
        <f>INDEX('[2]PV.STOCK TIAP GUDANG'!$A:$CV,MATCH($A28,'[2]PV.STOCK TIAP GUDANG'!$A:$A,0),MATCH("Y11D|4+128|SALES",[2]PVKEY!$1:$1,0))</f>
        <v>4</v>
      </c>
      <c r="X28" s="12">
        <f t="shared" si="8"/>
        <v>6.8</v>
      </c>
      <c r="Y28" s="11">
        <f t="shared" si="9"/>
        <v>0.7407407407407407</v>
      </c>
      <c r="Z28" s="10">
        <f>INDEX('[2]PV.STOCK TIAP GUDANG'!$A:$CV,MATCH($A28,'[2]PV.STOCK TIAP GUDANG'!$A:$A,0),MATCH("Y11D|4+64|STOCK",[2]PVKEY!$1:$1,0))</f>
        <v>2</v>
      </c>
      <c r="AA28" s="11">
        <f>INDEX('[2]PV.STOCK TIAP GUDANG'!$A:$CV,MATCH($A28,'[2]PV.STOCK TIAP GUDANG'!$A:$A,0),MATCH("Y11D|4+64|SALES",[2]PVKEY!$1:$1,0))</f>
        <v>2</v>
      </c>
      <c r="AB28" s="12">
        <f t="shared" si="10"/>
        <v>27</v>
      </c>
      <c r="AC28" s="11">
        <f t="shared" si="11"/>
        <v>0.37037037037037035</v>
      </c>
      <c r="AD28" s="10">
        <f>INDEX('[2]PV.STOCK TIAP GUDANG'!$A:$CV,MATCH($A28,'[2]PV.STOCK TIAP GUDANG'!$A:$A,0),MATCH("Y11D|6+128|STOCK",[2]PVKEY!$1:$1,0))</f>
        <v>4</v>
      </c>
      <c r="AE28" s="11">
        <f>INDEX('[2]PV.STOCK TIAP GUDANG'!$A:$CV,MATCH($A28,'[2]PV.STOCK TIAP GUDANG'!$A:$A,0),MATCH("Y11D|6+128|SALES",[2]PVKEY!$1:$1,0))</f>
        <v>0</v>
      </c>
      <c r="AF28" s="12" t="str">
        <f t="shared" si="12"/>
        <v/>
      </c>
      <c r="AG28" s="11">
        <f t="shared" si="13"/>
        <v>0</v>
      </c>
      <c r="AH28" s="10">
        <f>INDEX('[2]PV.STOCK TIAP GUDANG'!$A:$CV,MATCH($A28,'[2]PV.STOCK TIAP GUDANG'!$A:$A,0),MATCH("Y31D|4+128|STOCK",[2]PVKEY!$1:$1,0))</f>
        <v>2</v>
      </c>
      <c r="AI28" s="11">
        <f>INDEX('[2]PV.STOCK TIAP GUDANG'!$A:$CV,MATCH($A28,'[2]PV.STOCK TIAP GUDANG'!$A:$A,0),MATCH("Y31D|4+128|SALES",[2]PVKEY!$1:$1,0))</f>
        <v>1</v>
      </c>
      <c r="AJ28" s="12">
        <f t="shared" si="14"/>
        <v>54</v>
      </c>
      <c r="AK28" s="10">
        <f>INDEX('[2]PV.STOCK TIAP GUDANG'!$A:$CV,MATCH($A28,'[2]PV.STOCK TIAP GUDANG'!$A:$A,0),MATCH("Y31DPRO|4+128|STOCK",[2]PVKEY!$1:$1,0))</f>
        <v>6</v>
      </c>
      <c r="AL28" s="11">
        <f>INDEX('[2]PV.STOCK TIAP GUDANG'!$A:$CV,MATCH($A28,'[2]PV.STOCK TIAP GUDANG'!$A:$A,0),MATCH("Y31DPRO|4+128|SALES",[2]PVKEY!$1:$1,0))</f>
        <v>3</v>
      </c>
      <c r="AM28" s="12">
        <f t="shared" si="15"/>
        <v>54</v>
      </c>
      <c r="AN28" s="10">
        <f>INDEX('[2]PV.STOCK TIAP GUDANG'!$A:$CV,MATCH($A28,'[2]PV.STOCK TIAP GUDANG'!$A:$A,0),MATCH("Y31DPRO|6+128|STOCK",[2]PVKEY!$1:$1,0))</f>
        <v>2</v>
      </c>
      <c r="AO28" s="11">
        <f>INDEX('[2]PV.STOCK TIAP GUDANG'!$A:$CV,MATCH($A28,'[2]PV.STOCK TIAP GUDANG'!$A:$A,0),MATCH("Y31DPRO|6+128|SALES",[2]PVKEY!$1:$1,0))</f>
        <v>1</v>
      </c>
      <c r="AP28" s="12">
        <f t="shared" si="16"/>
        <v>54</v>
      </c>
      <c r="AQ28" s="11">
        <f t="shared" si="17"/>
        <v>0.18518518518518517</v>
      </c>
      <c r="AR28" s="10">
        <f>INDEX('[2]PV.STOCK TIAP GUDANG'!$A:$CV,MATCH($A28,'[2]PV.STOCK TIAP GUDANG'!$A:$A,0),MATCH("Y31DPRO|8+128|STOCK",[2]PVKEY!$1:$1,0))</f>
        <v>3</v>
      </c>
      <c r="AS28" s="11">
        <f>INDEX('[2]PV.STOCK TIAP GUDANG'!$A:$CV,MATCH($A28,'[2]PV.STOCK TIAP GUDANG'!$A:$A,0),MATCH("Y31DPRO|8+128|SALES",[2]PVKEY!$1:$1,0))</f>
        <v>0</v>
      </c>
      <c r="AT28" s="12" t="str">
        <f t="shared" si="18"/>
        <v/>
      </c>
      <c r="AU28" s="11">
        <f t="shared" si="19"/>
        <v>0</v>
      </c>
      <c r="AV28" s="10">
        <f>INDEX('[2]PV.STOCK TIAP GUDANG'!$A:$CV,MATCH($A28,'[2]PV.STOCK TIAP GUDANG'!$A:$A,0),MATCH("Y31DPRO|8+256|STOCK",[2]PVKEY!$1:$1,0))</f>
        <v>4</v>
      </c>
      <c r="AW28" s="11">
        <f>INDEX('[2]PV.STOCK TIAP GUDANG'!$A:$CV,MATCH($A28,'[2]PV.STOCK TIAP GUDANG'!$A:$A,0),MATCH("Y31DPRO|8+256|SALES",[2]PVKEY!$1:$1,0))</f>
        <v>4</v>
      </c>
      <c r="AX28" s="12">
        <f t="shared" si="20"/>
        <v>27</v>
      </c>
      <c r="AY28" s="11">
        <f t="shared" si="21"/>
        <v>0.7407407407407407</v>
      </c>
      <c r="AZ28" s="10">
        <f>INDEX('[2]PV.STOCK TIAP GUDANG'!$A:$CV,MATCH($A28,'[2]PV.STOCK TIAP GUDANG'!$A:$A,0),MATCH("V70|12+256|STOCK",[2]PVKEY!$1:$1,0))</f>
        <v>0</v>
      </c>
      <c r="BA28" s="11">
        <f>INDEX('[2]PV.STOCK TIAP GUDANG'!$A:$CV,MATCH($A28,'[2]PV.STOCK TIAP GUDANG'!$A:$A,0),MATCH("V70|12+256|SALES",[2]PVKEY!$1:$1,0))</f>
        <v>0</v>
      </c>
      <c r="BB28" s="12" t="str">
        <f t="shared" si="22"/>
        <v/>
      </c>
      <c r="BC28" s="10">
        <f>INDEX('[2]PV.STOCK TIAP GUDANG'!$A:$CV,MATCH($A28,'[2]PV.STOCK TIAP GUDANG'!$A:$A,0),MATCH("V70|8+256|STOCK",[2]PVKEY!$1:$1,0))</f>
        <v>5</v>
      </c>
      <c r="BD28" s="11">
        <f>INDEX('[2]PV.STOCK TIAP GUDANG'!$A:$CV,MATCH($A28,'[2]PV.STOCK TIAP GUDANG'!$A:$A,0),MATCH("V70|8+256|SALES",[2]PVKEY!$1:$1,0))</f>
        <v>6</v>
      </c>
      <c r="BE28" s="12">
        <f t="shared" si="23"/>
        <v>22.5</v>
      </c>
      <c r="BF28" s="11">
        <f t="shared" si="24"/>
        <v>1.7777777777777777</v>
      </c>
      <c r="BG28" s="10">
        <f>INDEX('[2]PV.STOCK TIAP GUDANG'!$A:$CV,MATCH($A28,'[2]PV.STOCK TIAP GUDANG'!$A:$A,0),MATCH("V70|12+512|STOCK",[2]PVKEY!$1:$1,0))</f>
        <v>0</v>
      </c>
      <c r="BH28" s="11">
        <f>INDEX('[2]PV.STOCK TIAP GUDANG'!$A:$CV,MATCH($A28,'[2]PV.STOCK TIAP GUDANG'!$A:$A,0),MATCH("V70|12+512|SALES",[2]PVKEY!$1:$1,0))</f>
        <v>0</v>
      </c>
      <c r="BI28" s="12" t="str">
        <f t="shared" si="25"/>
        <v/>
      </c>
      <c r="BJ28" s="11">
        <f t="shared" si="26"/>
        <v>0</v>
      </c>
      <c r="BK28" s="10">
        <f>INDEX('[2]PV.STOCK TIAP GUDANG'!$A:$CV,MATCH($A28,'[2]PV.STOCK TIAP GUDANG'!$A:$A,0),MATCH("V70FE|8+256|STOCK",[2]PVKEY!$1:$1,0))</f>
        <v>19</v>
      </c>
      <c r="BL28" s="11">
        <f>INDEX('[2]PV.STOCK TIAP GUDANG'!$A:$CV,MATCH($A28,'[2]PV.STOCK TIAP GUDANG'!$A:$A,0),MATCH("V70FE|8+256|SALES",[2]PVKEY!$1:$1,0))</f>
        <v>4</v>
      </c>
      <c r="BM28" s="12">
        <f t="shared" si="27"/>
        <v>128.30000000000001</v>
      </c>
      <c r="BN28" s="11">
        <f t="shared" si="28"/>
        <v>1.1851851851851851</v>
      </c>
      <c r="BO28" s="10">
        <f>INDEX('[2]PV.STOCK TIAP GUDANG'!$A:$CV,MATCH($A28,'[2]PV.STOCK TIAP GUDANG'!$A:$A,0),MATCH("V70FE|12+256|STOCK",[2]PVKEY!$1:$1,0))</f>
        <v>1</v>
      </c>
      <c r="BP28" s="11">
        <f>INDEX('[2]PV.STOCK TIAP GUDANG'!$A:$CV,MATCH($A28,'[2]PV.STOCK TIAP GUDANG'!$A:$A,0),MATCH("V70FE|12+256|SALES",[2]PVKEY!$1:$1,0))</f>
        <v>3</v>
      </c>
      <c r="BQ28" s="12">
        <f t="shared" si="29"/>
        <v>9</v>
      </c>
      <c r="BR28" s="11">
        <f t="shared" si="30"/>
        <v>0.88888888888888884</v>
      </c>
      <c r="BS28" s="10">
        <f>INDEX('[2]PV.STOCK TIAP GUDANG'!$A:$CV,MATCH($A28,'[2]PV.STOCK TIAP GUDANG'!$A:$A,0),MATCH("V60LITE5G|8+256|STOCK",[2]PVKEY!$1:$1,0))</f>
        <v>0</v>
      </c>
      <c r="BT28" s="11">
        <f>INDEX('[2]PV.STOCK TIAP GUDANG'!$A:$CV,MATCH($A28,'[2]PV.STOCK TIAP GUDANG'!$A:$A,0),MATCH("V60LITE5G|8+256|SALES",[2]PVKEY!$1:$1,0))</f>
        <v>0</v>
      </c>
      <c r="BU28" s="12" t="str">
        <f t="shared" si="31"/>
        <v/>
      </c>
      <c r="BV28" s="11">
        <f t="shared" si="32"/>
        <v>0</v>
      </c>
      <c r="BW28" s="10">
        <f>INDEX('[2]PV.STOCK TIAP GUDANG'!$A:$CV,MATCH($A28,'[2]PV.STOCK TIAP GUDANG'!$A:$A,0),MATCH("V60LITE|8+256|STOCK",[2]PVKEY!$1:$1,0))</f>
        <v>3</v>
      </c>
      <c r="BX28" s="11">
        <f>INDEX('[2]PV.STOCK TIAP GUDANG'!$A:$CV,MATCH($A28,'[2]PV.STOCK TIAP GUDANG'!$A:$A,0),MATCH("V60LITE|8+256|SALES",[2]PVKEY!$1:$1,0))</f>
        <v>1</v>
      </c>
      <c r="BY28" s="12">
        <f t="shared" si="33"/>
        <v>81</v>
      </c>
      <c r="BZ28" s="11">
        <f t="shared" si="34"/>
        <v>0.29629629629629628</v>
      </c>
      <c r="CA28" s="10">
        <f>INDEX('[2]PV.STOCK TIAP GUDANG'!$A:$CV,MATCH($A28,'[2]PV.STOCK TIAP GUDANG'!$A:$A,0),MATCH("Y05|4+128|STOCK",[2]PVKEY!$1:$1,0))</f>
        <v>1</v>
      </c>
      <c r="CB28" s="11">
        <f>INDEX('[2]PV.STOCK TIAP GUDANG'!$A:$CV,MATCH($A28,'[2]PV.STOCK TIAP GUDANG'!$A:$A,0),MATCH("Y05|4+128|SALES",[2]PVKEY!$1:$1,0))</f>
        <v>2</v>
      </c>
      <c r="CC28" s="12">
        <f t="shared" si="35"/>
        <v>13.5</v>
      </c>
      <c r="CD28" s="11">
        <f t="shared" si="44"/>
        <v>0.51851851851851849</v>
      </c>
      <c r="CE28" s="10">
        <f>INDEX('[2]PV.STOCK TIAP GUDANG'!$A:$CV,MATCH($A28,'[2]PV.STOCK TIAP GUDANG'!$A:$A,0),MATCH("Y05|4+64|STOCK",[2]PVKEY!$1:$1,0))</f>
        <v>4</v>
      </c>
      <c r="CF28" s="11">
        <f>INDEX('[2]PV.STOCK TIAP GUDANG'!$A:$CV,MATCH($A28,'[2]PV.STOCK TIAP GUDANG'!$A:$A,0),MATCH("Y05|4+64|SALES",[2]PVKEY!$1:$1,0))</f>
        <v>0</v>
      </c>
      <c r="CG28" s="12" t="str">
        <f t="shared" si="36"/>
        <v/>
      </c>
      <c r="CH28" s="11">
        <f t="shared" si="37"/>
        <v>0</v>
      </c>
      <c r="CI28" s="10">
        <f>INDEX('[2]PV.STOCK TIAP GUDANG'!$A:$CV,MATCH($A28,'[2]PV.STOCK TIAP GUDANG'!$A:$A,0),MATCH("Y500|6+128|STOCK",[2]PVKEY!$1:$1,0))</f>
        <v>3</v>
      </c>
      <c r="CJ28" s="11">
        <f>INDEX('[2]PV.STOCK TIAP GUDANG'!$A:$CV,MATCH($A28,'[2]PV.STOCK TIAP GUDANG'!$A:$A,0),MATCH("Y500|6+128|SALES",[2]PVKEY!$1:$1,0))</f>
        <v>0</v>
      </c>
      <c r="CK28" s="12" t="str">
        <f t="shared" si="38"/>
        <v/>
      </c>
      <c r="CL28" s="10">
        <f>INDEX('[2]PV.STOCK TIAP GUDANG'!$A:$CV,MATCH($A28,'[2]PV.STOCK TIAP GUDANG'!$A:$A,0),MATCH("Y500|6+256|STOCK",[2]PVKEY!$1:$1,0))</f>
        <v>0</v>
      </c>
      <c r="CM28" s="11">
        <f>INDEX('[2]PV.STOCK TIAP GUDANG'!$A:$CV,MATCH($A28,'[2]PV.STOCK TIAP GUDANG'!$A:$A,0),MATCH("Y500|6+256|SALES",[2]PVKEY!$1:$1,0))</f>
        <v>2</v>
      </c>
      <c r="CN28" s="12">
        <f t="shared" si="39"/>
        <v>0</v>
      </c>
      <c r="CO28" s="10">
        <f>INDEX('[2]PV.STOCK TIAP GUDANG'!$A:$CV,MATCH($A28,'[2]PV.STOCK TIAP GUDANG'!$A:$A,0),MATCH("Y05E|4+64|STOCK",[2]PVKEY!$1:$1,0))</f>
        <v>3</v>
      </c>
      <c r="CP28" s="11">
        <f>INDEX('[2]PV.STOCK TIAP GUDANG'!$A:$CV,MATCH($A28,'[2]PV.STOCK TIAP GUDANG'!$A:$A,0),MATCH("Y05E|4+64|SALES",[2]PVKEY!$1:$1,0))</f>
        <v>0</v>
      </c>
      <c r="CQ28" s="12" t="str">
        <f t="shared" si="40"/>
        <v/>
      </c>
      <c r="CR28" s="13">
        <f t="shared" si="41"/>
        <v>67</v>
      </c>
      <c r="CS28" s="13">
        <f t="shared" si="42"/>
        <v>35</v>
      </c>
      <c r="CT28" s="13">
        <f t="shared" si="43"/>
        <v>51.685714285714283</v>
      </c>
      <c r="CU28" t="s">
        <v>89</v>
      </c>
    </row>
    <row r="29" spans="1:99" ht="16" x14ac:dyDescent="0.2">
      <c r="A29" s="9" t="s">
        <v>50</v>
      </c>
      <c r="B29" s="10">
        <f>INDEX('[2]PV.STOCK TIAP GUDANG'!$A:$CV,MATCH($A29,'[2]PV.STOCK TIAP GUDANG'!$A:$A,0),MATCH("FOLD5|STOCK",[2]PVKEY!$5:$5,0))</f>
        <v>0</v>
      </c>
      <c r="C29" s="11">
        <f>INDEX('[2]PV.STOCK TIAP GUDANG'!$A:$CV,MATCH($A29,'[2]PV.STOCK TIAP GUDANG'!$A:$A,0),MATCH("FOLD5|SALES",[2]PVKEY!$5:$5,0))</f>
        <v>0</v>
      </c>
      <c r="D29" s="12" t="str">
        <f t="shared" si="0"/>
        <v/>
      </c>
      <c r="E29" s="10">
        <f>INDEX('[2]PV.STOCK TIAP GUDANG'!$A:$CV,MATCH($A29,'[2]PV.STOCK TIAP GUDANG'!$A:$A,0),MATCH("X300ULTRA|16+1T|STOCK",[2]PVKEY!$1:$1,0))</f>
        <v>1</v>
      </c>
      <c r="F29" s="11">
        <f>INDEX('[2]PV.STOCK TIAP GUDANG'!$A:$CV,MATCH($A29,'[2]PV.STOCK TIAP GUDANG'!$A:$A,0),MATCH("X300ULTRA|16+1T|SALES",[2]PVKEY!$1:$1,0))</f>
        <v>0</v>
      </c>
      <c r="G29" s="12" t="str">
        <f t="shared" si="1"/>
        <v/>
      </c>
      <c r="H29" s="10">
        <f>INDEX('[2]PV.STOCK TIAP GUDANG'!$A:$CV,MATCH($A29,'[2]PV.STOCK TIAP GUDANG'!$A:$A,0),MATCH("X300ULTRA|16+512|STOCK",[2]PVKEY!$1:$1,0))</f>
        <v>2</v>
      </c>
      <c r="I29" s="11">
        <f>INDEX('[2]PV.STOCK TIAP GUDANG'!$A:$CV,MATCH($A29,'[2]PV.STOCK TIAP GUDANG'!$A:$A,0),MATCH("X300ULTRA|16+512|SALES",[2]PVKEY!$1:$1,0))</f>
        <v>0</v>
      </c>
      <c r="J29" s="12" t="str">
        <f t="shared" si="2"/>
        <v/>
      </c>
      <c r="K29" s="11">
        <f t="shared" si="3"/>
        <v>0</v>
      </c>
      <c r="L29" s="10">
        <f>INDEX('[2]PV.STOCK TIAP GUDANG'!$A:$CV,MATCH($A29,'[2]PV.STOCK TIAP GUDANG'!$A:$A,0),MATCH("X300PRO|16+512|STOCK",[2]PVKEY!$1:$1,0))</f>
        <v>0</v>
      </c>
      <c r="M29" s="11">
        <f>INDEX('[2]PV.STOCK TIAP GUDANG'!$A:$CV,MATCH($A29,'[2]PV.STOCK TIAP GUDANG'!$A:$A,0),MATCH("X300PRO|16+512|SALES",[2]PVKEY!$1:$1,0))</f>
        <v>0</v>
      </c>
      <c r="N29" s="12" t="str">
        <f t="shared" si="4"/>
        <v/>
      </c>
      <c r="O29" s="11">
        <f t="shared" si="5"/>
        <v>0</v>
      </c>
      <c r="P29" s="10">
        <f>INDEX('[2]PV.STOCK TIAP GUDANG'!$A:$CV,MATCH($A29,'[2]PV.STOCK TIAP GUDANG'!$A:$A,0),MATCH("X300|12+256|STOCK",[2]PVKEY!$1:$1,0))</f>
        <v>0</v>
      </c>
      <c r="Q29" s="11">
        <f>INDEX('[2]PV.STOCK TIAP GUDANG'!$A:$CV,MATCH($A29,'[2]PV.STOCK TIAP GUDANG'!$A:$A,0),MATCH("X300|12+256|SALES",[2]PVKEY!$1:$1,0))</f>
        <v>0</v>
      </c>
      <c r="R29" s="12" t="str">
        <f t="shared" si="6"/>
        <v/>
      </c>
      <c r="S29" s="10">
        <f>INDEX('[2]PV.STOCK TIAP GUDANG'!$A:$CV,MATCH($A29,'[2]PV.STOCK TIAP GUDANG'!$A:$A,0),MATCH("X300|16+512|STOCK",[2]PVKEY!$1:$1,0))</f>
        <v>0</v>
      </c>
      <c r="T29" s="11">
        <f>INDEX('[2]PV.STOCK TIAP GUDANG'!$A:$CV,MATCH($A29,'[2]PV.STOCK TIAP GUDANG'!$A:$A,0),MATCH("X300|16+512|SALES",[2]PVKEY!$1:$1,0))</f>
        <v>0</v>
      </c>
      <c r="U29" s="12" t="str">
        <f t="shared" si="7"/>
        <v/>
      </c>
      <c r="V29" s="10">
        <f>INDEX('[2]PV.STOCK TIAP GUDANG'!$A:$CV,MATCH($A29,'[2]PV.STOCK TIAP GUDANG'!$A:$A,0),MATCH("Y11D|4+128|STOCK",[2]PVKEY!$1:$1,0))</f>
        <v>2</v>
      </c>
      <c r="W29" s="11">
        <f>INDEX('[2]PV.STOCK TIAP GUDANG'!$A:$CV,MATCH($A29,'[2]PV.STOCK TIAP GUDANG'!$A:$A,0),MATCH("Y11D|4+128|SALES",[2]PVKEY!$1:$1,0))</f>
        <v>1</v>
      </c>
      <c r="X29" s="12">
        <f t="shared" si="8"/>
        <v>54</v>
      </c>
      <c r="Y29" s="11">
        <f t="shared" si="9"/>
        <v>0.18518518518518517</v>
      </c>
      <c r="Z29" s="10">
        <f>INDEX('[2]PV.STOCK TIAP GUDANG'!$A:$CV,MATCH($A29,'[2]PV.STOCK TIAP GUDANG'!$A:$A,0),MATCH("Y11D|4+64|STOCK",[2]PVKEY!$1:$1,0))</f>
        <v>2</v>
      </c>
      <c r="AA29" s="11">
        <f>INDEX('[2]PV.STOCK TIAP GUDANG'!$A:$CV,MATCH($A29,'[2]PV.STOCK TIAP GUDANG'!$A:$A,0),MATCH("Y11D|4+64|SALES",[2]PVKEY!$1:$1,0))</f>
        <v>2</v>
      </c>
      <c r="AB29" s="12">
        <f t="shared" si="10"/>
        <v>27</v>
      </c>
      <c r="AC29" s="11">
        <f t="shared" si="11"/>
        <v>0.37037037037037035</v>
      </c>
      <c r="AD29" s="10">
        <f>INDEX('[2]PV.STOCK TIAP GUDANG'!$A:$CV,MATCH($A29,'[2]PV.STOCK TIAP GUDANG'!$A:$A,0),MATCH("Y11D|6+128|STOCK",[2]PVKEY!$1:$1,0))</f>
        <v>1</v>
      </c>
      <c r="AE29" s="11">
        <f>INDEX('[2]PV.STOCK TIAP GUDANG'!$A:$CV,MATCH($A29,'[2]PV.STOCK TIAP GUDANG'!$A:$A,0),MATCH("Y11D|6+128|SALES",[2]PVKEY!$1:$1,0))</f>
        <v>2</v>
      </c>
      <c r="AF29" s="12">
        <f t="shared" si="12"/>
        <v>13.5</v>
      </c>
      <c r="AG29" s="11">
        <f t="shared" si="13"/>
        <v>0.37037037037037035</v>
      </c>
      <c r="AH29" s="10">
        <f>INDEX('[2]PV.STOCK TIAP GUDANG'!$A:$CV,MATCH($A29,'[2]PV.STOCK TIAP GUDANG'!$A:$A,0),MATCH("Y31D|4+128|STOCK",[2]PVKEY!$1:$1,0))</f>
        <v>4</v>
      </c>
      <c r="AI29" s="11">
        <f>INDEX('[2]PV.STOCK TIAP GUDANG'!$A:$CV,MATCH($A29,'[2]PV.STOCK TIAP GUDANG'!$A:$A,0),MATCH("Y31D|4+128|SALES",[2]PVKEY!$1:$1,0))</f>
        <v>0</v>
      </c>
      <c r="AJ29" s="12" t="str">
        <f t="shared" si="14"/>
        <v/>
      </c>
      <c r="AK29" s="10">
        <f>INDEX('[2]PV.STOCK TIAP GUDANG'!$A:$CV,MATCH($A29,'[2]PV.STOCK TIAP GUDANG'!$A:$A,0),MATCH("Y31DPRO|4+128|STOCK",[2]PVKEY!$1:$1,0))</f>
        <v>1</v>
      </c>
      <c r="AL29" s="11">
        <f>INDEX('[2]PV.STOCK TIAP GUDANG'!$A:$CV,MATCH($A29,'[2]PV.STOCK TIAP GUDANG'!$A:$A,0),MATCH("Y31DPRO|4+128|SALES",[2]PVKEY!$1:$1,0))</f>
        <v>2</v>
      </c>
      <c r="AM29" s="12">
        <f t="shared" si="15"/>
        <v>13.5</v>
      </c>
      <c r="AN29" s="10">
        <f>INDEX('[2]PV.STOCK TIAP GUDANG'!$A:$CV,MATCH($A29,'[2]PV.STOCK TIAP GUDANG'!$A:$A,0),MATCH("Y31DPRO|6+128|STOCK",[2]PVKEY!$1:$1,0))</f>
        <v>2</v>
      </c>
      <c r="AO29" s="11">
        <f>INDEX('[2]PV.STOCK TIAP GUDANG'!$A:$CV,MATCH($A29,'[2]PV.STOCK TIAP GUDANG'!$A:$A,0),MATCH("Y31DPRO|6+128|SALES",[2]PVKEY!$1:$1,0))</f>
        <v>0</v>
      </c>
      <c r="AP29" s="12" t="str">
        <f t="shared" si="16"/>
        <v/>
      </c>
      <c r="AQ29" s="11">
        <f t="shared" si="17"/>
        <v>0</v>
      </c>
      <c r="AR29" s="10">
        <f>INDEX('[2]PV.STOCK TIAP GUDANG'!$A:$CV,MATCH($A29,'[2]PV.STOCK TIAP GUDANG'!$A:$A,0),MATCH("Y31DPRO|8+128|STOCK",[2]PVKEY!$1:$1,0))</f>
        <v>3</v>
      </c>
      <c r="AS29" s="11">
        <f>INDEX('[2]PV.STOCK TIAP GUDANG'!$A:$CV,MATCH($A29,'[2]PV.STOCK TIAP GUDANG'!$A:$A,0),MATCH("Y31DPRO|8+128|SALES",[2]PVKEY!$1:$1,0))</f>
        <v>0</v>
      </c>
      <c r="AT29" s="12" t="str">
        <f t="shared" si="18"/>
        <v/>
      </c>
      <c r="AU29" s="11">
        <f t="shared" si="19"/>
        <v>0</v>
      </c>
      <c r="AV29" s="10">
        <f>INDEX('[2]PV.STOCK TIAP GUDANG'!$A:$CV,MATCH($A29,'[2]PV.STOCK TIAP GUDANG'!$A:$A,0),MATCH("Y31DPRO|8+256|STOCK",[2]PVKEY!$1:$1,0))</f>
        <v>2</v>
      </c>
      <c r="AW29" s="11">
        <f>INDEX('[2]PV.STOCK TIAP GUDANG'!$A:$CV,MATCH($A29,'[2]PV.STOCK TIAP GUDANG'!$A:$A,0),MATCH("Y31DPRO|8+256|SALES",[2]PVKEY!$1:$1,0))</f>
        <v>0</v>
      </c>
      <c r="AX29" s="12" t="str">
        <f t="shared" si="20"/>
        <v/>
      </c>
      <c r="AY29" s="11">
        <f t="shared" si="21"/>
        <v>0</v>
      </c>
      <c r="AZ29" s="10">
        <f>INDEX('[2]PV.STOCK TIAP GUDANG'!$A:$CV,MATCH($A29,'[2]PV.STOCK TIAP GUDANG'!$A:$A,0),MATCH("V70|12+256|STOCK",[2]PVKEY!$1:$1,0))</f>
        <v>0</v>
      </c>
      <c r="BA29" s="11">
        <f>INDEX('[2]PV.STOCK TIAP GUDANG'!$A:$CV,MATCH($A29,'[2]PV.STOCK TIAP GUDANG'!$A:$A,0),MATCH("V70|12+256|SALES",[2]PVKEY!$1:$1,0))</f>
        <v>0</v>
      </c>
      <c r="BB29" s="12" t="str">
        <f t="shared" si="22"/>
        <v/>
      </c>
      <c r="BC29" s="10">
        <f>INDEX('[2]PV.STOCK TIAP GUDANG'!$A:$CV,MATCH($A29,'[2]PV.STOCK TIAP GUDANG'!$A:$A,0),MATCH("V70|8+256|STOCK",[2]PVKEY!$1:$1,0))</f>
        <v>3</v>
      </c>
      <c r="BD29" s="11">
        <f>INDEX('[2]PV.STOCK TIAP GUDANG'!$A:$CV,MATCH($A29,'[2]PV.STOCK TIAP GUDANG'!$A:$A,0),MATCH("V70|8+256|SALES",[2]PVKEY!$1:$1,0))</f>
        <v>2</v>
      </c>
      <c r="BE29" s="12">
        <f t="shared" si="23"/>
        <v>40.5</v>
      </c>
      <c r="BF29" s="11">
        <f t="shared" si="24"/>
        <v>0.59259259259259256</v>
      </c>
      <c r="BG29" s="10">
        <f>INDEX('[2]PV.STOCK TIAP GUDANG'!$A:$CV,MATCH($A29,'[2]PV.STOCK TIAP GUDANG'!$A:$A,0),MATCH("V70|12+512|STOCK",[2]PVKEY!$1:$1,0))</f>
        <v>0</v>
      </c>
      <c r="BH29" s="11">
        <f>INDEX('[2]PV.STOCK TIAP GUDANG'!$A:$CV,MATCH($A29,'[2]PV.STOCK TIAP GUDANG'!$A:$A,0),MATCH("V70|12+512|SALES",[2]PVKEY!$1:$1,0))</f>
        <v>0</v>
      </c>
      <c r="BI29" s="12" t="str">
        <f t="shared" si="25"/>
        <v/>
      </c>
      <c r="BJ29" s="11">
        <f t="shared" si="26"/>
        <v>0</v>
      </c>
      <c r="BK29" s="10">
        <f>INDEX('[2]PV.STOCK TIAP GUDANG'!$A:$CV,MATCH($A29,'[2]PV.STOCK TIAP GUDANG'!$A:$A,0),MATCH("V70FE|8+256|STOCK",[2]PVKEY!$1:$1,0))</f>
        <v>0</v>
      </c>
      <c r="BL29" s="11">
        <f>INDEX('[2]PV.STOCK TIAP GUDANG'!$A:$CV,MATCH($A29,'[2]PV.STOCK TIAP GUDANG'!$A:$A,0),MATCH("V70FE|8+256|SALES",[2]PVKEY!$1:$1,0))</f>
        <v>3</v>
      </c>
      <c r="BM29" s="12">
        <f t="shared" si="27"/>
        <v>0</v>
      </c>
      <c r="BN29" s="11">
        <f t="shared" si="28"/>
        <v>0.88888888888888884</v>
      </c>
      <c r="BO29" s="10">
        <f>INDEX('[2]PV.STOCK TIAP GUDANG'!$A:$CV,MATCH($A29,'[2]PV.STOCK TIAP GUDANG'!$A:$A,0),MATCH("V70FE|12+256|STOCK",[2]PVKEY!$1:$1,0))</f>
        <v>6</v>
      </c>
      <c r="BP29" s="11">
        <f>INDEX('[2]PV.STOCK TIAP GUDANG'!$A:$CV,MATCH($A29,'[2]PV.STOCK TIAP GUDANG'!$A:$A,0),MATCH("V70FE|12+256|SALES",[2]PVKEY!$1:$1,0))</f>
        <v>0</v>
      </c>
      <c r="BQ29" s="12" t="str">
        <f t="shared" si="29"/>
        <v/>
      </c>
      <c r="BR29" s="11">
        <f t="shared" si="30"/>
        <v>0</v>
      </c>
      <c r="BS29" s="10">
        <f>INDEX('[2]PV.STOCK TIAP GUDANG'!$A:$CV,MATCH($A29,'[2]PV.STOCK TIAP GUDANG'!$A:$A,0),MATCH("V60LITE5G|8+256|STOCK",[2]PVKEY!$1:$1,0))</f>
        <v>1</v>
      </c>
      <c r="BT29" s="11">
        <f>INDEX('[2]PV.STOCK TIAP GUDANG'!$A:$CV,MATCH($A29,'[2]PV.STOCK TIAP GUDANG'!$A:$A,0),MATCH("V60LITE5G|8+256|SALES",[2]PVKEY!$1:$1,0))</f>
        <v>0</v>
      </c>
      <c r="BU29" s="12" t="str">
        <f t="shared" si="31"/>
        <v/>
      </c>
      <c r="BV29" s="11">
        <f t="shared" si="32"/>
        <v>0</v>
      </c>
      <c r="BW29" s="10">
        <f>INDEX('[2]PV.STOCK TIAP GUDANG'!$A:$CV,MATCH($A29,'[2]PV.STOCK TIAP GUDANG'!$A:$A,0),MATCH("V60LITE|8+256|STOCK",[2]PVKEY!$1:$1,0))</f>
        <v>2</v>
      </c>
      <c r="BX29" s="11">
        <f>INDEX('[2]PV.STOCK TIAP GUDANG'!$A:$CV,MATCH($A29,'[2]PV.STOCK TIAP GUDANG'!$A:$A,0),MATCH("V60LITE|8+256|SALES",[2]PVKEY!$1:$1,0))</f>
        <v>0</v>
      </c>
      <c r="BY29" s="12" t="str">
        <f t="shared" si="33"/>
        <v/>
      </c>
      <c r="BZ29" s="11">
        <f t="shared" si="34"/>
        <v>0</v>
      </c>
      <c r="CA29" s="10">
        <f>INDEX('[2]PV.STOCK TIAP GUDANG'!$A:$CV,MATCH($A29,'[2]PV.STOCK TIAP GUDANG'!$A:$A,0),MATCH("Y05|4+128|STOCK",[2]PVKEY!$1:$1,0))</f>
        <v>2</v>
      </c>
      <c r="CB29" s="11">
        <f>INDEX('[2]PV.STOCK TIAP GUDANG'!$A:$CV,MATCH($A29,'[2]PV.STOCK TIAP GUDANG'!$A:$A,0),MATCH("Y05|4+128|SALES",[2]PVKEY!$1:$1,0))</f>
        <v>1</v>
      </c>
      <c r="CC29" s="12">
        <f t="shared" si="35"/>
        <v>54</v>
      </c>
      <c r="CD29" s="11">
        <f t="shared" si="44"/>
        <v>0.25925925925925924</v>
      </c>
      <c r="CE29" s="10">
        <f>INDEX('[2]PV.STOCK TIAP GUDANG'!$A:$CV,MATCH($A29,'[2]PV.STOCK TIAP GUDANG'!$A:$A,0),MATCH("Y05|4+64|STOCK",[2]PVKEY!$1:$1,0))</f>
        <v>2</v>
      </c>
      <c r="CF29" s="11">
        <f>INDEX('[2]PV.STOCK TIAP GUDANG'!$A:$CV,MATCH($A29,'[2]PV.STOCK TIAP GUDANG'!$A:$A,0),MATCH("Y05|4+64|SALES",[2]PVKEY!$1:$1,0))</f>
        <v>0</v>
      </c>
      <c r="CG29" s="12" t="str">
        <f t="shared" si="36"/>
        <v/>
      </c>
      <c r="CH29" s="11">
        <f t="shared" si="37"/>
        <v>0</v>
      </c>
      <c r="CI29" s="10">
        <f>INDEX('[2]PV.STOCK TIAP GUDANG'!$A:$CV,MATCH($A29,'[2]PV.STOCK TIAP GUDANG'!$A:$A,0),MATCH("Y500|6+128|STOCK",[2]PVKEY!$1:$1,0))</f>
        <v>4</v>
      </c>
      <c r="CJ29" s="11">
        <f>INDEX('[2]PV.STOCK TIAP GUDANG'!$A:$CV,MATCH($A29,'[2]PV.STOCK TIAP GUDANG'!$A:$A,0),MATCH("Y500|6+128|SALES",[2]PVKEY!$1:$1,0))</f>
        <v>0</v>
      </c>
      <c r="CK29" s="12" t="str">
        <f t="shared" si="38"/>
        <v/>
      </c>
      <c r="CL29" s="10">
        <f>INDEX('[2]PV.STOCK TIAP GUDANG'!$A:$CV,MATCH($A29,'[2]PV.STOCK TIAP GUDANG'!$A:$A,0),MATCH("Y500|6+256|STOCK",[2]PVKEY!$1:$1,0))</f>
        <v>1</v>
      </c>
      <c r="CM29" s="11">
        <f>INDEX('[2]PV.STOCK TIAP GUDANG'!$A:$CV,MATCH($A29,'[2]PV.STOCK TIAP GUDANG'!$A:$A,0),MATCH("Y500|6+256|SALES",[2]PVKEY!$1:$1,0))</f>
        <v>1</v>
      </c>
      <c r="CN29" s="12">
        <f t="shared" si="39"/>
        <v>27</v>
      </c>
      <c r="CO29" s="10">
        <f>INDEX('[2]PV.STOCK TIAP GUDANG'!$A:$CV,MATCH($A29,'[2]PV.STOCK TIAP GUDANG'!$A:$A,0),MATCH("Y05E|4+64|STOCK",[2]PVKEY!$1:$1,0))</f>
        <v>2</v>
      </c>
      <c r="CP29" s="11">
        <f>INDEX('[2]PV.STOCK TIAP GUDANG'!$A:$CV,MATCH($A29,'[2]PV.STOCK TIAP GUDANG'!$A:$A,0),MATCH("Y05E|4+64|SALES",[2]PVKEY!$1:$1,0))</f>
        <v>1</v>
      </c>
      <c r="CQ29" s="12">
        <f t="shared" si="40"/>
        <v>54</v>
      </c>
      <c r="CR29" s="13">
        <f t="shared" si="41"/>
        <v>43</v>
      </c>
      <c r="CS29" s="13">
        <f t="shared" si="42"/>
        <v>15</v>
      </c>
      <c r="CT29" s="13">
        <f t="shared" si="43"/>
        <v>77.399999999999991</v>
      </c>
      <c r="CU29" t="s">
        <v>89</v>
      </c>
    </row>
    <row r="30" spans="1:99" ht="16" x14ac:dyDescent="0.2">
      <c r="A30" s="5" t="s">
        <v>49</v>
      </c>
      <c r="B30" s="10">
        <f>INDEX('[2]PV.STOCK TIAP GUDANG'!$A:$CV,MATCH($A30,'[2]PV.STOCK TIAP GUDANG'!$A:$A,0),MATCH("FOLD5|STOCK",[2]PVKEY!$5:$5,0))</f>
        <v>0</v>
      </c>
      <c r="C30" s="11">
        <f>INDEX('[2]PV.STOCK TIAP GUDANG'!$A:$CV,MATCH($A30,'[2]PV.STOCK TIAP GUDANG'!$A:$A,0),MATCH("FOLD5|SALES",[2]PVKEY!$5:$5,0))</f>
        <v>0</v>
      </c>
      <c r="D30" s="12" t="str">
        <f t="shared" si="0"/>
        <v/>
      </c>
      <c r="E30" s="10">
        <f>INDEX('[2]PV.STOCK TIAP GUDANG'!$A:$CV,MATCH($A30,'[2]PV.STOCK TIAP GUDANG'!$A:$A,0),MATCH("X300ULTRA|16+1T|STOCK",[2]PVKEY!$1:$1,0))</f>
        <v>0</v>
      </c>
      <c r="F30" s="11">
        <f>INDEX('[2]PV.STOCK TIAP GUDANG'!$A:$CV,MATCH($A30,'[2]PV.STOCK TIAP GUDANG'!$A:$A,0),MATCH("X300ULTRA|16+1T|SALES",[2]PVKEY!$1:$1,0))</f>
        <v>0</v>
      </c>
      <c r="G30" s="12" t="str">
        <f t="shared" si="1"/>
        <v/>
      </c>
      <c r="H30" s="10">
        <f>INDEX('[2]PV.STOCK TIAP GUDANG'!$A:$CV,MATCH($A30,'[2]PV.STOCK TIAP GUDANG'!$A:$A,0),MATCH("X300ULTRA|16+512|STOCK",[2]PVKEY!$1:$1,0))</f>
        <v>1</v>
      </c>
      <c r="I30" s="11">
        <f>INDEX('[2]PV.STOCK TIAP GUDANG'!$A:$CV,MATCH($A30,'[2]PV.STOCK TIAP GUDANG'!$A:$A,0),MATCH("X300ULTRA|16+512|SALES",[2]PVKEY!$1:$1,0))</f>
        <v>0</v>
      </c>
      <c r="J30" s="12" t="str">
        <f t="shared" si="2"/>
        <v/>
      </c>
      <c r="K30" s="11">
        <f t="shared" si="3"/>
        <v>0</v>
      </c>
      <c r="L30" s="10">
        <f>INDEX('[2]PV.STOCK TIAP GUDANG'!$A:$CV,MATCH($A30,'[2]PV.STOCK TIAP GUDANG'!$A:$A,0),MATCH("X300PRO|16+512|STOCK",[2]PVKEY!$1:$1,0))</f>
        <v>0</v>
      </c>
      <c r="M30" s="11">
        <f>INDEX('[2]PV.STOCK TIAP GUDANG'!$A:$CV,MATCH($A30,'[2]PV.STOCK TIAP GUDANG'!$A:$A,0),MATCH("X300PRO|16+512|SALES",[2]PVKEY!$1:$1,0))</f>
        <v>0</v>
      </c>
      <c r="N30" s="12" t="str">
        <f t="shared" si="4"/>
        <v/>
      </c>
      <c r="O30" s="11">
        <f t="shared" si="5"/>
        <v>0</v>
      </c>
      <c r="P30" s="10">
        <f>INDEX('[2]PV.STOCK TIAP GUDANG'!$A:$CV,MATCH($A30,'[2]PV.STOCK TIAP GUDANG'!$A:$A,0),MATCH("X300|12+256|STOCK",[2]PVKEY!$1:$1,0))</f>
        <v>0</v>
      </c>
      <c r="Q30" s="11">
        <f>INDEX('[2]PV.STOCK TIAP GUDANG'!$A:$CV,MATCH($A30,'[2]PV.STOCK TIAP GUDANG'!$A:$A,0),MATCH("X300|12+256|SALES",[2]PVKEY!$1:$1,0))</f>
        <v>0</v>
      </c>
      <c r="R30" s="12" t="str">
        <f t="shared" si="6"/>
        <v/>
      </c>
      <c r="S30" s="10">
        <f>INDEX('[2]PV.STOCK TIAP GUDANG'!$A:$CV,MATCH($A30,'[2]PV.STOCK TIAP GUDANG'!$A:$A,0),MATCH("X300|16+512|STOCK",[2]PVKEY!$1:$1,0))</f>
        <v>0</v>
      </c>
      <c r="T30" s="11">
        <f>INDEX('[2]PV.STOCK TIAP GUDANG'!$A:$CV,MATCH($A30,'[2]PV.STOCK TIAP GUDANG'!$A:$A,0),MATCH("X300|16+512|SALES",[2]PVKEY!$1:$1,0))</f>
        <v>0</v>
      </c>
      <c r="U30" s="12" t="str">
        <f t="shared" si="7"/>
        <v/>
      </c>
      <c r="V30" s="10">
        <f>INDEX('[2]PV.STOCK TIAP GUDANG'!$A:$CV,MATCH($A30,'[2]PV.STOCK TIAP GUDANG'!$A:$A,0),MATCH("Y11D|4+128|STOCK",[2]PVKEY!$1:$1,0))</f>
        <v>1</v>
      </c>
      <c r="W30" s="11">
        <f>INDEX('[2]PV.STOCK TIAP GUDANG'!$A:$CV,MATCH($A30,'[2]PV.STOCK TIAP GUDANG'!$A:$A,0),MATCH("Y11D|4+128|SALES",[2]PVKEY!$1:$1,0))</f>
        <v>2</v>
      </c>
      <c r="X30" s="12">
        <f t="shared" si="8"/>
        <v>13.5</v>
      </c>
      <c r="Y30" s="11">
        <f t="shared" si="9"/>
        <v>0.37037037037037035</v>
      </c>
      <c r="Z30" s="10">
        <f>INDEX('[2]PV.STOCK TIAP GUDANG'!$A:$CV,MATCH($A30,'[2]PV.STOCK TIAP GUDANG'!$A:$A,0),MATCH("Y11D|4+64|STOCK",[2]PVKEY!$1:$1,0))</f>
        <v>2</v>
      </c>
      <c r="AA30" s="11">
        <f>INDEX('[2]PV.STOCK TIAP GUDANG'!$A:$CV,MATCH($A30,'[2]PV.STOCK TIAP GUDANG'!$A:$A,0),MATCH("Y11D|4+64|SALES",[2]PVKEY!$1:$1,0))</f>
        <v>0</v>
      </c>
      <c r="AB30" s="12" t="str">
        <f t="shared" si="10"/>
        <v/>
      </c>
      <c r="AC30" s="11">
        <f t="shared" si="11"/>
        <v>0</v>
      </c>
      <c r="AD30" s="10">
        <f>INDEX('[2]PV.STOCK TIAP GUDANG'!$A:$CV,MATCH($A30,'[2]PV.STOCK TIAP GUDANG'!$A:$A,0),MATCH("Y11D|6+128|STOCK",[2]PVKEY!$1:$1,0))</f>
        <v>0</v>
      </c>
      <c r="AE30" s="11">
        <f>INDEX('[2]PV.STOCK TIAP GUDANG'!$A:$CV,MATCH($A30,'[2]PV.STOCK TIAP GUDANG'!$A:$A,0),MATCH("Y11D|6+128|SALES",[2]PVKEY!$1:$1,0))</f>
        <v>0</v>
      </c>
      <c r="AF30" s="12" t="str">
        <f t="shared" si="12"/>
        <v/>
      </c>
      <c r="AG30" s="11">
        <f t="shared" si="13"/>
        <v>0</v>
      </c>
      <c r="AH30" s="10">
        <f>INDEX('[2]PV.STOCK TIAP GUDANG'!$A:$CV,MATCH($A30,'[2]PV.STOCK TIAP GUDANG'!$A:$A,0),MATCH("Y31D|4+128|STOCK",[2]PVKEY!$1:$1,0))</f>
        <v>2</v>
      </c>
      <c r="AI30" s="11">
        <f>INDEX('[2]PV.STOCK TIAP GUDANG'!$A:$CV,MATCH($A30,'[2]PV.STOCK TIAP GUDANG'!$A:$A,0),MATCH("Y31D|4+128|SALES",[2]PVKEY!$1:$1,0))</f>
        <v>1</v>
      </c>
      <c r="AJ30" s="12">
        <f t="shared" si="14"/>
        <v>54</v>
      </c>
      <c r="AK30" s="10">
        <f>INDEX('[2]PV.STOCK TIAP GUDANG'!$A:$CV,MATCH($A30,'[2]PV.STOCK TIAP GUDANG'!$A:$A,0),MATCH("Y31DPRO|4+128|STOCK",[2]PVKEY!$1:$1,0))</f>
        <v>2</v>
      </c>
      <c r="AL30" s="11">
        <f>INDEX('[2]PV.STOCK TIAP GUDANG'!$A:$CV,MATCH($A30,'[2]PV.STOCK TIAP GUDANG'!$A:$A,0),MATCH("Y31DPRO|4+128|SALES",[2]PVKEY!$1:$1,0))</f>
        <v>0</v>
      </c>
      <c r="AM30" s="12" t="str">
        <f t="shared" si="15"/>
        <v/>
      </c>
      <c r="AN30" s="10">
        <f>INDEX('[2]PV.STOCK TIAP GUDANG'!$A:$CV,MATCH($A30,'[2]PV.STOCK TIAP GUDANG'!$A:$A,0),MATCH("Y31DPRO|6+128|STOCK",[2]PVKEY!$1:$1,0))</f>
        <v>2</v>
      </c>
      <c r="AO30" s="11">
        <f>INDEX('[2]PV.STOCK TIAP GUDANG'!$A:$CV,MATCH($A30,'[2]PV.STOCK TIAP GUDANG'!$A:$A,0),MATCH("Y31DPRO|6+128|SALES",[2]PVKEY!$1:$1,0))</f>
        <v>1</v>
      </c>
      <c r="AP30" s="12">
        <f t="shared" si="16"/>
        <v>54</v>
      </c>
      <c r="AQ30" s="11">
        <f t="shared" si="17"/>
        <v>0.18518518518518517</v>
      </c>
      <c r="AR30" s="10">
        <f>INDEX('[2]PV.STOCK TIAP GUDANG'!$A:$CV,MATCH($A30,'[2]PV.STOCK TIAP GUDANG'!$A:$A,0),MATCH("Y31DPRO|8+128|STOCK",[2]PVKEY!$1:$1,0))</f>
        <v>2</v>
      </c>
      <c r="AS30" s="11">
        <f>INDEX('[2]PV.STOCK TIAP GUDANG'!$A:$CV,MATCH($A30,'[2]PV.STOCK TIAP GUDANG'!$A:$A,0),MATCH("Y31DPRO|8+128|SALES",[2]PVKEY!$1:$1,0))</f>
        <v>0</v>
      </c>
      <c r="AT30" s="12" t="str">
        <f t="shared" si="18"/>
        <v/>
      </c>
      <c r="AU30" s="11">
        <f t="shared" si="19"/>
        <v>0</v>
      </c>
      <c r="AV30" s="10">
        <f>INDEX('[2]PV.STOCK TIAP GUDANG'!$A:$CV,MATCH($A30,'[2]PV.STOCK TIAP GUDANG'!$A:$A,0),MATCH("Y31DPRO|8+256|STOCK",[2]PVKEY!$1:$1,0))</f>
        <v>2</v>
      </c>
      <c r="AW30" s="11">
        <f>INDEX('[2]PV.STOCK TIAP GUDANG'!$A:$CV,MATCH($A30,'[2]PV.STOCK TIAP GUDANG'!$A:$A,0),MATCH("Y31DPRO|8+256|SALES",[2]PVKEY!$1:$1,0))</f>
        <v>0</v>
      </c>
      <c r="AX30" s="12" t="str">
        <f t="shared" si="20"/>
        <v/>
      </c>
      <c r="AY30" s="11">
        <f t="shared" si="21"/>
        <v>0</v>
      </c>
      <c r="AZ30" s="10">
        <f>INDEX('[2]PV.STOCK TIAP GUDANG'!$A:$CV,MATCH($A30,'[2]PV.STOCK TIAP GUDANG'!$A:$A,0),MATCH("V70|12+256|STOCK",[2]PVKEY!$1:$1,0))</f>
        <v>0</v>
      </c>
      <c r="BA30" s="11">
        <f>INDEX('[2]PV.STOCK TIAP GUDANG'!$A:$CV,MATCH($A30,'[2]PV.STOCK TIAP GUDANG'!$A:$A,0),MATCH("V70|12+256|SALES",[2]PVKEY!$1:$1,0))</f>
        <v>0</v>
      </c>
      <c r="BB30" s="12" t="str">
        <f t="shared" si="22"/>
        <v/>
      </c>
      <c r="BC30" s="10">
        <f>INDEX('[2]PV.STOCK TIAP GUDANG'!$A:$CV,MATCH($A30,'[2]PV.STOCK TIAP GUDANG'!$A:$A,0),MATCH("V70|8+256|STOCK",[2]PVKEY!$1:$1,0))</f>
        <v>1</v>
      </c>
      <c r="BD30" s="11">
        <f>INDEX('[2]PV.STOCK TIAP GUDANG'!$A:$CV,MATCH($A30,'[2]PV.STOCK TIAP GUDANG'!$A:$A,0),MATCH("V70|8+256|SALES",[2]PVKEY!$1:$1,0))</f>
        <v>1</v>
      </c>
      <c r="BE30" s="12">
        <f t="shared" si="23"/>
        <v>27</v>
      </c>
      <c r="BF30" s="11">
        <f t="shared" si="24"/>
        <v>0.29629629629629628</v>
      </c>
      <c r="BG30" s="10">
        <f>INDEX('[2]PV.STOCK TIAP GUDANG'!$A:$CV,MATCH($A30,'[2]PV.STOCK TIAP GUDANG'!$A:$A,0),MATCH("V70|12+512|STOCK",[2]PVKEY!$1:$1,0))</f>
        <v>0</v>
      </c>
      <c r="BH30" s="11">
        <f>INDEX('[2]PV.STOCK TIAP GUDANG'!$A:$CV,MATCH($A30,'[2]PV.STOCK TIAP GUDANG'!$A:$A,0),MATCH("V70|12+512|SALES",[2]PVKEY!$1:$1,0))</f>
        <v>0</v>
      </c>
      <c r="BI30" s="12" t="str">
        <f t="shared" si="25"/>
        <v/>
      </c>
      <c r="BJ30" s="11">
        <f t="shared" si="26"/>
        <v>0</v>
      </c>
      <c r="BK30" s="10">
        <f>INDEX('[2]PV.STOCK TIAP GUDANG'!$A:$CV,MATCH($A30,'[2]PV.STOCK TIAP GUDANG'!$A:$A,0),MATCH("V70FE|8+256|STOCK",[2]PVKEY!$1:$1,0))</f>
        <v>1</v>
      </c>
      <c r="BL30" s="11">
        <f>INDEX('[2]PV.STOCK TIAP GUDANG'!$A:$CV,MATCH($A30,'[2]PV.STOCK TIAP GUDANG'!$A:$A,0),MATCH("V70FE|8+256|SALES",[2]PVKEY!$1:$1,0))</f>
        <v>0</v>
      </c>
      <c r="BM30" s="12" t="str">
        <f t="shared" si="27"/>
        <v/>
      </c>
      <c r="BN30" s="11">
        <f t="shared" si="28"/>
        <v>0</v>
      </c>
      <c r="BO30" s="10">
        <f>INDEX('[2]PV.STOCK TIAP GUDANG'!$A:$CV,MATCH($A30,'[2]PV.STOCK TIAP GUDANG'!$A:$A,0),MATCH("V70FE|12+256|STOCK",[2]PVKEY!$1:$1,0))</f>
        <v>0</v>
      </c>
      <c r="BP30" s="11">
        <f>INDEX('[2]PV.STOCK TIAP GUDANG'!$A:$CV,MATCH($A30,'[2]PV.STOCK TIAP GUDANG'!$A:$A,0),MATCH("V70FE|12+256|SALES",[2]PVKEY!$1:$1,0))</f>
        <v>0</v>
      </c>
      <c r="BQ30" s="12" t="str">
        <f t="shared" si="29"/>
        <v/>
      </c>
      <c r="BR30" s="11">
        <f t="shared" si="30"/>
        <v>0</v>
      </c>
      <c r="BS30" s="10">
        <f>INDEX('[2]PV.STOCK TIAP GUDANG'!$A:$CV,MATCH($A30,'[2]PV.STOCK TIAP GUDANG'!$A:$A,0),MATCH("V60LITE5G|8+256|STOCK",[2]PVKEY!$1:$1,0))</f>
        <v>0</v>
      </c>
      <c r="BT30" s="11">
        <f>INDEX('[2]PV.STOCK TIAP GUDANG'!$A:$CV,MATCH($A30,'[2]PV.STOCK TIAP GUDANG'!$A:$A,0),MATCH("V60LITE5G|8+256|SALES",[2]PVKEY!$1:$1,0))</f>
        <v>0</v>
      </c>
      <c r="BU30" s="12" t="str">
        <f t="shared" si="31"/>
        <v/>
      </c>
      <c r="BV30" s="11">
        <f t="shared" si="32"/>
        <v>0</v>
      </c>
      <c r="BW30" s="10">
        <f>INDEX('[2]PV.STOCK TIAP GUDANG'!$A:$CV,MATCH($A30,'[2]PV.STOCK TIAP GUDANG'!$A:$A,0),MATCH("V60LITE|8+256|STOCK",[2]PVKEY!$1:$1,0))</f>
        <v>1</v>
      </c>
      <c r="BX30" s="11">
        <f>INDEX('[2]PV.STOCK TIAP GUDANG'!$A:$CV,MATCH($A30,'[2]PV.STOCK TIAP GUDANG'!$A:$A,0),MATCH("V60LITE|8+256|SALES",[2]PVKEY!$1:$1,0))</f>
        <v>3</v>
      </c>
      <c r="BY30" s="12">
        <f t="shared" si="33"/>
        <v>9</v>
      </c>
      <c r="BZ30" s="11">
        <f t="shared" si="34"/>
        <v>0.88888888888888884</v>
      </c>
      <c r="CA30" s="10">
        <f>INDEX('[2]PV.STOCK TIAP GUDANG'!$A:$CV,MATCH($A30,'[2]PV.STOCK TIAP GUDANG'!$A:$A,0),MATCH("Y05|4+128|STOCK",[2]PVKEY!$1:$1,0))</f>
        <v>2</v>
      </c>
      <c r="CB30" s="11">
        <f>INDEX('[2]PV.STOCK TIAP GUDANG'!$A:$CV,MATCH($A30,'[2]PV.STOCK TIAP GUDANG'!$A:$A,0),MATCH("Y05|4+128|SALES",[2]PVKEY!$1:$1,0))</f>
        <v>0</v>
      </c>
      <c r="CC30" s="12" t="str">
        <f t="shared" si="35"/>
        <v/>
      </c>
      <c r="CD30" s="11">
        <f t="shared" si="44"/>
        <v>0</v>
      </c>
      <c r="CE30" s="10">
        <f>INDEX('[2]PV.STOCK TIAP GUDANG'!$A:$CV,MATCH($A30,'[2]PV.STOCK TIAP GUDANG'!$A:$A,0),MATCH("Y05|4+64|STOCK",[2]PVKEY!$1:$1,0))</f>
        <v>2</v>
      </c>
      <c r="CF30" s="11">
        <f>INDEX('[2]PV.STOCK TIAP GUDANG'!$A:$CV,MATCH($A30,'[2]PV.STOCK TIAP GUDANG'!$A:$A,0),MATCH("Y05|4+64|SALES",[2]PVKEY!$1:$1,0))</f>
        <v>0</v>
      </c>
      <c r="CG30" s="12" t="str">
        <f t="shared" si="36"/>
        <v/>
      </c>
      <c r="CH30" s="11">
        <f t="shared" si="37"/>
        <v>0</v>
      </c>
      <c r="CI30" s="10">
        <f>INDEX('[2]PV.STOCK TIAP GUDANG'!$A:$CV,MATCH($A30,'[2]PV.STOCK TIAP GUDANG'!$A:$A,0),MATCH("Y500|6+128|STOCK",[2]PVKEY!$1:$1,0))</f>
        <v>2</v>
      </c>
      <c r="CJ30" s="11">
        <f>INDEX('[2]PV.STOCK TIAP GUDANG'!$A:$CV,MATCH($A30,'[2]PV.STOCK TIAP GUDANG'!$A:$A,0),MATCH("Y500|6+128|SALES",[2]PVKEY!$1:$1,0))</f>
        <v>0</v>
      </c>
      <c r="CK30" s="12" t="str">
        <f t="shared" si="38"/>
        <v/>
      </c>
      <c r="CL30" s="10">
        <f>INDEX('[2]PV.STOCK TIAP GUDANG'!$A:$CV,MATCH($A30,'[2]PV.STOCK TIAP GUDANG'!$A:$A,0),MATCH("Y500|6+256|STOCK",[2]PVKEY!$1:$1,0))</f>
        <v>2</v>
      </c>
      <c r="CM30" s="11">
        <f>INDEX('[2]PV.STOCK TIAP GUDANG'!$A:$CV,MATCH($A30,'[2]PV.STOCK TIAP GUDANG'!$A:$A,0),MATCH("Y500|6+256|SALES",[2]PVKEY!$1:$1,0))</f>
        <v>0</v>
      </c>
      <c r="CN30" s="12" t="str">
        <f t="shared" si="39"/>
        <v/>
      </c>
      <c r="CO30" s="10">
        <f>INDEX('[2]PV.STOCK TIAP GUDANG'!$A:$CV,MATCH($A30,'[2]PV.STOCK TIAP GUDANG'!$A:$A,0),MATCH("Y05E|4+64|STOCK",[2]PVKEY!$1:$1,0))</f>
        <v>2</v>
      </c>
      <c r="CP30" s="11">
        <f>INDEX('[2]PV.STOCK TIAP GUDANG'!$A:$CV,MATCH($A30,'[2]PV.STOCK TIAP GUDANG'!$A:$A,0),MATCH("Y05E|4+64|SALES",[2]PVKEY!$1:$1,0))</f>
        <v>0</v>
      </c>
      <c r="CQ30" s="12" t="str">
        <f t="shared" si="40"/>
        <v/>
      </c>
      <c r="CR30" s="13">
        <f t="shared" si="41"/>
        <v>27</v>
      </c>
      <c r="CS30" s="13">
        <f t="shared" si="42"/>
        <v>8</v>
      </c>
      <c r="CT30" s="13">
        <f t="shared" si="43"/>
        <v>91.125</v>
      </c>
      <c r="CU30" s="26" t="s">
        <v>91</v>
      </c>
    </row>
    <row r="31" spans="1:99" ht="15" x14ac:dyDescent="0.15">
      <c r="A31" s="9" t="s">
        <v>45</v>
      </c>
      <c r="B31" s="10">
        <f>INDEX('[2]PV.STOCK TIAP GUDANG'!$A:$CV,MATCH($A31,'[2]PV.STOCK TIAP GUDANG'!$A:$A,0),MATCH("FOLD5|STOCK",[2]PVKEY!$5:$5,0))</f>
        <v>0</v>
      </c>
      <c r="C31" s="11">
        <f>INDEX('[2]PV.STOCK TIAP GUDANG'!$A:$CV,MATCH($A31,'[2]PV.STOCK TIAP GUDANG'!$A:$A,0),MATCH("FOLD5|SALES",[2]PVKEY!$5:$5,0))</f>
        <v>0</v>
      </c>
      <c r="D31" s="12" t="str">
        <f t="shared" si="0"/>
        <v/>
      </c>
      <c r="E31" s="10">
        <f>INDEX('[2]PV.STOCK TIAP GUDANG'!$A:$CV,MATCH($A31,'[2]PV.STOCK TIAP GUDANG'!$A:$A,0),MATCH("X300ULTRA|16+1T|STOCK",[2]PVKEY!$1:$1,0))</f>
        <v>0</v>
      </c>
      <c r="F31" s="11">
        <f>INDEX('[2]PV.STOCK TIAP GUDANG'!$A:$CV,MATCH($A31,'[2]PV.STOCK TIAP GUDANG'!$A:$A,0),MATCH("X300ULTRA|16+1T|SALES",[2]PVKEY!$1:$1,0))</f>
        <v>0</v>
      </c>
      <c r="G31" s="12" t="str">
        <f t="shared" si="1"/>
        <v/>
      </c>
      <c r="H31" s="10">
        <f>INDEX('[2]PV.STOCK TIAP GUDANG'!$A:$CV,MATCH($A31,'[2]PV.STOCK TIAP GUDANG'!$A:$A,0),MATCH("X300ULTRA|16+512|STOCK",[2]PVKEY!$1:$1,0))</f>
        <v>1</v>
      </c>
      <c r="I31" s="11">
        <f>INDEX('[2]PV.STOCK TIAP GUDANG'!$A:$CV,MATCH($A31,'[2]PV.STOCK TIAP GUDANG'!$A:$A,0),MATCH("X300ULTRA|16+512|SALES",[2]PVKEY!$1:$1,0))</f>
        <v>1</v>
      </c>
      <c r="J31" s="12">
        <f t="shared" si="2"/>
        <v>27</v>
      </c>
      <c r="K31" s="11">
        <f t="shared" si="3"/>
        <v>0.37037037037037035</v>
      </c>
      <c r="L31" s="10">
        <f>INDEX('[2]PV.STOCK TIAP GUDANG'!$A:$CV,MATCH($A31,'[2]PV.STOCK TIAP GUDANG'!$A:$A,0),MATCH("X300PRO|16+512|STOCK",[2]PVKEY!$1:$1,0))</f>
        <v>0</v>
      </c>
      <c r="M31" s="11">
        <f>INDEX('[2]PV.STOCK TIAP GUDANG'!$A:$CV,MATCH($A31,'[2]PV.STOCK TIAP GUDANG'!$A:$A,0),MATCH("X300PRO|16+512|SALES",[2]PVKEY!$1:$1,0))</f>
        <v>0</v>
      </c>
      <c r="N31" s="12" t="str">
        <f t="shared" si="4"/>
        <v/>
      </c>
      <c r="O31" s="11">
        <f t="shared" si="5"/>
        <v>0</v>
      </c>
      <c r="P31" s="10">
        <f>INDEX('[2]PV.STOCK TIAP GUDANG'!$A:$CV,MATCH($A31,'[2]PV.STOCK TIAP GUDANG'!$A:$A,0),MATCH("X300|12+256|STOCK",[2]PVKEY!$1:$1,0))</f>
        <v>0</v>
      </c>
      <c r="Q31" s="11">
        <f>INDEX('[2]PV.STOCK TIAP GUDANG'!$A:$CV,MATCH($A31,'[2]PV.STOCK TIAP GUDANG'!$A:$A,0),MATCH("X300|12+256|SALES",[2]PVKEY!$1:$1,0))</f>
        <v>0</v>
      </c>
      <c r="R31" s="12" t="str">
        <f t="shared" si="6"/>
        <v/>
      </c>
      <c r="S31" s="10">
        <f>INDEX('[2]PV.STOCK TIAP GUDANG'!$A:$CV,MATCH($A31,'[2]PV.STOCK TIAP GUDANG'!$A:$A,0),MATCH("X300|16+512|STOCK",[2]PVKEY!$1:$1,0))</f>
        <v>0</v>
      </c>
      <c r="T31" s="11">
        <f>INDEX('[2]PV.STOCK TIAP GUDANG'!$A:$CV,MATCH($A31,'[2]PV.STOCK TIAP GUDANG'!$A:$A,0),MATCH("X300|16+512|SALES",[2]PVKEY!$1:$1,0))</f>
        <v>0</v>
      </c>
      <c r="U31" s="12" t="str">
        <f t="shared" si="7"/>
        <v/>
      </c>
      <c r="V31" s="10">
        <f>INDEX('[2]PV.STOCK TIAP GUDANG'!$A:$CV,MATCH($A31,'[2]PV.STOCK TIAP GUDANG'!$A:$A,0),MATCH("Y11D|4+128|STOCK",[2]PVKEY!$1:$1,0))</f>
        <v>2</v>
      </c>
      <c r="W31" s="11">
        <f>INDEX('[2]PV.STOCK TIAP GUDANG'!$A:$CV,MATCH($A31,'[2]PV.STOCK TIAP GUDANG'!$A:$A,0),MATCH("Y11D|4+128|SALES",[2]PVKEY!$1:$1,0))</f>
        <v>3</v>
      </c>
      <c r="X31" s="12">
        <f t="shared" si="8"/>
        <v>18</v>
      </c>
      <c r="Y31" s="11">
        <f t="shared" si="9"/>
        <v>0.55555555555555558</v>
      </c>
      <c r="Z31" s="10">
        <f>INDEX('[2]PV.STOCK TIAP GUDANG'!$A:$CV,MATCH($A31,'[2]PV.STOCK TIAP GUDANG'!$A:$A,0),MATCH("Y11D|4+64|STOCK",[2]PVKEY!$1:$1,0))</f>
        <v>4</v>
      </c>
      <c r="AA31" s="11">
        <f>INDEX('[2]PV.STOCK TIAP GUDANG'!$A:$CV,MATCH($A31,'[2]PV.STOCK TIAP GUDANG'!$A:$A,0),MATCH("Y11D|4+64|SALES",[2]PVKEY!$1:$1,0))</f>
        <v>1</v>
      </c>
      <c r="AB31" s="12">
        <f t="shared" si="10"/>
        <v>108</v>
      </c>
      <c r="AC31" s="11">
        <f t="shared" si="11"/>
        <v>0.18518518518518517</v>
      </c>
      <c r="AD31" s="10">
        <f>INDEX('[2]PV.STOCK TIAP GUDANG'!$A:$CV,MATCH($A31,'[2]PV.STOCK TIAP GUDANG'!$A:$A,0),MATCH("Y11D|6+128|STOCK",[2]PVKEY!$1:$1,0))</f>
        <v>0</v>
      </c>
      <c r="AE31" s="11">
        <f>INDEX('[2]PV.STOCK TIAP GUDANG'!$A:$CV,MATCH($A31,'[2]PV.STOCK TIAP GUDANG'!$A:$A,0),MATCH("Y11D|6+128|SALES",[2]PVKEY!$1:$1,0))</f>
        <v>2</v>
      </c>
      <c r="AF31" s="12">
        <f t="shared" si="12"/>
        <v>0</v>
      </c>
      <c r="AG31" s="11">
        <f t="shared" si="13"/>
        <v>0.37037037037037035</v>
      </c>
      <c r="AH31" s="10">
        <f>INDEX('[2]PV.STOCK TIAP GUDANG'!$A:$CV,MATCH($A31,'[2]PV.STOCK TIAP GUDANG'!$A:$A,0),MATCH("Y31D|4+128|STOCK",[2]PVKEY!$1:$1,0))</f>
        <v>2</v>
      </c>
      <c r="AI31" s="11">
        <f>INDEX('[2]PV.STOCK TIAP GUDANG'!$A:$CV,MATCH($A31,'[2]PV.STOCK TIAP GUDANG'!$A:$A,0),MATCH("Y31D|4+128|SALES",[2]PVKEY!$1:$1,0))</f>
        <v>1</v>
      </c>
      <c r="AJ31" s="12">
        <f t="shared" si="14"/>
        <v>54</v>
      </c>
      <c r="AK31" s="10">
        <f>INDEX('[2]PV.STOCK TIAP GUDANG'!$A:$CV,MATCH($A31,'[2]PV.STOCK TIAP GUDANG'!$A:$A,0),MATCH("Y31DPRO|4+128|STOCK",[2]PVKEY!$1:$1,0))</f>
        <v>3</v>
      </c>
      <c r="AL31" s="11">
        <f>INDEX('[2]PV.STOCK TIAP GUDANG'!$A:$CV,MATCH($A31,'[2]PV.STOCK TIAP GUDANG'!$A:$A,0),MATCH("Y31DPRO|4+128|SALES",[2]PVKEY!$1:$1,0))</f>
        <v>1</v>
      </c>
      <c r="AM31" s="12">
        <f t="shared" si="15"/>
        <v>81</v>
      </c>
      <c r="AN31" s="10">
        <f>INDEX('[2]PV.STOCK TIAP GUDANG'!$A:$CV,MATCH($A31,'[2]PV.STOCK TIAP GUDANG'!$A:$A,0),MATCH("Y31DPRO|6+128|STOCK",[2]PVKEY!$1:$1,0))</f>
        <v>4</v>
      </c>
      <c r="AO31" s="11">
        <f>INDEX('[2]PV.STOCK TIAP GUDANG'!$A:$CV,MATCH($A31,'[2]PV.STOCK TIAP GUDANG'!$A:$A,0),MATCH("Y31DPRO|6+128|SALES",[2]PVKEY!$1:$1,0))</f>
        <v>0</v>
      </c>
      <c r="AP31" s="12" t="str">
        <f t="shared" si="16"/>
        <v/>
      </c>
      <c r="AQ31" s="11">
        <f t="shared" si="17"/>
        <v>0</v>
      </c>
      <c r="AR31" s="10">
        <f>INDEX('[2]PV.STOCK TIAP GUDANG'!$A:$CV,MATCH($A31,'[2]PV.STOCK TIAP GUDANG'!$A:$A,0),MATCH("Y31DPRO|8+128|STOCK",[2]PVKEY!$1:$1,0))</f>
        <v>2</v>
      </c>
      <c r="AS31" s="11">
        <f>INDEX('[2]PV.STOCK TIAP GUDANG'!$A:$CV,MATCH($A31,'[2]PV.STOCK TIAP GUDANG'!$A:$A,0),MATCH("Y31DPRO|8+128|SALES",[2]PVKEY!$1:$1,0))</f>
        <v>0</v>
      </c>
      <c r="AT31" s="12" t="str">
        <f t="shared" si="18"/>
        <v/>
      </c>
      <c r="AU31" s="11">
        <f t="shared" si="19"/>
        <v>0</v>
      </c>
      <c r="AV31" s="10">
        <f>INDEX('[2]PV.STOCK TIAP GUDANG'!$A:$CV,MATCH($A31,'[2]PV.STOCK TIAP GUDANG'!$A:$A,0),MATCH("Y31DPRO|8+256|STOCK",[2]PVKEY!$1:$1,0))</f>
        <v>2</v>
      </c>
      <c r="AW31" s="11">
        <f>INDEX('[2]PV.STOCK TIAP GUDANG'!$A:$CV,MATCH($A31,'[2]PV.STOCK TIAP GUDANG'!$A:$A,0),MATCH("Y31DPRO|8+256|SALES",[2]PVKEY!$1:$1,0))</f>
        <v>0</v>
      </c>
      <c r="AX31" s="12" t="str">
        <f t="shared" si="20"/>
        <v/>
      </c>
      <c r="AY31" s="11">
        <f t="shared" si="21"/>
        <v>0</v>
      </c>
      <c r="AZ31" s="10">
        <f>INDEX('[2]PV.STOCK TIAP GUDANG'!$A:$CV,MATCH($A31,'[2]PV.STOCK TIAP GUDANG'!$A:$A,0),MATCH("V70|12+256|STOCK",[2]PVKEY!$1:$1,0))</f>
        <v>0</v>
      </c>
      <c r="BA31" s="11">
        <f>INDEX('[2]PV.STOCK TIAP GUDANG'!$A:$CV,MATCH($A31,'[2]PV.STOCK TIAP GUDANG'!$A:$A,0),MATCH("V70|12+256|SALES",[2]PVKEY!$1:$1,0))</f>
        <v>2</v>
      </c>
      <c r="BB31" s="12">
        <f t="shared" si="22"/>
        <v>0</v>
      </c>
      <c r="BC31" s="10">
        <f>INDEX('[2]PV.STOCK TIAP GUDANG'!$A:$CV,MATCH($A31,'[2]PV.STOCK TIAP GUDANG'!$A:$A,0),MATCH("V70|8+256|STOCK",[2]PVKEY!$1:$1,0))</f>
        <v>3</v>
      </c>
      <c r="BD31" s="11">
        <f>INDEX('[2]PV.STOCK TIAP GUDANG'!$A:$CV,MATCH($A31,'[2]PV.STOCK TIAP GUDANG'!$A:$A,0),MATCH("V70|8+256|SALES",[2]PVKEY!$1:$1,0))</f>
        <v>3</v>
      </c>
      <c r="BE31" s="12">
        <f t="shared" si="23"/>
        <v>27</v>
      </c>
      <c r="BF31" s="11">
        <f t="shared" si="24"/>
        <v>0.88888888888888884</v>
      </c>
      <c r="BG31" s="10">
        <f>INDEX('[2]PV.STOCK TIAP GUDANG'!$A:$CV,MATCH($A31,'[2]PV.STOCK TIAP GUDANG'!$A:$A,0),MATCH("V70|12+512|STOCK",[2]PVKEY!$1:$1,0))</f>
        <v>0</v>
      </c>
      <c r="BH31" s="11">
        <f>INDEX('[2]PV.STOCK TIAP GUDANG'!$A:$CV,MATCH($A31,'[2]PV.STOCK TIAP GUDANG'!$A:$A,0),MATCH("V70|12+512|SALES",[2]PVKEY!$1:$1,0))</f>
        <v>0</v>
      </c>
      <c r="BI31" s="12" t="str">
        <f t="shared" si="25"/>
        <v/>
      </c>
      <c r="BJ31" s="11">
        <f t="shared" si="26"/>
        <v>0</v>
      </c>
      <c r="BK31" s="10">
        <f>INDEX('[2]PV.STOCK TIAP GUDANG'!$A:$CV,MATCH($A31,'[2]PV.STOCK TIAP GUDANG'!$A:$A,0),MATCH("V70FE|8+256|STOCK",[2]PVKEY!$1:$1,0))</f>
        <v>1</v>
      </c>
      <c r="BL31" s="11">
        <f>INDEX('[2]PV.STOCK TIAP GUDANG'!$A:$CV,MATCH($A31,'[2]PV.STOCK TIAP GUDANG'!$A:$A,0),MATCH("V70FE|8+256|SALES",[2]PVKEY!$1:$1,0))</f>
        <v>1</v>
      </c>
      <c r="BM31" s="12">
        <f t="shared" si="27"/>
        <v>27</v>
      </c>
      <c r="BN31" s="11">
        <f t="shared" si="28"/>
        <v>0.29629629629629628</v>
      </c>
      <c r="BO31" s="10">
        <f>INDEX('[2]PV.STOCK TIAP GUDANG'!$A:$CV,MATCH($A31,'[2]PV.STOCK TIAP GUDANG'!$A:$A,0),MATCH("V70FE|12+256|STOCK",[2]PVKEY!$1:$1,0))</f>
        <v>1</v>
      </c>
      <c r="BP31" s="11">
        <f>INDEX('[2]PV.STOCK TIAP GUDANG'!$A:$CV,MATCH($A31,'[2]PV.STOCK TIAP GUDANG'!$A:$A,0),MATCH("V70FE|12+256|SALES",[2]PVKEY!$1:$1,0))</f>
        <v>1</v>
      </c>
      <c r="BQ31" s="12">
        <f t="shared" si="29"/>
        <v>27</v>
      </c>
      <c r="BR31" s="11">
        <f t="shared" si="30"/>
        <v>0.29629629629629628</v>
      </c>
      <c r="BS31" s="10">
        <f>INDEX('[2]PV.STOCK TIAP GUDANG'!$A:$CV,MATCH($A31,'[2]PV.STOCK TIAP GUDANG'!$A:$A,0),MATCH("V60LITE5G|8+256|STOCK",[2]PVKEY!$1:$1,0))</f>
        <v>0</v>
      </c>
      <c r="BT31" s="11">
        <f>INDEX('[2]PV.STOCK TIAP GUDANG'!$A:$CV,MATCH($A31,'[2]PV.STOCK TIAP GUDANG'!$A:$A,0),MATCH("V60LITE5G|8+256|SALES",[2]PVKEY!$1:$1,0))</f>
        <v>0</v>
      </c>
      <c r="BU31" s="12" t="str">
        <f t="shared" si="31"/>
        <v/>
      </c>
      <c r="BV31" s="11">
        <f t="shared" si="32"/>
        <v>0</v>
      </c>
      <c r="BW31" s="10">
        <f>INDEX('[2]PV.STOCK TIAP GUDANG'!$A:$CV,MATCH($A31,'[2]PV.STOCK TIAP GUDANG'!$A:$A,0),MATCH("V60LITE|8+256|STOCK",[2]PVKEY!$1:$1,0))</f>
        <v>2</v>
      </c>
      <c r="BX31" s="11">
        <f>INDEX('[2]PV.STOCK TIAP GUDANG'!$A:$CV,MATCH($A31,'[2]PV.STOCK TIAP GUDANG'!$A:$A,0),MATCH("V60LITE|8+256|SALES",[2]PVKEY!$1:$1,0))</f>
        <v>1</v>
      </c>
      <c r="BY31" s="12">
        <f t="shared" si="33"/>
        <v>54</v>
      </c>
      <c r="BZ31" s="11">
        <f t="shared" si="34"/>
        <v>0.29629629629629628</v>
      </c>
      <c r="CA31" s="10">
        <f>INDEX('[2]PV.STOCK TIAP GUDANG'!$A:$CV,MATCH($A31,'[2]PV.STOCK TIAP GUDANG'!$A:$A,0),MATCH("Y05|4+128|STOCK",[2]PVKEY!$1:$1,0))</f>
        <v>1</v>
      </c>
      <c r="CB31" s="11">
        <f>INDEX('[2]PV.STOCK TIAP GUDANG'!$A:$CV,MATCH($A31,'[2]PV.STOCK TIAP GUDANG'!$A:$A,0),MATCH("Y05|4+128|SALES",[2]PVKEY!$1:$1,0))</f>
        <v>4</v>
      </c>
      <c r="CC31" s="12">
        <f t="shared" si="35"/>
        <v>6.8</v>
      </c>
      <c r="CD31" s="11">
        <f t="shared" si="44"/>
        <v>1.037037037037037</v>
      </c>
      <c r="CE31" s="10">
        <f>INDEX('[2]PV.STOCK TIAP GUDANG'!$A:$CV,MATCH($A31,'[2]PV.STOCK TIAP GUDANG'!$A:$A,0),MATCH("Y05|4+64|STOCK",[2]PVKEY!$1:$1,0))</f>
        <v>4</v>
      </c>
      <c r="CF31" s="11">
        <f>INDEX('[2]PV.STOCK TIAP GUDANG'!$A:$CV,MATCH($A31,'[2]PV.STOCK TIAP GUDANG'!$A:$A,0),MATCH("Y05|4+64|SALES",[2]PVKEY!$1:$1,0))</f>
        <v>6</v>
      </c>
      <c r="CG31" s="12">
        <f t="shared" si="36"/>
        <v>18</v>
      </c>
      <c r="CH31" s="11">
        <f t="shared" si="37"/>
        <v>1.5555555555555554</v>
      </c>
      <c r="CI31" s="10">
        <f>INDEX('[2]PV.STOCK TIAP GUDANG'!$A:$CV,MATCH($A31,'[2]PV.STOCK TIAP GUDANG'!$A:$A,0),MATCH("Y500|6+128|STOCK",[2]PVKEY!$1:$1,0))</f>
        <v>1</v>
      </c>
      <c r="CJ31" s="11">
        <f>INDEX('[2]PV.STOCK TIAP GUDANG'!$A:$CV,MATCH($A31,'[2]PV.STOCK TIAP GUDANG'!$A:$A,0),MATCH("Y500|6+128|SALES",[2]PVKEY!$1:$1,0))</f>
        <v>1</v>
      </c>
      <c r="CK31" s="12">
        <f t="shared" si="38"/>
        <v>27</v>
      </c>
      <c r="CL31" s="10">
        <f>INDEX('[2]PV.STOCK TIAP GUDANG'!$A:$CV,MATCH($A31,'[2]PV.STOCK TIAP GUDANG'!$A:$A,0),MATCH("Y500|6+256|STOCK",[2]PVKEY!$1:$1,0))</f>
        <v>1</v>
      </c>
      <c r="CM31" s="11">
        <f>INDEX('[2]PV.STOCK TIAP GUDANG'!$A:$CV,MATCH($A31,'[2]PV.STOCK TIAP GUDANG'!$A:$A,0),MATCH("Y500|6+256|SALES",[2]PVKEY!$1:$1,0))</f>
        <v>1</v>
      </c>
      <c r="CN31" s="12">
        <f t="shared" si="39"/>
        <v>27</v>
      </c>
      <c r="CO31" s="10">
        <f>INDEX('[2]PV.STOCK TIAP GUDANG'!$A:$CV,MATCH($A31,'[2]PV.STOCK TIAP GUDANG'!$A:$A,0),MATCH("Y05E|4+64|STOCK",[2]PVKEY!$1:$1,0))</f>
        <v>6</v>
      </c>
      <c r="CP31" s="11">
        <f>INDEX('[2]PV.STOCK TIAP GUDANG'!$A:$CV,MATCH($A31,'[2]PV.STOCK TIAP GUDANG'!$A:$A,0),MATCH("Y05E|4+64|SALES",[2]PVKEY!$1:$1,0))</f>
        <v>3</v>
      </c>
      <c r="CQ31" s="12">
        <f t="shared" si="40"/>
        <v>54</v>
      </c>
      <c r="CR31" s="13">
        <f t="shared" si="41"/>
        <v>40</v>
      </c>
      <c r="CS31" s="13">
        <f t="shared" si="42"/>
        <v>32</v>
      </c>
      <c r="CT31" s="13">
        <f t="shared" si="43"/>
        <v>33.75</v>
      </c>
      <c r="CU31" s="26" t="s">
        <v>87</v>
      </c>
    </row>
    <row r="32" spans="1:99" ht="15" x14ac:dyDescent="0.15">
      <c r="A32" s="9" t="s">
        <v>51</v>
      </c>
      <c r="B32" s="10">
        <f>INDEX('[2]PV.STOCK TIAP GUDANG'!$A:$CV,MATCH($A32,'[2]PV.STOCK TIAP GUDANG'!$A:$A,0),MATCH("FOLD5|STOCK",[2]PVKEY!$5:$5,0))</f>
        <v>0</v>
      </c>
      <c r="C32" s="11">
        <f>INDEX('[2]PV.STOCK TIAP GUDANG'!$A:$CV,MATCH($A32,'[2]PV.STOCK TIAP GUDANG'!$A:$A,0),MATCH("FOLD5|SALES",[2]PVKEY!$5:$5,0))</f>
        <v>0</v>
      </c>
      <c r="D32" s="12" t="str">
        <f t="shared" si="0"/>
        <v/>
      </c>
      <c r="E32" s="10">
        <f>INDEX('[2]PV.STOCK TIAP GUDANG'!$A:$CV,MATCH($A32,'[2]PV.STOCK TIAP GUDANG'!$A:$A,0),MATCH("X300ULTRA|16+1T|STOCK",[2]PVKEY!$1:$1,0))</f>
        <v>2</v>
      </c>
      <c r="F32" s="11">
        <f>INDEX('[2]PV.STOCK TIAP GUDANG'!$A:$CV,MATCH($A32,'[2]PV.STOCK TIAP GUDANG'!$A:$A,0),MATCH("X300ULTRA|16+1T|SALES",[2]PVKEY!$1:$1,0))</f>
        <v>0</v>
      </c>
      <c r="G32" s="12" t="str">
        <f t="shared" si="1"/>
        <v/>
      </c>
      <c r="H32" s="10">
        <f>INDEX('[2]PV.STOCK TIAP GUDANG'!$A:$CV,MATCH($A32,'[2]PV.STOCK TIAP GUDANG'!$A:$A,0),MATCH("X300ULTRA|16+512|STOCK",[2]PVKEY!$1:$1,0))</f>
        <v>1</v>
      </c>
      <c r="I32" s="11">
        <f>INDEX('[2]PV.STOCK TIAP GUDANG'!$A:$CV,MATCH($A32,'[2]PV.STOCK TIAP GUDANG'!$A:$A,0),MATCH("X300ULTRA|16+512|SALES",[2]PVKEY!$1:$1,0))</f>
        <v>2</v>
      </c>
      <c r="J32" s="12">
        <f t="shared" si="2"/>
        <v>13.5</v>
      </c>
      <c r="K32" s="11">
        <f t="shared" si="3"/>
        <v>0.7407407407407407</v>
      </c>
      <c r="L32" s="10">
        <f>INDEX('[2]PV.STOCK TIAP GUDANG'!$A:$CV,MATCH($A32,'[2]PV.STOCK TIAP GUDANG'!$A:$A,0),MATCH("X300PRO|16+512|STOCK",[2]PVKEY!$1:$1,0))</f>
        <v>0</v>
      </c>
      <c r="M32" s="11">
        <f>INDEX('[2]PV.STOCK TIAP GUDANG'!$A:$CV,MATCH($A32,'[2]PV.STOCK TIAP GUDANG'!$A:$A,0),MATCH("X300PRO|16+512|SALES",[2]PVKEY!$1:$1,0))</f>
        <v>0</v>
      </c>
      <c r="N32" s="12" t="str">
        <f t="shared" si="4"/>
        <v/>
      </c>
      <c r="O32" s="11">
        <f t="shared" si="5"/>
        <v>0</v>
      </c>
      <c r="P32" s="10">
        <f>INDEX('[2]PV.STOCK TIAP GUDANG'!$A:$CV,MATCH($A32,'[2]PV.STOCK TIAP GUDANG'!$A:$A,0),MATCH("X300|12+256|STOCK",[2]PVKEY!$1:$1,0))</f>
        <v>0</v>
      </c>
      <c r="Q32" s="11">
        <f>INDEX('[2]PV.STOCK TIAP GUDANG'!$A:$CV,MATCH($A32,'[2]PV.STOCK TIAP GUDANG'!$A:$A,0),MATCH("X300|12+256|SALES",[2]PVKEY!$1:$1,0))</f>
        <v>0</v>
      </c>
      <c r="R32" s="12" t="str">
        <f t="shared" si="6"/>
        <v/>
      </c>
      <c r="S32" s="10">
        <f>INDEX('[2]PV.STOCK TIAP GUDANG'!$A:$CV,MATCH($A32,'[2]PV.STOCK TIAP GUDANG'!$A:$A,0),MATCH("X300|16+512|STOCK",[2]PVKEY!$1:$1,0))</f>
        <v>0</v>
      </c>
      <c r="T32" s="11">
        <f>INDEX('[2]PV.STOCK TIAP GUDANG'!$A:$CV,MATCH($A32,'[2]PV.STOCK TIAP GUDANG'!$A:$A,0),MATCH("X300|16+512|SALES",[2]PVKEY!$1:$1,0))</f>
        <v>0</v>
      </c>
      <c r="U32" s="12" t="str">
        <f t="shared" si="7"/>
        <v/>
      </c>
      <c r="V32" s="10">
        <f>INDEX('[2]PV.STOCK TIAP GUDANG'!$A:$CV,MATCH($A32,'[2]PV.STOCK TIAP GUDANG'!$A:$A,0),MATCH("Y11D|4+128|STOCK",[2]PVKEY!$1:$1,0))</f>
        <v>4</v>
      </c>
      <c r="W32" s="11">
        <f>INDEX('[2]PV.STOCK TIAP GUDANG'!$A:$CV,MATCH($A32,'[2]PV.STOCK TIAP GUDANG'!$A:$A,0),MATCH("Y11D|4+128|SALES",[2]PVKEY!$1:$1,0))</f>
        <v>2</v>
      </c>
      <c r="X32" s="12">
        <f t="shared" si="8"/>
        <v>54</v>
      </c>
      <c r="Y32" s="11">
        <f t="shared" si="9"/>
        <v>0.37037037037037035</v>
      </c>
      <c r="Z32" s="10">
        <f>INDEX('[2]PV.STOCK TIAP GUDANG'!$A:$CV,MATCH($A32,'[2]PV.STOCK TIAP GUDANG'!$A:$A,0),MATCH("Y11D|4+64|STOCK",[2]PVKEY!$1:$1,0))</f>
        <v>3</v>
      </c>
      <c r="AA32" s="11">
        <f>INDEX('[2]PV.STOCK TIAP GUDANG'!$A:$CV,MATCH($A32,'[2]PV.STOCK TIAP GUDANG'!$A:$A,0),MATCH("Y11D|4+64|SALES",[2]PVKEY!$1:$1,0))</f>
        <v>0</v>
      </c>
      <c r="AB32" s="12" t="str">
        <f t="shared" si="10"/>
        <v/>
      </c>
      <c r="AC32" s="11">
        <f t="shared" si="11"/>
        <v>0</v>
      </c>
      <c r="AD32" s="10">
        <f>INDEX('[2]PV.STOCK TIAP GUDANG'!$A:$CV,MATCH($A32,'[2]PV.STOCK TIAP GUDANG'!$A:$A,0),MATCH("Y11D|6+128|STOCK",[2]PVKEY!$1:$1,0))</f>
        <v>3</v>
      </c>
      <c r="AE32" s="11">
        <f>INDEX('[2]PV.STOCK TIAP GUDANG'!$A:$CV,MATCH($A32,'[2]PV.STOCK TIAP GUDANG'!$A:$A,0),MATCH("Y11D|6+128|SALES",[2]PVKEY!$1:$1,0))</f>
        <v>0</v>
      </c>
      <c r="AF32" s="12" t="str">
        <f t="shared" si="12"/>
        <v/>
      </c>
      <c r="AG32" s="11">
        <f t="shared" si="13"/>
        <v>0</v>
      </c>
      <c r="AH32" s="10">
        <f>INDEX('[2]PV.STOCK TIAP GUDANG'!$A:$CV,MATCH($A32,'[2]PV.STOCK TIAP GUDANG'!$A:$A,0),MATCH("Y31D|4+128|STOCK",[2]PVKEY!$1:$1,0))</f>
        <v>0</v>
      </c>
      <c r="AI32" s="11">
        <f>INDEX('[2]PV.STOCK TIAP GUDANG'!$A:$CV,MATCH($A32,'[2]PV.STOCK TIAP GUDANG'!$A:$A,0),MATCH("Y31D|4+128|SALES",[2]PVKEY!$1:$1,0))</f>
        <v>1</v>
      </c>
      <c r="AJ32" s="12">
        <f t="shared" si="14"/>
        <v>0</v>
      </c>
      <c r="AK32" s="10">
        <f>INDEX('[2]PV.STOCK TIAP GUDANG'!$A:$CV,MATCH($A32,'[2]PV.STOCK TIAP GUDANG'!$A:$A,0),MATCH("Y31DPRO|4+128|STOCK",[2]PVKEY!$1:$1,0))</f>
        <v>5</v>
      </c>
      <c r="AL32" s="11">
        <f>INDEX('[2]PV.STOCK TIAP GUDANG'!$A:$CV,MATCH($A32,'[2]PV.STOCK TIAP GUDANG'!$A:$A,0),MATCH("Y31DPRO|4+128|SALES",[2]PVKEY!$1:$1,0))</f>
        <v>1</v>
      </c>
      <c r="AM32" s="12">
        <f t="shared" si="15"/>
        <v>135</v>
      </c>
      <c r="AN32" s="10">
        <f>INDEX('[2]PV.STOCK TIAP GUDANG'!$A:$CV,MATCH($A32,'[2]PV.STOCK TIAP GUDANG'!$A:$A,0),MATCH("Y31DPRO|6+128|STOCK",[2]PVKEY!$1:$1,0))</f>
        <v>2</v>
      </c>
      <c r="AO32" s="11">
        <f>INDEX('[2]PV.STOCK TIAP GUDANG'!$A:$CV,MATCH($A32,'[2]PV.STOCK TIAP GUDANG'!$A:$A,0),MATCH("Y31DPRO|6+128|SALES",[2]PVKEY!$1:$1,0))</f>
        <v>1</v>
      </c>
      <c r="AP32" s="12">
        <f t="shared" si="16"/>
        <v>54</v>
      </c>
      <c r="AQ32" s="11">
        <f t="shared" si="17"/>
        <v>0.18518518518518517</v>
      </c>
      <c r="AR32" s="10">
        <f>INDEX('[2]PV.STOCK TIAP GUDANG'!$A:$CV,MATCH($A32,'[2]PV.STOCK TIAP GUDANG'!$A:$A,0),MATCH("Y31DPRO|8+128|STOCK",[2]PVKEY!$1:$1,0))</f>
        <v>3</v>
      </c>
      <c r="AS32" s="11">
        <f>INDEX('[2]PV.STOCK TIAP GUDANG'!$A:$CV,MATCH($A32,'[2]PV.STOCK TIAP GUDANG'!$A:$A,0),MATCH("Y31DPRO|8+128|SALES",[2]PVKEY!$1:$1,0))</f>
        <v>0</v>
      </c>
      <c r="AT32" s="12" t="str">
        <f t="shared" si="18"/>
        <v/>
      </c>
      <c r="AU32" s="11">
        <f t="shared" si="19"/>
        <v>0</v>
      </c>
      <c r="AV32" s="10">
        <f>INDEX('[2]PV.STOCK TIAP GUDANG'!$A:$CV,MATCH($A32,'[2]PV.STOCK TIAP GUDANG'!$A:$A,0),MATCH("Y31DPRO|8+256|STOCK",[2]PVKEY!$1:$1,0))</f>
        <v>1</v>
      </c>
      <c r="AW32" s="11">
        <f>INDEX('[2]PV.STOCK TIAP GUDANG'!$A:$CV,MATCH($A32,'[2]PV.STOCK TIAP GUDANG'!$A:$A,0),MATCH("Y31DPRO|8+256|SALES",[2]PVKEY!$1:$1,0))</f>
        <v>0</v>
      </c>
      <c r="AX32" s="12" t="str">
        <f t="shared" si="20"/>
        <v/>
      </c>
      <c r="AY32" s="11">
        <f t="shared" si="21"/>
        <v>0</v>
      </c>
      <c r="AZ32" s="10">
        <f>INDEX('[2]PV.STOCK TIAP GUDANG'!$A:$CV,MATCH($A32,'[2]PV.STOCK TIAP GUDANG'!$A:$A,0),MATCH("V70|12+256|STOCK",[2]PVKEY!$1:$1,0))</f>
        <v>0</v>
      </c>
      <c r="BA32" s="11">
        <f>INDEX('[2]PV.STOCK TIAP GUDANG'!$A:$CV,MATCH($A32,'[2]PV.STOCK TIAP GUDANG'!$A:$A,0),MATCH("V70|12+256|SALES",[2]PVKEY!$1:$1,0))</f>
        <v>0</v>
      </c>
      <c r="BB32" s="12" t="str">
        <f t="shared" si="22"/>
        <v/>
      </c>
      <c r="BC32" s="10">
        <f>INDEX('[2]PV.STOCK TIAP GUDANG'!$A:$CV,MATCH($A32,'[2]PV.STOCK TIAP GUDANG'!$A:$A,0),MATCH("V70|8+256|STOCK",[2]PVKEY!$1:$1,0))</f>
        <v>3</v>
      </c>
      <c r="BD32" s="11">
        <f>INDEX('[2]PV.STOCK TIAP GUDANG'!$A:$CV,MATCH($A32,'[2]PV.STOCK TIAP GUDANG'!$A:$A,0),MATCH("V70|8+256|SALES",[2]PVKEY!$1:$1,0))</f>
        <v>3</v>
      </c>
      <c r="BE32" s="12">
        <f t="shared" si="23"/>
        <v>27</v>
      </c>
      <c r="BF32" s="11">
        <f t="shared" si="24"/>
        <v>0.88888888888888884</v>
      </c>
      <c r="BG32" s="10">
        <f>INDEX('[2]PV.STOCK TIAP GUDANG'!$A:$CV,MATCH($A32,'[2]PV.STOCK TIAP GUDANG'!$A:$A,0),MATCH("V70|12+512|STOCK",[2]PVKEY!$1:$1,0))</f>
        <v>0</v>
      </c>
      <c r="BH32" s="11">
        <f>INDEX('[2]PV.STOCK TIAP GUDANG'!$A:$CV,MATCH($A32,'[2]PV.STOCK TIAP GUDANG'!$A:$A,0),MATCH("V70|12+512|SALES",[2]PVKEY!$1:$1,0))</f>
        <v>0</v>
      </c>
      <c r="BI32" s="12" t="str">
        <f t="shared" si="25"/>
        <v/>
      </c>
      <c r="BJ32" s="11">
        <f t="shared" si="26"/>
        <v>0</v>
      </c>
      <c r="BK32" s="10">
        <f>INDEX('[2]PV.STOCK TIAP GUDANG'!$A:$CV,MATCH($A32,'[2]PV.STOCK TIAP GUDANG'!$A:$A,0),MATCH("V70FE|8+256|STOCK",[2]PVKEY!$1:$1,0))</f>
        <v>2</v>
      </c>
      <c r="BL32" s="11">
        <f>INDEX('[2]PV.STOCK TIAP GUDANG'!$A:$CV,MATCH($A32,'[2]PV.STOCK TIAP GUDANG'!$A:$A,0),MATCH("V70FE|8+256|SALES",[2]PVKEY!$1:$1,0))</f>
        <v>0</v>
      </c>
      <c r="BM32" s="12" t="str">
        <f t="shared" si="27"/>
        <v/>
      </c>
      <c r="BN32" s="11">
        <f t="shared" si="28"/>
        <v>0</v>
      </c>
      <c r="BO32" s="10">
        <f>INDEX('[2]PV.STOCK TIAP GUDANG'!$A:$CV,MATCH($A32,'[2]PV.STOCK TIAP GUDANG'!$A:$A,0),MATCH("V70FE|12+256|STOCK",[2]PVKEY!$1:$1,0))</f>
        <v>1</v>
      </c>
      <c r="BP32" s="11">
        <f>INDEX('[2]PV.STOCK TIAP GUDANG'!$A:$CV,MATCH($A32,'[2]PV.STOCK TIAP GUDANG'!$A:$A,0),MATCH("V70FE|12+256|SALES",[2]PVKEY!$1:$1,0))</f>
        <v>3</v>
      </c>
      <c r="BQ32" s="12">
        <f t="shared" si="29"/>
        <v>9</v>
      </c>
      <c r="BR32" s="11">
        <f t="shared" si="30"/>
        <v>0.88888888888888884</v>
      </c>
      <c r="BS32" s="10">
        <f>INDEX('[2]PV.STOCK TIAP GUDANG'!$A:$CV,MATCH($A32,'[2]PV.STOCK TIAP GUDANG'!$A:$A,0),MATCH("V60LITE5G|8+256|STOCK",[2]PVKEY!$1:$1,0))</f>
        <v>0</v>
      </c>
      <c r="BT32" s="11">
        <f>INDEX('[2]PV.STOCK TIAP GUDANG'!$A:$CV,MATCH($A32,'[2]PV.STOCK TIAP GUDANG'!$A:$A,0),MATCH("V60LITE5G|8+256|SALES",[2]PVKEY!$1:$1,0))</f>
        <v>0</v>
      </c>
      <c r="BU32" s="12" t="str">
        <f t="shared" si="31"/>
        <v/>
      </c>
      <c r="BV32" s="11">
        <f t="shared" si="32"/>
        <v>0</v>
      </c>
      <c r="BW32" s="10">
        <f>INDEX('[2]PV.STOCK TIAP GUDANG'!$A:$CV,MATCH($A32,'[2]PV.STOCK TIAP GUDANG'!$A:$A,0),MATCH("V60LITE|8+256|STOCK",[2]PVKEY!$1:$1,0))</f>
        <v>1</v>
      </c>
      <c r="BX32" s="11">
        <f>INDEX('[2]PV.STOCK TIAP GUDANG'!$A:$CV,MATCH($A32,'[2]PV.STOCK TIAP GUDANG'!$A:$A,0),MATCH("V60LITE|8+256|SALES",[2]PVKEY!$1:$1,0))</f>
        <v>2</v>
      </c>
      <c r="BY32" s="12">
        <f t="shared" si="33"/>
        <v>13.5</v>
      </c>
      <c r="BZ32" s="11">
        <f t="shared" si="34"/>
        <v>0.59259259259259256</v>
      </c>
      <c r="CA32" s="10">
        <f>INDEX('[2]PV.STOCK TIAP GUDANG'!$A:$CV,MATCH($A32,'[2]PV.STOCK TIAP GUDANG'!$A:$A,0),MATCH("Y05|4+128|STOCK",[2]PVKEY!$1:$1,0))</f>
        <v>3</v>
      </c>
      <c r="CB32" s="11">
        <f>INDEX('[2]PV.STOCK TIAP GUDANG'!$A:$CV,MATCH($A32,'[2]PV.STOCK TIAP GUDANG'!$A:$A,0),MATCH("Y05|4+128|SALES",[2]PVKEY!$1:$1,0))</f>
        <v>2</v>
      </c>
      <c r="CC32" s="12">
        <f t="shared" si="35"/>
        <v>40.5</v>
      </c>
      <c r="CD32" s="11">
        <f t="shared" si="44"/>
        <v>0.51851851851851849</v>
      </c>
      <c r="CE32" s="10">
        <f>INDEX('[2]PV.STOCK TIAP GUDANG'!$A:$CV,MATCH($A32,'[2]PV.STOCK TIAP GUDANG'!$A:$A,0),MATCH("Y05|4+64|STOCK",[2]PVKEY!$1:$1,0))</f>
        <v>3</v>
      </c>
      <c r="CF32" s="11">
        <f>INDEX('[2]PV.STOCK TIAP GUDANG'!$A:$CV,MATCH($A32,'[2]PV.STOCK TIAP GUDANG'!$A:$A,0),MATCH("Y05|4+64|SALES",[2]PVKEY!$1:$1,0))</f>
        <v>5</v>
      </c>
      <c r="CG32" s="12">
        <f t="shared" si="36"/>
        <v>16.2</v>
      </c>
      <c r="CH32" s="11">
        <f t="shared" si="37"/>
        <v>1.2962962962962963</v>
      </c>
      <c r="CI32" s="10">
        <f>INDEX('[2]PV.STOCK TIAP GUDANG'!$A:$CV,MATCH($A32,'[2]PV.STOCK TIAP GUDANG'!$A:$A,0),MATCH("Y500|6+128|STOCK",[2]PVKEY!$1:$1,0))</f>
        <v>1</v>
      </c>
      <c r="CJ32" s="11">
        <f>INDEX('[2]PV.STOCK TIAP GUDANG'!$A:$CV,MATCH($A32,'[2]PV.STOCK TIAP GUDANG'!$A:$A,0),MATCH("Y500|6+128|SALES",[2]PVKEY!$1:$1,0))</f>
        <v>1</v>
      </c>
      <c r="CK32" s="12">
        <f t="shared" si="38"/>
        <v>27</v>
      </c>
      <c r="CL32" s="10">
        <f>INDEX('[2]PV.STOCK TIAP GUDANG'!$A:$CV,MATCH($A32,'[2]PV.STOCK TIAP GUDANG'!$A:$A,0),MATCH("Y500|6+256|STOCK",[2]PVKEY!$1:$1,0))</f>
        <v>2</v>
      </c>
      <c r="CM32" s="11">
        <f>INDEX('[2]PV.STOCK TIAP GUDANG'!$A:$CV,MATCH($A32,'[2]PV.STOCK TIAP GUDANG'!$A:$A,0),MATCH("Y500|6+256|SALES",[2]PVKEY!$1:$1,0))</f>
        <v>1</v>
      </c>
      <c r="CN32" s="12">
        <f t="shared" si="39"/>
        <v>54</v>
      </c>
      <c r="CO32" s="10">
        <f>INDEX('[2]PV.STOCK TIAP GUDANG'!$A:$CV,MATCH($A32,'[2]PV.STOCK TIAP GUDANG'!$A:$A,0),MATCH("Y05E|4+64|STOCK",[2]PVKEY!$1:$1,0))</f>
        <v>3</v>
      </c>
      <c r="CP32" s="11">
        <f>INDEX('[2]PV.STOCK TIAP GUDANG'!$A:$CV,MATCH($A32,'[2]PV.STOCK TIAP GUDANG'!$A:$A,0),MATCH("Y05E|4+64|SALES",[2]PVKEY!$1:$1,0))</f>
        <v>4</v>
      </c>
      <c r="CQ32" s="12">
        <f t="shared" si="40"/>
        <v>20.3</v>
      </c>
      <c r="CR32" s="13">
        <f t="shared" si="41"/>
        <v>43</v>
      </c>
      <c r="CS32" s="13">
        <f t="shared" si="42"/>
        <v>28</v>
      </c>
      <c r="CT32" s="13">
        <f t="shared" si="43"/>
        <v>41.464285714285715</v>
      </c>
      <c r="CU32" s="28" t="s">
        <v>83</v>
      </c>
    </row>
    <row r="33" spans="1:99" ht="15" x14ac:dyDescent="0.15">
      <c r="A33" s="9" t="s">
        <v>52</v>
      </c>
      <c r="B33" s="10">
        <f>INDEX('[2]PV.STOCK TIAP GUDANG'!$A:$CV,MATCH($A33,'[2]PV.STOCK TIAP GUDANG'!$A:$A,0),MATCH("FOLD5|STOCK",[2]PVKEY!$5:$5,0))</f>
        <v>0</v>
      </c>
      <c r="C33" s="11">
        <f>INDEX('[2]PV.STOCK TIAP GUDANG'!$A:$CV,MATCH($A33,'[2]PV.STOCK TIAP GUDANG'!$A:$A,0),MATCH("FOLD5|SALES",[2]PVKEY!$5:$5,0))</f>
        <v>0</v>
      </c>
      <c r="D33" s="12" t="str">
        <f t="shared" si="0"/>
        <v/>
      </c>
      <c r="E33" s="10">
        <f>INDEX('[2]PV.STOCK TIAP GUDANG'!$A:$CV,MATCH($A33,'[2]PV.STOCK TIAP GUDANG'!$A:$A,0),MATCH("X300ULTRA|16+1T|STOCK",[2]PVKEY!$1:$1,0))</f>
        <v>0</v>
      </c>
      <c r="F33" s="11">
        <f>INDEX('[2]PV.STOCK TIAP GUDANG'!$A:$CV,MATCH($A33,'[2]PV.STOCK TIAP GUDANG'!$A:$A,0),MATCH("X300ULTRA|16+1T|SALES",[2]PVKEY!$1:$1,0))</f>
        <v>0</v>
      </c>
      <c r="G33" s="12" t="str">
        <f t="shared" si="1"/>
        <v/>
      </c>
      <c r="H33" s="10">
        <f>INDEX('[2]PV.STOCK TIAP GUDANG'!$A:$CV,MATCH($A33,'[2]PV.STOCK TIAP GUDANG'!$A:$A,0),MATCH("X300ULTRA|16+512|STOCK",[2]PVKEY!$1:$1,0))</f>
        <v>1</v>
      </c>
      <c r="I33" s="11">
        <f>INDEX('[2]PV.STOCK TIAP GUDANG'!$A:$CV,MATCH($A33,'[2]PV.STOCK TIAP GUDANG'!$A:$A,0),MATCH("X300ULTRA|16+512|SALES",[2]PVKEY!$1:$1,0))</f>
        <v>0</v>
      </c>
      <c r="J33" s="12" t="str">
        <f t="shared" si="2"/>
        <v/>
      </c>
      <c r="K33" s="11">
        <f t="shared" si="3"/>
        <v>0</v>
      </c>
      <c r="L33" s="10">
        <f>INDEX('[2]PV.STOCK TIAP GUDANG'!$A:$CV,MATCH($A33,'[2]PV.STOCK TIAP GUDANG'!$A:$A,0),MATCH("X300PRO|16+512|STOCK",[2]PVKEY!$1:$1,0))</f>
        <v>0</v>
      </c>
      <c r="M33" s="11">
        <f>INDEX('[2]PV.STOCK TIAP GUDANG'!$A:$CV,MATCH($A33,'[2]PV.STOCK TIAP GUDANG'!$A:$A,0),MATCH("X300PRO|16+512|SALES",[2]PVKEY!$1:$1,0))</f>
        <v>0</v>
      </c>
      <c r="N33" s="12" t="str">
        <f t="shared" si="4"/>
        <v/>
      </c>
      <c r="O33" s="11">
        <f t="shared" si="5"/>
        <v>0</v>
      </c>
      <c r="P33" s="10">
        <f>INDEX('[2]PV.STOCK TIAP GUDANG'!$A:$CV,MATCH($A33,'[2]PV.STOCK TIAP GUDANG'!$A:$A,0),MATCH("X300|12+256|STOCK",[2]PVKEY!$1:$1,0))</f>
        <v>0</v>
      </c>
      <c r="Q33" s="11">
        <f>INDEX('[2]PV.STOCK TIAP GUDANG'!$A:$CV,MATCH($A33,'[2]PV.STOCK TIAP GUDANG'!$A:$A,0),MATCH("X300|12+256|SALES",[2]PVKEY!$1:$1,0))</f>
        <v>0</v>
      </c>
      <c r="R33" s="12" t="str">
        <f t="shared" si="6"/>
        <v/>
      </c>
      <c r="S33" s="10">
        <f>INDEX('[2]PV.STOCK TIAP GUDANG'!$A:$CV,MATCH($A33,'[2]PV.STOCK TIAP GUDANG'!$A:$A,0),MATCH("X300|16+512|STOCK",[2]PVKEY!$1:$1,0))</f>
        <v>0</v>
      </c>
      <c r="T33" s="11">
        <f>INDEX('[2]PV.STOCK TIAP GUDANG'!$A:$CV,MATCH($A33,'[2]PV.STOCK TIAP GUDANG'!$A:$A,0),MATCH("X300|16+512|SALES",[2]PVKEY!$1:$1,0))</f>
        <v>0</v>
      </c>
      <c r="U33" s="12" t="str">
        <f t="shared" si="7"/>
        <v/>
      </c>
      <c r="V33" s="10">
        <f>INDEX('[2]PV.STOCK TIAP GUDANG'!$A:$CV,MATCH($A33,'[2]PV.STOCK TIAP GUDANG'!$A:$A,0),MATCH("Y11D|4+128|STOCK",[2]PVKEY!$1:$1,0))</f>
        <v>4</v>
      </c>
      <c r="W33" s="11">
        <f>INDEX('[2]PV.STOCK TIAP GUDANG'!$A:$CV,MATCH($A33,'[2]PV.STOCK TIAP GUDANG'!$A:$A,0),MATCH("Y11D|4+128|SALES",[2]PVKEY!$1:$1,0))</f>
        <v>4</v>
      </c>
      <c r="X33" s="12">
        <f t="shared" si="8"/>
        <v>27</v>
      </c>
      <c r="Y33" s="11">
        <f t="shared" si="9"/>
        <v>0.7407407407407407</v>
      </c>
      <c r="Z33" s="10">
        <f>INDEX('[2]PV.STOCK TIAP GUDANG'!$A:$CV,MATCH($A33,'[2]PV.STOCK TIAP GUDANG'!$A:$A,0),MATCH("Y11D|4+64|STOCK",[2]PVKEY!$1:$1,0))</f>
        <v>2</v>
      </c>
      <c r="AA33" s="11">
        <f>INDEX('[2]PV.STOCK TIAP GUDANG'!$A:$CV,MATCH($A33,'[2]PV.STOCK TIAP GUDANG'!$A:$A,0),MATCH("Y11D|4+64|SALES",[2]PVKEY!$1:$1,0))</f>
        <v>2</v>
      </c>
      <c r="AB33" s="12">
        <f t="shared" si="10"/>
        <v>27</v>
      </c>
      <c r="AC33" s="11">
        <f t="shared" si="11"/>
        <v>0.37037037037037035</v>
      </c>
      <c r="AD33" s="10">
        <f>INDEX('[2]PV.STOCK TIAP GUDANG'!$A:$CV,MATCH($A33,'[2]PV.STOCK TIAP GUDANG'!$A:$A,0),MATCH("Y11D|6+128|STOCK",[2]PVKEY!$1:$1,0))</f>
        <v>0</v>
      </c>
      <c r="AE33" s="11">
        <f>INDEX('[2]PV.STOCK TIAP GUDANG'!$A:$CV,MATCH($A33,'[2]PV.STOCK TIAP GUDANG'!$A:$A,0),MATCH("Y11D|6+128|SALES",[2]PVKEY!$1:$1,0))</f>
        <v>0</v>
      </c>
      <c r="AF33" s="12" t="str">
        <f t="shared" si="12"/>
        <v/>
      </c>
      <c r="AG33" s="11">
        <f t="shared" si="13"/>
        <v>0</v>
      </c>
      <c r="AH33" s="10">
        <f>INDEX('[2]PV.STOCK TIAP GUDANG'!$A:$CV,MATCH($A33,'[2]PV.STOCK TIAP GUDANG'!$A:$A,0),MATCH("Y31D|4+128|STOCK",[2]PVKEY!$1:$1,0))</f>
        <v>2</v>
      </c>
      <c r="AI33" s="11">
        <f>INDEX('[2]PV.STOCK TIAP GUDANG'!$A:$CV,MATCH($A33,'[2]PV.STOCK TIAP GUDANG'!$A:$A,0),MATCH("Y31D|4+128|SALES",[2]PVKEY!$1:$1,0))</f>
        <v>2</v>
      </c>
      <c r="AJ33" s="12">
        <f t="shared" si="14"/>
        <v>27</v>
      </c>
      <c r="AK33" s="10">
        <f>INDEX('[2]PV.STOCK TIAP GUDANG'!$A:$CV,MATCH($A33,'[2]PV.STOCK TIAP GUDANG'!$A:$A,0),MATCH("Y31DPRO|4+128|STOCK",[2]PVKEY!$1:$1,0))</f>
        <v>4</v>
      </c>
      <c r="AL33" s="11">
        <f>INDEX('[2]PV.STOCK TIAP GUDANG'!$A:$CV,MATCH($A33,'[2]PV.STOCK TIAP GUDANG'!$A:$A,0),MATCH("Y31DPRO|4+128|SALES",[2]PVKEY!$1:$1,0))</f>
        <v>2</v>
      </c>
      <c r="AM33" s="12">
        <f t="shared" si="15"/>
        <v>54</v>
      </c>
      <c r="AN33" s="10">
        <f>INDEX('[2]PV.STOCK TIAP GUDANG'!$A:$CV,MATCH($A33,'[2]PV.STOCK TIAP GUDANG'!$A:$A,0),MATCH("Y31DPRO|6+128|STOCK",[2]PVKEY!$1:$1,0))</f>
        <v>5</v>
      </c>
      <c r="AO33" s="11">
        <f>INDEX('[2]PV.STOCK TIAP GUDANG'!$A:$CV,MATCH($A33,'[2]PV.STOCK TIAP GUDANG'!$A:$A,0),MATCH("Y31DPRO|6+128|SALES",[2]PVKEY!$1:$1,0))</f>
        <v>1</v>
      </c>
      <c r="AP33" s="12">
        <f t="shared" si="16"/>
        <v>135</v>
      </c>
      <c r="AQ33" s="11">
        <f t="shared" si="17"/>
        <v>0.18518518518518517</v>
      </c>
      <c r="AR33" s="10">
        <f>INDEX('[2]PV.STOCK TIAP GUDANG'!$A:$CV,MATCH($A33,'[2]PV.STOCK TIAP GUDANG'!$A:$A,0),MATCH("Y31DPRO|8+128|STOCK",[2]PVKEY!$1:$1,0))</f>
        <v>2</v>
      </c>
      <c r="AS33" s="11">
        <f>INDEX('[2]PV.STOCK TIAP GUDANG'!$A:$CV,MATCH($A33,'[2]PV.STOCK TIAP GUDANG'!$A:$A,0),MATCH("Y31DPRO|8+128|SALES",[2]PVKEY!$1:$1,0))</f>
        <v>0</v>
      </c>
      <c r="AT33" s="12" t="str">
        <f t="shared" si="18"/>
        <v/>
      </c>
      <c r="AU33" s="11">
        <f t="shared" si="19"/>
        <v>0</v>
      </c>
      <c r="AV33" s="10">
        <f>INDEX('[2]PV.STOCK TIAP GUDANG'!$A:$CV,MATCH($A33,'[2]PV.STOCK TIAP GUDANG'!$A:$A,0),MATCH("Y31DPRO|8+256|STOCK",[2]PVKEY!$1:$1,0))</f>
        <v>2</v>
      </c>
      <c r="AW33" s="11">
        <f>INDEX('[2]PV.STOCK TIAP GUDANG'!$A:$CV,MATCH($A33,'[2]PV.STOCK TIAP GUDANG'!$A:$A,0),MATCH("Y31DPRO|8+256|SALES",[2]PVKEY!$1:$1,0))</f>
        <v>0</v>
      </c>
      <c r="AX33" s="12" t="str">
        <f t="shared" si="20"/>
        <v/>
      </c>
      <c r="AY33" s="11">
        <f t="shared" si="21"/>
        <v>0</v>
      </c>
      <c r="AZ33" s="10">
        <f>INDEX('[2]PV.STOCK TIAP GUDANG'!$A:$CV,MATCH($A33,'[2]PV.STOCK TIAP GUDANG'!$A:$A,0),MATCH("V70|12+256|STOCK",[2]PVKEY!$1:$1,0))</f>
        <v>0</v>
      </c>
      <c r="BA33" s="11">
        <f>INDEX('[2]PV.STOCK TIAP GUDANG'!$A:$CV,MATCH($A33,'[2]PV.STOCK TIAP GUDANG'!$A:$A,0),MATCH("V70|12+256|SALES",[2]PVKEY!$1:$1,0))</f>
        <v>0</v>
      </c>
      <c r="BB33" s="12" t="str">
        <f t="shared" si="22"/>
        <v/>
      </c>
      <c r="BC33" s="10">
        <f>INDEX('[2]PV.STOCK TIAP GUDANG'!$A:$CV,MATCH($A33,'[2]PV.STOCK TIAP GUDANG'!$A:$A,0),MATCH("V70|8+256|STOCK",[2]PVKEY!$1:$1,0))</f>
        <v>6</v>
      </c>
      <c r="BD33" s="11">
        <f>INDEX('[2]PV.STOCK TIAP GUDANG'!$A:$CV,MATCH($A33,'[2]PV.STOCK TIAP GUDANG'!$A:$A,0),MATCH("V70|8+256|SALES",[2]PVKEY!$1:$1,0))</f>
        <v>2</v>
      </c>
      <c r="BE33" s="12">
        <f t="shared" si="23"/>
        <v>81</v>
      </c>
      <c r="BF33" s="11">
        <f t="shared" si="24"/>
        <v>0.59259259259259256</v>
      </c>
      <c r="BG33" s="10">
        <f>INDEX('[2]PV.STOCK TIAP GUDANG'!$A:$CV,MATCH($A33,'[2]PV.STOCK TIAP GUDANG'!$A:$A,0),MATCH("V70|12+512|STOCK",[2]PVKEY!$1:$1,0))</f>
        <v>0</v>
      </c>
      <c r="BH33" s="11">
        <f>INDEX('[2]PV.STOCK TIAP GUDANG'!$A:$CV,MATCH($A33,'[2]PV.STOCK TIAP GUDANG'!$A:$A,0),MATCH("V70|12+512|SALES",[2]PVKEY!$1:$1,0))</f>
        <v>0</v>
      </c>
      <c r="BI33" s="12" t="str">
        <f t="shared" si="25"/>
        <v/>
      </c>
      <c r="BJ33" s="11">
        <f t="shared" si="26"/>
        <v>0</v>
      </c>
      <c r="BK33" s="10">
        <f>INDEX('[2]PV.STOCK TIAP GUDANG'!$A:$CV,MATCH($A33,'[2]PV.STOCK TIAP GUDANG'!$A:$A,0),MATCH("V70FE|8+256|STOCK",[2]PVKEY!$1:$1,0))</f>
        <v>3</v>
      </c>
      <c r="BL33" s="11">
        <f>INDEX('[2]PV.STOCK TIAP GUDANG'!$A:$CV,MATCH($A33,'[2]PV.STOCK TIAP GUDANG'!$A:$A,0),MATCH("V70FE|8+256|SALES",[2]PVKEY!$1:$1,0))</f>
        <v>0</v>
      </c>
      <c r="BM33" s="12" t="str">
        <f t="shared" si="27"/>
        <v/>
      </c>
      <c r="BN33" s="11">
        <f t="shared" si="28"/>
        <v>0</v>
      </c>
      <c r="BO33" s="10">
        <f>INDEX('[2]PV.STOCK TIAP GUDANG'!$A:$CV,MATCH($A33,'[2]PV.STOCK TIAP GUDANG'!$A:$A,0),MATCH("V70FE|12+256|STOCK",[2]PVKEY!$1:$1,0))</f>
        <v>2</v>
      </c>
      <c r="BP33" s="11">
        <f>INDEX('[2]PV.STOCK TIAP GUDANG'!$A:$CV,MATCH($A33,'[2]PV.STOCK TIAP GUDANG'!$A:$A,0),MATCH("V70FE|12+256|SALES",[2]PVKEY!$1:$1,0))</f>
        <v>2</v>
      </c>
      <c r="BQ33" s="12">
        <f t="shared" si="29"/>
        <v>27</v>
      </c>
      <c r="BR33" s="11">
        <f t="shared" si="30"/>
        <v>0.59259259259259256</v>
      </c>
      <c r="BS33" s="10">
        <f>INDEX('[2]PV.STOCK TIAP GUDANG'!$A:$CV,MATCH($A33,'[2]PV.STOCK TIAP GUDANG'!$A:$A,0),MATCH("V60LITE5G|8+256|STOCK",[2]PVKEY!$1:$1,0))</f>
        <v>0</v>
      </c>
      <c r="BT33" s="11">
        <f>INDEX('[2]PV.STOCK TIAP GUDANG'!$A:$CV,MATCH($A33,'[2]PV.STOCK TIAP GUDANG'!$A:$A,0),MATCH("V60LITE5G|8+256|SALES",[2]PVKEY!$1:$1,0))</f>
        <v>0</v>
      </c>
      <c r="BU33" s="12" t="str">
        <f t="shared" si="31"/>
        <v/>
      </c>
      <c r="BV33" s="11">
        <f t="shared" si="32"/>
        <v>0</v>
      </c>
      <c r="BW33" s="10">
        <f>INDEX('[2]PV.STOCK TIAP GUDANG'!$A:$CV,MATCH($A33,'[2]PV.STOCK TIAP GUDANG'!$A:$A,0),MATCH("V60LITE|8+256|STOCK",[2]PVKEY!$1:$1,0))</f>
        <v>0</v>
      </c>
      <c r="BX33" s="11">
        <f>INDEX('[2]PV.STOCK TIAP GUDANG'!$A:$CV,MATCH($A33,'[2]PV.STOCK TIAP GUDANG'!$A:$A,0),MATCH("V60LITE|8+256|SALES",[2]PVKEY!$1:$1,0))</f>
        <v>4</v>
      </c>
      <c r="BY33" s="12">
        <f t="shared" si="33"/>
        <v>0</v>
      </c>
      <c r="BZ33" s="11">
        <f t="shared" si="34"/>
        <v>1.1851851851851851</v>
      </c>
      <c r="CA33" s="10">
        <f>INDEX('[2]PV.STOCK TIAP GUDANG'!$A:$CV,MATCH($A33,'[2]PV.STOCK TIAP GUDANG'!$A:$A,0),MATCH("Y05|4+128|STOCK",[2]PVKEY!$1:$1,0))</f>
        <v>4</v>
      </c>
      <c r="CB33" s="11">
        <f>INDEX('[2]PV.STOCK TIAP GUDANG'!$A:$CV,MATCH($A33,'[2]PV.STOCK TIAP GUDANG'!$A:$A,0),MATCH("Y05|4+128|SALES",[2]PVKEY!$1:$1,0))</f>
        <v>1</v>
      </c>
      <c r="CC33" s="12">
        <f t="shared" si="35"/>
        <v>108</v>
      </c>
      <c r="CD33" s="11">
        <f t="shared" si="44"/>
        <v>0.25925925925925924</v>
      </c>
      <c r="CE33" s="10">
        <f>INDEX('[2]PV.STOCK TIAP GUDANG'!$A:$CV,MATCH($A33,'[2]PV.STOCK TIAP GUDANG'!$A:$A,0),MATCH("Y05|4+64|STOCK",[2]PVKEY!$1:$1,0))</f>
        <v>3</v>
      </c>
      <c r="CF33" s="11">
        <f>INDEX('[2]PV.STOCK TIAP GUDANG'!$A:$CV,MATCH($A33,'[2]PV.STOCK TIAP GUDANG'!$A:$A,0),MATCH("Y05|4+64|SALES",[2]PVKEY!$1:$1,0))</f>
        <v>1</v>
      </c>
      <c r="CG33" s="12">
        <f t="shared" si="36"/>
        <v>81</v>
      </c>
      <c r="CH33" s="11">
        <f t="shared" si="37"/>
        <v>0.25925925925925924</v>
      </c>
      <c r="CI33" s="10">
        <f>INDEX('[2]PV.STOCK TIAP GUDANG'!$A:$CV,MATCH($A33,'[2]PV.STOCK TIAP GUDANG'!$A:$A,0),MATCH("Y500|6+128|STOCK",[2]PVKEY!$1:$1,0))</f>
        <v>3</v>
      </c>
      <c r="CJ33" s="11">
        <f>INDEX('[2]PV.STOCK TIAP GUDANG'!$A:$CV,MATCH($A33,'[2]PV.STOCK TIAP GUDANG'!$A:$A,0),MATCH("Y500|6+128|SALES",[2]PVKEY!$1:$1,0))</f>
        <v>0</v>
      </c>
      <c r="CK33" s="12" t="str">
        <f t="shared" si="38"/>
        <v/>
      </c>
      <c r="CL33" s="10">
        <f>INDEX('[2]PV.STOCK TIAP GUDANG'!$A:$CV,MATCH($A33,'[2]PV.STOCK TIAP GUDANG'!$A:$A,0),MATCH("Y500|6+256|STOCK",[2]PVKEY!$1:$1,0))</f>
        <v>3</v>
      </c>
      <c r="CM33" s="11">
        <f>INDEX('[2]PV.STOCK TIAP GUDANG'!$A:$CV,MATCH($A33,'[2]PV.STOCK TIAP GUDANG'!$A:$A,0),MATCH("Y500|6+256|SALES",[2]PVKEY!$1:$1,0))</f>
        <v>2</v>
      </c>
      <c r="CN33" s="12">
        <f t="shared" si="39"/>
        <v>40.5</v>
      </c>
      <c r="CO33" s="10">
        <f>INDEX('[2]PV.STOCK TIAP GUDANG'!$A:$CV,MATCH($A33,'[2]PV.STOCK TIAP GUDANG'!$A:$A,0),MATCH("Y05E|4+64|STOCK",[2]PVKEY!$1:$1,0))</f>
        <v>4</v>
      </c>
      <c r="CP33" s="11">
        <f>INDEX('[2]PV.STOCK TIAP GUDANG'!$A:$CV,MATCH($A33,'[2]PV.STOCK TIAP GUDANG'!$A:$A,0),MATCH("Y05E|4+64|SALES",[2]PVKEY!$1:$1,0))</f>
        <v>3</v>
      </c>
      <c r="CQ33" s="12">
        <f t="shared" si="40"/>
        <v>36</v>
      </c>
      <c r="CR33" s="13">
        <f t="shared" si="41"/>
        <v>50</v>
      </c>
      <c r="CS33" s="13">
        <f t="shared" si="42"/>
        <v>26</v>
      </c>
      <c r="CT33" s="13">
        <f t="shared" si="43"/>
        <v>51.923076923076927</v>
      </c>
      <c r="CU33" s="27" t="s">
        <v>84</v>
      </c>
    </row>
    <row r="34" spans="1:99" ht="16" x14ac:dyDescent="0.2">
      <c r="A34" s="9" t="s">
        <v>46</v>
      </c>
      <c r="B34" s="10">
        <f>INDEX('[2]PV.STOCK TIAP GUDANG'!$A:$CV,MATCH($A34,'[2]PV.STOCK TIAP GUDANG'!$A:$A,0),MATCH("FOLD5|STOCK",[2]PVKEY!$5:$5,0))</f>
        <v>0</v>
      </c>
      <c r="C34" s="11">
        <f>INDEX('[2]PV.STOCK TIAP GUDANG'!$A:$CV,MATCH($A34,'[2]PV.STOCK TIAP GUDANG'!$A:$A,0),MATCH("FOLD5|SALES",[2]PVKEY!$5:$5,0))</f>
        <v>0</v>
      </c>
      <c r="D34" s="12" t="str">
        <f t="shared" si="0"/>
        <v/>
      </c>
      <c r="E34" s="10">
        <f>INDEX('[2]PV.STOCK TIAP GUDANG'!$A:$CV,MATCH($A34,'[2]PV.STOCK TIAP GUDANG'!$A:$A,0),MATCH("X300ULTRA|16+1T|STOCK",[2]PVKEY!$1:$1,0))</f>
        <v>0</v>
      </c>
      <c r="F34" s="11">
        <f>INDEX('[2]PV.STOCK TIAP GUDANG'!$A:$CV,MATCH($A34,'[2]PV.STOCK TIAP GUDANG'!$A:$A,0),MATCH("X300ULTRA|16+1T|SALES",[2]PVKEY!$1:$1,0))</f>
        <v>0</v>
      </c>
      <c r="G34" s="12" t="str">
        <f t="shared" si="1"/>
        <v/>
      </c>
      <c r="H34" s="10">
        <f>INDEX('[2]PV.STOCK TIAP GUDANG'!$A:$CV,MATCH($A34,'[2]PV.STOCK TIAP GUDANG'!$A:$A,0),MATCH("X300ULTRA|16+512|STOCK",[2]PVKEY!$1:$1,0))</f>
        <v>0</v>
      </c>
      <c r="I34" s="11">
        <f>INDEX('[2]PV.STOCK TIAP GUDANG'!$A:$CV,MATCH($A34,'[2]PV.STOCK TIAP GUDANG'!$A:$A,0),MATCH("X300ULTRA|16+512|SALES",[2]PVKEY!$1:$1,0))</f>
        <v>1</v>
      </c>
      <c r="J34" s="12">
        <f t="shared" si="2"/>
        <v>0</v>
      </c>
      <c r="K34" s="11">
        <f t="shared" si="3"/>
        <v>0.37037037037037035</v>
      </c>
      <c r="L34" s="10">
        <f>INDEX('[2]PV.STOCK TIAP GUDANG'!$A:$CV,MATCH($A34,'[2]PV.STOCK TIAP GUDANG'!$A:$A,0),MATCH("X300PRO|16+512|STOCK",[2]PVKEY!$1:$1,0))</f>
        <v>0</v>
      </c>
      <c r="M34" s="11">
        <f>INDEX('[2]PV.STOCK TIAP GUDANG'!$A:$CV,MATCH($A34,'[2]PV.STOCK TIAP GUDANG'!$A:$A,0),MATCH("X300PRO|16+512|SALES",[2]PVKEY!$1:$1,0))</f>
        <v>0</v>
      </c>
      <c r="N34" s="12" t="str">
        <f t="shared" si="4"/>
        <v/>
      </c>
      <c r="O34" s="11">
        <f t="shared" si="5"/>
        <v>0</v>
      </c>
      <c r="P34" s="10">
        <f>INDEX('[2]PV.STOCK TIAP GUDANG'!$A:$CV,MATCH($A34,'[2]PV.STOCK TIAP GUDANG'!$A:$A,0),MATCH("X300|12+256|STOCK",[2]PVKEY!$1:$1,0))</f>
        <v>0</v>
      </c>
      <c r="Q34" s="11">
        <f>INDEX('[2]PV.STOCK TIAP GUDANG'!$A:$CV,MATCH($A34,'[2]PV.STOCK TIAP GUDANG'!$A:$A,0),MATCH("X300|12+256|SALES",[2]PVKEY!$1:$1,0))</f>
        <v>0</v>
      </c>
      <c r="R34" s="12" t="str">
        <f t="shared" si="6"/>
        <v/>
      </c>
      <c r="S34" s="10">
        <f>INDEX('[2]PV.STOCK TIAP GUDANG'!$A:$CV,MATCH($A34,'[2]PV.STOCK TIAP GUDANG'!$A:$A,0),MATCH("X300|16+512|STOCK",[2]PVKEY!$1:$1,0))</f>
        <v>0</v>
      </c>
      <c r="T34" s="11">
        <f>INDEX('[2]PV.STOCK TIAP GUDANG'!$A:$CV,MATCH($A34,'[2]PV.STOCK TIAP GUDANG'!$A:$A,0),MATCH("X300|16+512|SALES",[2]PVKEY!$1:$1,0))</f>
        <v>0</v>
      </c>
      <c r="U34" s="12" t="str">
        <f t="shared" si="7"/>
        <v/>
      </c>
      <c r="V34" s="10">
        <f>INDEX('[2]PV.STOCK TIAP GUDANG'!$A:$CV,MATCH($A34,'[2]PV.STOCK TIAP GUDANG'!$A:$A,0),MATCH("Y11D|4+128|STOCK",[2]PVKEY!$1:$1,0))</f>
        <v>4</v>
      </c>
      <c r="W34" s="11">
        <f>INDEX('[2]PV.STOCK TIAP GUDANG'!$A:$CV,MATCH($A34,'[2]PV.STOCK TIAP GUDANG'!$A:$A,0),MATCH("Y11D|4+128|SALES",[2]PVKEY!$1:$1,0))</f>
        <v>0</v>
      </c>
      <c r="X34" s="12" t="str">
        <f t="shared" si="8"/>
        <v/>
      </c>
      <c r="Y34" s="11">
        <f t="shared" si="9"/>
        <v>0</v>
      </c>
      <c r="Z34" s="10">
        <f>INDEX('[2]PV.STOCK TIAP GUDANG'!$A:$CV,MATCH($A34,'[2]PV.STOCK TIAP GUDANG'!$A:$A,0),MATCH("Y11D|4+64|STOCK",[2]PVKEY!$1:$1,0))</f>
        <v>4</v>
      </c>
      <c r="AA34" s="11">
        <f>INDEX('[2]PV.STOCK TIAP GUDANG'!$A:$CV,MATCH($A34,'[2]PV.STOCK TIAP GUDANG'!$A:$A,0),MATCH("Y11D|4+64|SALES",[2]PVKEY!$1:$1,0))</f>
        <v>2</v>
      </c>
      <c r="AB34" s="12">
        <f t="shared" si="10"/>
        <v>54</v>
      </c>
      <c r="AC34" s="11">
        <f t="shared" si="11"/>
        <v>0.37037037037037035</v>
      </c>
      <c r="AD34" s="10">
        <f>INDEX('[2]PV.STOCK TIAP GUDANG'!$A:$CV,MATCH($A34,'[2]PV.STOCK TIAP GUDANG'!$A:$A,0),MATCH("Y11D|6+128|STOCK",[2]PVKEY!$1:$1,0))</f>
        <v>0</v>
      </c>
      <c r="AE34" s="11">
        <f>INDEX('[2]PV.STOCK TIAP GUDANG'!$A:$CV,MATCH($A34,'[2]PV.STOCK TIAP GUDANG'!$A:$A,0),MATCH("Y11D|6+128|SALES",[2]PVKEY!$1:$1,0))</f>
        <v>0</v>
      </c>
      <c r="AF34" s="12" t="str">
        <f t="shared" si="12"/>
        <v/>
      </c>
      <c r="AG34" s="11">
        <f t="shared" si="13"/>
        <v>0</v>
      </c>
      <c r="AH34" s="10">
        <f>INDEX('[2]PV.STOCK TIAP GUDANG'!$A:$CV,MATCH($A34,'[2]PV.STOCK TIAP GUDANG'!$A:$A,0),MATCH("Y31D|4+128|STOCK",[2]PVKEY!$1:$1,0))</f>
        <v>1</v>
      </c>
      <c r="AI34" s="11">
        <f>INDEX('[2]PV.STOCK TIAP GUDANG'!$A:$CV,MATCH($A34,'[2]PV.STOCK TIAP GUDANG'!$A:$A,0),MATCH("Y31D|4+128|SALES",[2]PVKEY!$1:$1,0))</f>
        <v>2</v>
      </c>
      <c r="AJ34" s="12">
        <f t="shared" si="14"/>
        <v>13.5</v>
      </c>
      <c r="AK34" s="10">
        <f>INDEX('[2]PV.STOCK TIAP GUDANG'!$A:$CV,MATCH($A34,'[2]PV.STOCK TIAP GUDANG'!$A:$A,0),MATCH("Y31DPRO|4+128|STOCK",[2]PVKEY!$1:$1,0))</f>
        <v>1</v>
      </c>
      <c r="AL34" s="11">
        <f>INDEX('[2]PV.STOCK TIAP GUDANG'!$A:$CV,MATCH($A34,'[2]PV.STOCK TIAP GUDANG'!$A:$A,0),MATCH("Y31DPRO|4+128|SALES",[2]PVKEY!$1:$1,0))</f>
        <v>2</v>
      </c>
      <c r="AM34" s="12">
        <f t="shared" si="15"/>
        <v>13.5</v>
      </c>
      <c r="AN34" s="10">
        <f>INDEX('[2]PV.STOCK TIAP GUDANG'!$A:$CV,MATCH($A34,'[2]PV.STOCK TIAP GUDANG'!$A:$A,0),MATCH("Y31DPRO|6+128|STOCK",[2]PVKEY!$1:$1,0))</f>
        <v>3</v>
      </c>
      <c r="AO34" s="11">
        <f>INDEX('[2]PV.STOCK TIAP GUDANG'!$A:$CV,MATCH($A34,'[2]PV.STOCK TIAP GUDANG'!$A:$A,0),MATCH("Y31DPRO|6+128|SALES",[2]PVKEY!$1:$1,0))</f>
        <v>2</v>
      </c>
      <c r="AP34" s="12">
        <f t="shared" si="16"/>
        <v>40.5</v>
      </c>
      <c r="AQ34" s="11">
        <f t="shared" si="17"/>
        <v>0.37037037037037035</v>
      </c>
      <c r="AR34" s="10">
        <f>INDEX('[2]PV.STOCK TIAP GUDANG'!$A:$CV,MATCH($A34,'[2]PV.STOCK TIAP GUDANG'!$A:$A,0),MATCH("Y31DPRO|8+128|STOCK",[2]PVKEY!$1:$1,0))</f>
        <v>2</v>
      </c>
      <c r="AS34" s="11">
        <f>INDEX('[2]PV.STOCK TIAP GUDANG'!$A:$CV,MATCH($A34,'[2]PV.STOCK TIAP GUDANG'!$A:$A,0),MATCH("Y31DPRO|8+128|SALES",[2]PVKEY!$1:$1,0))</f>
        <v>1</v>
      </c>
      <c r="AT34" s="12">
        <f t="shared" si="18"/>
        <v>54</v>
      </c>
      <c r="AU34" s="11">
        <f t="shared" si="19"/>
        <v>0.18518518518518517</v>
      </c>
      <c r="AV34" s="10">
        <f>INDEX('[2]PV.STOCK TIAP GUDANG'!$A:$CV,MATCH($A34,'[2]PV.STOCK TIAP GUDANG'!$A:$A,0),MATCH("Y31DPRO|8+256|STOCK",[2]PVKEY!$1:$1,0))</f>
        <v>2</v>
      </c>
      <c r="AW34" s="11">
        <f>INDEX('[2]PV.STOCK TIAP GUDANG'!$A:$CV,MATCH($A34,'[2]PV.STOCK TIAP GUDANG'!$A:$A,0),MATCH("Y31DPRO|8+256|SALES",[2]PVKEY!$1:$1,0))</f>
        <v>1</v>
      </c>
      <c r="AX34" s="12">
        <f t="shared" si="20"/>
        <v>54</v>
      </c>
      <c r="AY34" s="11">
        <f t="shared" si="21"/>
        <v>0.18518518518518517</v>
      </c>
      <c r="AZ34" s="10">
        <f>INDEX('[2]PV.STOCK TIAP GUDANG'!$A:$CV,MATCH($A34,'[2]PV.STOCK TIAP GUDANG'!$A:$A,0),MATCH("V70|12+256|STOCK",[2]PVKEY!$1:$1,0))</f>
        <v>0</v>
      </c>
      <c r="BA34" s="11">
        <f>INDEX('[2]PV.STOCK TIAP GUDANG'!$A:$CV,MATCH($A34,'[2]PV.STOCK TIAP GUDANG'!$A:$A,0),MATCH("V70|12+256|SALES",[2]PVKEY!$1:$1,0))</f>
        <v>0</v>
      </c>
      <c r="BB34" s="12" t="str">
        <f t="shared" si="22"/>
        <v/>
      </c>
      <c r="BC34" s="10">
        <f>INDEX('[2]PV.STOCK TIAP GUDANG'!$A:$CV,MATCH($A34,'[2]PV.STOCK TIAP GUDANG'!$A:$A,0),MATCH("V70|8+256|STOCK",[2]PVKEY!$1:$1,0))</f>
        <v>4</v>
      </c>
      <c r="BD34" s="11">
        <f>INDEX('[2]PV.STOCK TIAP GUDANG'!$A:$CV,MATCH($A34,'[2]PV.STOCK TIAP GUDANG'!$A:$A,0),MATCH("V70|8+256|SALES",[2]PVKEY!$1:$1,0))</f>
        <v>1</v>
      </c>
      <c r="BE34" s="12">
        <f t="shared" si="23"/>
        <v>108</v>
      </c>
      <c r="BF34" s="11">
        <f t="shared" si="24"/>
        <v>0.29629629629629628</v>
      </c>
      <c r="BG34" s="10">
        <f>INDEX('[2]PV.STOCK TIAP GUDANG'!$A:$CV,MATCH($A34,'[2]PV.STOCK TIAP GUDANG'!$A:$A,0),MATCH("V70|12+512|STOCK",[2]PVKEY!$1:$1,0))</f>
        <v>0</v>
      </c>
      <c r="BH34" s="11">
        <f>INDEX('[2]PV.STOCK TIAP GUDANG'!$A:$CV,MATCH($A34,'[2]PV.STOCK TIAP GUDANG'!$A:$A,0),MATCH("V70|12+512|SALES",[2]PVKEY!$1:$1,0))</f>
        <v>0</v>
      </c>
      <c r="BI34" s="12" t="str">
        <f t="shared" si="25"/>
        <v/>
      </c>
      <c r="BJ34" s="11">
        <f t="shared" si="26"/>
        <v>0</v>
      </c>
      <c r="BK34" s="10">
        <f>INDEX('[2]PV.STOCK TIAP GUDANG'!$A:$CV,MATCH($A34,'[2]PV.STOCK TIAP GUDANG'!$A:$A,0),MATCH("V70FE|8+256|STOCK",[2]PVKEY!$1:$1,0))</f>
        <v>1</v>
      </c>
      <c r="BL34" s="11">
        <f>INDEX('[2]PV.STOCK TIAP GUDANG'!$A:$CV,MATCH($A34,'[2]PV.STOCK TIAP GUDANG'!$A:$A,0),MATCH("V70FE|8+256|SALES",[2]PVKEY!$1:$1,0))</f>
        <v>1</v>
      </c>
      <c r="BM34" s="12">
        <f t="shared" si="27"/>
        <v>27</v>
      </c>
      <c r="BN34" s="11">
        <f t="shared" si="28"/>
        <v>0.29629629629629628</v>
      </c>
      <c r="BO34" s="10">
        <f>INDEX('[2]PV.STOCK TIAP GUDANG'!$A:$CV,MATCH($A34,'[2]PV.STOCK TIAP GUDANG'!$A:$A,0),MATCH("V70FE|12+256|STOCK",[2]PVKEY!$1:$1,0))</f>
        <v>0</v>
      </c>
      <c r="BP34" s="11">
        <f>INDEX('[2]PV.STOCK TIAP GUDANG'!$A:$CV,MATCH($A34,'[2]PV.STOCK TIAP GUDANG'!$A:$A,0),MATCH("V70FE|12+256|SALES",[2]PVKEY!$1:$1,0))</f>
        <v>0</v>
      </c>
      <c r="BQ34" s="12" t="str">
        <f t="shared" si="29"/>
        <v/>
      </c>
      <c r="BR34" s="11">
        <f t="shared" si="30"/>
        <v>0</v>
      </c>
      <c r="BS34" s="10">
        <f>INDEX('[2]PV.STOCK TIAP GUDANG'!$A:$CV,MATCH($A34,'[2]PV.STOCK TIAP GUDANG'!$A:$A,0),MATCH("V60LITE5G|8+256|STOCK",[2]PVKEY!$1:$1,0))</f>
        <v>0</v>
      </c>
      <c r="BT34" s="11">
        <f>INDEX('[2]PV.STOCK TIAP GUDANG'!$A:$CV,MATCH($A34,'[2]PV.STOCK TIAP GUDANG'!$A:$A,0),MATCH("V60LITE5G|8+256|SALES",[2]PVKEY!$1:$1,0))</f>
        <v>0</v>
      </c>
      <c r="BU34" s="12" t="str">
        <f t="shared" si="31"/>
        <v/>
      </c>
      <c r="BV34" s="11">
        <f t="shared" si="32"/>
        <v>0</v>
      </c>
      <c r="BW34" s="10">
        <f>INDEX('[2]PV.STOCK TIAP GUDANG'!$A:$CV,MATCH($A34,'[2]PV.STOCK TIAP GUDANG'!$A:$A,0),MATCH("V60LITE|8+256|STOCK",[2]PVKEY!$1:$1,0))</f>
        <v>2</v>
      </c>
      <c r="BX34" s="11">
        <f>INDEX('[2]PV.STOCK TIAP GUDANG'!$A:$CV,MATCH($A34,'[2]PV.STOCK TIAP GUDANG'!$A:$A,0),MATCH("V60LITE|8+256|SALES",[2]PVKEY!$1:$1,0))</f>
        <v>3</v>
      </c>
      <c r="BY34" s="12">
        <f t="shared" si="33"/>
        <v>18</v>
      </c>
      <c r="BZ34" s="11">
        <f t="shared" si="34"/>
        <v>0.88888888888888884</v>
      </c>
      <c r="CA34" s="10">
        <f>INDEX('[2]PV.STOCK TIAP GUDANG'!$A:$CV,MATCH($A34,'[2]PV.STOCK TIAP GUDANG'!$A:$A,0),MATCH("Y05|4+128|STOCK",[2]PVKEY!$1:$1,0))</f>
        <v>3</v>
      </c>
      <c r="CB34" s="11">
        <f>INDEX('[2]PV.STOCK TIAP GUDANG'!$A:$CV,MATCH($A34,'[2]PV.STOCK TIAP GUDANG'!$A:$A,0),MATCH("Y05|4+128|SALES",[2]PVKEY!$1:$1,0))</f>
        <v>1</v>
      </c>
      <c r="CC34" s="12">
        <f t="shared" si="35"/>
        <v>81</v>
      </c>
      <c r="CD34" s="11">
        <f t="shared" si="44"/>
        <v>0.25925925925925924</v>
      </c>
      <c r="CE34" s="10">
        <f>INDEX('[2]PV.STOCK TIAP GUDANG'!$A:$CV,MATCH($A34,'[2]PV.STOCK TIAP GUDANG'!$A:$A,0),MATCH("Y05|4+64|STOCK",[2]PVKEY!$1:$1,0))</f>
        <v>1</v>
      </c>
      <c r="CF34" s="11">
        <f>INDEX('[2]PV.STOCK TIAP GUDANG'!$A:$CV,MATCH($A34,'[2]PV.STOCK TIAP GUDANG'!$A:$A,0),MATCH("Y05|4+64|SALES",[2]PVKEY!$1:$1,0))</f>
        <v>2</v>
      </c>
      <c r="CG34" s="12">
        <f t="shared" si="36"/>
        <v>13.5</v>
      </c>
      <c r="CH34" s="11">
        <f t="shared" si="37"/>
        <v>0.51851851851851849</v>
      </c>
      <c r="CI34" s="10">
        <f>INDEX('[2]PV.STOCK TIAP GUDANG'!$A:$CV,MATCH($A34,'[2]PV.STOCK TIAP GUDANG'!$A:$A,0),MATCH("Y500|6+128|STOCK",[2]PVKEY!$1:$1,0))</f>
        <v>2</v>
      </c>
      <c r="CJ34" s="11">
        <f>INDEX('[2]PV.STOCK TIAP GUDANG'!$A:$CV,MATCH($A34,'[2]PV.STOCK TIAP GUDANG'!$A:$A,0),MATCH("Y500|6+128|SALES",[2]PVKEY!$1:$1,0))</f>
        <v>0</v>
      </c>
      <c r="CK34" s="12" t="str">
        <f t="shared" si="38"/>
        <v/>
      </c>
      <c r="CL34" s="10">
        <f>INDEX('[2]PV.STOCK TIAP GUDANG'!$A:$CV,MATCH($A34,'[2]PV.STOCK TIAP GUDANG'!$A:$A,0),MATCH("Y500|6+256|STOCK",[2]PVKEY!$1:$1,0))</f>
        <v>2</v>
      </c>
      <c r="CM34" s="11">
        <f>INDEX('[2]PV.STOCK TIAP GUDANG'!$A:$CV,MATCH($A34,'[2]PV.STOCK TIAP GUDANG'!$A:$A,0),MATCH("Y500|6+256|SALES",[2]PVKEY!$1:$1,0))</f>
        <v>0</v>
      </c>
      <c r="CN34" s="12" t="str">
        <f t="shared" si="39"/>
        <v/>
      </c>
      <c r="CO34" s="10">
        <f>INDEX('[2]PV.STOCK TIAP GUDANG'!$A:$CV,MATCH($A34,'[2]PV.STOCK TIAP GUDANG'!$A:$A,0),MATCH("Y05E|4+64|STOCK",[2]PVKEY!$1:$1,0))</f>
        <v>3</v>
      </c>
      <c r="CP34" s="11">
        <f>INDEX('[2]PV.STOCK TIAP GUDANG'!$A:$CV,MATCH($A34,'[2]PV.STOCK TIAP GUDANG'!$A:$A,0),MATCH("Y05E|4+64|SALES",[2]PVKEY!$1:$1,0))</f>
        <v>1</v>
      </c>
      <c r="CQ34" s="12">
        <f t="shared" si="40"/>
        <v>81</v>
      </c>
      <c r="CR34" s="13">
        <f t="shared" si="41"/>
        <v>35</v>
      </c>
      <c r="CS34" s="13">
        <f t="shared" si="42"/>
        <v>20</v>
      </c>
      <c r="CT34" s="13">
        <f t="shared" si="43"/>
        <v>47.25</v>
      </c>
      <c r="CU34" t="s">
        <v>85</v>
      </c>
    </row>
    <row r="35" spans="1:99" ht="16" x14ac:dyDescent="0.2">
      <c r="A35" s="9" t="s">
        <v>92</v>
      </c>
      <c r="B35" s="10">
        <f>INDEX('[2]PV.STOCK TIAP GUDANG'!$A:$CV,MATCH($A35,'[2]PV.STOCK TIAP GUDANG'!$A:$A,0),MATCH("FOLD5|STOCK",[2]PVKEY!$5:$5,0))</f>
        <v>0</v>
      </c>
      <c r="C35" s="11">
        <f>INDEX('[2]PV.STOCK TIAP GUDANG'!$A:$CV,MATCH($A35,'[2]PV.STOCK TIAP GUDANG'!$A:$A,0),MATCH("FOLD5|SALES",[2]PVKEY!$5:$5,0))</f>
        <v>0</v>
      </c>
      <c r="D35" s="12" t="str">
        <f t="shared" si="0"/>
        <v/>
      </c>
      <c r="E35" s="10">
        <f>INDEX('[2]PV.STOCK TIAP GUDANG'!$A:$CV,MATCH($A35,'[2]PV.STOCK TIAP GUDANG'!$A:$A,0),MATCH("X300ULTRA|16+1T|STOCK",[2]PVKEY!$1:$1,0))</f>
        <v>0</v>
      </c>
      <c r="F35" s="11">
        <f>INDEX('[2]PV.STOCK TIAP GUDANG'!$A:$CV,MATCH($A35,'[2]PV.STOCK TIAP GUDANG'!$A:$A,0),MATCH("X300ULTRA|16+1T|SALES",[2]PVKEY!$1:$1,0))</f>
        <v>0</v>
      </c>
      <c r="G35" s="12" t="str">
        <f t="shared" si="1"/>
        <v/>
      </c>
      <c r="H35" s="10">
        <f>INDEX('[2]PV.STOCK TIAP GUDANG'!$A:$CV,MATCH($A35,'[2]PV.STOCK TIAP GUDANG'!$A:$A,0),MATCH("X300ULTRA|16+512|STOCK",[2]PVKEY!$1:$1,0))</f>
        <v>1</v>
      </c>
      <c r="I35" s="11">
        <f>INDEX('[2]PV.STOCK TIAP GUDANG'!$A:$CV,MATCH($A35,'[2]PV.STOCK TIAP GUDANG'!$A:$A,0),MATCH("X300ULTRA|16+512|SALES",[2]PVKEY!$1:$1,0))</f>
        <v>0</v>
      </c>
      <c r="J35" s="12" t="str">
        <f t="shared" si="2"/>
        <v/>
      </c>
      <c r="K35" s="11">
        <f t="shared" si="3"/>
        <v>0</v>
      </c>
      <c r="L35" s="10">
        <f>INDEX('[2]PV.STOCK TIAP GUDANG'!$A:$CV,MATCH($A35,'[2]PV.STOCK TIAP GUDANG'!$A:$A,0),MATCH("X300PRO|16+512|STOCK",[2]PVKEY!$1:$1,0))</f>
        <v>0</v>
      </c>
      <c r="M35" s="11">
        <f>INDEX('[2]PV.STOCK TIAP GUDANG'!$A:$CV,MATCH($A35,'[2]PV.STOCK TIAP GUDANG'!$A:$A,0),MATCH("X300PRO|16+512|SALES",[2]PVKEY!$1:$1,0))</f>
        <v>0</v>
      </c>
      <c r="N35" s="12" t="str">
        <f t="shared" si="4"/>
        <v/>
      </c>
      <c r="O35" s="11">
        <f t="shared" si="5"/>
        <v>0</v>
      </c>
      <c r="P35" s="10">
        <f>INDEX('[2]PV.STOCK TIAP GUDANG'!$A:$CV,MATCH($A35,'[2]PV.STOCK TIAP GUDANG'!$A:$A,0),MATCH("X300|12+256|STOCK",[2]PVKEY!$1:$1,0))</f>
        <v>0</v>
      </c>
      <c r="Q35" s="11">
        <f>INDEX('[2]PV.STOCK TIAP GUDANG'!$A:$CV,MATCH($A35,'[2]PV.STOCK TIAP GUDANG'!$A:$A,0),MATCH("X300|12+256|SALES",[2]PVKEY!$1:$1,0))</f>
        <v>0</v>
      </c>
      <c r="R35" s="12" t="str">
        <f t="shared" si="6"/>
        <v/>
      </c>
      <c r="S35" s="10">
        <f>INDEX('[2]PV.STOCK TIAP GUDANG'!$A:$CV,MATCH($A35,'[2]PV.STOCK TIAP GUDANG'!$A:$A,0),MATCH("X300|16+512|STOCK",[2]PVKEY!$1:$1,0))</f>
        <v>0</v>
      </c>
      <c r="T35" s="11">
        <f>INDEX('[2]PV.STOCK TIAP GUDANG'!$A:$CV,MATCH($A35,'[2]PV.STOCK TIAP GUDANG'!$A:$A,0),MATCH("X300|16+512|SALES",[2]PVKEY!$1:$1,0))</f>
        <v>0</v>
      </c>
      <c r="U35" s="12" t="str">
        <f t="shared" si="7"/>
        <v/>
      </c>
      <c r="V35" s="10">
        <f>INDEX('[2]PV.STOCK TIAP GUDANG'!$A:$CV,MATCH($A35,'[2]PV.STOCK TIAP GUDANG'!$A:$A,0),MATCH("Y11D|4+128|STOCK",[2]PVKEY!$1:$1,0))</f>
        <v>0</v>
      </c>
      <c r="W35" s="11">
        <f>INDEX('[2]PV.STOCK TIAP GUDANG'!$A:$CV,MATCH($A35,'[2]PV.STOCK TIAP GUDANG'!$A:$A,0),MATCH("Y11D|4+128|SALES",[2]PVKEY!$1:$1,0))</f>
        <v>1</v>
      </c>
      <c r="X35" s="12">
        <f t="shared" si="8"/>
        <v>0</v>
      </c>
      <c r="Y35" s="11">
        <f t="shared" si="9"/>
        <v>0.18518518518518517</v>
      </c>
      <c r="Z35" s="10">
        <f>INDEX('[2]PV.STOCK TIAP GUDANG'!$A:$CV,MATCH($A35,'[2]PV.STOCK TIAP GUDANG'!$A:$A,0),MATCH("Y11D|4+64|STOCK",[2]PVKEY!$1:$1,0))</f>
        <v>0</v>
      </c>
      <c r="AA35" s="11">
        <f>INDEX('[2]PV.STOCK TIAP GUDANG'!$A:$CV,MATCH($A35,'[2]PV.STOCK TIAP GUDANG'!$A:$A,0),MATCH("Y11D|4+64|SALES",[2]PVKEY!$1:$1,0))</f>
        <v>3</v>
      </c>
      <c r="AB35" s="12">
        <f t="shared" si="10"/>
        <v>0</v>
      </c>
      <c r="AC35" s="11">
        <f t="shared" si="11"/>
        <v>0.55555555555555558</v>
      </c>
      <c r="AD35" s="10">
        <f>INDEX('[2]PV.STOCK TIAP GUDANG'!$A:$CV,MATCH($A35,'[2]PV.STOCK TIAP GUDANG'!$A:$A,0),MATCH("Y11D|6+128|STOCK",[2]PVKEY!$1:$1,0))</f>
        <v>0</v>
      </c>
      <c r="AE35" s="11">
        <f>INDEX('[2]PV.STOCK TIAP GUDANG'!$A:$CV,MATCH($A35,'[2]PV.STOCK TIAP GUDANG'!$A:$A,0),MATCH("Y11D|6+128|SALES",[2]PVKEY!$1:$1,0))</f>
        <v>0</v>
      </c>
      <c r="AF35" s="12" t="str">
        <f t="shared" si="12"/>
        <v/>
      </c>
      <c r="AG35" s="11">
        <f t="shared" si="13"/>
        <v>0</v>
      </c>
      <c r="AH35" s="10">
        <f>INDEX('[2]PV.STOCK TIAP GUDANG'!$A:$CV,MATCH($A35,'[2]PV.STOCK TIAP GUDANG'!$A:$A,0),MATCH("Y31D|4+128|STOCK",[2]PVKEY!$1:$1,0))</f>
        <v>2</v>
      </c>
      <c r="AI35" s="11">
        <f>INDEX('[2]PV.STOCK TIAP GUDANG'!$A:$CV,MATCH($A35,'[2]PV.STOCK TIAP GUDANG'!$A:$A,0),MATCH("Y31D|4+128|SALES",[2]PVKEY!$1:$1,0))</f>
        <v>1</v>
      </c>
      <c r="AJ35" s="12">
        <f t="shared" si="14"/>
        <v>54</v>
      </c>
      <c r="AK35" s="10">
        <f>INDEX('[2]PV.STOCK TIAP GUDANG'!$A:$CV,MATCH($A35,'[2]PV.STOCK TIAP GUDANG'!$A:$A,0),MATCH("Y31DPRO|4+128|STOCK",[2]PVKEY!$1:$1,0))</f>
        <v>2</v>
      </c>
      <c r="AL35" s="11">
        <f>INDEX('[2]PV.STOCK TIAP GUDANG'!$A:$CV,MATCH($A35,'[2]PV.STOCK TIAP GUDANG'!$A:$A,0),MATCH("Y31DPRO|4+128|SALES",[2]PVKEY!$1:$1,0))</f>
        <v>0</v>
      </c>
      <c r="AM35" s="12" t="str">
        <f t="shared" si="15"/>
        <v/>
      </c>
      <c r="AN35" s="10">
        <f>INDEX('[2]PV.STOCK TIAP GUDANG'!$A:$CV,MATCH($A35,'[2]PV.STOCK TIAP GUDANG'!$A:$A,0),MATCH("Y31DPRO|6+128|STOCK",[2]PVKEY!$1:$1,0))</f>
        <v>1</v>
      </c>
      <c r="AO35" s="11">
        <f>INDEX('[2]PV.STOCK TIAP GUDANG'!$A:$CV,MATCH($A35,'[2]PV.STOCK TIAP GUDANG'!$A:$A,0),MATCH("Y31DPRO|6+128|SALES",[2]PVKEY!$1:$1,0))</f>
        <v>1</v>
      </c>
      <c r="AP35" s="12">
        <f t="shared" si="16"/>
        <v>27</v>
      </c>
      <c r="AQ35" s="11">
        <f t="shared" si="17"/>
        <v>0.18518518518518517</v>
      </c>
      <c r="AR35" s="10">
        <f>INDEX('[2]PV.STOCK TIAP GUDANG'!$A:$CV,MATCH($A35,'[2]PV.STOCK TIAP GUDANG'!$A:$A,0),MATCH("Y31DPRO|8+128|STOCK",[2]PVKEY!$1:$1,0))</f>
        <v>0</v>
      </c>
      <c r="AS35" s="11">
        <f>INDEX('[2]PV.STOCK TIAP GUDANG'!$A:$CV,MATCH($A35,'[2]PV.STOCK TIAP GUDANG'!$A:$A,0),MATCH("Y31DPRO|8+128|SALES",[2]PVKEY!$1:$1,0))</f>
        <v>0</v>
      </c>
      <c r="AT35" s="12" t="str">
        <f t="shared" si="18"/>
        <v/>
      </c>
      <c r="AU35" s="11">
        <f t="shared" si="19"/>
        <v>0</v>
      </c>
      <c r="AV35" s="10">
        <f>INDEX('[2]PV.STOCK TIAP GUDANG'!$A:$CV,MATCH($A35,'[2]PV.STOCK TIAP GUDANG'!$A:$A,0),MATCH("Y31DPRO|8+256|STOCK",[2]PVKEY!$1:$1,0))</f>
        <v>1</v>
      </c>
      <c r="AW35" s="11">
        <f>INDEX('[2]PV.STOCK TIAP GUDANG'!$A:$CV,MATCH($A35,'[2]PV.STOCK TIAP GUDANG'!$A:$A,0),MATCH("Y31DPRO|8+256|SALES",[2]PVKEY!$1:$1,0))</f>
        <v>0</v>
      </c>
      <c r="AX35" s="12" t="str">
        <f t="shared" si="20"/>
        <v/>
      </c>
      <c r="AY35" s="11">
        <f t="shared" si="21"/>
        <v>0</v>
      </c>
      <c r="AZ35" s="10">
        <f>INDEX('[2]PV.STOCK TIAP GUDANG'!$A:$CV,MATCH($A35,'[2]PV.STOCK TIAP GUDANG'!$A:$A,0),MATCH("V70|12+256|STOCK",[2]PVKEY!$1:$1,0))</f>
        <v>0</v>
      </c>
      <c r="BA35" s="11">
        <f>INDEX('[2]PV.STOCK TIAP GUDANG'!$A:$CV,MATCH($A35,'[2]PV.STOCK TIAP GUDANG'!$A:$A,0),MATCH("V70|12+256|SALES",[2]PVKEY!$1:$1,0))</f>
        <v>0</v>
      </c>
      <c r="BB35" s="12" t="str">
        <f t="shared" si="22"/>
        <v/>
      </c>
      <c r="BC35" s="10">
        <f>INDEX('[2]PV.STOCK TIAP GUDANG'!$A:$CV,MATCH($A35,'[2]PV.STOCK TIAP GUDANG'!$A:$A,0),MATCH("V70|8+256|STOCK",[2]PVKEY!$1:$1,0))</f>
        <v>3</v>
      </c>
      <c r="BD35" s="11">
        <f>INDEX('[2]PV.STOCK TIAP GUDANG'!$A:$CV,MATCH($A35,'[2]PV.STOCK TIAP GUDANG'!$A:$A,0),MATCH("V70|8+256|SALES",[2]PVKEY!$1:$1,0))</f>
        <v>0</v>
      </c>
      <c r="BE35" s="12" t="str">
        <f t="shared" si="23"/>
        <v/>
      </c>
      <c r="BF35" s="11">
        <f t="shared" si="24"/>
        <v>0</v>
      </c>
      <c r="BG35" s="10">
        <f>INDEX('[2]PV.STOCK TIAP GUDANG'!$A:$CV,MATCH($A35,'[2]PV.STOCK TIAP GUDANG'!$A:$A,0),MATCH("V70|12+512|STOCK",[2]PVKEY!$1:$1,0))</f>
        <v>0</v>
      </c>
      <c r="BH35" s="11">
        <f>INDEX('[2]PV.STOCK TIAP GUDANG'!$A:$CV,MATCH($A35,'[2]PV.STOCK TIAP GUDANG'!$A:$A,0),MATCH("V70|12+512|SALES",[2]PVKEY!$1:$1,0))</f>
        <v>0</v>
      </c>
      <c r="BI35" s="12" t="str">
        <f t="shared" si="25"/>
        <v/>
      </c>
      <c r="BJ35" s="11">
        <f t="shared" si="26"/>
        <v>0</v>
      </c>
      <c r="BK35" s="10">
        <f>INDEX('[2]PV.STOCK TIAP GUDANG'!$A:$CV,MATCH($A35,'[2]PV.STOCK TIAP GUDANG'!$A:$A,0),MATCH("V70FE|8+256|STOCK",[2]PVKEY!$1:$1,0))</f>
        <v>0</v>
      </c>
      <c r="BL35" s="11">
        <f>INDEX('[2]PV.STOCK TIAP GUDANG'!$A:$CV,MATCH($A35,'[2]PV.STOCK TIAP GUDANG'!$A:$A,0),MATCH("V70FE|8+256|SALES",[2]PVKEY!$1:$1,0))</f>
        <v>0</v>
      </c>
      <c r="BM35" s="12" t="str">
        <f t="shared" si="27"/>
        <v/>
      </c>
      <c r="BN35" s="11">
        <f t="shared" si="28"/>
        <v>0</v>
      </c>
      <c r="BO35" s="10">
        <f>INDEX('[2]PV.STOCK TIAP GUDANG'!$A:$CV,MATCH($A35,'[2]PV.STOCK TIAP GUDANG'!$A:$A,0),MATCH("V70FE|12+256|STOCK",[2]PVKEY!$1:$1,0))</f>
        <v>1</v>
      </c>
      <c r="BP35" s="11">
        <f>INDEX('[2]PV.STOCK TIAP GUDANG'!$A:$CV,MATCH($A35,'[2]PV.STOCK TIAP GUDANG'!$A:$A,0),MATCH("V70FE|12+256|SALES",[2]PVKEY!$1:$1,0))</f>
        <v>0</v>
      </c>
      <c r="BQ35" s="12" t="str">
        <f t="shared" si="29"/>
        <v/>
      </c>
      <c r="BR35" s="11">
        <f t="shared" si="30"/>
        <v>0</v>
      </c>
      <c r="BS35" s="10">
        <f>INDEX('[2]PV.STOCK TIAP GUDANG'!$A:$CV,MATCH($A35,'[2]PV.STOCK TIAP GUDANG'!$A:$A,0),MATCH("V60LITE5G|8+256|STOCK",[2]PVKEY!$1:$1,0))</f>
        <v>0</v>
      </c>
      <c r="BT35" s="11">
        <f>INDEX('[2]PV.STOCK TIAP GUDANG'!$A:$CV,MATCH($A35,'[2]PV.STOCK TIAP GUDANG'!$A:$A,0),MATCH("V60LITE5G|8+256|SALES",[2]PVKEY!$1:$1,0))</f>
        <v>0</v>
      </c>
      <c r="BU35" s="12" t="str">
        <f t="shared" si="31"/>
        <v/>
      </c>
      <c r="BV35" s="11">
        <f t="shared" si="32"/>
        <v>0</v>
      </c>
      <c r="BW35" s="10">
        <f>INDEX('[2]PV.STOCK TIAP GUDANG'!$A:$CV,MATCH($A35,'[2]PV.STOCK TIAP GUDANG'!$A:$A,0),MATCH("V60LITE|8+256|STOCK",[2]PVKEY!$1:$1,0))</f>
        <v>5</v>
      </c>
      <c r="BX35" s="11">
        <f>INDEX('[2]PV.STOCK TIAP GUDANG'!$A:$CV,MATCH($A35,'[2]PV.STOCK TIAP GUDANG'!$A:$A,0),MATCH("V60LITE|8+256|SALES",[2]PVKEY!$1:$1,0))</f>
        <v>3</v>
      </c>
      <c r="BY35" s="12">
        <f t="shared" si="33"/>
        <v>45</v>
      </c>
      <c r="BZ35" s="11">
        <f t="shared" si="34"/>
        <v>0.88888888888888884</v>
      </c>
      <c r="CA35" s="10">
        <f>INDEX('[2]PV.STOCK TIAP GUDANG'!$A:$CV,MATCH($A35,'[2]PV.STOCK TIAP GUDANG'!$A:$A,0),MATCH("Y05|4+128|STOCK",[2]PVKEY!$1:$1,0))</f>
        <v>0</v>
      </c>
      <c r="CB35" s="11">
        <f>INDEX('[2]PV.STOCK TIAP GUDANG'!$A:$CV,MATCH($A35,'[2]PV.STOCK TIAP GUDANG'!$A:$A,0),MATCH("Y05|4+128|SALES",[2]PVKEY!$1:$1,0))</f>
        <v>3</v>
      </c>
      <c r="CC35" s="12">
        <f t="shared" si="35"/>
        <v>0</v>
      </c>
      <c r="CD35" s="11">
        <f t="shared" si="44"/>
        <v>0.77777777777777768</v>
      </c>
      <c r="CE35" s="10">
        <f>INDEX('[2]PV.STOCK TIAP GUDANG'!$A:$CV,MATCH($A35,'[2]PV.STOCK TIAP GUDANG'!$A:$A,0),MATCH("Y05|4+64|STOCK",[2]PVKEY!$1:$1,0))</f>
        <v>1</v>
      </c>
      <c r="CF35" s="11">
        <f>INDEX('[2]PV.STOCK TIAP GUDANG'!$A:$CV,MATCH($A35,'[2]PV.STOCK TIAP GUDANG'!$A:$A,0),MATCH("Y05|4+64|SALES",[2]PVKEY!$1:$1,0))</f>
        <v>0</v>
      </c>
      <c r="CG35" s="12" t="str">
        <f t="shared" si="36"/>
        <v/>
      </c>
      <c r="CH35" s="11">
        <f t="shared" si="37"/>
        <v>0</v>
      </c>
      <c r="CI35" s="10">
        <f>INDEX('[2]PV.STOCK TIAP GUDANG'!$A:$CV,MATCH($A35,'[2]PV.STOCK TIAP GUDANG'!$A:$A,0),MATCH("Y500|6+128|STOCK",[2]PVKEY!$1:$1,0))</f>
        <v>1</v>
      </c>
      <c r="CJ35" s="11">
        <f>INDEX('[2]PV.STOCK TIAP GUDANG'!$A:$CV,MATCH($A35,'[2]PV.STOCK TIAP GUDANG'!$A:$A,0),MATCH("Y500|6+128|SALES",[2]PVKEY!$1:$1,0))</f>
        <v>0</v>
      </c>
      <c r="CK35" s="12" t="str">
        <f t="shared" si="38"/>
        <v/>
      </c>
      <c r="CL35" s="10">
        <f>INDEX('[2]PV.STOCK TIAP GUDANG'!$A:$CV,MATCH($A35,'[2]PV.STOCK TIAP GUDANG'!$A:$A,0),MATCH("Y500|6+256|STOCK",[2]PVKEY!$1:$1,0))</f>
        <v>1</v>
      </c>
      <c r="CM35" s="11">
        <f>INDEX('[2]PV.STOCK TIAP GUDANG'!$A:$CV,MATCH($A35,'[2]PV.STOCK TIAP GUDANG'!$A:$A,0),MATCH("Y500|6+256|SALES",[2]PVKEY!$1:$1,0))</f>
        <v>0</v>
      </c>
      <c r="CN35" s="12" t="str">
        <f t="shared" si="39"/>
        <v/>
      </c>
      <c r="CO35" s="10">
        <f>INDEX('[2]PV.STOCK TIAP GUDANG'!$A:$CV,MATCH($A35,'[2]PV.STOCK TIAP GUDANG'!$A:$A,0),MATCH("Y05E|4+64|STOCK",[2]PVKEY!$1:$1,0))</f>
        <v>2</v>
      </c>
      <c r="CP35" s="11">
        <f>INDEX('[2]PV.STOCK TIAP GUDANG'!$A:$CV,MATCH($A35,'[2]PV.STOCK TIAP GUDANG'!$A:$A,0),MATCH("Y05E|4+64|SALES",[2]PVKEY!$1:$1,0))</f>
        <v>1</v>
      </c>
      <c r="CQ35" s="12">
        <f t="shared" si="40"/>
        <v>54</v>
      </c>
      <c r="CR35" s="13">
        <f t="shared" si="41"/>
        <v>21</v>
      </c>
      <c r="CS35" s="13">
        <f t="shared" si="42"/>
        <v>13</v>
      </c>
      <c r="CT35" s="13">
        <f t="shared" si="43"/>
        <v>43.61538461538462</v>
      </c>
      <c r="CU35"/>
    </row>
    <row r="36" spans="1:99" x14ac:dyDescent="0.15">
      <c r="A36" s="9" t="s">
        <v>96</v>
      </c>
      <c r="B36" s="10">
        <f>INDEX('[2]PV.STOCK TIAP GUDANG'!$A:$CV,MATCH($A36,'[2]PV.STOCK TIAP GUDANG'!$A:$A,0),MATCH("FOLD5|STOCK",[2]PVKEY!$5:$5,0))</f>
        <v>0</v>
      </c>
      <c r="C36" s="11">
        <f>INDEX('[2]PV.STOCK TIAP GUDANG'!$A:$CV,MATCH($A36,'[2]PV.STOCK TIAP GUDANG'!$A:$A,0),MATCH("FOLD5|SALES",[2]PVKEY!$5:$5,0))</f>
        <v>0</v>
      </c>
      <c r="D36" s="12" t="str">
        <f t="shared" si="0"/>
        <v/>
      </c>
      <c r="E36" s="10">
        <f>INDEX('[2]PV.STOCK TIAP GUDANG'!$A:$CV,MATCH($A36,'[2]PV.STOCK TIAP GUDANG'!$A:$A,0),MATCH("X300ULTRA|16+1T|STOCK",[2]PVKEY!$1:$1,0))</f>
        <v>0</v>
      </c>
      <c r="F36" s="11">
        <f>INDEX('[2]PV.STOCK TIAP GUDANG'!$A:$CV,MATCH($A36,'[2]PV.STOCK TIAP GUDANG'!$A:$A,0),MATCH("X300ULTRA|16+1T|SALES",[2]PVKEY!$1:$1,0))</f>
        <v>0</v>
      </c>
      <c r="G36" s="12" t="str">
        <f t="shared" si="1"/>
        <v/>
      </c>
      <c r="H36" s="10">
        <f>INDEX('[2]PV.STOCK TIAP GUDANG'!$A:$CV,MATCH($A36,'[2]PV.STOCK TIAP GUDANG'!$A:$A,0),MATCH("X300ULTRA|16+512|STOCK",[2]PVKEY!$1:$1,0))</f>
        <v>0</v>
      </c>
      <c r="I36" s="11">
        <f>INDEX('[2]PV.STOCK TIAP GUDANG'!$A:$CV,MATCH($A36,'[2]PV.STOCK TIAP GUDANG'!$A:$A,0),MATCH("X300ULTRA|16+512|SALES",[2]PVKEY!$1:$1,0))</f>
        <v>0</v>
      </c>
      <c r="J36" s="12" t="str">
        <f t="shared" si="2"/>
        <v/>
      </c>
      <c r="K36" s="11">
        <f t="shared" si="3"/>
        <v>0</v>
      </c>
      <c r="L36" s="10">
        <f>INDEX('[2]PV.STOCK TIAP GUDANG'!$A:$CV,MATCH($A36,'[2]PV.STOCK TIAP GUDANG'!$A:$A,0),MATCH("X300PRO|16+512|STOCK",[2]PVKEY!$1:$1,0))</f>
        <v>0</v>
      </c>
      <c r="M36" s="11">
        <f>INDEX('[2]PV.STOCK TIAP GUDANG'!$A:$CV,MATCH($A36,'[2]PV.STOCK TIAP GUDANG'!$A:$A,0),MATCH("X300PRO|16+512|SALES",[2]PVKEY!$1:$1,0))</f>
        <v>0</v>
      </c>
      <c r="N36" s="12" t="str">
        <f t="shared" si="4"/>
        <v/>
      </c>
      <c r="O36" s="11">
        <f t="shared" si="5"/>
        <v>0</v>
      </c>
      <c r="P36" s="10">
        <f>INDEX('[2]PV.STOCK TIAP GUDANG'!$A:$CV,MATCH($A36,'[2]PV.STOCK TIAP GUDANG'!$A:$A,0),MATCH("X300|12+256|STOCK",[2]PVKEY!$1:$1,0))</f>
        <v>0</v>
      </c>
      <c r="Q36" s="11">
        <f>INDEX('[2]PV.STOCK TIAP GUDANG'!$A:$CV,MATCH($A36,'[2]PV.STOCK TIAP GUDANG'!$A:$A,0),MATCH("X300|12+256|SALES",[2]PVKEY!$1:$1,0))</f>
        <v>0</v>
      </c>
      <c r="R36" s="12" t="str">
        <f t="shared" si="6"/>
        <v/>
      </c>
      <c r="S36" s="10">
        <f>INDEX('[2]PV.STOCK TIAP GUDANG'!$A:$CV,MATCH($A36,'[2]PV.STOCK TIAP GUDANG'!$A:$A,0),MATCH("X300|16+512|STOCK",[2]PVKEY!$1:$1,0))</f>
        <v>0</v>
      </c>
      <c r="T36" s="11">
        <f>INDEX('[2]PV.STOCK TIAP GUDANG'!$A:$CV,MATCH($A36,'[2]PV.STOCK TIAP GUDANG'!$A:$A,0),MATCH("X300|16+512|SALES",[2]PVKEY!$1:$1,0))</f>
        <v>0</v>
      </c>
      <c r="U36" s="12" t="str">
        <f t="shared" si="7"/>
        <v/>
      </c>
      <c r="V36" s="10">
        <f>INDEX('[2]PV.STOCK TIAP GUDANG'!$A:$CV,MATCH($A36,'[2]PV.STOCK TIAP GUDANG'!$A:$A,0),MATCH("Y11D|4+128|STOCK",[2]PVKEY!$1:$1,0))</f>
        <v>2</v>
      </c>
      <c r="W36" s="11">
        <f>INDEX('[2]PV.STOCK TIAP GUDANG'!$A:$CV,MATCH($A36,'[2]PV.STOCK TIAP GUDANG'!$A:$A,0),MATCH("Y11D|4+128|SALES",[2]PVKEY!$1:$1,0))</f>
        <v>1</v>
      </c>
      <c r="X36" s="12">
        <f t="shared" si="8"/>
        <v>54</v>
      </c>
      <c r="Y36" s="11">
        <f t="shared" si="9"/>
        <v>0.18518518518518517</v>
      </c>
      <c r="Z36" s="10">
        <f>INDEX('[2]PV.STOCK TIAP GUDANG'!$A:$CV,MATCH($A36,'[2]PV.STOCK TIAP GUDANG'!$A:$A,0),MATCH("Y11D|4+64|STOCK",[2]PVKEY!$1:$1,0))</f>
        <v>3</v>
      </c>
      <c r="AA36" s="11">
        <f>INDEX('[2]PV.STOCK TIAP GUDANG'!$A:$CV,MATCH($A36,'[2]PV.STOCK TIAP GUDANG'!$A:$A,0),MATCH("Y11D|4+64|SALES",[2]PVKEY!$1:$1,0))</f>
        <v>1</v>
      </c>
      <c r="AB36" s="12">
        <f t="shared" si="10"/>
        <v>81</v>
      </c>
      <c r="AC36" s="11">
        <f t="shared" si="11"/>
        <v>0.18518518518518517</v>
      </c>
      <c r="AD36" s="10">
        <f>INDEX('[2]PV.STOCK TIAP GUDANG'!$A:$CV,MATCH($A36,'[2]PV.STOCK TIAP GUDANG'!$A:$A,0),MATCH("Y11D|6+128|STOCK",[2]PVKEY!$1:$1,0))</f>
        <v>0</v>
      </c>
      <c r="AE36" s="11">
        <f>INDEX('[2]PV.STOCK TIAP GUDANG'!$A:$CV,MATCH($A36,'[2]PV.STOCK TIAP GUDANG'!$A:$A,0),MATCH("Y11D|6+128|SALES",[2]PVKEY!$1:$1,0))</f>
        <v>0</v>
      </c>
      <c r="AF36" s="12" t="str">
        <f t="shared" si="12"/>
        <v/>
      </c>
      <c r="AG36" s="11">
        <f t="shared" si="13"/>
        <v>0</v>
      </c>
      <c r="AH36" s="10">
        <f>INDEX('[2]PV.STOCK TIAP GUDANG'!$A:$CV,MATCH($A36,'[2]PV.STOCK TIAP GUDANG'!$A:$A,0),MATCH("Y31D|4+128|STOCK",[2]PVKEY!$1:$1,0))</f>
        <v>1</v>
      </c>
      <c r="AI36" s="11">
        <f>INDEX('[2]PV.STOCK TIAP GUDANG'!$A:$CV,MATCH($A36,'[2]PV.STOCK TIAP GUDANG'!$A:$A,0),MATCH("Y31D|4+128|SALES",[2]PVKEY!$1:$1,0))</f>
        <v>0</v>
      </c>
      <c r="AJ36" s="12" t="str">
        <f t="shared" si="14"/>
        <v/>
      </c>
      <c r="AK36" s="10">
        <f>INDEX('[2]PV.STOCK TIAP GUDANG'!$A:$CV,MATCH($A36,'[2]PV.STOCK TIAP GUDANG'!$A:$A,0),MATCH("Y31DPRO|4+128|STOCK",[2]PVKEY!$1:$1,0))</f>
        <v>1</v>
      </c>
      <c r="AL36" s="11">
        <f>INDEX('[2]PV.STOCK TIAP GUDANG'!$A:$CV,MATCH($A36,'[2]PV.STOCK TIAP GUDANG'!$A:$A,0),MATCH("Y31DPRO|4+128|SALES",[2]PVKEY!$1:$1,0))</f>
        <v>0</v>
      </c>
      <c r="AM36" s="12" t="str">
        <f t="shared" si="15"/>
        <v/>
      </c>
      <c r="AN36" s="10">
        <f>INDEX('[2]PV.STOCK TIAP GUDANG'!$A:$CV,MATCH($A36,'[2]PV.STOCK TIAP GUDANG'!$A:$A,0),MATCH("Y31DPRO|6+128|STOCK",[2]PVKEY!$1:$1,0))</f>
        <v>0</v>
      </c>
      <c r="AO36" s="11">
        <f>INDEX('[2]PV.STOCK TIAP GUDANG'!$A:$CV,MATCH($A36,'[2]PV.STOCK TIAP GUDANG'!$A:$A,0),MATCH("Y31DPRO|6+128|SALES",[2]PVKEY!$1:$1,0))</f>
        <v>0</v>
      </c>
      <c r="AP36" s="12" t="str">
        <f t="shared" si="16"/>
        <v/>
      </c>
      <c r="AQ36" s="11">
        <f t="shared" si="17"/>
        <v>0</v>
      </c>
      <c r="AR36" s="10">
        <f>INDEX('[2]PV.STOCK TIAP GUDANG'!$A:$CV,MATCH($A36,'[2]PV.STOCK TIAP GUDANG'!$A:$A,0),MATCH("Y31DPRO|8+128|STOCK",[2]PVKEY!$1:$1,0))</f>
        <v>1</v>
      </c>
      <c r="AS36" s="11">
        <f>INDEX('[2]PV.STOCK TIAP GUDANG'!$A:$CV,MATCH($A36,'[2]PV.STOCK TIAP GUDANG'!$A:$A,0),MATCH("Y31DPRO|8+128|SALES",[2]PVKEY!$1:$1,0))</f>
        <v>0</v>
      </c>
      <c r="AT36" s="12" t="str">
        <f t="shared" si="18"/>
        <v/>
      </c>
      <c r="AU36" s="11">
        <f t="shared" si="19"/>
        <v>0</v>
      </c>
      <c r="AV36" s="10">
        <f>INDEX('[2]PV.STOCK TIAP GUDANG'!$A:$CV,MATCH($A36,'[2]PV.STOCK TIAP GUDANG'!$A:$A,0),MATCH("Y31DPRO|8+256|STOCK",[2]PVKEY!$1:$1,0))</f>
        <v>1</v>
      </c>
      <c r="AW36" s="11">
        <f>INDEX('[2]PV.STOCK TIAP GUDANG'!$A:$CV,MATCH($A36,'[2]PV.STOCK TIAP GUDANG'!$A:$A,0),MATCH("Y31DPRO|8+256|SALES",[2]PVKEY!$1:$1,0))</f>
        <v>0</v>
      </c>
      <c r="AX36" s="12" t="str">
        <f t="shared" si="20"/>
        <v/>
      </c>
      <c r="AY36" s="11">
        <f t="shared" si="21"/>
        <v>0</v>
      </c>
      <c r="AZ36" s="10">
        <f>INDEX('[2]PV.STOCK TIAP GUDANG'!$A:$CV,MATCH($A36,'[2]PV.STOCK TIAP GUDANG'!$A:$A,0),MATCH("V70|12+256|STOCK",[2]PVKEY!$1:$1,0))</f>
        <v>0</v>
      </c>
      <c r="BA36" s="11">
        <f>INDEX('[2]PV.STOCK TIAP GUDANG'!$A:$CV,MATCH($A36,'[2]PV.STOCK TIAP GUDANG'!$A:$A,0),MATCH("V70|12+256|SALES",[2]PVKEY!$1:$1,0))</f>
        <v>0</v>
      </c>
      <c r="BB36" s="12" t="str">
        <f t="shared" si="22"/>
        <v/>
      </c>
      <c r="BC36" s="10">
        <f>INDEX('[2]PV.STOCK TIAP GUDANG'!$A:$CV,MATCH($A36,'[2]PV.STOCK TIAP GUDANG'!$A:$A,0),MATCH("V70|8+256|STOCK",[2]PVKEY!$1:$1,0))</f>
        <v>2</v>
      </c>
      <c r="BD36" s="11">
        <f>INDEX('[2]PV.STOCK TIAP GUDANG'!$A:$CV,MATCH($A36,'[2]PV.STOCK TIAP GUDANG'!$A:$A,0),MATCH("V70|8+256|SALES",[2]PVKEY!$1:$1,0))</f>
        <v>0</v>
      </c>
      <c r="BE36" s="12" t="str">
        <f t="shared" si="23"/>
        <v/>
      </c>
      <c r="BF36" s="11">
        <f t="shared" si="24"/>
        <v>0</v>
      </c>
      <c r="BG36" s="10">
        <f>INDEX('[2]PV.STOCK TIAP GUDANG'!$A:$CV,MATCH($A36,'[2]PV.STOCK TIAP GUDANG'!$A:$A,0),MATCH("V70|12+512|STOCK",[2]PVKEY!$1:$1,0))</f>
        <v>0</v>
      </c>
      <c r="BH36" s="11">
        <f>INDEX('[2]PV.STOCK TIAP GUDANG'!$A:$CV,MATCH($A36,'[2]PV.STOCK TIAP GUDANG'!$A:$A,0),MATCH("V70|12+512|SALES",[2]PVKEY!$1:$1,0))</f>
        <v>0</v>
      </c>
      <c r="BI36" s="12" t="str">
        <f t="shared" si="25"/>
        <v/>
      </c>
      <c r="BJ36" s="11">
        <f t="shared" si="26"/>
        <v>0</v>
      </c>
      <c r="BK36" s="10">
        <f>INDEX('[2]PV.STOCK TIAP GUDANG'!$A:$CV,MATCH($A36,'[2]PV.STOCK TIAP GUDANG'!$A:$A,0),MATCH("V70FE|8+256|STOCK",[2]PVKEY!$1:$1,0))</f>
        <v>0</v>
      </c>
      <c r="BL36" s="11">
        <f>INDEX('[2]PV.STOCK TIAP GUDANG'!$A:$CV,MATCH($A36,'[2]PV.STOCK TIAP GUDANG'!$A:$A,0),MATCH("V70FE|8+256|SALES",[2]PVKEY!$1:$1,0))</f>
        <v>0</v>
      </c>
      <c r="BM36" s="12" t="str">
        <f t="shared" si="27"/>
        <v/>
      </c>
      <c r="BN36" s="11">
        <f t="shared" si="28"/>
        <v>0</v>
      </c>
      <c r="BO36" s="10">
        <f>INDEX('[2]PV.STOCK TIAP GUDANG'!$A:$CV,MATCH($A36,'[2]PV.STOCK TIAP GUDANG'!$A:$A,0),MATCH("V70FE|12+256|STOCK",[2]PVKEY!$1:$1,0))</f>
        <v>0</v>
      </c>
      <c r="BP36" s="11">
        <f>INDEX('[2]PV.STOCK TIAP GUDANG'!$A:$CV,MATCH($A36,'[2]PV.STOCK TIAP GUDANG'!$A:$A,0),MATCH("V70FE|12+256|SALES",[2]PVKEY!$1:$1,0))</f>
        <v>1</v>
      </c>
      <c r="BQ36" s="12">
        <f t="shared" si="29"/>
        <v>0</v>
      </c>
      <c r="BR36" s="11">
        <f t="shared" si="30"/>
        <v>0.29629629629629628</v>
      </c>
      <c r="BS36" s="10">
        <f>INDEX('[2]PV.STOCK TIAP GUDANG'!$A:$CV,MATCH($A36,'[2]PV.STOCK TIAP GUDANG'!$A:$A,0),MATCH("V60LITE5G|8+256|STOCK",[2]PVKEY!$1:$1,0))</f>
        <v>0</v>
      </c>
      <c r="BT36" s="11">
        <f>INDEX('[2]PV.STOCK TIAP GUDANG'!$A:$CV,MATCH($A36,'[2]PV.STOCK TIAP GUDANG'!$A:$A,0),MATCH("V60LITE5G|8+256|SALES",[2]PVKEY!$1:$1,0))</f>
        <v>0</v>
      </c>
      <c r="BU36" s="12" t="str">
        <f t="shared" si="31"/>
        <v/>
      </c>
      <c r="BV36" s="11">
        <f t="shared" si="32"/>
        <v>0</v>
      </c>
      <c r="BW36" s="10">
        <f>INDEX('[2]PV.STOCK TIAP GUDANG'!$A:$CV,MATCH($A36,'[2]PV.STOCK TIAP GUDANG'!$A:$A,0),MATCH("V60LITE|8+256|STOCK",[2]PVKEY!$1:$1,0))</f>
        <v>0</v>
      </c>
      <c r="BX36" s="11">
        <f>INDEX('[2]PV.STOCK TIAP GUDANG'!$A:$CV,MATCH($A36,'[2]PV.STOCK TIAP GUDANG'!$A:$A,0),MATCH("V60LITE|8+256|SALES",[2]PVKEY!$1:$1,0))</f>
        <v>0</v>
      </c>
      <c r="BY36" s="12" t="str">
        <f t="shared" si="33"/>
        <v/>
      </c>
      <c r="BZ36" s="11">
        <f t="shared" si="34"/>
        <v>0</v>
      </c>
      <c r="CA36" s="10">
        <f>INDEX('[2]PV.STOCK TIAP GUDANG'!$A:$CV,MATCH($A36,'[2]PV.STOCK TIAP GUDANG'!$A:$A,0),MATCH("Y05|4+128|STOCK",[2]PVKEY!$1:$1,0))</f>
        <v>1</v>
      </c>
      <c r="CB36" s="11">
        <f>INDEX('[2]PV.STOCK TIAP GUDANG'!$A:$CV,MATCH($A36,'[2]PV.STOCK TIAP GUDANG'!$A:$A,0),MATCH("Y05|4+128|SALES",[2]PVKEY!$1:$1,0))</f>
        <v>2</v>
      </c>
      <c r="CC36" s="12">
        <f t="shared" si="35"/>
        <v>13.5</v>
      </c>
      <c r="CD36" s="11">
        <f t="shared" si="44"/>
        <v>0.51851851851851849</v>
      </c>
      <c r="CE36" s="10">
        <f>INDEX('[2]PV.STOCK TIAP GUDANG'!$A:$CV,MATCH($A36,'[2]PV.STOCK TIAP GUDANG'!$A:$A,0),MATCH("Y05|4+64|STOCK",[2]PVKEY!$1:$1,0))</f>
        <v>1</v>
      </c>
      <c r="CF36" s="11">
        <f>INDEX('[2]PV.STOCK TIAP GUDANG'!$A:$CV,MATCH($A36,'[2]PV.STOCK TIAP GUDANG'!$A:$A,0),MATCH("Y05|4+64|SALES",[2]PVKEY!$1:$1,0))</f>
        <v>3</v>
      </c>
      <c r="CG36" s="12">
        <f t="shared" si="36"/>
        <v>9</v>
      </c>
      <c r="CH36" s="11">
        <f t="shared" si="37"/>
        <v>0.77777777777777768</v>
      </c>
      <c r="CI36" s="10">
        <f>INDEX('[2]PV.STOCK TIAP GUDANG'!$A:$CV,MATCH($A36,'[2]PV.STOCK TIAP GUDANG'!$A:$A,0),MATCH("Y500|6+128|STOCK",[2]PVKEY!$1:$1,0))</f>
        <v>1</v>
      </c>
      <c r="CJ36" s="11">
        <f>INDEX('[2]PV.STOCK TIAP GUDANG'!$A:$CV,MATCH($A36,'[2]PV.STOCK TIAP GUDANG'!$A:$A,0),MATCH("Y500|6+128|SALES",[2]PVKEY!$1:$1,0))</f>
        <v>0</v>
      </c>
      <c r="CK36" s="12" t="str">
        <f t="shared" si="38"/>
        <v/>
      </c>
      <c r="CL36" s="10">
        <f>INDEX('[2]PV.STOCK TIAP GUDANG'!$A:$CV,MATCH($A36,'[2]PV.STOCK TIAP GUDANG'!$A:$A,0),MATCH("Y500|6+256|STOCK",[2]PVKEY!$1:$1,0))</f>
        <v>1</v>
      </c>
      <c r="CM36" s="11">
        <f>INDEX('[2]PV.STOCK TIAP GUDANG'!$A:$CV,MATCH($A36,'[2]PV.STOCK TIAP GUDANG'!$A:$A,0),MATCH("Y500|6+256|SALES",[2]PVKEY!$1:$1,0))</f>
        <v>0</v>
      </c>
      <c r="CN36" s="12" t="str">
        <f t="shared" si="39"/>
        <v/>
      </c>
      <c r="CO36" s="10">
        <f>INDEX('[2]PV.STOCK TIAP GUDANG'!$A:$CV,MATCH($A36,'[2]PV.STOCK TIAP GUDANG'!$A:$A,0),MATCH("Y05E|4+64|STOCK",[2]PVKEY!$1:$1,0))</f>
        <v>2</v>
      </c>
      <c r="CP36" s="11">
        <f>INDEX('[2]PV.STOCK TIAP GUDANG'!$A:$CV,MATCH($A36,'[2]PV.STOCK TIAP GUDANG'!$A:$A,0),MATCH("Y05E|4+64|SALES",[2]PVKEY!$1:$1,0))</f>
        <v>0</v>
      </c>
      <c r="CQ36" s="12" t="str">
        <f t="shared" si="40"/>
        <v/>
      </c>
      <c r="CR36" s="13">
        <f t="shared" si="41"/>
        <v>17</v>
      </c>
      <c r="CS36" s="13">
        <f t="shared" si="42"/>
        <v>8</v>
      </c>
      <c r="CT36" s="13">
        <f t="shared" si="43"/>
        <v>57.375</v>
      </c>
    </row>
    <row r="37" spans="1:99" x14ac:dyDescent="0.15">
      <c r="A37" s="14" t="s">
        <v>78</v>
      </c>
      <c r="B37" s="15">
        <f>SUM(B7:B36)</f>
        <v>0</v>
      </c>
      <c r="C37" s="16">
        <f>SUM(C7:C36)</f>
        <v>0</v>
      </c>
      <c r="D37" s="12" t="str">
        <f>IF(OR(C37="",C37=0),"",ROUND(B37/C37*$B$2,1))</f>
        <v/>
      </c>
      <c r="E37" s="15">
        <f>SUM(E7:E36)</f>
        <v>15</v>
      </c>
      <c r="F37" s="16">
        <f>SUM(F7:F36)</f>
        <v>2</v>
      </c>
      <c r="G37" s="12">
        <f>IF(OR(F37="",F37=0),"",ROUND(E37/F37*$B$2,1))</f>
        <v>202.5</v>
      </c>
      <c r="H37" s="15">
        <f>SUM(H7:H36)</f>
        <v>32</v>
      </c>
      <c r="I37" s="16">
        <f>SUM(I7:I36)</f>
        <v>14</v>
      </c>
      <c r="J37" s="12">
        <f>IF(OR(I37="",I37=0),"",ROUND(H37/I37*$B$2,1))</f>
        <v>61.7</v>
      </c>
      <c r="K37" s="16">
        <f>SUM(K7:K36)</f>
        <v>5.1851851851851842</v>
      </c>
      <c r="L37" s="15">
        <f>SUM(L7:L36)</f>
        <v>0</v>
      </c>
      <c r="M37" s="16">
        <f>SUM(M7:M36)</f>
        <v>0</v>
      </c>
      <c r="N37" s="12" t="str">
        <f>IF(OR(M37="",M37=0),"",ROUND(L37/M37*$B$2,1))</f>
        <v/>
      </c>
      <c r="O37" s="16">
        <f>SUM(O7:O36)</f>
        <v>0</v>
      </c>
      <c r="P37" s="15">
        <f>SUM(P7:P36)</f>
        <v>0</v>
      </c>
      <c r="Q37" s="16">
        <f>SUM(Q7:Q36)</f>
        <v>1</v>
      </c>
      <c r="R37" s="12">
        <f>IF(OR(Q37="",Q37=0),"",ROUND(P37/Q37*$B$2,1))</f>
        <v>0</v>
      </c>
      <c r="S37" s="15">
        <f>SUM(S7:S36)</f>
        <v>0</v>
      </c>
      <c r="T37" s="16">
        <f>SUM(T7:T36)</f>
        <v>1</v>
      </c>
      <c r="U37" s="12">
        <f>IF(OR(T37="",T37=0),"",ROUND(S37/T37*$B$2,1))</f>
        <v>0</v>
      </c>
      <c r="V37" s="15">
        <f>SUM(V7:V36)</f>
        <v>123</v>
      </c>
      <c r="W37" s="16">
        <f>SUM(W7:W36)</f>
        <v>348</v>
      </c>
      <c r="X37" s="12">
        <f>IF(OR(W37="",W37=0),"",ROUND(V37/W37*$B$2,1))</f>
        <v>9.5</v>
      </c>
      <c r="Y37" s="16">
        <f>SUM(Y7:Y36)</f>
        <v>64.444444444444471</v>
      </c>
      <c r="Z37" s="15">
        <f>SUM(Z7:Z36)</f>
        <v>78</v>
      </c>
      <c r="AA37" s="16">
        <f>SUM(AA7:AA36)</f>
        <v>169</v>
      </c>
      <c r="AB37" s="12">
        <f>IF(OR(AA37="",AA37=0),"",ROUND(Z37/AA37*$B$2,1))</f>
        <v>12.5</v>
      </c>
      <c r="AC37" s="16">
        <f>SUM(AC7:AC36)</f>
        <v>31.296296296296305</v>
      </c>
      <c r="AD37" s="15">
        <f>SUM(AD7:AD36)</f>
        <v>18</v>
      </c>
      <c r="AE37" s="16">
        <f>SUM(AE7:AE36)</f>
        <v>11</v>
      </c>
      <c r="AF37" s="12">
        <f>IF(OR(AE37="",AE37=0),"",ROUND(AD37/AE37*$B$2,1))</f>
        <v>44.2</v>
      </c>
      <c r="AG37" s="16">
        <f>SUM(AG7:AG36)</f>
        <v>2.0370370370370368</v>
      </c>
      <c r="AH37" s="15">
        <f>SUM(AH7:AH36)</f>
        <v>23</v>
      </c>
      <c r="AI37" s="16">
        <f>SUM(AI7:AI36)</f>
        <v>99</v>
      </c>
      <c r="AJ37" s="12">
        <f>IF(OR(AI37="",AI37=0),"",ROUND(AH37/AI37*$B$2,1))</f>
        <v>6.3</v>
      </c>
      <c r="AK37" s="15">
        <f>SUM(AK7:AK36)</f>
        <v>65</v>
      </c>
      <c r="AL37" s="16">
        <f>SUM(AL7:AL36)</f>
        <v>141</v>
      </c>
      <c r="AM37" s="12">
        <f>IF(OR(AL37="",AL37=0),"",ROUND(AK37/AL37*$B$2,1))</f>
        <v>12.4</v>
      </c>
      <c r="AN37" s="15">
        <f>SUM(AN7:AN36)</f>
        <v>83</v>
      </c>
      <c r="AO37" s="16">
        <f>SUM(AO7:AO36)</f>
        <v>165</v>
      </c>
      <c r="AP37" s="12">
        <f>IF(OR(AO37="",AO37=0),"",ROUND(AN37/AO37*$B$2,1))</f>
        <v>13.6</v>
      </c>
      <c r="AQ37" s="16">
        <f>SUM(AQ7:AQ36)</f>
        <v>30.555555555555568</v>
      </c>
      <c r="AR37" s="15">
        <f>SUM(AR7:AR36)</f>
        <v>69</v>
      </c>
      <c r="AS37" s="16">
        <f>SUM(AS7:AS36)</f>
        <v>28</v>
      </c>
      <c r="AT37" s="12">
        <f>IF(OR(AS37="",AS37=0),"",ROUND(AR37/AS37*$B$2,1))</f>
        <v>66.5</v>
      </c>
      <c r="AU37" s="16">
        <f>SUM(AU7:AU36)</f>
        <v>5.1851851851851842</v>
      </c>
      <c r="AV37" s="15">
        <f>SUM(AV7:AV36)</f>
        <v>51</v>
      </c>
      <c r="AW37" s="16">
        <f>SUM(AW7:AW36)</f>
        <v>51</v>
      </c>
      <c r="AX37" s="12">
        <f>IF(OR(AW37="",AW37=0),"",ROUND(AV37/AW37*$B$2,1))</f>
        <v>27</v>
      </c>
      <c r="AY37" s="16">
        <f>SUM(AY7:AY36)</f>
        <v>9.4444444444444429</v>
      </c>
      <c r="AZ37" s="15">
        <f>SUM(AZ7:AZ36)</f>
        <v>1</v>
      </c>
      <c r="BA37" s="16">
        <f>SUM(BA7:BA36)</f>
        <v>14</v>
      </c>
      <c r="BB37" s="12">
        <f>IF(OR(BA37="",BA37=0),"",ROUND(AZ37/BA37*$B$2,1))</f>
        <v>1.9</v>
      </c>
      <c r="BC37" s="15">
        <f>SUM(BC7:BC36)</f>
        <v>120</v>
      </c>
      <c r="BD37" s="16">
        <f>SUM(BD7:BD36)</f>
        <v>131</v>
      </c>
      <c r="BE37" s="12">
        <f>IF(OR(BD37="",BD37=0),"",ROUND(BC37/BD37*$B$2,1))</f>
        <v>24.7</v>
      </c>
      <c r="BF37" s="16">
        <f>SUM(BF7:BF36)</f>
        <v>38.814814814814824</v>
      </c>
      <c r="BG37" s="15">
        <f>SUM(BG7:BG36)</f>
        <v>0</v>
      </c>
      <c r="BH37" s="16">
        <f>SUM(BH7:BH36)</f>
        <v>0</v>
      </c>
      <c r="BI37" s="12" t="str">
        <f>IF(OR(BH37="",BH37=0),"",ROUND(BG37/BH37*$B$2,1))</f>
        <v/>
      </c>
      <c r="BJ37" s="16">
        <f>SUM(BJ7:BJ36)</f>
        <v>0</v>
      </c>
      <c r="BK37" s="15">
        <f>SUM(BK7:BK36)</f>
        <v>41</v>
      </c>
      <c r="BL37" s="16">
        <f>SUM(BL7:BL36)</f>
        <v>49</v>
      </c>
      <c r="BM37" s="12">
        <f>IF(OR(BL37="",BL37=0),"",ROUND(BK37/BL37*$B$2,1))</f>
        <v>22.6</v>
      </c>
      <c r="BN37" s="16">
        <f>SUM(BN7:BN36)</f>
        <v>14.518518518518517</v>
      </c>
      <c r="BO37" s="15">
        <f>SUM(BO7:BO36)</f>
        <v>32</v>
      </c>
      <c r="BP37" s="16">
        <f>SUM(BP7:BP36)</f>
        <v>48</v>
      </c>
      <c r="BQ37" s="12">
        <f>IF(OR(BP37="",BP37=0),"",ROUND(BO37/BP37*$B$2,1))</f>
        <v>18</v>
      </c>
      <c r="BR37" s="16">
        <f>SUM(BR7:BR36)</f>
        <v>14.222222222222223</v>
      </c>
      <c r="BS37" s="15">
        <f>SUM(BS7:BS36)</f>
        <v>4</v>
      </c>
      <c r="BT37" s="16">
        <f>SUM(BT7:BT36)</f>
        <v>7</v>
      </c>
      <c r="BU37" s="12">
        <f>IF(OR(BT37="",BT37=0),"",ROUND(BS37/BT37*$B$2,1))</f>
        <v>15.4</v>
      </c>
      <c r="BV37" s="16">
        <f>SUM(BV7:BV36)</f>
        <v>2.074074074074074</v>
      </c>
      <c r="BW37" s="15">
        <f>SUM(BW7:BW36)</f>
        <v>64</v>
      </c>
      <c r="BX37" s="16">
        <f>SUM(BX7:BX36)</f>
        <v>163</v>
      </c>
      <c r="BY37" s="12">
        <f>IF(OR(BX37="",BX37=0),"",ROUND(BW37/BX37*$B$2,1))</f>
        <v>10.6</v>
      </c>
      <c r="BZ37" s="16">
        <f>SUM(BZ7:BZ36)</f>
        <v>48.296296296296283</v>
      </c>
      <c r="CA37" s="15">
        <f>SUM(CA7:CA36)</f>
        <v>61</v>
      </c>
      <c r="CB37" s="16">
        <f>SUM(CB7:CB36)</f>
        <v>305</v>
      </c>
      <c r="CC37" s="12">
        <f>IF(OR(CB37="",CB37=0),"",ROUND(CA37/CB37*$B$2,1))</f>
        <v>5.4</v>
      </c>
      <c r="CD37" s="16">
        <f>SUM(CD7:CD36)</f>
        <v>79.074074074074048</v>
      </c>
      <c r="CE37" s="15">
        <f>SUM(CE7:CE36)</f>
        <v>73</v>
      </c>
      <c r="CF37" s="16">
        <f>SUM(CF7:CF36)</f>
        <v>355</v>
      </c>
      <c r="CG37" s="12">
        <f>IF(OR(CF37="",CF37=0),"",ROUND(CE37/CF37*$B$2,1))</f>
        <v>5.6</v>
      </c>
      <c r="CH37" s="16">
        <f>SUM(CH7:CH36)</f>
        <v>92.03703703703701</v>
      </c>
      <c r="CI37" s="15">
        <f>SUM(CI7:CI36)</f>
        <v>49</v>
      </c>
      <c r="CJ37" s="16">
        <f>SUM(CJ7:CJ36)</f>
        <v>32</v>
      </c>
      <c r="CK37" s="12">
        <f>IF(OR(CJ37="",CJ37=0),"",ROUND(CI37/CJ37*$B$2,1))</f>
        <v>41.3</v>
      </c>
      <c r="CL37" s="15">
        <f>SUM(CL7:CL36)</f>
        <v>50</v>
      </c>
      <c r="CM37" s="16">
        <f>SUM(CM7:CM36)</f>
        <v>30</v>
      </c>
      <c r="CN37" s="12">
        <f>IF(OR(CM37="",CM37=0),"",ROUND(CL37/CM37*$B$2,1))</f>
        <v>45</v>
      </c>
      <c r="CO37" s="15">
        <f>SUM(CO7:CO36)</f>
        <v>194</v>
      </c>
      <c r="CP37" s="16">
        <f>SUM(CP7:CP36)</f>
        <v>402</v>
      </c>
      <c r="CQ37" s="12">
        <f>IF(OR(CP37="",CP37=0),"",ROUND(CO37/CP37*$B$2,1))</f>
        <v>13</v>
      </c>
      <c r="CR37" s="13">
        <f>SUM(CR7:CR36)</f>
        <v>1246</v>
      </c>
      <c r="CS37" s="13">
        <f>SUM(CS7:CS36)</f>
        <v>2566</v>
      </c>
      <c r="CT37" s="13">
        <f>IF(OR(CS37="",CS37=0),"",ROUND(CR37/CS37*$B$2,1))</f>
        <v>13.1</v>
      </c>
    </row>
    <row r="38" spans="1:99" x14ac:dyDescent="0.15">
      <c r="A38" s="9" t="s">
        <v>93</v>
      </c>
      <c r="B38" s="10">
        <f>INDEX('[1]PV.STOCK TIAP GUDANG'!$A:$CV,MATCH($A38,'[1]PV.STOCK TIAP GUDANG'!$A:$A,0),MATCH("FOLD5|STOCK",[1]PVKEY!$5:$5,0))</f>
        <v>0</v>
      </c>
      <c r="C38" s="11">
        <f>INDEX('[1]PV.STOCK TIAP GUDANG'!$A:$CV,MATCH($A38,'[1]PV.STOCK TIAP GUDANG'!$A:$A,0),MATCH("FOLD5|SALES",[1]PVKEY!$5:$5,0))</f>
        <v>0</v>
      </c>
      <c r="D38" s="12" t="str">
        <f t="shared" ref="D38:D41" si="45">IF(OR(C38="",C38=0),"",ROUND(B38/C38*$B$2,1))</f>
        <v/>
      </c>
      <c r="E38" s="10">
        <f>INDEX('[1]PV.STOCK TIAP GUDANG'!$A:$CV,MATCH($A38,'[1]PV.STOCK TIAP GUDANG'!$A:$A,0),MATCH("X300ULTRA|16+1T|STOCK",[1]PVKEY!$1:$1,0))</f>
        <v>0</v>
      </c>
      <c r="F38" s="11">
        <f>INDEX('[1]PV.STOCK TIAP GUDANG'!$A:$CV,MATCH($A38,'[1]PV.STOCK TIAP GUDANG'!$A:$A,0),MATCH("X300ULTRA|16+1T|SALES",[1]PVKEY!$1:$1,0))</f>
        <v>0</v>
      </c>
      <c r="G38" s="12" t="str">
        <f t="shared" ref="G38:G41" si="46">IF(OR(F38="",F38=0),"",ROUND(E38/F38*$B$2,1))</f>
        <v/>
      </c>
      <c r="H38" s="10">
        <f>INDEX('[1]PV.STOCK TIAP GUDANG'!$A:$CV,MATCH($A38,'[1]PV.STOCK TIAP GUDANG'!$A:$A,0),MATCH("X300ULTRA|16+512|STOCK",[1]PVKEY!$1:$1,0))</f>
        <v>0</v>
      </c>
      <c r="I38" s="11">
        <f>INDEX('[1]PV.STOCK TIAP GUDANG'!$A:$CV,MATCH($A38,'[1]PV.STOCK TIAP GUDANG'!$A:$A,0),MATCH("X300ULTRA|16+512|SALES",[1]PVKEY!$1:$1,0))</f>
        <v>0</v>
      </c>
      <c r="J38" s="12" t="str">
        <f t="shared" ref="J38:J41" si="47">IF(OR(I38="",I38=0),"",ROUND(H38/I38*$B$2,1))</f>
        <v/>
      </c>
      <c r="K38" s="11">
        <f t="shared" ref="K38:K41" si="48">(I38/$B$2)*10</f>
        <v>0</v>
      </c>
      <c r="L38" s="10">
        <f>INDEX('[1]PV.STOCK TIAP GUDANG'!$A:$CV,MATCH($A38,'[1]PV.STOCK TIAP GUDANG'!$A:$A,0),MATCH("X300PRO|16+512|STOCK",[1]PVKEY!$1:$1,0))</f>
        <v>0</v>
      </c>
      <c r="M38" s="11">
        <f>INDEX('[1]PV.STOCK TIAP GUDANG'!$A:$CV,MATCH($A38,'[1]PV.STOCK TIAP GUDANG'!$A:$A,0),MATCH("X300PRO|16+512|SALES",[1]PVKEY!$1:$1,0))</f>
        <v>0</v>
      </c>
      <c r="N38" s="12" t="str">
        <f t="shared" ref="N38:N41" si="49">IF(OR(M38="",M38=0),"",ROUND(L38/M38*$B$2,1))</f>
        <v/>
      </c>
      <c r="O38" s="11">
        <f t="shared" ref="O38:O41" si="50">(M38/$B$2)*10</f>
        <v>0</v>
      </c>
      <c r="P38" s="10">
        <f>INDEX('[1]PV.STOCK TIAP GUDANG'!$A:$CV,MATCH($A38,'[1]PV.STOCK TIAP GUDANG'!$A:$A,0),MATCH("X300|12+256|STOCK",[1]PVKEY!$1:$1,0))</f>
        <v>0</v>
      </c>
      <c r="Q38" s="11">
        <f>INDEX('[1]PV.STOCK TIAP GUDANG'!$A:$CV,MATCH($A38,'[1]PV.STOCK TIAP GUDANG'!$A:$A,0),MATCH("X300|12+256|SALES",[1]PVKEY!$1:$1,0))</f>
        <v>0</v>
      </c>
      <c r="R38" s="12" t="str">
        <f t="shared" ref="R38:R41" si="51">IF(OR(Q38="",Q38=0),"",ROUND(P38/Q38*$B$2,1))</f>
        <v/>
      </c>
      <c r="S38" s="10">
        <f>INDEX('[1]PV.STOCK TIAP GUDANG'!$A:$CV,MATCH($A38,'[1]PV.STOCK TIAP GUDANG'!$A:$A,0),MATCH("X300|16+512|STOCK",[1]PVKEY!$1:$1,0))</f>
        <v>0</v>
      </c>
      <c r="T38" s="11">
        <f>INDEX('[1]PV.STOCK TIAP GUDANG'!$A:$CV,MATCH($A38,'[1]PV.STOCK TIAP GUDANG'!$A:$A,0),MATCH("X300|16+512|SALES",[1]PVKEY!$1:$1,0))</f>
        <v>0</v>
      </c>
      <c r="U38" s="12" t="str">
        <f t="shared" ref="U38:U41" si="52">IF(OR(T38="",T38=0),"",ROUND(S38/T38*$B$2,1))</f>
        <v/>
      </c>
      <c r="V38" s="10">
        <f>INDEX('[1]PV.STOCK TIAP GUDANG'!$A:$CV,MATCH($A38,'[1]PV.STOCK TIAP GUDANG'!$A:$A,0),MATCH("Y11D|4+128|STOCK",[1]PVKEY!$1:$1,0))</f>
        <v>0</v>
      </c>
      <c r="W38" s="11">
        <f>INDEX('[1]PV.STOCK TIAP GUDANG'!$A:$CV,MATCH($A38,'[1]PV.STOCK TIAP GUDANG'!$A:$A,0),MATCH("Y11D|4+128|SALES",[1]PVKEY!$1:$1,0))</f>
        <v>2</v>
      </c>
      <c r="X38" s="12">
        <f t="shared" ref="X38:X41" si="53">IF(OR(W38="",W38=0),"",ROUND(V38/W38*$B$2,1))</f>
        <v>0</v>
      </c>
      <c r="Y38" s="11">
        <f t="shared" ref="Y38:Y41" si="54">(W38/$B$2)*5</f>
        <v>0.37037037037037035</v>
      </c>
      <c r="Z38" s="10">
        <f>INDEX('[1]PV.STOCK TIAP GUDANG'!$A:$CV,MATCH($A38,'[1]PV.STOCK TIAP GUDANG'!$A:$A,0),MATCH("Y11D|4+64|STOCK",[1]PVKEY!$1:$1,0))</f>
        <v>0</v>
      </c>
      <c r="AA38" s="11">
        <f>INDEX('[1]PV.STOCK TIAP GUDANG'!$A:$CV,MATCH($A38,'[1]PV.STOCK TIAP GUDANG'!$A:$A,0),MATCH("Y11D|4+64|SALES",[1]PVKEY!$1:$1,0))</f>
        <v>0</v>
      </c>
      <c r="AB38" s="12" t="str">
        <f t="shared" ref="AB38:AB41" si="55">IF(OR(AA38="",AA38=0),"",ROUND(Z38/AA38*$B$2,1))</f>
        <v/>
      </c>
      <c r="AC38" s="11">
        <f t="shared" ref="AC38:AC41" si="56">(AA38/$B$2)*5</f>
        <v>0</v>
      </c>
      <c r="AD38" s="10">
        <f>INDEX('[1]PV.STOCK TIAP GUDANG'!$A:$CV,MATCH($A38,'[1]PV.STOCK TIAP GUDANG'!$A:$A,0),MATCH("Y11D|6+128|STOCK",[1]PVKEY!$1:$1,0))</f>
        <v>0</v>
      </c>
      <c r="AE38" s="11">
        <f>INDEX('[1]PV.STOCK TIAP GUDANG'!$A:$CV,MATCH($A38,'[1]PV.STOCK TIAP GUDANG'!$A:$A,0),MATCH("Y11D|6+128|SALES",[1]PVKEY!$1:$1,0))</f>
        <v>0</v>
      </c>
      <c r="AF38" s="12" t="str">
        <f t="shared" ref="AF38:AF41" si="57">IF(OR(AE38="",AE38=0),"",ROUND(AD38/AE38*$B$2,1))</f>
        <v/>
      </c>
      <c r="AG38" s="11">
        <f t="shared" ref="AG38:AG41" si="58">(AE38/$B$2)*5</f>
        <v>0</v>
      </c>
      <c r="AH38" s="10">
        <f>INDEX('[1]PV.STOCK TIAP GUDANG'!$A:$CV,MATCH($A38,'[1]PV.STOCK TIAP GUDANG'!$A:$A,0),MATCH("Y31D|4+128|STOCK",[1]PVKEY!$1:$1,0))</f>
        <v>0</v>
      </c>
      <c r="AI38" s="11">
        <f>INDEX('[1]PV.STOCK TIAP GUDANG'!$A:$CV,MATCH($A38,'[1]PV.STOCK TIAP GUDANG'!$A:$A,0),MATCH("Y31D|4+128|SALES",[1]PVKEY!$1:$1,0))</f>
        <v>0</v>
      </c>
      <c r="AJ38" s="12" t="str">
        <f t="shared" ref="AJ38:AJ41" si="59">IF(OR(AI38="",AI38=0),"",ROUND(AH38/AI38*$B$2,1))</f>
        <v/>
      </c>
      <c r="AK38" s="10">
        <f>INDEX('[1]PV.STOCK TIAP GUDANG'!$A:$CV,MATCH($A38,'[1]PV.STOCK TIAP GUDANG'!$A:$A,0),MATCH("Y31DPRO|4+128|STOCK",[1]PVKEY!$1:$1,0))</f>
        <v>0</v>
      </c>
      <c r="AL38" s="11">
        <f>INDEX('[1]PV.STOCK TIAP GUDANG'!$A:$CV,MATCH($A38,'[1]PV.STOCK TIAP GUDANG'!$A:$A,0),MATCH("Y31DPRO|4+128|SALES",[1]PVKEY!$1:$1,0))</f>
        <v>1</v>
      </c>
      <c r="AM38" s="12">
        <f t="shared" ref="AM38:AM41" si="60">IF(OR(AL38="",AL38=0),"",ROUND(AK38/AL38*$B$2,1))</f>
        <v>0</v>
      </c>
      <c r="AN38" s="10">
        <f>INDEX('[1]PV.STOCK TIAP GUDANG'!$A:$CV,MATCH($A38,'[1]PV.STOCK TIAP GUDANG'!$A:$A,0),MATCH("Y31DPRO|6+128|STOCK",[1]PVKEY!$1:$1,0))</f>
        <v>0</v>
      </c>
      <c r="AO38" s="11">
        <f>INDEX('[1]PV.STOCK TIAP GUDANG'!$A:$CV,MATCH($A38,'[1]PV.STOCK TIAP GUDANG'!$A:$A,0),MATCH("Y31DPRO|6+128|SALES",[1]PVKEY!$1:$1,0))</f>
        <v>0</v>
      </c>
      <c r="AP38" s="12" t="str">
        <f t="shared" ref="AP38:AP41" si="61">IF(OR(AO38="",AO38=0),"",ROUND(AN38/AO38*$B$2,1))</f>
        <v/>
      </c>
      <c r="AQ38" s="11">
        <f t="shared" ref="AQ38:AQ41" si="62">(AO38/$B$2)*5</f>
        <v>0</v>
      </c>
      <c r="AR38" s="10">
        <f>INDEX('[1]PV.STOCK TIAP GUDANG'!$A:$CV,MATCH($A38,'[1]PV.STOCK TIAP GUDANG'!$A:$A,0),MATCH("Y31DPRO|8+128|STOCK",[1]PVKEY!$1:$1,0))</f>
        <v>0</v>
      </c>
      <c r="AS38" s="11">
        <f>INDEX('[1]PV.STOCK TIAP GUDANG'!$A:$CV,MATCH($A38,'[1]PV.STOCK TIAP GUDANG'!$A:$A,0),MATCH("Y31DPRO|8+128|SALES",[1]PVKEY!$1:$1,0))</f>
        <v>0</v>
      </c>
      <c r="AT38" s="12" t="str">
        <f t="shared" ref="AT38:AT41" si="63">IF(OR(AS38="",AS38=0),"",ROUND(AR38/AS38*$B$2,1))</f>
        <v/>
      </c>
      <c r="AU38" s="11">
        <f t="shared" ref="AU38:AU41" si="64">(AS38/$B$2)*5</f>
        <v>0</v>
      </c>
      <c r="AV38" s="10">
        <f>INDEX('[1]PV.STOCK TIAP GUDANG'!$A:$CV,MATCH($A38,'[1]PV.STOCK TIAP GUDANG'!$A:$A,0),MATCH("Y31DPRO|8+256|STOCK",[1]PVKEY!$1:$1,0))</f>
        <v>0</v>
      </c>
      <c r="AW38" s="11">
        <f>INDEX('[1]PV.STOCK TIAP GUDANG'!$A:$CV,MATCH($A38,'[1]PV.STOCK TIAP GUDANG'!$A:$A,0),MATCH("Y31DPRO|8+256|SALES",[1]PVKEY!$1:$1,0))</f>
        <v>0</v>
      </c>
      <c r="AX38" s="12" t="str">
        <f t="shared" ref="AX38:AX41" si="65">IF(OR(AW38="",AW38=0),"",ROUND(AV38/AW38*$B$2,1))</f>
        <v/>
      </c>
      <c r="AY38" s="11">
        <f t="shared" ref="AY38:AY41" si="66">(AW38/$B$2)*5</f>
        <v>0</v>
      </c>
      <c r="AZ38" s="10">
        <f>INDEX('[1]PV.STOCK TIAP GUDANG'!$A:$CV,MATCH($A38,'[1]PV.STOCK TIAP GUDANG'!$A:$A,0),MATCH("V70|12+256|STOCK",[1]PVKEY!$1:$1,0))</f>
        <v>0</v>
      </c>
      <c r="BA38" s="11">
        <f>INDEX('[1]PV.STOCK TIAP GUDANG'!$A:$CV,MATCH($A38,'[1]PV.STOCK TIAP GUDANG'!$A:$A,0),MATCH("V70|12+256|SALES",[1]PVKEY!$1:$1,0))</f>
        <v>0</v>
      </c>
      <c r="BB38" s="12" t="str">
        <f t="shared" ref="BB38:BB41" si="67">IF(OR(BA38="",BA38=0),"",ROUND(AZ38/BA38*$B$2,1))</f>
        <v/>
      </c>
      <c r="BC38" s="10">
        <f>INDEX('[1]PV.STOCK TIAP GUDANG'!$A:$CV,MATCH($A38,'[1]PV.STOCK TIAP GUDANG'!$A:$A,0),MATCH("V70|8+256|STOCK",[1]PVKEY!$1:$1,0))</f>
        <v>0</v>
      </c>
      <c r="BD38" s="11">
        <f>INDEX('[1]PV.STOCK TIAP GUDANG'!$A:$CV,MATCH($A38,'[1]PV.STOCK TIAP GUDANG'!$A:$A,0),MATCH("V70|8+256|SALES",[1]PVKEY!$1:$1,0))</f>
        <v>0</v>
      </c>
      <c r="BE38" s="12" t="str">
        <f t="shared" ref="BE38:BE41" si="68">IF(OR(BD38="",BD38=0),"",ROUND(BC38/BD38*$B$2,1))</f>
        <v/>
      </c>
      <c r="BF38" s="11">
        <f t="shared" ref="BF38:BF41" si="69">(BD38/$B$2)*8</f>
        <v>0</v>
      </c>
      <c r="BG38" s="10">
        <f>INDEX('[1]PV.STOCK TIAP GUDANG'!$A:$CV,MATCH($A38,'[1]PV.STOCK TIAP GUDANG'!$A:$A,0),MATCH("V70|12+512|STOCK",[1]PVKEY!$1:$1,0))</f>
        <v>0</v>
      </c>
      <c r="BH38" s="11">
        <f>INDEX('[1]PV.STOCK TIAP GUDANG'!$A:$CV,MATCH($A38,'[1]PV.STOCK TIAP GUDANG'!$A:$A,0),MATCH("V70|12+512|SALES",[1]PVKEY!$1:$1,0))</f>
        <v>0</v>
      </c>
      <c r="BI38" s="12" t="str">
        <f t="shared" ref="BI38:BI41" si="70">IF(OR(BH38="",BH38=0),"",ROUND(BG38/BH38*$B$2,1))</f>
        <v/>
      </c>
      <c r="BJ38" s="11">
        <f t="shared" ref="BJ38:BJ41" si="71">(BH38/$B$2)*8</f>
        <v>0</v>
      </c>
      <c r="BK38" s="10">
        <f>INDEX('[1]PV.STOCK TIAP GUDANG'!$A:$CV,MATCH($A38,'[1]PV.STOCK TIAP GUDANG'!$A:$A,0),MATCH("V70FE|8+256|STOCK",[1]PVKEY!$1:$1,0))</f>
        <v>0</v>
      </c>
      <c r="BL38" s="11">
        <f>INDEX('[1]PV.STOCK TIAP GUDANG'!$A:$CV,MATCH($A38,'[1]PV.STOCK TIAP GUDANG'!$A:$A,0),MATCH("V70FE|8+256|SALES",[1]PVKEY!$1:$1,0))</f>
        <v>0</v>
      </c>
      <c r="BM38" s="12" t="str">
        <f t="shared" ref="BM38:BM41" si="72">IF(OR(BL38="",BL38=0),"",ROUND(BK38/BL38*$B$2,1))</f>
        <v/>
      </c>
      <c r="BN38" s="11">
        <f t="shared" ref="BN38:BN41" si="73">(BL38/$B$2)*8</f>
        <v>0</v>
      </c>
      <c r="BO38" s="10">
        <f>INDEX('[1]PV.STOCK TIAP GUDANG'!$A:$CV,MATCH($A38,'[1]PV.STOCK TIAP GUDANG'!$A:$A,0),MATCH("V70FE|12+256|STOCK",[1]PVKEY!$1:$1,0))</f>
        <v>0</v>
      </c>
      <c r="BP38" s="11">
        <f>INDEX('[1]PV.STOCK TIAP GUDANG'!$A:$CV,MATCH($A38,'[1]PV.STOCK TIAP GUDANG'!$A:$A,0),MATCH("V70FE|12+256|SALES",[1]PVKEY!$1:$1,0))</f>
        <v>0</v>
      </c>
      <c r="BQ38" s="12" t="str">
        <f t="shared" ref="BQ38:BQ41" si="74">IF(OR(BP38="",BP38=0),"",ROUND(BO38/BP38*$B$2,1))</f>
        <v/>
      </c>
      <c r="BR38" s="11">
        <f t="shared" ref="BR38:BR41" si="75">(BP38/$B$2)*8</f>
        <v>0</v>
      </c>
      <c r="BS38" s="10">
        <f>INDEX('[1]PV.STOCK TIAP GUDANG'!$A:$CV,MATCH($A38,'[1]PV.STOCK TIAP GUDANG'!$A:$A,0),MATCH("V60LITE5G|8+256|STOCK",[1]PVKEY!$1:$1,0))</f>
        <v>0</v>
      </c>
      <c r="BT38" s="11">
        <f>INDEX('[1]PV.STOCK TIAP GUDANG'!$A:$CV,MATCH($A38,'[1]PV.STOCK TIAP GUDANG'!$A:$A,0),MATCH("V60LITE5G|8+256|SALES",[1]PVKEY!$1:$1,0))</f>
        <v>0</v>
      </c>
      <c r="BU38" s="12" t="str">
        <f t="shared" ref="BU38:BU41" si="76">IF(OR(BT38="",BT38=0),"",ROUND(BS38/BT38*$B$2,1))</f>
        <v/>
      </c>
      <c r="BV38" s="11">
        <f t="shared" ref="BV38:BV41" si="77">(BT38/$B$2)*8</f>
        <v>0</v>
      </c>
      <c r="BW38" s="10">
        <f>INDEX('[1]PV.STOCK TIAP GUDANG'!$A:$CV,MATCH($A38,'[1]PV.STOCK TIAP GUDANG'!$A:$A,0),MATCH("V60LITE|8+256|STOCK",[1]PVKEY!$1:$1,0))</f>
        <v>0</v>
      </c>
      <c r="BX38" s="11">
        <f>INDEX('[1]PV.STOCK TIAP GUDANG'!$A:$CV,MATCH($A38,'[1]PV.STOCK TIAP GUDANG'!$A:$A,0),MATCH("V60LITE|8+256|SALES",[1]PVKEY!$1:$1,0))</f>
        <v>1</v>
      </c>
      <c r="BY38" s="12">
        <f t="shared" ref="BY38:BY41" si="78">IF(OR(BX38="",BX38=0),"",ROUND(BW38/BX38*$B$2,1))</f>
        <v>0</v>
      </c>
      <c r="BZ38" s="11">
        <f t="shared" ref="BZ38:BZ41" si="79">(BX38/$B$2)*8</f>
        <v>0.29629629629629628</v>
      </c>
      <c r="CA38" s="10">
        <f>INDEX('[1]PV.STOCK TIAP GUDANG'!$A:$CV,MATCH($A38,'[1]PV.STOCK TIAP GUDANG'!$A:$A,0),MATCH("Y05|4+128|STOCK",[1]PVKEY!$1:$1,0))</f>
        <v>0</v>
      </c>
      <c r="CB38" s="11">
        <f>INDEX('[1]PV.STOCK TIAP GUDANG'!$A:$CV,MATCH($A38,'[1]PV.STOCK TIAP GUDANG'!$A:$A,0),MATCH("Y05|4+128|SALES",[1]PVKEY!$1:$1,0))</f>
        <v>2</v>
      </c>
      <c r="CC38" s="12">
        <f t="shared" ref="CC38:CC41" si="80">IF(OR(CB38="",CB38=0),"",ROUND(CA38/CB38*$B$2,1))</f>
        <v>0</v>
      </c>
      <c r="CD38" s="11">
        <f t="shared" ref="CD38:CD41" si="81">(CB38/$B$2)*5</f>
        <v>0.37037037037037035</v>
      </c>
      <c r="CE38" s="10">
        <f>INDEX('[1]PV.STOCK TIAP GUDANG'!$A:$CV,MATCH($A38,'[1]PV.STOCK TIAP GUDANG'!$A:$A,0),MATCH("Y05|4+64|STOCK",[1]PVKEY!$1:$1,0))</f>
        <v>0</v>
      </c>
      <c r="CF38" s="11">
        <f>INDEX('[1]PV.STOCK TIAP GUDANG'!$A:$CV,MATCH($A38,'[1]PV.STOCK TIAP GUDANG'!$A:$A,0),MATCH("Y05|4+64|SALES",[1]PVKEY!$1:$1,0))</f>
        <v>1</v>
      </c>
      <c r="CG38" s="12">
        <f t="shared" ref="CG38:CG41" si="82">IF(OR(CF38="",CF38=0),"",ROUND(CE38/CF38*$B$2,1))</f>
        <v>0</v>
      </c>
      <c r="CH38" s="11">
        <f t="shared" ref="CH38:CH41" si="83">(CF38/$B$2)*7</f>
        <v>0.25925925925925924</v>
      </c>
      <c r="CI38" s="10">
        <f>INDEX('[1]PV.STOCK TIAP GUDANG'!$A:$CV,MATCH($A38,'[1]PV.STOCK TIAP GUDANG'!$A:$A,0),MATCH("Y500|6+128|STOCK",[1]PVKEY!$1:$1,0))</f>
        <v>0</v>
      </c>
      <c r="CJ38" s="11">
        <f>INDEX('[1]PV.STOCK TIAP GUDANG'!$A:$CV,MATCH($A38,'[1]PV.STOCK TIAP GUDANG'!$A:$A,0),MATCH("Y500|6+128|SALES",[1]PVKEY!$1:$1,0))</f>
        <v>1</v>
      </c>
      <c r="CK38" s="12">
        <f t="shared" ref="CK38:CK41" si="84">IF(OR(CJ38="",CJ38=0),"",ROUND(CI38/CJ38*$B$2,1))</f>
        <v>0</v>
      </c>
      <c r="CL38" s="10">
        <f>INDEX('[1]PV.STOCK TIAP GUDANG'!$A:$CV,MATCH($A38,'[1]PV.STOCK TIAP GUDANG'!$A:$A,0),MATCH("Y500|6+256|STOCK",[1]PVKEY!$1:$1,0))</f>
        <v>0</v>
      </c>
      <c r="CM38" s="11">
        <f>INDEX('[1]PV.STOCK TIAP GUDANG'!$A:$CV,MATCH($A38,'[1]PV.STOCK TIAP GUDANG'!$A:$A,0),MATCH("Y500|6+256|SALES",[1]PVKEY!$1:$1,0))</f>
        <v>0</v>
      </c>
      <c r="CN38" s="12" t="str">
        <f t="shared" ref="CN38:CN41" si="85">IF(OR(CM38="",CM38=0),"",ROUND(CL38/CM38*$B$2,1))</f>
        <v/>
      </c>
      <c r="CO38" s="10">
        <f>INDEX('[1]PV.STOCK TIAP GUDANG'!$A:$CV,MATCH($A38,'[1]PV.STOCK TIAP GUDANG'!$A:$A,0),MATCH("Y05E|4+64|STOCK",[1]PVKEY!$1:$1,0))</f>
        <v>0</v>
      </c>
      <c r="CP38" s="11">
        <f>INDEX('[1]PV.STOCK TIAP GUDANG'!$A:$CV,MATCH($A38,'[1]PV.STOCK TIAP GUDANG'!$A:$A,0),MATCH("Y05E|4+64|SALES",[1]PVKEY!$1:$1,0))</f>
        <v>1</v>
      </c>
      <c r="CQ38" s="12">
        <f t="shared" ref="CQ38:CQ41" si="86">IF(OR(CP38="",CP38=0),"",ROUND(CO38/CP38*$B$2,1))</f>
        <v>0</v>
      </c>
      <c r="CR38" s="13">
        <f t="shared" ref="CR38:CR41" si="87">SUM(B38,L38,P38,S38,AZ38,BK38,BO38,BS38,BW38,CA38,CE38,BC38,AN38,AR38,AV38,BG38,V38,E38,H38,AD38,Z38,AH38,AK38,CI38,CL38,CO38)</f>
        <v>0</v>
      </c>
      <c r="CS38" s="13">
        <f t="shared" ref="CS38:CS41" si="88">SUM(C38,M38,Q38,T38,BL38,BP38,BT38,BX38,CB38,CF38,BA38,BD38,AO38,AS38,AW38,BH38,W38,F38,I38,AE38,AA38,AI38,AL38,CJ38,CM38,CP38)</f>
        <v>9</v>
      </c>
      <c r="CT38" s="13">
        <f t="shared" ref="CT38:CT41" si="89">IFERROR(CR38/(CS38/$B$2),1000)</f>
        <v>0</v>
      </c>
    </row>
    <row r="39" spans="1:99" x14ac:dyDescent="0.15">
      <c r="A39" s="9" t="s">
        <v>94</v>
      </c>
      <c r="B39" s="10">
        <f>INDEX('[1]PV.STOCK TIAP GUDANG'!$A:$CV,MATCH($A39,'[1]PV.STOCK TIAP GUDANG'!$A:$A,0),MATCH("FOLD5|STOCK",[1]PVKEY!$5:$5,0))</f>
        <v>0</v>
      </c>
      <c r="C39" s="11">
        <f>INDEX('[1]PV.STOCK TIAP GUDANG'!$A:$CV,MATCH($A39,'[1]PV.STOCK TIAP GUDANG'!$A:$A,0),MATCH("FOLD5|SALES",[1]PVKEY!$5:$5,0))</f>
        <v>0</v>
      </c>
      <c r="D39" s="12" t="str">
        <f t="shared" si="45"/>
        <v/>
      </c>
      <c r="E39" s="10">
        <f>INDEX('[1]PV.STOCK TIAP GUDANG'!$A:$CV,MATCH($A39,'[1]PV.STOCK TIAP GUDANG'!$A:$A,0),MATCH("X300ULTRA|16+1T|STOCK",[1]PVKEY!$1:$1,0))</f>
        <v>0</v>
      </c>
      <c r="F39" s="11">
        <f>INDEX('[1]PV.STOCK TIAP GUDANG'!$A:$CV,MATCH($A39,'[1]PV.STOCK TIAP GUDANG'!$A:$A,0),MATCH("X300ULTRA|16+1T|SALES",[1]PVKEY!$1:$1,0))</f>
        <v>0</v>
      </c>
      <c r="G39" s="12" t="str">
        <f t="shared" si="46"/>
        <v/>
      </c>
      <c r="H39" s="10">
        <f>INDEX('[1]PV.STOCK TIAP GUDANG'!$A:$CV,MATCH($A39,'[1]PV.STOCK TIAP GUDANG'!$A:$A,0),MATCH("X300ULTRA|16+512|STOCK",[1]PVKEY!$1:$1,0))</f>
        <v>0</v>
      </c>
      <c r="I39" s="11">
        <f>INDEX('[1]PV.STOCK TIAP GUDANG'!$A:$CV,MATCH($A39,'[1]PV.STOCK TIAP GUDANG'!$A:$A,0),MATCH("X300ULTRA|16+512|SALES",[1]PVKEY!$1:$1,0))</f>
        <v>0</v>
      </c>
      <c r="J39" s="12" t="str">
        <f t="shared" si="47"/>
        <v/>
      </c>
      <c r="K39" s="11">
        <f t="shared" si="48"/>
        <v>0</v>
      </c>
      <c r="L39" s="10">
        <f>INDEX('[1]PV.STOCK TIAP GUDANG'!$A:$CV,MATCH($A39,'[1]PV.STOCK TIAP GUDANG'!$A:$A,0),MATCH("X300PRO|16+512|STOCK",[1]PVKEY!$1:$1,0))</f>
        <v>0</v>
      </c>
      <c r="M39" s="11">
        <f>INDEX('[1]PV.STOCK TIAP GUDANG'!$A:$CV,MATCH($A39,'[1]PV.STOCK TIAP GUDANG'!$A:$A,0),MATCH("X300PRO|16+512|SALES",[1]PVKEY!$1:$1,0))</f>
        <v>0</v>
      </c>
      <c r="N39" s="12" t="str">
        <f t="shared" si="49"/>
        <v/>
      </c>
      <c r="O39" s="11">
        <f t="shared" si="50"/>
        <v>0</v>
      </c>
      <c r="P39" s="10">
        <f>INDEX('[1]PV.STOCK TIAP GUDANG'!$A:$CV,MATCH($A39,'[1]PV.STOCK TIAP GUDANG'!$A:$A,0),MATCH("X300|12+256|STOCK",[1]PVKEY!$1:$1,0))</f>
        <v>0</v>
      </c>
      <c r="Q39" s="11">
        <f>INDEX('[1]PV.STOCK TIAP GUDANG'!$A:$CV,MATCH($A39,'[1]PV.STOCK TIAP GUDANG'!$A:$A,0),MATCH("X300|12+256|SALES",[1]PVKEY!$1:$1,0))</f>
        <v>0</v>
      </c>
      <c r="R39" s="12" t="str">
        <f t="shared" si="51"/>
        <v/>
      </c>
      <c r="S39" s="10">
        <f>INDEX('[1]PV.STOCK TIAP GUDANG'!$A:$CV,MATCH($A39,'[1]PV.STOCK TIAP GUDANG'!$A:$A,0),MATCH("X300|16+512|STOCK",[1]PVKEY!$1:$1,0))</f>
        <v>0</v>
      </c>
      <c r="T39" s="11">
        <f>INDEX('[1]PV.STOCK TIAP GUDANG'!$A:$CV,MATCH($A39,'[1]PV.STOCK TIAP GUDANG'!$A:$A,0),MATCH("X300|16+512|SALES",[1]PVKEY!$1:$1,0))</f>
        <v>0</v>
      </c>
      <c r="U39" s="12" t="str">
        <f t="shared" si="52"/>
        <v/>
      </c>
      <c r="V39" s="10">
        <f>INDEX('[1]PV.STOCK TIAP GUDANG'!$A:$CV,MATCH($A39,'[1]PV.STOCK TIAP GUDANG'!$A:$A,0),MATCH("Y11D|4+128|STOCK",[1]PVKEY!$1:$1,0))</f>
        <v>0</v>
      </c>
      <c r="W39" s="11">
        <f>INDEX('[1]PV.STOCK TIAP GUDANG'!$A:$CV,MATCH($A39,'[1]PV.STOCK TIAP GUDANG'!$A:$A,0),MATCH("Y11D|4+128|SALES",[1]PVKEY!$1:$1,0))</f>
        <v>0</v>
      </c>
      <c r="X39" s="12" t="str">
        <f t="shared" si="53"/>
        <v/>
      </c>
      <c r="Y39" s="11">
        <f t="shared" si="54"/>
        <v>0</v>
      </c>
      <c r="Z39" s="10">
        <f>INDEX('[1]PV.STOCK TIAP GUDANG'!$A:$CV,MATCH($A39,'[1]PV.STOCK TIAP GUDANG'!$A:$A,0),MATCH("Y11D|4+64|STOCK",[1]PVKEY!$1:$1,0))</f>
        <v>0</v>
      </c>
      <c r="AA39" s="11">
        <f>INDEX('[1]PV.STOCK TIAP GUDANG'!$A:$CV,MATCH($A39,'[1]PV.STOCK TIAP GUDANG'!$A:$A,0),MATCH("Y11D|4+64|SALES",[1]PVKEY!$1:$1,0))</f>
        <v>0</v>
      </c>
      <c r="AB39" s="12" t="str">
        <f t="shared" si="55"/>
        <v/>
      </c>
      <c r="AC39" s="11">
        <f t="shared" si="56"/>
        <v>0</v>
      </c>
      <c r="AD39" s="10">
        <f>INDEX('[1]PV.STOCK TIAP GUDANG'!$A:$CV,MATCH($A39,'[1]PV.STOCK TIAP GUDANG'!$A:$A,0),MATCH("Y11D|6+128|STOCK",[1]PVKEY!$1:$1,0))</f>
        <v>0</v>
      </c>
      <c r="AE39" s="11">
        <f>INDEX('[1]PV.STOCK TIAP GUDANG'!$A:$CV,MATCH($A39,'[1]PV.STOCK TIAP GUDANG'!$A:$A,0),MATCH("Y11D|6+128|SALES",[1]PVKEY!$1:$1,0))</f>
        <v>2</v>
      </c>
      <c r="AF39" s="12">
        <f t="shared" si="57"/>
        <v>0</v>
      </c>
      <c r="AG39" s="11">
        <f t="shared" si="58"/>
        <v>0.37037037037037035</v>
      </c>
      <c r="AH39" s="10">
        <f>INDEX('[1]PV.STOCK TIAP GUDANG'!$A:$CV,MATCH($A39,'[1]PV.STOCK TIAP GUDANG'!$A:$A,0),MATCH("Y31D|4+128|STOCK",[1]PVKEY!$1:$1,0))</f>
        <v>0</v>
      </c>
      <c r="AI39" s="11">
        <f>INDEX('[1]PV.STOCK TIAP GUDANG'!$A:$CV,MATCH($A39,'[1]PV.STOCK TIAP GUDANG'!$A:$A,0),MATCH("Y31D|4+128|SALES",[1]PVKEY!$1:$1,0))</f>
        <v>1</v>
      </c>
      <c r="AJ39" s="12">
        <f t="shared" si="59"/>
        <v>0</v>
      </c>
      <c r="AK39" s="10">
        <f>INDEX('[1]PV.STOCK TIAP GUDANG'!$A:$CV,MATCH($A39,'[1]PV.STOCK TIAP GUDANG'!$A:$A,0),MATCH("Y31DPRO|4+128|STOCK",[1]PVKEY!$1:$1,0))</f>
        <v>0</v>
      </c>
      <c r="AL39" s="11">
        <f>INDEX('[1]PV.STOCK TIAP GUDANG'!$A:$CV,MATCH($A39,'[1]PV.STOCK TIAP GUDANG'!$A:$A,0),MATCH("Y31DPRO|4+128|SALES",[1]PVKEY!$1:$1,0))</f>
        <v>0</v>
      </c>
      <c r="AM39" s="12" t="str">
        <f t="shared" si="60"/>
        <v/>
      </c>
      <c r="AN39" s="10">
        <f>INDEX('[1]PV.STOCK TIAP GUDANG'!$A:$CV,MATCH($A39,'[1]PV.STOCK TIAP GUDANG'!$A:$A,0),MATCH("Y31DPRO|6+128|STOCK",[1]PVKEY!$1:$1,0))</f>
        <v>0</v>
      </c>
      <c r="AO39" s="11">
        <f>INDEX('[1]PV.STOCK TIAP GUDANG'!$A:$CV,MATCH($A39,'[1]PV.STOCK TIAP GUDANG'!$A:$A,0),MATCH("Y31DPRO|6+128|SALES",[1]PVKEY!$1:$1,0))</f>
        <v>0</v>
      </c>
      <c r="AP39" s="12" t="str">
        <f t="shared" si="61"/>
        <v/>
      </c>
      <c r="AQ39" s="11">
        <f t="shared" si="62"/>
        <v>0</v>
      </c>
      <c r="AR39" s="10">
        <f>INDEX('[1]PV.STOCK TIAP GUDANG'!$A:$CV,MATCH($A39,'[1]PV.STOCK TIAP GUDANG'!$A:$A,0),MATCH("Y31DPRO|8+128|STOCK",[1]PVKEY!$1:$1,0))</f>
        <v>0</v>
      </c>
      <c r="AS39" s="11">
        <f>INDEX('[1]PV.STOCK TIAP GUDANG'!$A:$CV,MATCH($A39,'[1]PV.STOCK TIAP GUDANG'!$A:$A,0),MATCH("Y31DPRO|8+128|SALES",[1]PVKEY!$1:$1,0))</f>
        <v>0</v>
      </c>
      <c r="AT39" s="12" t="str">
        <f t="shared" si="63"/>
        <v/>
      </c>
      <c r="AU39" s="11">
        <f t="shared" si="64"/>
        <v>0</v>
      </c>
      <c r="AV39" s="10">
        <f>INDEX('[1]PV.STOCK TIAP GUDANG'!$A:$CV,MATCH($A39,'[1]PV.STOCK TIAP GUDANG'!$A:$A,0),MATCH("Y31DPRO|8+256|STOCK",[1]PVKEY!$1:$1,0))</f>
        <v>0</v>
      </c>
      <c r="AW39" s="11">
        <f>INDEX('[1]PV.STOCK TIAP GUDANG'!$A:$CV,MATCH($A39,'[1]PV.STOCK TIAP GUDANG'!$A:$A,0),MATCH("Y31DPRO|8+256|SALES",[1]PVKEY!$1:$1,0))</f>
        <v>0</v>
      </c>
      <c r="AX39" s="12" t="str">
        <f t="shared" si="65"/>
        <v/>
      </c>
      <c r="AY39" s="11">
        <f t="shared" si="66"/>
        <v>0</v>
      </c>
      <c r="AZ39" s="10">
        <f>INDEX('[1]PV.STOCK TIAP GUDANG'!$A:$CV,MATCH($A39,'[1]PV.STOCK TIAP GUDANG'!$A:$A,0),MATCH("V70|12+256|STOCK",[1]PVKEY!$1:$1,0))</f>
        <v>0</v>
      </c>
      <c r="BA39" s="11">
        <f>INDEX('[1]PV.STOCK TIAP GUDANG'!$A:$CV,MATCH($A39,'[1]PV.STOCK TIAP GUDANG'!$A:$A,0),MATCH("V70|12+256|SALES",[1]PVKEY!$1:$1,0))</f>
        <v>0</v>
      </c>
      <c r="BB39" s="12" t="str">
        <f t="shared" si="67"/>
        <v/>
      </c>
      <c r="BC39" s="10">
        <f>INDEX('[1]PV.STOCK TIAP GUDANG'!$A:$CV,MATCH($A39,'[1]PV.STOCK TIAP GUDANG'!$A:$A,0),MATCH("V70|8+256|STOCK",[1]PVKEY!$1:$1,0))</f>
        <v>0</v>
      </c>
      <c r="BD39" s="11">
        <f>INDEX('[1]PV.STOCK TIAP GUDANG'!$A:$CV,MATCH($A39,'[1]PV.STOCK TIAP GUDANG'!$A:$A,0),MATCH("V70|8+256|SALES",[1]PVKEY!$1:$1,0))</f>
        <v>1</v>
      </c>
      <c r="BE39" s="12">
        <f t="shared" si="68"/>
        <v>0</v>
      </c>
      <c r="BF39" s="11">
        <f t="shared" si="69"/>
        <v>0.29629629629629628</v>
      </c>
      <c r="BG39" s="10">
        <f>INDEX('[1]PV.STOCK TIAP GUDANG'!$A:$CV,MATCH($A39,'[1]PV.STOCK TIAP GUDANG'!$A:$A,0),MATCH("V70|12+512|STOCK",[1]PVKEY!$1:$1,0))</f>
        <v>0</v>
      </c>
      <c r="BH39" s="11">
        <f>INDEX('[1]PV.STOCK TIAP GUDANG'!$A:$CV,MATCH($A39,'[1]PV.STOCK TIAP GUDANG'!$A:$A,0),MATCH("V70|12+512|SALES",[1]PVKEY!$1:$1,0))</f>
        <v>0</v>
      </c>
      <c r="BI39" s="12" t="str">
        <f t="shared" si="70"/>
        <v/>
      </c>
      <c r="BJ39" s="11">
        <f t="shared" si="71"/>
        <v>0</v>
      </c>
      <c r="BK39" s="10">
        <f>INDEX('[1]PV.STOCK TIAP GUDANG'!$A:$CV,MATCH($A39,'[1]PV.STOCK TIAP GUDANG'!$A:$A,0),MATCH("V70FE|8+256|STOCK",[1]PVKEY!$1:$1,0))</f>
        <v>0</v>
      </c>
      <c r="BL39" s="11">
        <f>INDEX('[1]PV.STOCK TIAP GUDANG'!$A:$CV,MATCH($A39,'[1]PV.STOCK TIAP GUDANG'!$A:$A,0),MATCH("V70FE|8+256|SALES",[1]PVKEY!$1:$1,0))</f>
        <v>0</v>
      </c>
      <c r="BM39" s="12" t="str">
        <f t="shared" si="72"/>
        <v/>
      </c>
      <c r="BN39" s="11">
        <f t="shared" si="73"/>
        <v>0</v>
      </c>
      <c r="BO39" s="10">
        <f>INDEX('[1]PV.STOCK TIAP GUDANG'!$A:$CV,MATCH($A39,'[1]PV.STOCK TIAP GUDANG'!$A:$A,0),MATCH("V70FE|12+256|STOCK",[1]PVKEY!$1:$1,0))</f>
        <v>0</v>
      </c>
      <c r="BP39" s="11">
        <f>INDEX('[1]PV.STOCK TIAP GUDANG'!$A:$CV,MATCH($A39,'[1]PV.STOCK TIAP GUDANG'!$A:$A,0),MATCH("V70FE|12+256|SALES",[1]PVKEY!$1:$1,0))</f>
        <v>1</v>
      </c>
      <c r="BQ39" s="12">
        <f t="shared" si="74"/>
        <v>0</v>
      </c>
      <c r="BR39" s="11">
        <f t="shared" si="75"/>
        <v>0.29629629629629628</v>
      </c>
      <c r="BS39" s="10">
        <f>INDEX('[1]PV.STOCK TIAP GUDANG'!$A:$CV,MATCH($A39,'[1]PV.STOCK TIAP GUDANG'!$A:$A,0),MATCH("V60LITE5G|8+256|STOCK",[1]PVKEY!$1:$1,0))</f>
        <v>0</v>
      </c>
      <c r="BT39" s="11">
        <f>INDEX('[1]PV.STOCK TIAP GUDANG'!$A:$CV,MATCH($A39,'[1]PV.STOCK TIAP GUDANG'!$A:$A,0),MATCH("V60LITE5G|8+256|SALES",[1]PVKEY!$1:$1,0))</f>
        <v>0</v>
      </c>
      <c r="BU39" s="12" t="str">
        <f t="shared" si="76"/>
        <v/>
      </c>
      <c r="BV39" s="11">
        <f t="shared" si="77"/>
        <v>0</v>
      </c>
      <c r="BW39" s="10">
        <f>INDEX('[1]PV.STOCK TIAP GUDANG'!$A:$CV,MATCH($A39,'[1]PV.STOCK TIAP GUDANG'!$A:$A,0),MATCH("V60LITE|8+256|STOCK",[1]PVKEY!$1:$1,0))</f>
        <v>0</v>
      </c>
      <c r="BX39" s="11">
        <f>INDEX('[1]PV.STOCK TIAP GUDANG'!$A:$CV,MATCH($A39,'[1]PV.STOCK TIAP GUDANG'!$A:$A,0),MATCH("V60LITE|8+256|SALES",[1]PVKEY!$1:$1,0))</f>
        <v>0</v>
      </c>
      <c r="BY39" s="12" t="str">
        <f t="shared" si="78"/>
        <v/>
      </c>
      <c r="BZ39" s="11">
        <f t="shared" si="79"/>
        <v>0</v>
      </c>
      <c r="CA39" s="10">
        <f>INDEX('[1]PV.STOCK TIAP GUDANG'!$A:$CV,MATCH($A39,'[1]PV.STOCK TIAP GUDANG'!$A:$A,0),MATCH("Y05|4+128|STOCK",[1]PVKEY!$1:$1,0))</f>
        <v>0</v>
      </c>
      <c r="CB39" s="11">
        <f>INDEX('[1]PV.STOCK TIAP GUDANG'!$A:$CV,MATCH($A39,'[1]PV.STOCK TIAP GUDANG'!$A:$A,0),MATCH("Y05|4+128|SALES",[1]PVKEY!$1:$1,0))</f>
        <v>1</v>
      </c>
      <c r="CC39" s="12">
        <f t="shared" si="80"/>
        <v>0</v>
      </c>
      <c r="CD39" s="11">
        <f t="shared" si="81"/>
        <v>0.18518518518518517</v>
      </c>
      <c r="CE39" s="10">
        <f>INDEX('[1]PV.STOCK TIAP GUDANG'!$A:$CV,MATCH($A39,'[1]PV.STOCK TIAP GUDANG'!$A:$A,0),MATCH("Y05|4+64|STOCK",[1]PVKEY!$1:$1,0))</f>
        <v>0</v>
      </c>
      <c r="CF39" s="11">
        <f>INDEX('[1]PV.STOCK TIAP GUDANG'!$A:$CV,MATCH($A39,'[1]PV.STOCK TIAP GUDANG'!$A:$A,0),MATCH("Y05|4+64|SALES",[1]PVKEY!$1:$1,0))</f>
        <v>0</v>
      </c>
      <c r="CG39" s="12" t="str">
        <f t="shared" si="82"/>
        <v/>
      </c>
      <c r="CH39" s="11">
        <f t="shared" si="83"/>
        <v>0</v>
      </c>
      <c r="CI39" s="10">
        <f>INDEX('[1]PV.STOCK TIAP GUDANG'!$A:$CV,MATCH($A39,'[1]PV.STOCK TIAP GUDANG'!$A:$A,0),MATCH("Y500|6+128|STOCK",[1]PVKEY!$1:$1,0))</f>
        <v>0</v>
      </c>
      <c r="CJ39" s="11">
        <f>INDEX('[1]PV.STOCK TIAP GUDANG'!$A:$CV,MATCH($A39,'[1]PV.STOCK TIAP GUDANG'!$A:$A,0),MATCH("Y500|6+128|SALES",[1]PVKEY!$1:$1,0))</f>
        <v>1</v>
      </c>
      <c r="CK39" s="12">
        <f t="shared" si="84"/>
        <v>0</v>
      </c>
      <c r="CL39" s="10">
        <f>INDEX('[1]PV.STOCK TIAP GUDANG'!$A:$CV,MATCH($A39,'[1]PV.STOCK TIAP GUDANG'!$A:$A,0),MATCH("Y500|6+256|STOCK",[1]PVKEY!$1:$1,0))</f>
        <v>0</v>
      </c>
      <c r="CM39" s="11">
        <f>INDEX('[1]PV.STOCK TIAP GUDANG'!$A:$CV,MATCH($A39,'[1]PV.STOCK TIAP GUDANG'!$A:$A,0),MATCH("Y500|6+256|SALES",[1]PVKEY!$1:$1,0))</f>
        <v>0</v>
      </c>
      <c r="CN39" s="12" t="str">
        <f t="shared" si="85"/>
        <v/>
      </c>
      <c r="CO39" s="10">
        <f>INDEX('[1]PV.STOCK TIAP GUDANG'!$A:$CV,MATCH($A39,'[1]PV.STOCK TIAP GUDANG'!$A:$A,0),MATCH("Y05E|4+64|STOCK",[1]PVKEY!$1:$1,0))</f>
        <v>0</v>
      </c>
      <c r="CP39" s="11">
        <f>INDEX('[1]PV.STOCK TIAP GUDANG'!$A:$CV,MATCH($A39,'[1]PV.STOCK TIAP GUDANG'!$A:$A,0),MATCH("Y05E|4+64|SALES",[1]PVKEY!$1:$1,0))</f>
        <v>1</v>
      </c>
      <c r="CQ39" s="12">
        <f t="shared" si="86"/>
        <v>0</v>
      </c>
      <c r="CR39" s="13">
        <f t="shared" si="87"/>
        <v>0</v>
      </c>
      <c r="CS39" s="13">
        <f t="shared" si="88"/>
        <v>8</v>
      </c>
      <c r="CT39" s="13">
        <f t="shared" si="89"/>
        <v>0</v>
      </c>
    </row>
    <row r="40" spans="1:99" x14ac:dyDescent="0.15">
      <c r="A40" s="9" t="s">
        <v>95</v>
      </c>
      <c r="B40" s="10">
        <f>INDEX('[1]PV.STOCK TIAP GUDANG'!$A:$CV,MATCH($A40,'[1]PV.STOCK TIAP GUDANG'!$A:$A,0),MATCH("FOLD5|STOCK",[1]PVKEY!$5:$5,0))</f>
        <v>0</v>
      </c>
      <c r="C40" s="11">
        <f>INDEX('[1]PV.STOCK TIAP GUDANG'!$A:$CV,MATCH($A40,'[1]PV.STOCK TIAP GUDANG'!$A:$A,0),MATCH("FOLD5|SALES",[1]PVKEY!$5:$5,0))</f>
        <v>0</v>
      </c>
      <c r="D40" s="12" t="str">
        <f t="shared" si="45"/>
        <v/>
      </c>
      <c r="E40" s="10">
        <f>INDEX('[1]PV.STOCK TIAP GUDANG'!$A:$CV,MATCH($A40,'[1]PV.STOCK TIAP GUDANG'!$A:$A,0),MATCH("X300ULTRA|16+1T|STOCK",[1]PVKEY!$1:$1,0))</f>
        <v>0</v>
      </c>
      <c r="F40" s="11">
        <f>INDEX('[1]PV.STOCK TIAP GUDANG'!$A:$CV,MATCH($A40,'[1]PV.STOCK TIAP GUDANG'!$A:$A,0),MATCH("X300ULTRA|16+1T|SALES",[1]PVKEY!$1:$1,0))</f>
        <v>0</v>
      </c>
      <c r="G40" s="12" t="str">
        <f t="shared" si="46"/>
        <v/>
      </c>
      <c r="H40" s="10">
        <f>INDEX('[1]PV.STOCK TIAP GUDANG'!$A:$CV,MATCH($A40,'[1]PV.STOCK TIAP GUDANG'!$A:$A,0),MATCH("X300ULTRA|16+512|STOCK",[1]PVKEY!$1:$1,0))</f>
        <v>0</v>
      </c>
      <c r="I40" s="11">
        <f>INDEX('[1]PV.STOCK TIAP GUDANG'!$A:$CV,MATCH($A40,'[1]PV.STOCK TIAP GUDANG'!$A:$A,0),MATCH("X300ULTRA|16+512|SALES",[1]PVKEY!$1:$1,0))</f>
        <v>0</v>
      </c>
      <c r="J40" s="12" t="str">
        <f t="shared" si="47"/>
        <v/>
      </c>
      <c r="K40" s="11">
        <f t="shared" si="48"/>
        <v>0</v>
      </c>
      <c r="L40" s="10">
        <f>INDEX('[1]PV.STOCK TIAP GUDANG'!$A:$CV,MATCH($A40,'[1]PV.STOCK TIAP GUDANG'!$A:$A,0),MATCH("X300PRO|16+512|STOCK",[1]PVKEY!$1:$1,0))</f>
        <v>0</v>
      </c>
      <c r="M40" s="11">
        <f>INDEX('[1]PV.STOCK TIAP GUDANG'!$A:$CV,MATCH($A40,'[1]PV.STOCK TIAP GUDANG'!$A:$A,0),MATCH("X300PRO|16+512|SALES",[1]PVKEY!$1:$1,0))</f>
        <v>0</v>
      </c>
      <c r="N40" s="12" t="str">
        <f t="shared" si="49"/>
        <v/>
      </c>
      <c r="O40" s="11">
        <f t="shared" si="50"/>
        <v>0</v>
      </c>
      <c r="P40" s="10">
        <f>INDEX('[1]PV.STOCK TIAP GUDANG'!$A:$CV,MATCH($A40,'[1]PV.STOCK TIAP GUDANG'!$A:$A,0),MATCH("X300|12+256|STOCK",[1]PVKEY!$1:$1,0))</f>
        <v>0</v>
      </c>
      <c r="Q40" s="11">
        <f>INDEX('[1]PV.STOCK TIAP GUDANG'!$A:$CV,MATCH($A40,'[1]PV.STOCK TIAP GUDANG'!$A:$A,0),MATCH("X300|12+256|SALES",[1]PVKEY!$1:$1,0))</f>
        <v>0</v>
      </c>
      <c r="R40" s="12" t="str">
        <f t="shared" si="51"/>
        <v/>
      </c>
      <c r="S40" s="10">
        <f>INDEX('[1]PV.STOCK TIAP GUDANG'!$A:$CV,MATCH($A40,'[1]PV.STOCK TIAP GUDANG'!$A:$A,0),MATCH("X300|16+512|STOCK",[1]PVKEY!$1:$1,0))</f>
        <v>0</v>
      </c>
      <c r="T40" s="11">
        <f>INDEX('[1]PV.STOCK TIAP GUDANG'!$A:$CV,MATCH($A40,'[1]PV.STOCK TIAP GUDANG'!$A:$A,0),MATCH("X300|16+512|SALES",[1]PVKEY!$1:$1,0))</f>
        <v>0</v>
      </c>
      <c r="U40" s="12" t="str">
        <f t="shared" si="52"/>
        <v/>
      </c>
      <c r="V40" s="10">
        <f>INDEX('[1]PV.STOCK TIAP GUDANG'!$A:$CV,MATCH($A40,'[1]PV.STOCK TIAP GUDANG'!$A:$A,0),MATCH("Y11D|4+128|STOCK",[1]PVKEY!$1:$1,0))</f>
        <v>0</v>
      </c>
      <c r="W40" s="11">
        <f>INDEX('[1]PV.STOCK TIAP GUDANG'!$A:$CV,MATCH($A40,'[1]PV.STOCK TIAP GUDANG'!$A:$A,0),MATCH("Y11D|4+128|SALES",[1]PVKEY!$1:$1,0))</f>
        <v>0</v>
      </c>
      <c r="X40" s="12" t="str">
        <f t="shared" si="53"/>
        <v/>
      </c>
      <c r="Y40" s="11">
        <f t="shared" si="54"/>
        <v>0</v>
      </c>
      <c r="Z40" s="10">
        <f>INDEX('[1]PV.STOCK TIAP GUDANG'!$A:$CV,MATCH($A40,'[1]PV.STOCK TIAP GUDANG'!$A:$A,0),MATCH("Y11D|4+64|STOCK",[1]PVKEY!$1:$1,0))</f>
        <v>0</v>
      </c>
      <c r="AA40" s="11">
        <f>INDEX('[1]PV.STOCK TIAP GUDANG'!$A:$CV,MATCH($A40,'[1]PV.STOCK TIAP GUDANG'!$A:$A,0),MATCH("Y11D|4+64|SALES",[1]PVKEY!$1:$1,0))</f>
        <v>0</v>
      </c>
      <c r="AB40" s="12" t="str">
        <f t="shared" si="55"/>
        <v/>
      </c>
      <c r="AC40" s="11">
        <f t="shared" si="56"/>
        <v>0</v>
      </c>
      <c r="AD40" s="10">
        <f>INDEX('[1]PV.STOCK TIAP GUDANG'!$A:$CV,MATCH($A40,'[1]PV.STOCK TIAP GUDANG'!$A:$A,0),MATCH("Y11D|6+128|STOCK",[1]PVKEY!$1:$1,0))</f>
        <v>0</v>
      </c>
      <c r="AE40" s="11">
        <f>INDEX('[1]PV.STOCK TIAP GUDANG'!$A:$CV,MATCH($A40,'[1]PV.STOCK TIAP GUDANG'!$A:$A,0),MATCH("Y11D|6+128|SALES",[1]PVKEY!$1:$1,0))</f>
        <v>0</v>
      </c>
      <c r="AF40" s="12" t="str">
        <f t="shared" si="57"/>
        <v/>
      </c>
      <c r="AG40" s="11">
        <f t="shared" si="58"/>
        <v>0</v>
      </c>
      <c r="AH40" s="10">
        <f>INDEX('[1]PV.STOCK TIAP GUDANG'!$A:$CV,MATCH($A40,'[1]PV.STOCK TIAP GUDANG'!$A:$A,0),MATCH("Y31D|4+128|STOCK",[1]PVKEY!$1:$1,0))</f>
        <v>0</v>
      </c>
      <c r="AI40" s="11">
        <f>INDEX('[1]PV.STOCK TIAP GUDANG'!$A:$CV,MATCH($A40,'[1]PV.STOCK TIAP GUDANG'!$A:$A,0),MATCH("Y31D|4+128|SALES",[1]PVKEY!$1:$1,0))</f>
        <v>0</v>
      </c>
      <c r="AJ40" s="12" t="str">
        <f t="shared" si="59"/>
        <v/>
      </c>
      <c r="AK40" s="10">
        <f>INDEX('[1]PV.STOCK TIAP GUDANG'!$A:$CV,MATCH($A40,'[1]PV.STOCK TIAP GUDANG'!$A:$A,0),MATCH("Y31DPRO|4+128|STOCK",[1]PVKEY!$1:$1,0))</f>
        <v>0</v>
      </c>
      <c r="AL40" s="11">
        <f>INDEX('[1]PV.STOCK TIAP GUDANG'!$A:$CV,MATCH($A40,'[1]PV.STOCK TIAP GUDANG'!$A:$A,0),MATCH("Y31DPRO|4+128|SALES",[1]PVKEY!$1:$1,0))</f>
        <v>0</v>
      </c>
      <c r="AM40" s="12" t="str">
        <f t="shared" si="60"/>
        <v/>
      </c>
      <c r="AN40" s="10">
        <f>INDEX('[1]PV.STOCK TIAP GUDANG'!$A:$CV,MATCH($A40,'[1]PV.STOCK TIAP GUDANG'!$A:$A,0),MATCH("Y31DPRO|6+128|STOCK",[1]PVKEY!$1:$1,0))</f>
        <v>0</v>
      </c>
      <c r="AO40" s="11">
        <f>INDEX('[1]PV.STOCK TIAP GUDANG'!$A:$CV,MATCH($A40,'[1]PV.STOCK TIAP GUDANG'!$A:$A,0),MATCH("Y31DPRO|6+128|SALES",[1]PVKEY!$1:$1,0))</f>
        <v>0</v>
      </c>
      <c r="AP40" s="12" t="str">
        <f t="shared" si="61"/>
        <v/>
      </c>
      <c r="AQ40" s="11">
        <f t="shared" si="62"/>
        <v>0</v>
      </c>
      <c r="AR40" s="10">
        <f>INDEX('[1]PV.STOCK TIAP GUDANG'!$A:$CV,MATCH($A40,'[1]PV.STOCK TIAP GUDANG'!$A:$A,0),MATCH("Y31DPRO|8+128|STOCK",[1]PVKEY!$1:$1,0))</f>
        <v>0</v>
      </c>
      <c r="AS40" s="11">
        <f>INDEX('[1]PV.STOCK TIAP GUDANG'!$A:$CV,MATCH($A40,'[1]PV.STOCK TIAP GUDANG'!$A:$A,0),MATCH("Y31DPRO|8+128|SALES",[1]PVKEY!$1:$1,0))</f>
        <v>0</v>
      </c>
      <c r="AT40" s="12" t="str">
        <f t="shared" si="63"/>
        <v/>
      </c>
      <c r="AU40" s="11">
        <f t="shared" si="64"/>
        <v>0</v>
      </c>
      <c r="AV40" s="10">
        <f>INDEX('[1]PV.STOCK TIAP GUDANG'!$A:$CV,MATCH($A40,'[1]PV.STOCK TIAP GUDANG'!$A:$A,0),MATCH("Y31DPRO|8+256|STOCK",[1]PVKEY!$1:$1,0))</f>
        <v>0</v>
      </c>
      <c r="AW40" s="11">
        <f>INDEX('[1]PV.STOCK TIAP GUDANG'!$A:$CV,MATCH($A40,'[1]PV.STOCK TIAP GUDANG'!$A:$A,0),MATCH("Y31DPRO|8+256|SALES",[1]PVKEY!$1:$1,0))</f>
        <v>0</v>
      </c>
      <c r="AX40" s="12" t="str">
        <f t="shared" si="65"/>
        <v/>
      </c>
      <c r="AY40" s="11">
        <f t="shared" si="66"/>
        <v>0</v>
      </c>
      <c r="AZ40" s="10">
        <f>INDEX('[1]PV.STOCK TIAP GUDANG'!$A:$CV,MATCH($A40,'[1]PV.STOCK TIAP GUDANG'!$A:$A,0),MATCH("V70|12+256|STOCK",[1]PVKEY!$1:$1,0))</f>
        <v>0</v>
      </c>
      <c r="BA40" s="11">
        <f>INDEX('[1]PV.STOCK TIAP GUDANG'!$A:$CV,MATCH($A40,'[1]PV.STOCK TIAP GUDANG'!$A:$A,0),MATCH("V70|12+256|SALES",[1]PVKEY!$1:$1,0))</f>
        <v>0</v>
      </c>
      <c r="BB40" s="12" t="str">
        <f t="shared" si="67"/>
        <v/>
      </c>
      <c r="BC40" s="10">
        <f>INDEX('[1]PV.STOCK TIAP GUDANG'!$A:$CV,MATCH($A40,'[1]PV.STOCK TIAP GUDANG'!$A:$A,0),MATCH("V70|8+256|STOCK",[1]PVKEY!$1:$1,0))</f>
        <v>0</v>
      </c>
      <c r="BD40" s="11">
        <f>INDEX('[1]PV.STOCK TIAP GUDANG'!$A:$CV,MATCH($A40,'[1]PV.STOCK TIAP GUDANG'!$A:$A,0),MATCH("V70|8+256|SALES",[1]PVKEY!$1:$1,0))</f>
        <v>0</v>
      </c>
      <c r="BE40" s="12" t="str">
        <f t="shared" si="68"/>
        <v/>
      </c>
      <c r="BF40" s="11">
        <f t="shared" si="69"/>
        <v>0</v>
      </c>
      <c r="BG40" s="10">
        <f>INDEX('[1]PV.STOCK TIAP GUDANG'!$A:$CV,MATCH($A40,'[1]PV.STOCK TIAP GUDANG'!$A:$A,0),MATCH("V70|12+512|STOCK",[1]PVKEY!$1:$1,0))</f>
        <v>0</v>
      </c>
      <c r="BH40" s="11">
        <f>INDEX('[1]PV.STOCK TIAP GUDANG'!$A:$CV,MATCH($A40,'[1]PV.STOCK TIAP GUDANG'!$A:$A,0),MATCH("V70|12+512|SALES",[1]PVKEY!$1:$1,0))</f>
        <v>0</v>
      </c>
      <c r="BI40" s="12" t="str">
        <f t="shared" si="70"/>
        <v/>
      </c>
      <c r="BJ40" s="11">
        <f t="shared" si="71"/>
        <v>0</v>
      </c>
      <c r="BK40" s="10">
        <f>INDEX('[1]PV.STOCK TIAP GUDANG'!$A:$CV,MATCH($A40,'[1]PV.STOCK TIAP GUDANG'!$A:$A,0),MATCH("V70FE|8+256|STOCK",[1]PVKEY!$1:$1,0))</f>
        <v>0</v>
      </c>
      <c r="BL40" s="11">
        <f>INDEX('[1]PV.STOCK TIAP GUDANG'!$A:$CV,MATCH($A40,'[1]PV.STOCK TIAP GUDANG'!$A:$A,0),MATCH("V70FE|8+256|SALES",[1]PVKEY!$1:$1,0))</f>
        <v>0</v>
      </c>
      <c r="BM40" s="12" t="str">
        <f t="shared" si="72"/>
        <v/>
      </c>
      <c r="BN40" s="11">
        <f t="shared" si="73"/>
        <v>0</v>
      </c>
      <c r="BO40" s="10">
        <f>INDEX('[1]PV.STOCK TIAP GUDANG'!$A:$CV,MATCH($A40,'[1]PV.STOCK TIAP GUDANG'!$A:$A,0),MATCH("V70FE|12+256|STOCK",[1]PVKEY!$1:$1,0))</f>
        <v>0</v>
      </c>
      <c r="BP40" s="11">
        <f>INDEX('[1]PV.STOCK TIAP GUDANG'!$A:$CV,MATCH($A40,'[1]PV.STOCK TIAP GUDANG'!$A:$A,0),MATCH("V70FE|12+256|SALES",[1]PVKEY!$1:$1,0))</f>
        <v>0</v>
      </c>
      <c r="BQ40" s="12" t="str">
        <f t="shared" si="74"/>
        <v/>
      </c>
      <c r="BR40" s="11">
        <f t="shared" si="75"/>
        <v>0</v>
      </c>
      <c r="BS40" s="10">
        <f>INDEX('[1]PV.STOCK TIAP GUDANG'!$A:$CV,MATCH($A40,'[1]PV.STOCK TIAP GUDANG'!$A:$A,0),MATCH("V60LITE5G|8+256|STOCK",[1]PVKEY!$1:$1,0))</f>
        <v>0</v>
      </c>
      <c r="BT40" s="11">
        <f>INDEX('[1]PV.STOCK TIAP GUDANG'!$A:$CV,MATCH($A40,'[1]PV.STOCK TIAP GUDANG'!$A:$A,0),MATCH("V60LITE5G|8+256|SALES",[1]PVKEY!$1:$1,0))</f>
        <v>0</v>
      </c>
      <c r="BU40" s="12" t="str">
        <f t="shared" si="76"/>
        <v/>
      </c>
      <c r="BV40" s="11">
        <f t="shared" si="77"/>
        <v>0</v>
      </c>
      <c r="BW40" s="10">
        <f>INDEX('[1]PV.STOCK TIAP GUDANG'!$A:$CV,MATCH($A40,'[1]PV.STOCK TIAP GUDANG'!$A:$A,0),MATCH("V60LITE|8+256|STOCK",[1]PVKEY!$1:$1,0))</f>
        <v>0</v>
      </c>
      <c r="BX40" s="11">
        <f>INDEX('[1]PV.STOCK TIAP GUDANG'!$A:$CV,MATCH($A40,'[1]PV.STOCK TIAP GUDANG'!$A:$A,0),MATCH("V60LITE|8+256|SALES",[1]PVKEY!$1:$1,0))</f>
        <v>0</v>
      </c>
      <c r="BY40" s="12" t="str">
        <f t="shared" si="78"/>
        <v/>
      </c>
      <c r="BZ40" s="11">
        <f t="shared" si="79"/>
        <v>0</v>
      </c>
      <c r="CA40" s="10">
        <f>INDEX('[1]PV.STOCK TIAP GUDANG'!$A:$CV,MATCH($A40,'[1]PV.STOCK TIAP GUDANG'!$A:$A,0),MATCH("Y05|4+128|STOCK",[1]PVKEY!$1:$1,0))</f>
        <v>0</v>
      </c>
      <c r="CB40" s="11">
        <f>INDEX('[1]PV.STOCK TIAP GUDANG'!$A:$CV,MATCH($A40,'[1]PV.STOCK TIAP GUDANG'!$A:$A,0),MATCH("Y05|4+128|SALES",[1]PVKEY!$1:$1,0))</f>
        <v>0</v>
      </c>
      <c r="CC40" s="12" t="str">
        <f t="shared" si="80"/>
        <v/>
      </c>
      <c r="CD40" s="11">
        <f t="shared" si="81"/>
        <v>0</v>
      </c>
      <c r="CE40" s="10">
        <f>INDEX('[1]PV.STOCK TIAP GUDANG'!$A:$CV,MATCH($A40,'[1]PV.STOCK TIAP GUDANG'!$A:$A,0),MATCH("Y05|4+64|STOCK",[1]PVKEY!$1:$1,0))</f>
        <v>0</v>
      </c>
      <c r="CF40" s="11">
        <f>INDEX('[1]PV.STOCK TIAP GUDANG'!$A:$CV,MATCH($A40,'[1]PV.STOCK TIAP GUDANG'!$A:$A,0),MATCH("Y05|4+64|SALES",[1]PVKEY!$1:$1,0))</f>
        <v>0</v>
      </c>
      <c r="CG40" s="12" t="str">
        <f t="shared" si="82"/>
        <v/>
      </c>
      <c r="CH40" s="11">
        <f t="shared" si="83"/>
        <v>0</v>
      </c>
      <c r="CI40" s="10">
        <f>INDEX('[1]PV.STOCK TIAP GUDANG'!$A:$CV,MATCH($A40,'[1]PV.STOCK TIAP GUDANG'!$A:$A,0),MATCH("Y500|6+128|STOCK",[1]PVKEY!$1:$1,0))</f>
        <v>0</v>
      </c>
      <c r="CJ40" s="11">
        <f>INDEX('[1]PV.STOCK TIAP GUDANG'!$A:$CV,MATCH($A40,'[1]PV.STOCK TIAP GUDANG'!$A:$A,0),MATCH("Y500|6+128|SALES",[1]PVKEY!$1:$1,0))</f>
        <v>0</v>
      </c>
      <c r="CK40" s="12" t="str">
        <f t="shared" si="84"/>
        <v/>
      </c>
      <c r="CL40" s="10">
        <f>INDEX('[1]PV.STOCK TIAP GUDANG'!$A:$CV,MATCH($A40,'[1]PV.STOCK TIAP GUDANG'!$A:$A,0),MATCH("Y500|6+256|STOCK",[1]PVKEY!$1:$1,0))</f>
        <v>0</v>
      </c>
      <c r="CM40" s="11">
        <f>INDEX('[1]PV.STOCK TIAP GUDANG'!$A:$CV,MATCH($A40,'[1]PV.STOCK TIAP GUDANG'!$A:$A,0),MATCH("Y500|6+256|SALES",[1]PVKEY!$1:$1,0))</f>
        <v>0</v>
      </c>
      <c r="CN40" s="12" t="str">
        <f t="shared" si="85"/>
        <v/>
      </c>
      <c r="CO40" s="10">
        <f>INDEX('[1]PV.STOCK TIAP GUDANG'!$A:$CV,MATCH($A40,'[1]PV.STOCK TIAP GUDANG'!$A:$A,0),MATCH("Y05E|4+64|STOCK",[1]PVKEY!$1:$1,0))</f>
        <v>0</v>
      </c>
      <c r="CP40" s="11">
        <f>INDEX('[1]PV.STOCK TIAP GUDANG'!$A:$CV,MATCH($A40,'[1]PV.STOCK TIAP GUDANG'!$A:$A,0),MATCH("Y05E|4+64|SALES",[1]PVKEY!$1:$1,0))</f>
        <v>0</v>
      </c>
      <c r="CQ40" s="12" t="str">
        <f t="shared" si="86"/>
        <v/>
      </c>
      <c r="CR40" s="13">
        <f t="shared" si="87"/>
        <v>0</v>
      </c>
      <c r="CS40" s="13">
        <f t="shared" si="88"/>
        <v>0</v>
      </c>
      <c r="CT40" s="13">
        <f t="shared" si="89"/>
        <v>1000</v>
      </c>
    </row>
    <row r="41" spans="1:99" x14ac:dyDescent="0.15">
      <c r="A41" s="9" t="s">
        <v>96</v>
      </c>
      <c r="B41" s="10">
        <f>INDEX('[1]PV.STOCK TIAP GUDANG'!$A:$CV,MATCH($A41,'[1]PV.STOCK TIAP GUDANG'!$A:$A,0),MATCH("FOLD5|STOCK",[1]PVKEY!$5:$5,0))</f>
        <v>0</v>
      </c>
      <c r="C41" s="11">
        <f>INDEX('[1]PV.STOCK TIAP GUDANG'!$A:$CV,MATCH($A41,'[1]PV.STOCK TIAP GUDANG'!$A:$A,0),MATCH("FOLD5|SALES",[1]PVKEY!$5:$5,0))</f>
        <v>0</v>
      </c>
      <c r="D41" s="12" t="str">
        <f t="shared" si="45"/>
        <v/>
      </c>
      <c r="E41" s="10">
        <f>INDEX('[1]PV.STOCK TIAP GUDANG'!$A:$CV,MATCH($A41,'[1]PV.STOCK TIAP GUDANG'!$A:$A,0),MATCH("X300ULTRA|16+1T|STOCK",[1]PVKEY!$1:$1,0))</f>
        <v>0</v>
      </c>
      <c r="F41" s="11">
        <f>INDEX('[1]PV.STOCK TIAP GUDANG'!$A:$CV,MATCH($A41,'[1]PV.STOCK TIAP GUDANG'!$A:$A,0),MATCH("X300ULTRA|16+1T|SALES",[1]PVKEY!$1:$1,0))</f>
        <v>0</v>
      </c>
      <c r="G41" s="12" t="str">
        <f t="shared" si="46"/>
        <v/>
      </c>
      <c r="H41" s="10">
        <f>INDEX('[1]PV.STOCK TIAP GUDANG'!$A:$CV,MATCH($A41,'[1]PV.STOCK TIAP GUDANG'!$A:$A,0),MATCH("X300ULTRA|16+512|STOCK",[1]PVKEY!$1:$1,0))</f>
        <v>0</v>
      </c>
      <c r="I41" s="11">
        <f>INDEX('[1]PV.STOCK TIAP GUDANG'!$A:$CV,MATCH($A41,'[1]PV.STOCK TIAP GUDANG'!$A:$A,0),MATCH("X300ULTRA|16+512|SALES",[1]PVKEY!$1:$1,0))</f>
        <v>0</v>
      </c>
      <c r="J41" s="12" t="str">
        <f t="shared" si="47"/>
        <v/>
      </c>
      <c r="K41" s="11">
        <f t="shared" si="48"/>
        <v>0</v>
      </c>
      <c r="L41" s="10">
        <f>INDEX('[1]PV.STOCK TIAP GUDANG'!$A:$CV,MATCH($A41,'[1]PV.STOCK TIAP GUDANG'!$A:$A,0),MATCH("X300PRO|16+512|STOCK",[1]PVKEY!$1:$1,0))</f>
        <v>0</v>
      </c>
      <c r="M41" s="11">
        <f>INDEX('[1]PV.STOCK TIAP GUDANG'!$A:$CV,MATCH($A41,'[1]PV.STOCK TIAP GUDANG'!$A:$A,0),MATCH("X300PRO|16+512|SALES",[1]PVKEY!$1:$1,0))</f>
        <v>0</v>
      </c>
      <c r="N41" s="12" t="str">
        <f t="shared" si="49"/>
        <v/>
      </c>
      <c r="O41" s="11">
        <f t="shared" si="50"/>
        <v>0</v>
      </c>
      <c r="P41" s="10">
        <f>INDEX('[1]PV.STOCK TIAP GUDANG'!$A:$CV,MATCH($A41,'[1]PV.STOCK TIAP GUDANG'!$A:$A,0),MATCH("X300|12+256|STOCK",[1]PVKEY!$1:$1,0))</f>
        <v>0</v>
      </c>
      <c r="Q41" s="11">
        <f>INDEX('[1]PV.STOCK TIAP GUDANG'!$A:$CV,MATCH($A41,'[1]PV.STOCK TIAP GUDANG'!$A:$A,0),MATCH("X300|12+256|SALES",[1]PVKEY!$1:$1,0))</f>
        <v>0</v>
      </c>
      <c r="R41" s="12" t="str">
        <f t="shared" si="51"/>
        <v/>
      </c>
      <c r="S41" s="10">
        <f>INDEX('[1]PV.STOCK TIAP GUDANG'!$A:$CV,MATCH($A41,'[1]PV.STOCK TIAP GUDANG'!$A:$A,0),MATCH("X300|16+512|STOCK",[1]PVKEY!$1:$1,0))</f>
        <v>0</v>
      </c>
      <c r="T41" s="11">
        <f>INDEX('[1]PV.STOCK TIAP GUDANG'!$A:$CV,MATCH($A41,'[1]PV.STOCK TIAP GUDANG'!$A:$A,0),MATCH("X300|16+512|SALES",[1]PVKEY!$1:$1,0))</f>
        <v>0</v>
      </c>
      <c r="U41" s="12" t="str">
        <f t="shared" si="52"/>
        <v/>
      </c>
      <c r="V41" s="10">
        <f>INDEX('[1]PV.STOCK TIAP GUDANG'!$A:$CV,MATCH($A41,'[1]PV.STOCK TIAP GUDANG'!$A:$A,0),MATCH("Y11D|4+128|STOCK",[1]PVKEY!$1:$1,0))</f>
        <v>2</v>
      </c>
      <c r="W41" s="11">
        <f>INDEX('[1]PV.STOCK TIAP GUDANG'!$A:$CV,MATCH($A41,'[1]PV.STOCK TIAP GUDANG'!$A:$A,0),MATCH("Y11D|4+128|SALES",[1]PVKEY!$1:$1,0))</f>
        <v>0</v>
      </c>
      <c r="X41" s="12" t="str">
        <f t="shared" si="53"/>
        <v/>
      </c>
      <c r="Y41" s="11">
        <f t="shared" si="54"/>
        <v>0</v>
      </c>
      <c r="Z41" s="10">
        <f>INDEX('[1]PV.STOCK TIAP GUDANG'!$A:$CV,MATCH($A41,'[1]PV.STOCK TIAP GUDANG'!$A:$A,0),MATCH("Y11D|4+64|STOCK",[1]PVKEY!$1:$1,0))</f>
        <v>1</v>
      </c>
      <c r="AA41" s="11">
        <f>INDEX('[1]PV.STOCK TIAP GUDANG'!$A:$CV,MATCH($A41,'[1]PV.STOCK TIAP GUDANG'!$A:$A,0),MATCH("Y11D|4+64|SALES",[1]PVKEY!$1:$1,0))</f>
        <v>0</v>
      </c>
      <c r="AB41" s="12" t="str">
        <f t="shared" si="55"/>
        <v/>
      </c>
      <c r="AC41" s="11">
        <f t="shared" si="56"/>
        <v>0</v>
      </c>
      <c r="AD41" s="10">
        <f>INDEX('[1]PV.STOCK TIAP GUDANG'!$A:$CV,MATCH($A41,'[1]PV.STOCK TIAP GUDANG'!$A:$A,0),MATCH("Y11D|6+128|STOCK",[1]PVKEY!$1:$1,0))</f>
        <v>0</v>
      </c>
      <c r="AE41" s="11">
        <f>INDEX('[1]PV.STOCK TIAP GUDANG'!$A:$CV,MATCH($A41,'[1]PV.STOCK TIAP GUDANG'!$A:$A,0),MATCH("Y11D|6+128|SALES",[1]PVKEY!$1:$1,0))</f>
        <v>0</v>
      </c>
      <c r="AF41" s="12" t="str">
        <f t="shared" si="57"/>
        <v/>
      </c>
      <c r="AG41" s="11">
        <f t="shared" si="58"/>
        <v>0</v>
      </c>
      <c r="AH41" s="10">
        <f>INDEX('[1]PV.STOCK TIAP GUDANG'!$A:$CV,MATCH($A41,'[1]PV.STOCK TIAP GUDANG'!$A:$A,0),MATCH("Y31D|4+128|STOCK",[1]PVKEY!$1:$1,0))</f>
        <v>1</v>
      </c>
      <c r="AI41" s="11">
        <f>INDEX('[1]PV.STOCK TIAP GUDANG'!$A:$CV,MATCH($A41,'[1]PV.STOCK TIAP GUDANG'!$A:$A,0),MATCH("Y31D|4+128|SALES",[1]PVKEY!$1:$1,0))</f>
        <v>0</v>
      </c>
      <c r="AJ41" s="12" t="str">
        <f t="shared" si="59"/>
        <v/>
      </c>
      <c r="AK41" s="10">
        <f>INDEX('[1]PV.STOCK TIAP GUDANG'!$A:$CV,MATCH($A41,'[1]PV.STOCK TIAP GUDANG'!$A:$A,0),MATCH("Y31DPRO|4+128|STOCK",[1]PVKEY!$1:$1,0))</f>
        <v>1</v>
      </c>
      <c r="AL41" s="11">
        <f>INDEX('[1]PV.STOCK TIAP GUDANG'!$A:$CV,MATCH($A41,'[1]PV.STOCK TIAP GUDANG'!$A:$A,0),MATCH("Y31DPRO|4+128|SALES",[1]PVKEY!$1:$1,0))</f>
        <v>0</v>
      </c>
      <c r="AM41" s="12" t="str">
        <f t="shared" si="60"/>
        <v/>
      </c>
      <c r="AN41" s="10">
        <f>INDEX('[1]PV.STOCK TIAP GUDANG'!$A:$CV,MATCH($A41,'[1]PV.STOCK TIAP GUDANG'!$A:$A,0),MATCH("Y31DPRO|6+128|STOCK",[1]PVKEY!$1:$1,0))</f>
        <v>0</v>
      </c>
      <c r="AO41" s="11">
        <f>INDEX('[1]PV.STOCK TIAP GUDANG'!$A:$CV,MATCH($A41,'[1]PV.STOCK TIAP GUDANG'!$A:$A,0),MATCH("Y31DPRO|6+128|SALES",[1]PVKEY!$1:$1,0))</f>
        <v>0</v>
      </c>
      <c r="AP41" s="12" t="str">
        <f t="shared" si="61"/>
        <v/>
      </c>
      <c r="AQ41" s="11">
        <f t="shared" si="62"/>
        <v>0</v>
      </c>
      <c r="AR41" s="10">
        <f>INDEX('[1]PV.STOCK TIAP GUDANG'!$A:$CV,MATCH($A41,'[1]PV.STOCK TIAP GUDANG'!$A:$A,0),MATCH("Y31DPRO|8+128|STOCK",[1]PVKEY!$1:$1,0))</f>
        <v>1</v>
      </c>
      <c r="AS41" s="11">
        <f>INDEX('[1]PV.STOCK TIAP GUDANG'!$A:$CV,MATCH($A41,'[1]PV.STOCK TIAP GUDANG'!$A:$A,0),MATCH("Y31DPRO|8+128|SALES",[1]PVKEY!$1:$1,0))</f>
        <v>0</v>
      </c>
      <c r="AT41" s="12" t="str">
        <f t="shared" si="63"/>
        <v/>
      </c>
      <c r="AU41" s="11">
        <f t="shared" si="64"/>
        <v>0</v>
      </c>
      <c r="AV41" s="10">
        <f>INDEX('[1]PV.STOCK TIAP GUDANG'!$A:$CV,MATCH($A41,'[1]PV.STOCK TIAP GUDANG'!$A:$A,0),MATCH("Y31DPRO|8+256|STOCK",[1]PVKEY!$1:$1,0))</f>
        <v>1</v>
      </c>
      <c r="AW41" s="11">
        <f>INDEX('[1]PV.STOCK TIAP GUDANG'!$A:$CV,MATCH($A41,'[1]PV.STOCK TIAP GUDANG'!$A:$A,0),MATCH("Y31DPRO|8+256|SALES",[1]PVKEY!$1:$1,0))</f>
        <v>0</v>
      </c>
      <c r="AX41" s="12" t="str">
        <f t="shared" si="65"/>
        <v/>
      </c>
      <c r="AY41" s="11">
        <f t="shared" si="66"/>
        <v>0</v>
      </c>
      <c r="AZ41" s="10">
        <f>INDEX('[1]PV.STOCK TIAP GUDANG'!$A:$CV,MATCH($A41,'[1]PV.STOCK TIAP GUDANG'!$A:$A,0),MATCH("V70|12+256|STOCK",[1]PVKEY!$1:$1,0))</f>
        <v>0</v>
      </c>
      <c r="BA41" s="11">
        <f>INDEX('[1]PV.STOCK TIAP GUDANG'!$A:$CV,MATCH($A41,'[1]PV.STOCK TIAP GUDANG'!$A:$A,0),MATCH("V70|12+256|SALES",[1]PVKEY!$1:$1,0))</f>
        <v>0</v>
      </c>
      <c r="BB41" s="12" t="str">
        <f t="shared" si="67"/>
        <v/>
      </c>
      <c r="BC41" s="10">
        <f>INDEX('[1]PV.STOCK TIAP GUDANG'!$A:$CV,MATCH($A41,'[1]PV.STOCK TIAP GUDANG'!$A:$A,0),MATCH("V70|8+256|STOCK",[1]PVKEY!$1:$1,0))</f>
        <v>2</v>
      </c>
      <c r="BD41" s="11">
        <f>INDEX('[1]PV.STOCK TIAP GUDANG'!$A:$CV,MATCH($A41,'[1]PV.STOCK TIAP GUDANG'!$A:$A,0),MATCH("V70|8+256|SALES",[1]PVKEY!$1:$1,0))</f>
        <v>0</v>
      </c>
      <c r="BE41" s="12" t="str">
        <f t="shared" si="68"/>
        <v/>
      </c>
      <c r="BF41" s="11">
        <f t="shared" si="69"/>
        <v>0</v>
      </c>
      <c r="BG41" s="10">
        <f>INDEX('[1]PV.STOCK TIAP GUDANG'!$A:$CV,MATCH($A41,'[1]PV.STOCK TIAP GUDANG'!$A:$A,0),MATCH("V70|12+512|STOCK",[1]PVKEY!$1:$1,0))</f>
        <v>0</v>
      </c>
      <c r="BH41" s="11">
        <f>INDEX('[1]PV.STOCK TIAP GUDANG'!$A:$CV,MATCH($A41,'[1]PV.STOCK TIAP GUDANG'!$A:$A,0),MATCH("V70|12+512|SALES",[1]PVKEY!$1:$1,0))</f>
        <v>0</v>
      </c>
      <c r="BI41" s="12" t="str">
        <f t="shared" si="70"/>
        <v/>
      </c>
      <c r="BJ41" s="11">
        <f t="shared" si="71"/>
        <v>0</v>
      </c>
      <c r="BK41" s="10">
        <f>INDEX('[1]PV.STOCK TIAP GUDANG'!$A:$CV,MATCH($A41,'[1]PV.STOCK TIAP GUDANG'!$A:$A,0),MATCH("V70FE|8+256|STOCK",[1]PVKEY!$1:$1,0))</f>
        <v>0</v>
      </c>
      <c r="BL41" s="11">
        <f>INDEX('[1]PV.STOCK TIAP GUDANG'!$A:$CV,MATCH($A41,'[1]PV.STOCK TIAP GUDANG'!$A:$A,0),MATCH("V70FE|8+256|SALES",[1]PVKEY!$1:$1,0))</f>
        <v>0</v>
      </c>
      <c r="BM41" s="12" t="str">
        <f t="shared" si="72"/>
        <v/>
      </c>
      <c r="BN41" s="11">
        <f t="shared" si="73"/>
        <v>0</v>
      </c>
      <c r="BO41" s="10">
        <f>INDEX('[1]PV.STOCK TIAP GUDANG'!$A:$CV,MATCH($A41,'[1]PV.STOCK TIAP GUDANG'!$A:$A,0),MATCH("V70FE|12+256|STOCK",[1]PVKEY!$1:$1,0))</f>
        <v>1</v>
      </c>
      <c r="BP41" s="11">
        <f>INDEX('[1]PV.STOCK TIAP GUDANG'!$A:$CV,MATCH($A41,'[1]PV.STOCK TIAP GUDANG'!$A:$A,0),MATCH("V70FE|12+256|SALES",[1]PVKEY!$1:$1,0))</f>
        <v>0</v>
      </c>
      <c r="BQ41" s="12" t="str">
        <f t="shared" si="74"/>
        <v/>
      </c>
      <c r="BR41" s="11">
        <f t="shared" si="75"/>
        <v>0</v>
      </c>
      <c r="BS41" s="10">
        <f>INDEX('[1]PV.STOCK TIAP GUDANG'!$A:$CV,MATCH($A41,'[1]PV.STOCK TIAP GUDANG'!$A:$A,0),MATCH("V60LITE5G|8+256|STOCK",[1]PVKEY!$1:$1,0))</f>
        <v>0</v>
      </c>
      <c r="BT41" s="11">
        <f>INDEX('[1]PV.STOCK TIAP GUDANG'!$A:$CV,MATCH($A41,'[1]PV.STOCK TIAP GUDANG'!$A:$A,0),MATCH("V60LITE5G|8+256|SALES",[1]PVKEY!$1:$1,0))</f>
        <v>0</v>
      </c>
      <c r="BU41" s="12" t="str">
        <f t="shared" si="76"/>
        <v/>
      </c>
      <c r="BV41" s="11">
        <f t="shared" si="77"/>
        <v>0</v>
      </c>
      <c r="BW41" s="10">
        <f>INDEX('[1]PV.STOCK TIAP GUDANG'!$A:$CV,MATCH($A41,'[1]PV.STOCK TIAP GUDANG'!$A:$A,0),MATCH("V60LITE|8+256|STOCK",[1]PVKEY!$1:$1,0))</f>
        <v>0</v>
      </c>
      <c r="BX41" s="11">
        <f>INDEX('[1]PV.STOCK TIAP GUDANG'!$A:$CV,MATCH($A41,'[1]PV.STOCK TIAP GUDANG'!$A:$A,0),MATCH("V60LITE|8+256|SALES",[1]PVKEY!$1:$1,0))</f>
        <v>0</v>
      </c>
      <c r="BY41" s="12" t="str">
        <f t="shared" si="78"/>
        <v/>
      </c>
      <c r="BZ41" s="11">
        <f t="shared" si="79"/>
        <v>0</v>
      </c>
      <c r="CA41" s="10">
        <f>INDEX('[1]PV.STOCK TIAP GUDANG'!$A:$CV,MATCH($A41,'[1]PV.STOCK TIAP GUDANG'!$A:$A,0),MATCH("Y05|4+128|STOCK",[1]PVKEY!$1:$1,0))</f>
        <v>2</v>
      </c>
      <c r="CB41" s="11">
        <f>INDEX('[1]PV.STOCK TIAP GUDANG'!$A:$CV,MATCH($A41,'[1]PV.STOCK TIAP GUDANG'!$A:$A,0),MATCH("Y05|4+128|SALES",[1]PVKEY!$1:$1,0))</f>
        <v>0</v>
      </c>
      <c r="CC41" s="12" t="str">
        <f t="shared" si="80"/>
        <v/>
      </c>
      <c r="CD41" s="11">
        <f t="shared" si="81"/>
        <v>0</v>
      </c>
      <c r="CE41" s="10">
        <f>INDEX('[1]PV.STOCK TIAP GUDANG'!$A:$CV,MATCH($A41,'[1]PV.STOCK TIAP GUDANG'!$A:$A,0),MATCH("Y05|4+64|STOCK",[1]PVKEY!$1:$1,0))</f>
        <v>2</v>
      </c>
      <c r="CF41" s="11">
        <f>INDEX('[1]PV.STOCK TIAP GUDANG'!$A:$CV,MATCH($A41,'[1]PV.STOCK TIAP GUDANG'!$A:$A,0),MATCH("Y05|4+64|SALES",[1]PVKEY!$1:$1,0))</f>
        <v>0</v>
      </c>
      <c r="CG41" s="12" t="str">
        <f t="shared" si="82"/>
        <v/>
      </c>
      <c r="CH41" s="11">
        <f t="shared" si="83"/>
        <v>0</v>
      </c>
      <c r="CI41" s="10">
        <f>INDEX('[1]PV.STOCK TIAP GUDANG'!$A:$CV,MATCH($A41,'[1]PV.STOCK TIAP GUDANG'!$A:$A,0),MATCH("Y500|6+128|STOCK",[1]PVKEY!$1:$1,0))</f>
        <v>1</v>
      </c>
      <c r="CJ41" s="11">
        <f>INDEX('[1]PV.STOCK TIAP GUDANG'!$A:$CV,MATCH($A41,'[1]PV.STOCK TIAP GUDANG'!$A:$A,0),MATCH("Y500|6+128|SALES",[1]PVKEY!$1:$1,0))</f>
        <v>0</v>
      </c>
      <c r="CK41" s="12" t="str">
        <f t="shared" si="84"/>
        <v/>
      </c>
      <c r="CL41" s="10">
        <f>INDEX('[1]PV.STOCK TIAP GUDANG'!$A:$CV,MATCH($A41,'[1]PV.STOCK TIAP GUDANG'!$A:$A,0),MATCH("Y500|6+256|STOCK",[1]PVKEY!$1:$1,0))</f>
        <v>1</v>
      </c>
      <c r="CM41" s="11">
        <f>INDEX('[1]PV.STOCK TIAP GUDANG'!$A:$CV,MATCH($A41,'[1]PV.STOCK TIAP GUDANG'!$A:$A,0),MATCH("Y500|6+256|SALES",[1]PVKEY!$1:$1,0))</f>
        <v>0</v>
      </c>
      <c r="CN41" s="12" t="str">
        <f t="shared" si="85"/>
        <v/>
      </c>
      <c r="CO41" s="10">
        <f>INDEX('[1]PV.STOCK TIAP GUDANG'!$A:$CV,MATCH($A41,'[1]PV.STOCK TIAP GUDANG'!$A:$A,0),MATCH("Y05E|4+64|STOCK",[1]PVKEY!$1:$1,0))</f>
        <v>1</v>
      </c>
      <c r="CP41" s="11">
        <f>INDEX('[1]PV.STOCK TIAP GUDANG'!$A:$CV,MATCH($A41,'[1]PV.STOCK TIAP GUDANG'!$A:$A,0),MATCH("Y05E|4+64|SALES",[1]PVKEY!$1:$1,0))</f>
        <v>0</v>
      </c>
      <c r="CQ41" s="12" t="str">
        <f t="shared" si="86"/>
        <v/>
      </c>
      <c r="CR41" s="13">
        <f t="shared" si="87"/>
        <v>17</v>
      </c>
      <c r="CS41" s="13">
        <f t="shared" si="88"/>
        <v>0</v>
      </c>
      <c r="CT41" s="13">
        <f t="shared" si="89"/>
        <v>1000</v>
      </c>
    </row>
    <row r="42" spans="1:99" x14ac:dyDescent="0.15">
      <c r="A42" s="14" t="s">
        <v>78</v>
      </c>
      <c r="B42" s="15">
        <f>SUM(B7:B41)</f>
        <v>0</v>
      </c>
      <c r="C42" s="16">
        <f>SUM(C7:C41)</f>
        <v>0</v>
      </c>
      <c r="D42" s="12" t="str">
        <f>IF(OR(C42="",C42=0),"",ROUND(B42/C42*$B$2,1))</f>
        <v/>
      </c>
      <c r="E42" s="15">
        <f>SUM(E7:E41)</f>
        <v>30</v>
      </c>
      <c r="F42" s="16">
        <f>SUM(F7:F41)</f>
        <v>4</v>
      </c>
      <c r="G42" s="12">
        <f>IF(OR(F42="",F42=0),"",ROUND(E42/F42*$B$2,1))</f>
        <v>202.5</v>
      </c>
      <c r="H42" s="15">
        <f>SUM(H7:H41)</f>
        <v>64</v>
      </c>
      <c r="I42" s="16">
        <f>SUM(I7:I41)</f>
        <v>28</v>
      </c>
      <c r="J42" s="12">
        <f>IF(OR(I42="",I42=0),"",ROUND(H42/I42*$B$2,1))</f>
        <v>61.7</v>
      </c>
      <c r="K42" s="16">
        <f>SUM(K7:K41)</f>
        <v>10.370370370370368</v>
      </c>
      <c r="L42" s="15">
        <f>SUM(L7:L41)</f>
        <v>0</v>
      </c>
      <c r="M42" s="16">
        <f>SUM(M7:M41)</f>
        <v>0</v>
      </c>
      <c r="N42" s="12" t="str">
        <f>IF(OR(M42="",M42=0),"",ROUND(L42/M42*$B$2,1))</f>
        <v/>
      </c>
      <c r="O42" s="16">
        <f>SUM(O7:O41)</f>
        <v>0</v>
      </c>
      <c r="P42" s="15">
        <f>SUM(P7:P41)</f>
        <v>0</v>
      </c>
      <c r="Q42" s="16">
        <f>SUM(Q7:Q41)</f>
        <v>2</v>
      </c>
      <c r="R42" s="12">
        <f>IF(OR(Q42="",Q42=0),"",ROUND(P42/Q42*$B$2,1))</f>
        <v>0</v>
      </c>
      <c r="S42" s="15">
        <f>SUM(S7:S41)</f>
        <v>0</v>
      </c>
      <c r="T42" s="16">
        <f>SUM(T7:T41)</f>
        <v>2</v>
      </c>
      <c r="U42" s="12">
        <f>IF(OR(T42="",T42=0),"",ROUND(S42/T42*$B$2,1))</f>
        <v>0</v>
      </c>
      <c r="V42" s="15">
        <f>SUM(V7:V41)</f>
        <v>248</v>
      </c>
      <c r="W42" s="16">
        <f>SUM(W7:W41)</f>
        <v>698</v>
      </c>
      <c r="X42" s="12">
        <f>IF(OR(W42="",W42=0),"",ROUND(V42/W42*$B$2,1))</f>
        <v>9.6</v>
      </c>
      <c r="Y42" s="16">
        <f>SUM(Y7:Y41)</f>
        <v>129.25925925925932</v>
      </c>
      <c r="Z42" s="15">
        <f>SUM(Z7:Z41)</f>
        <v>157</v>
      </c>
      <c r="AA42" s="16">
        <f>SUM(AA7:AA41)</f>
        <v>338</v>
      </c>
      <c r="AB42" s="12">
        <f>IF(OR(AA42="",AA42=0),"",ROUND(Z42/AA42*$B$2,1))</f>
        <v>12.5</v>
      </c>
      <c r="AC42" s="16">
        <f>SUM(AC7:AC41)</f>
        <v>62.592592592592609</v>
      </c>
      <c r="AD42" s="15">
        <f>SUM(AD7:AD41)</f>
        <v>36</v>
      </c>
      <c r="AE42" s="16">
        <f>SUM(AE7:AE41)</f>
        <v>24</v>
      </c>
      <c r="AF42" s="12">
        <f>IF(OR(AE42="",AE42=0),"",ROUND(AD42/AE42*$B$2,1))</f>
        <v>40.5</v>
      </c>
      <c r="AG42" s="16">
        <f>SUM(AG7:AG41)</f>
        <v>4.4444444444444438</v>
      </c>
      <c r="AH42" s="15">
        <f>SUM(AH7:AH41)</f>
        <v>47</v>
      </c>
      <c r="AI42" s="16">
        <f>SUM(AI7:AI41)</f>
        <v>199</v>
      </c>
      <c r="AJ42" s="12">
        <f>IF(OR(AI42="",AI42=0),"",ROUND(AH42/AI42*$B$2,1))</f>
        <v>6.4</v>
      </c>
      <c r="AK42" s="15">
        <f>SUM(AK7:AK41)</f>
        <v>131</v>
      </c>
      <c r="AL42" s="16">
        <f>SUM(AL7:AL41)</f>
        <v>283</v>
      </c>
      <c r="AM42" s="12">
        <f>IF(OR(AL42="",AL42=0),"",ROUND(AK42/AL42*$B$2,1))</f>
        <v>12.5</v>
      </c>
      <c r="AN42" s="15">
        <f>SUM(AN7:AN41)</f>
        <v>166</v>
      </c>
      <c r="AO42" s="16">
        <f>SUM(AO7:AO41)</f>
        <v>330</v>
      </c>
      <c r="AP42" s="12">
        <f>IF(OR(AO42="",AO42=0),"",ROUND(AN42/AO42*$B$2,1))</f>
        <v>13.6</v>
      </c>
      <c r="AQ42" s="16">
        <f>SUM(AQ7:AQ41)</f>
        <v>61.111111111111136</v>
      </c>
      <c r="AR42" s="15">
        <f>SUM(AR7:AR41)</f>
        <v>139</v>
      </c>
      <c r="AS42" s="16">
        <f>SUM(AS7:AS41)</f>
        <v>56</v>
      </c>
      <c r="AT42" s="12">
        <f>IF(OR(AS42="",AS42=0),"",ROUND(AR42/AS42*$B$2,1))</f>
        <v>67</v>
      </c>
      <c r="AU42" s="16">
        <f>SUM(AU7:AU41)</f>
        <v>10.370370370370368</v>
      </c>
      <c r="AV42" s="15">
        <f>SUM(AV7:AV41)</f>
        <v>103</v>
      </c>
      <c r="AW42" s="16">
        <f>SUM(AW7:AW41)</f>
        <v>102</v>
      </c>
      <c r="AX42" s="12">
        <f>IF(OR(AW42="",AW42=0),"",ROUND(AV42/AW42*$B$2,1))</f>
        <v>27.3</v>
      </c>
      <c r="AY42" s="16">
        <f>SUM(AY7:AY41)</f>
        <v>18.888888888888886</v>
      </c>
      <c r="AZ42" s="15">
        <f>SUM(AZ7:AZ41)</f>
        <v>2</v>
      </c>
      <c r="BA42" s="16">
        <f>SUM(BA7:BA41)</f>
        <v>28</v>
      </c>
      <c r="BB42" s="12">
        <f>IF(OR(BA42="",BA42=0),"",ROUND(AZ42/BA42*$B$2,1))</f>
        <v>1.9</v>
      </c>
      <c r="BC42" s="15">
        <f>SUM(BC7:BC41)</f>
        <v>242</v>
      </c>
      <c r="BD42" s="16">
        <f>SUM(BD7:BD41)</f>
        <v>263</v>
      </c>
      <c r="BE42" s="12">
        <f>IF(OR(BD42="",BD42=0),"",ROUND(BC42/BD42*$B$2,1))</f>
        <v>24.8</v>
      </c>
      <c r="BF42" s="16">
        <f>SUM(BF7:BF41)</f>
        <v>77.925925925925938</v>
      </c>
      <c r="BG42" s="15">
        <f>SUM(BG7:BG41)</f>
        <v>0</v>
      </c>
      <c r="BH42" s="16">
        <f>SUM(BH7:BH41)</f>
        <v>0</v>
      </c>
      <c r="BI42" s="12" t="str">
        <f>IF(OR(BH42="",BH42=0),"",ROUND(BG42/BH42*$B$2,1))</f>
        <v/>
      </c>
      <c r="BJ42" s="16">
        <f>SUM(BJ7:BJ41)</f>
        <v>0</v>
      </c>
      <c r="BK42" s="15">
        <f>SUM(BK7:BK41)</f>
        <v>82</v>
      </c>
      <c r="BL42" s="16">
        <f>SUM(BL7:BL41)</f>
        <v>98</v>
      </c>
      <c r="BM42" s="12">
        <f>IF(OR(BL42="",BL42=0),"",ROUND(BK42/BL42*$B$2,1))</f>
        <v>22.6</v>
      </c>
      <c r="BN42" s="16">
        <f>SUM(BN7:BN41)</f>
        <v>29.037037037037035</v>
      </c>
      <c r="BO42" s="15">
        <f>SUM(BO7:BO41)</f>
        <v>65</v>
      </c>
      <c r="BP42" s="16">
        <f>SUM(BP7:BP41)</f>
        <v>97</v>
      </c>
      <c r="BQ42" s="12">
        <f>IF(OR(BP42="",BP42=0),"",ROUND(BO42/BP42*$B$2,1))</f>
        <v>18.100000000000001</v>
      </c>
      <c r="BR42" s="16">
        <f>SUM(BR7:BR41)</f>
        <v>28.740740740740744</v>
      </c>
      <c r="BS42" s="15">
        <f>SUM(BS7:BS41)</f>
        <v>8</v>
      </c>
      <c r="BT42" s="16">
        <f>SUM(BT7:BT41)</f>
        <v>14</v>
      </c>
      <c r="BU42" s="12">
        <f>IF(OR(BT42="",BT42=0),"",ROUND(BS42/BT42*$B$2,1))</f>
        <v>15.4</v>
      </c>
      <c r="BV42" s="16">
        <f>SUM(BV7:BV41)</f>
        <v>4.1481481481481479</v>
      </c>
      <c r="BW42" s="15">
        <f>SUM(BW7:BW41)</f>
        <v>128</v>
      </c>
      <c r="BX42" s="16">
        <f>SUM(BX7:BX41)</f>
        <v>327</v>
      </c>
      <c r="BY42" s="12">
        <f>IF(OR(BX42="",BX42=0),"",ROUND(BW42/BX42*$B$2,1))</f>
        <v>10.6</v>
      </c>
      <c r="BZ42" s="16">
        <f>SUM(BZ7:BZ41)</f>
        <v>96.888888888888857</v>
      </c>
      <c r="CA42" s="15">
        <f>SUM(CA7:CA41)</f>
        <v>124</v>
      </c>
      <c r="CB42" s="16">
        <f>SUM(CB7:CB41)</f>
        <v>613</v>
      </c>
      <c r="CC42" s="12">
        <f>IF(OR(CB42="",CB42=0),"",ROUND(CA42/CB42*$B$2,1))</f>
        <v>5.5</v>
      </c>
      <c r="CD42" s="16">
        <f>SUM(CD7:CD41)</f>
        <v>158.70370370370367</v>
      </c>
      <c r="CE42" s="15">
        <f>SUM(CE7:CE41)</f>
        <v>148</v>
      </c>
      <c r="CF42" s="16">
        <f>SUM(CF7:CF41)</f>
        <v>711</v>
      </c>
      <c r="CG42" s="12">
        <f>IF(OR(CF42="",CF42=0),"",ROUND(CE42/CF42*$B$2,1))</f>
        <v>5.6</v>
      </c>
      <c r="CH42" s="16">
        <f>SUM(CH7:CH41)</f>
        <v>184.33333333333329</v>
      </c>
      <c r="CI42" s="15">
        <f>SUM(CI7:CI41)</f>
        <v>99</v>
      </c>
      <c r="CJ42" s="16">
        <f>SUM(CJ7:CJ41)</f>
        <v>66</v>
      </c>
      <c r="CK42" s="12">
        <f>IF(OR(CJ42="",CJ42=0),"",ROUND(CI42/CJ42*$B$2,1))</f>
        <v>40.5</v>
      </c>
      <c r="CL42" s="15">
        <f>SUM(CL7:CL41)</f>
        <v>101</v>
      </c>
      <c r="CM42" s="16">
        <f>SUM(CM7:CM41)</f>
        <v>60</v>
      </c>
      <c r="CN42" s="12">
        <f>IF(OR(CM42="",CM42=0),"",ROUND(CL42/CM42*$B$2,1))</f>
        <v>45.5</v>
      </c>
      <c r="CO42" s="15">
        <f>SUM(CO7:CO41)</f>
        <v>389</v>
      </c>
      <c r="CP42" s="16">
        <f>SUM(CP7:CP41)</f>
        <v>806</v>
      </c>
      <c r="CQ42" s="12">
        <f>IF(OR(CP42="",CP42=0),"",ROUND(CO42/CP42*$B$2,1))</f>
        <v>13</v>
      </c>
      <c r="CR42" s="13">
        <f>SUM(CR7:CR41)</f>
        <v>2509</v>
      </c>
      <c r="CS42" s="13">
        <f>SUM(CS7:CS41)</f>
        <v>5149</v>
      </c>
      <c r="CT42" s="13">
        <f>IF(OR(CS42="",CS42=0),"",ROUND(CR42/CS42*$B$2,1))</f>
        <v>13.2</v>
      </c>
    </row>
  </sheetData>
  <mergeCells count="45">
    <mergeCell ref="B4:D4"/>
    <mergeCell ref="E4:K4"/>
    <mergeCell ref="L4:O4"/>
    <mergeCell ref="P4:U4"/>
    <mergeCell ref="V4:AG4"/>
    <mergeCell ref="AH4:AJ4"/>
    <mergeCell ref="AK4:AY4"/>
    <mergeCell ref="AZ4:BJ4"/>
    <mergeCell ref="BK4:BR4"/>
    <mergeCell ref="BS4:BV4"/>
    <mergeCell ref="BW4:BZ4"/>
    <mergeCell ref="CA4:CH4"/>
    <mergeCell ref="CI4:CK4"/>
    <mergeCell ref="CL4:CN4"/>
    <mergeCell ref="CO4:CQ4"/>
    <mergeCell ref="B5:D5"/>
    <mergeCell ref="E5:G5"/>
    <mergeCell ref="H5:K5"/>
    <mergeCell ref="L5:O5"/>
    <mergeCell ref="P5:R5"/>
    <mergeCell ref="AN5:AQ5"/>
    <mergeCell ref="AR5:AU5"/>
    <mergeCell ref="AV5:AY5"/>
    <mergeCell ref="AZ5:BB5"/>
    <mergeCell ref="S5:U5"/>
    <mergeCell ref="V5:Y5"/>
    <mergeCell ref="Z5:AC5"/>
    <mergeCell ref="AD5:AG5"/>
    <mergeCell ref="AH5:AJ5"/>
    <mergeCell ref="CO5:CQ5"/>
    <mergeCell ref="A4:A6"/>
    <mergeCell ref="CR4:CR6"/>
    <mergeCell ref="CS4:CS6"/>
    <mergeCell ref="CT4:CT6"/>
    <mergeCell ref="BW5:BZ5"/>
    <mergeCell ref="CA5:CD5"/>
    <mergeCell ref="CE5:CH5"/>
    <mergeCell ref="CI5:CK5"/>
    <mergeCell ref="CL5:CN5"/>
    <mergeCell ref="BC5:BF5"/>
    <mergeCell ref="BG5:BJ5"/>
    <mergeCell ref="BK5:BN5"/>
    <mergeCell ref="BO5:BR5"/>
    <mergeCell ref="BS5:BV5"/>
    <mergeCell ref="AK5:AM5"/>
  </mergeCells>
  <conditionalFormatting sqref="D38:D42 G38:G42 J38:J42 N38:N42 R38:R42 U38:U42 X38:X42 AB38:AB42 AF38:AF42 AJ38:AJ42 AM38:AM42 AP38:AP42 AT38:AT42 AX38:AX42 BB38:BB42 BE38:BE42 BI38:BI42 BM38:BM42 BQ38:BQ42 BU38:BU42 BY38:BY42 CC38:CC42 CG38:CG42 CK38:CK42 CN38:CN42 CQ38:CQ42">
    <cfRule type="cellIs" dxfId="84" priority="9" operator="between">
      <formula>5</formula>
      <formula>10</formula>
    </cfRule>
    <cfRule type="cellIs" dxfId="83" priority="10" operator="greaterThan">
      <formula>10</formula>
    </cfRule>
    <cfRule type="cellIs" dxfId="82" priority="8" operator="lessThan">
      <formula>5</formula>
    </cfRule>
  </conditionalFormatting>
  <conditionalFormatting sqref="K38:K41">
    <cfRule type="cellIs" dxfId="80" priority="116" operator="greaterThan">
      <formula>0</formula>
    </cfRule>
  </conditionalFormatting>
  <conditionalFormatting sqref="O38:O41">
    <cfRule type="cellIs" dxfId="79" priority="117" operator="greaterThan">
      <formula>0</formula>
    </cfRule>
  </conditionalFormatting>
  <conditionalFormatting sqref="Y38:Y41">
    <cfRule type="cellIs" dxfId="78" priority="118" operator="greaterThan">
      <formula>0</formula>
    </cfRule>
  </conditionalFormatting>
  <conditionalFormatting sqref="AC38:AC41">
    <cfRule type="cellIs" dxfId="74" priority="113" operator="lessThan">
      <formula>7</formula>
    </cfRule>
    <cfRule type="cellIs" dxfId="73" priority="114" operator="between">
      <formula>7</formula>
      <formula>20</formula>
    </cfRule>
    <cfRule type="cellIs" dxfId="72" priority="115" operator="greaterThan">
      <formula>20</formula>
    </cfRule>
  </conditionalFormatting>
  <conditionalFormatting sqref="AG38:AG41">
    <cfRule type="cellIs" dxfId="71" priority="112" operator="greaterThan">
      <formula>0</formula>
    </cfRule>
  </conditionalFormatting>
  <conditionalFormatting sqref="AQ38:AQ41">
    <cfRule type="cellIs" dxfId="70" priority="111" operator="greaterThan">
      <formula>0</formula>
    </cfRule>
  </conditionalFormatting>
  <conditionalFormatting sqref="AU38:AU41">
    <cfRule type="cellIs" dxfId="69" priority="110" operator="greaterThan">
      <formula>0</formula>
    </cfRule>
  </conditionalFormatting>
  <conditionalFormatting sqref="AY38:AY41">
    <cfRule type="cellIs" dxfId="68" priority="109" operator="greaterThan">
      <formula>0</formula>
    </cfRule>
  </conditionalFormatting>
  <conditionalFormatting sqref="BF38:BF41">
    <cfRule type="cellIs" dxfId="67" priority="108" operator="greaterThan">
      <formula>0</formula>
    </cfRule>
  </conditionalFormatting>
  <conditionalFormatting sqref="BJ38:BJ41">
    <cfRule type="cellIs" dxfId="66" priority="107" operator="greaterThan">
      <formula>0</formula>
    </cfRule>
  </conditionalFormatting>
  <conditionalFormatting sqref="BN38:BN41">
    <cfRule type="cellIs" dxfId="65" priority="106" operator="greaterThan">
      <formula>0</formula>
    </cfRule>
  </conditionalFormatting>
  <conditionalFormatting sqref="BR38:BR41">
    <cfRule type="cellIs" dxfId="64" priority="105" operator="greaterThan">
      <formula>0</formula>
    </cfRule>
  </conditionalFormatting>
  <conditionalFormatting sqref="BV38:BV41">
    <cfRule type="cellIs" dxfId="63" priority="104" operator="greaterThan">
      <formula>0</formula>
    </cfRule>
  </conditionalFormatting>
  <conditionalFormatting sqref="BZ38:BZ41">
    <cfRule type="cellIs" dxfId="62" priority="103" operator="greaterThan">
      <formula>0</formula>
    </cfRule>
  </conditionalFormatting>
  <conditionalFormatting sqref="CD38:CD41">
    <cfRule type="cellIs" dxfId="61" priority="102" operator="greaterThan">
      <formula>0</formula>
    </cfRule>
  </conditionalFormatting>
  <conditionalFormatting sqref="CH38:CH41">
    <cfRule type="cellIs" dxfId="60" priority="101" operator="greaterThan">
      <formula>0</formula>
    </cfRule>
  </conditionalFormatting>
  <conditionalFormatting sqref="D7:D37 G7:G37 J7:J37 N7:N37 R7:R37 U7:U37 X7:X37 AB7:AB37 AF7:AF37 AJ7:AJ37 AM7:AM37 AP7:AP37 AT7:AT37 AX7:AX37 BB7:BB37 BE7:BE37 BI7:BI37 BM7:BM37 BQ7:BQ37 BU7:BU37 BY7:BY37 CC7:CC37 CG7:CG37 CK7:CK37 CN7:CN37 CQ7:CQ37">
    <cfRule type="cellIs" dxfId="59" priority="1" operator="lessThan">
      <formula>5</formula>
    </cfRule>
    <cfRule type="cellIs" dxfId="58" priority="2" operator="between">
      <formula>5</formula>
      <formula>10</formula>
    </cfRule>
    <cfRule type="cellIs" dxfId="57" priority="3" operator="greaterThan">
      <formula>10</formula>
    </cfRule>
  </conditionalFormatting>
  <conditionalFormatting sqref="K7:K36 O7:O36 Y7:Y36 AG7:AG36 AQ7:AQ36 AU7:AU36 AY7:AY36 BF7:BF36 BJ7:BJ36 BN7:BN36 BR7:BR36 BV7:BV36 BZ7:BZ36 CH7:CH36 CD7:CD36">
    <cfRule type="cellIs" dxfId="56" priority="7" operator="greaterThan">
      <formula>0</formula>
    </cfRule>
  </conditionalFormatting>
  <conditionalFormatting sqref="AC7:AC36">
    <cfRule type="cellIs" dxfId="55" priority="4" operator="lessThan">
      <formula>7</formula>
    </cfRule>
    <cfRule type="cellIs" dxfId="54" priority="5" operator="between">
      <formula>7</formula>
      <formula>20</formula>
    </cfRule>
    <cfRule type="cellIs" dxfId="53" priority="6" operator="greaterThan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IQOO</vt:lpstr>
      <vt:lpstr>STOCK VIVO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michaelfumar</dc:creator>
  <cp:lastModifiedBy>michaelfumar</cp:lastModifiedBy>
  <dcterms:created xsi:type="dcterms:W3CDTF">2026-08-08T12:57:00Z</dcterms:created>
  <dcterms:modified xsi:type="dcterms:W3CDTF">2026-09-28T04:20:39Z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C8CC1B4664A93D1020CF7B6AECA2B9F0_42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